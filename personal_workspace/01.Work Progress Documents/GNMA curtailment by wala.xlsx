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75" windowWidth="33075" windowHeight="18900"/>
  </bookViews>
  <sheets>
    <sheet name="Result" sheetId="1" r:id="rId1"/>
    <sheet name="Query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L3" i="1" l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M2" i="1"/>
  <c r="L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E2" i="1"/>
  <c r="D2" i="1"/>
</calcChain>
</file>

<file path=xl/sharedStrings.xml><?xml version="1.0" encoding="utf-8"?>
<sst xmlns="http://schemas.openxmlformats.org/spreadsheetml/2006/main" count="10" uniqueCount="6">
  <si>
    <t>asOf</t>
  </si>
  <si>
    <t>curtailment_CPR</t>
  </si>
  <si>
    <t>total_CPR</t>
  </si>
  <si>
    <t>total_smm</t>
  </si>
  <si>
    <t>curtailment_smm</t>
  </si>
  <si>
    <t>wala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</si>
</sst>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Result!$L$1</c:f>
              <c:strCache>
                <c:ptCount val="1"/>
                <c:pt idx="0">
                  <c:v>curtailment_CPR</c:v>
                </c:pt>
              </c:strCache>
            </c:strRef>
          </c:tx>
          <c:marker>
            <c:symbol val="none"/>
          </c:marker>
          <c:cat>
            <c:numRef>
              <c:f>Result!$I$2:$I$360</c:f>
              <c:numCache>
                <c:formatCode>General</c:formatCode>
                <c:ptCount val="35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</c:numCache>
            </c:numRef>
          </c:cat>
          <c:val>
            <c:numRef>
              <c:f>Result!$L$2:$L$360</c:f>
              <c:numCache>
                <c:formatCode>General</c:formatCode>
                <c:ptCount val="359"/>
                <c:pt idx="0">
                  <c:v>0.23123591266208665</c:v>
                </c:pt>
                <c:pt idx="1">
                  <c:v>0.28330112277848984</c:v>
                </c:pt>
                <c:pt idx="2">
                  <c:v>0.24520303121082776</c:v>
                </c:pt>
                <c:pt idx="3">
                  <c:v>0.19459586010980301</c:v>
                </c:pt>
                <c:pt idx="4">
                  <c:v>0.17211083684692818</c:v>
                </c:pt>
                <c:pt idx="5">
                  <c:v>0.1689793493374836</c:v>
                </c:pt>
                <c:pt idx="6">
                  <c:v>5.4280627118408198E-2</c:v>
                </c:pt>
                <c:pt idx="7">
                  <c:v>0.21904066279619938</c:v>
                </c:pt>
                <c:pt idx="8">
                  <c:v>0.29471438404011785</c:v>
                </c:pt>
                <c:pt idx="9">
                  <c:v>0.3131523970315242</c:v>
                </c:pt>
                <c:pt idx="10">
                  <c:v>0.32364860975713228</c:v>
                </c:pt>
                <c:pt idx="11">
                  <c:v>0.32512198930978453</c:v>
                </c:pt>
                <c:pt idx="12">
                  <c:v>0.32328336655105261</c:v>
                </c:pt>
                <c:pt idx="13">
                  <c:v>0.31905008692109105</c:v>
                </c:pt>
                <c:pt idx="14">
                  <c:v>0.3265944350878125</c:v>
                </c:pt>
                <c:pt idx="15">
                  <c:v>0.32951110949653861</c:v>
                </c:pt>
                <c:pt idx="16">
                  <c:v>0.33264530062100395</c:v>
                </c:pt>
                <c:pt idx="17">
                  <c:v>0.33790705652390063</c:v>
                </c:pt>
                <c:pt idx="18">
                  <c:v>0.34571276316037736</c:v>
                </c:pt>
                <c:pt idx="19">
                  <c:v>0.34704682343488225</c:v>
                </c:pt>
                <c:pt idx="20">
                  <c:v>0.35177718522971801</c:v>
                </c:pt>
                <c:pt idx="21">
                  <c:v>0.36099642573244051</c:v>
                </c:pt>
                <c:pt idx="22">
                  <c:v>0.37259760604307912</c:v>
                </c:pt>
                <c:pt idx="23">
                  <c:v>0.37469113915714614</c:v>
                </c:pt>
                <c:pt idx="24">
                  <c:v>0.3726487554539859</c:v>
                </c:pt>
                <c:pt idx="25">
                  <c:v>0.36856530244048225</c:v>
                </c:pt>
                <c:pt idx="26">
                  <c:v>0.35964457390490479</c:v>
                </c:pt>
                <c:pt idx="27">
                  <c:v>0.36724676859576366</c:v>
                </c:pt>
                <c:pt idx="28">
                  <c:v>0.37498032648405344</c:v>
                </c:pt>
                <c:pt idx="29">
                  <c:v>0.38687631411806755</c:v>
                </c:pt>
                <c:pt idx="30">
                  <c:v>0.37817528977339698</c:v>
                </c:pt>
                <c:pt idx="31">
                  <c:v>0.37777780350073398</c:v>
                </c:pt>
                <c:pt idx="32">
                  <c:v>0.37501363362785201</c:v>
                </c:pt>
                <c:pt idx="33">
                  <c:v>0.37648659978061216</c:v>
                </c:pt>
                <c:pt idx="34">
                  <c:v>0.38100508216183382</c:v>
                </c:pt>
                <c:pt idx="35">
                  <c:v>0.3813149040077346</c:v>
                </c:pt>
                <c:pt idx="36">
                  <c:v>0.37700723870602859</c:v>
                </c:pt>
                <c:pt idx="37">
                  <c:v>0.37127570478157068</c:v>
                </c:pt>
                <c:pt idx="38">
                  <c:v>0.37371498282401383</c:v>
                </c:pt>
                <c:pt idx="39">
                  <c:v>0.38134923372109553</c:v>
                </c:pt>
                <c:pt idx="40">
                  <c:v>0.38071426557815258</c:v>
                </c:pt>
                <c:pt idx="41">
                  <c:v>0.38611040816025621</c:v>
                </c:pt>
                <c:pt idx="42">
                  <c:v>0.39539522814867611</c:v>
                </c:pt>
                <c:pt idx="43">
                  <c:v>0.39655456148793844</c:v>
                </c:pt>
                <c:pt idx="44">
                  <c:v>0.39409750335738236</c:v>
                </c:pt>
                <c:pt idx="45">
                  <c:v>0.3907215537689579</c:v>
                </c:pt>
                <c:pt idx="46">
                  <c:v>0.39640865677446069</c:v>
                </c:pt>
                <c:pt idx="47">
                  <c:v>0.40243641368775673</c:v>
                </c:pt>
                <c:pt idx="48">
                  <c:v>0.3946870045689721</c:v>
                </c:pt>
                <c:pt idx="49">
                  <c:v>0.38857359318199558</c:v>
                </c:pt>
                <c:pt idx="50">
                  <c:v>0.38655077117937253</c:v>
                </c:pt>
                <c:pt idx="51">
                  <c:v>0.38501947293753114</c:v>
                </c:pt>
                <c:pt idx="52">
                  <c:v>0.38908139120537033</c:v>
                </c:pt>
                <c:pt idx="53">
                  <c:v>0.39323819538779059</c:v>
                </c:pt>
                <c:pt idx="54">
                  <c:v>0.39760329292178875</c:v>
                </c:pt>
                <c:pt idx="55">
                  <c:v>0.39591902734708029</c:v>
                </c:pt>
                <c:pt idx="56">
                  <c:v>0.40499406415623884</c:v>
                </c:pt>
                <c:pt idx="57">
                  <c:v>0.41024461572040094</c:v>
                </c:pt>
                <c:pt idx="58">
                  <c:v>0.41798366115056718</c:v>
                </c:pt>
                <c:pt idx="59">
                  <c:v>0.44118314364783862</c:v>
                </c:pt>
                <c:pt idx="60">
                  <c:v>0.43666984807972931</c:v>
                </c:pt>
                <c:pt idx="61">
                  <c:v>0.4310373886168839</c:v>
                </c:pt>
                <c:pt idx="62">
                  <c:v>0.42423615558034866</c:v>
                </c:pt>
                <c:pt idx="63">
                  <c:v>0.42452030329050983</c:v>
                </c:pt>
                <c:pt idx="64">
                  <c:v>0.41724701229524097</c:v>
                </c:pt>
                <c:pt idx="65">
                  <c:v>0.41560636447020016</c:v>
                </c:pt>
                <c:pt idx="66">
                  <c:v>0.4210868389210809</c:v>
                </c:pt>
                <c:pt idx="67">
                  <c:v>0.42399876420663452</c:v>
                </c:pt>
                <c:pt idx="68">
                  <c:v>0.42809992433439081</c:v>
                </c:pt>
                <c:pt idx="69">
                  <c:v>0.43074285904499687</c:v>
                </c:pt>
                <c:pt idx="70">
                  <c:v>0.43809116073146859</c:v>
                </c:pt>
                <c:pt idx="71">
                  <c:v>0.43937826649997902</c:v>
                </c:pt>
                <c:pt idx="72">
                  <c:v>0.42945615620438859</c:v>
                </c:pt>
                <c:pt idx="73">
                  <c:v>0.43098850838441116</c:v>
                </c:pt>
                <c:pt idx="74">
                  <c:v>0.42873681131834207</c:v>
                </c:pt>
                <c:pt idx="75">
                  <c:v>0.43644114390137823</c:v>
                </c:pt>
                <c:pt idx="76">
                  <c:v>0.43989564263278158</c:v>
                </c:pt>
                <c:pt idx="77">
                  <c:v>0.43570062319160385</c:v>
                </c:pt>
                <c:pt idx="78">
                  <c:v>0.42583974524914581</c:v>
                </c:pt>
                <c:pt idx="79">
                  <c:v>0.4424454202247019</c:v>
                </c:pt>
                <c:pt idx="80">
                  <c:v>0.44691426392367006</c:v>
                </c:pt>
                <c:pt idx="81">
                  <c:v>0.461515479870378</c:v>
                </c:pt>
                <c:pt idx="82">
                  <c:v>0.44055616143812149</c:v>
                </c:pt>
                <c:pt idx="83">
                  <c:v>0.45251231460099461</c:v>
                </c:pt>
                <c:pt idx="84">
                  <c:v>0.44526063135365002</c:v>
                </c:pt>
                <c:pt idx="85">
                  <c:v>0.44017635771409491</c:v>
                </c:pt>
                <c:pt idx="86">
                  <c:v>0.4530490394147102</c:v>
                </c:pt>
                <c:pt idx="87">
                  <c:v>0.45167832995083312</c:v>
                </c:pt>
                <c:pt idx="88">
                  <c:v>0.44790953645573728</c:v>
                </c:pt>
                <c:pt idx="89">
                  <c:v>0.46115646895373841</c:v>
                </c:pt>
                <c:pt idx="90">
                  <c:v>0.46589135523918968</c:v>
                </c:pt>
                <c:pt idx="91">
                  <c:v>0.45291433519640822</c:v>
                </c:pt>
                <c:pt idx="92">
                  <c:v>0.45812201227637406</c:v>
                </c:pt>
                <c:pt idx="93">
                  <c:v>0.46257807244320936</c:v>
                </c:pt>
                <c:pt idx="94">
                  <c:v>0.45891522682117714</c:v>
                </c:pt>
                <c:pt idx="95">
                  <c:v>0.4596780850072868</c:v>
                </c:pt>
                <c:pt idx="96">
                  <c:v>0.42614112437664442</c:v>
                </c:pt>
                <c:pt idx="97">
                  <c:v>0.44808817158987768</c:v>
                </c:pt>
                <c:pt idx="98">
                  <c:v>0.42572282581447851</c:v>
                </c:pt>
                <c:pt idx="99">
                  <c:v>0.42979700122923736</c:v>
                </c:pt>
                <c:pt idx="100">
                  <c:v>0.45871368077332608</c:v>
                </c:pt>
                <c:pt idx="101">
                  <c:v>0.44362898772011272</c:v>
                </c:pt>
                <c:pt idx="102">
                  <c:v>0.46065247960808131</c:v>
                </c:pt>
                <c:pt idx="103">
                  <c:v>0.45449579159297926</c:v>
                </c:pt>
                <c:pt idx="104">
                  <c:v>0.44808170279070358</c:v>
                </c:pt>
                <c:pt idx="105">
                  <c:v>0.4511866268975373</c:v>
                </c:pt>
                <c:pt idx="106">
                  <c:v>0.44546730636970677</c:v>
                </c:pt>
                <c:pt idx="107">
                  <c:v>0.47638365214519585</c:v>
                </c:pt>
                <c:pt idx="108">
                  <c:v>0.47267131372389359</c:v>
                </c:pt>
                <c:pt idx="109">
                  <c:v>0.48328145523973687</c:v>
                </c:pt>
                <c:pt idx="110">
                  <c:v>0.49057792470766914</c:v>
                </c:pt>
                <c:pt idx="111">
                  <c:v>0.46555736157360972</c:v>
                </c:pt>
                <c:pt idx="112">
                  <c:v>0.4504950680272124</c:v>
                </c:pt>
                <c:pt idx="113">
                  <c:v>0.46715205234683088</c:v>
                </c:pt>
                <c:pt idx="114">
                  <c:v>0.46580388474960488</c:v>
                </c:pt>
                <c:pt idx="115">
                  <c:v>0.48649122812521872</c:v>
                </c:pt>
                <c:pt idx="116">
                  <c:v>0.51850256335732592</c:v>
                </c:pt>
                <c:pt idx="117">
                  <c:v>0.4930305841850946</c:v>
                </c:pt>
                <c:pt idx="118">
                  <c:v>0.49709687832725225</c:v>
                </c:pt>
                <c:pt idx="119">
                  <c:v>0.47323740184946894</c:v>
                </c:pt>
                <c:pt idx="120">
                  <c:v>0.48265137187120111</c:v>
                </c:pt>
                <c:pt idx="121">
                  <c:v>0.45686701689310327</c:v>
                </c:pt>
                <c:pt idx="122">
                  <c:v>0.47361642095621326</c:v>
                </c:pt>
                <c:pt idx="123">
                  <c:v>0.52400636608377349</c:v>
                </c:pt>
                <c:pt idx="124">
                  <c:v>0.53743284155374216</c:v>
                </c:pt>
                <c:pt idx="125">
                  <c:v>0.56036485346129261</c:v>
                </c:pt>
                <c:pt idx="126">
                  <c:v>0.58445395517777721</c:v>
                </c:pt>
                <c:pt idx="127">
                  <c:v>0.57727186777055683</c:v>
                </c:pt>
                <c:pt idx="128">
                  <c:v>0.59930435200720167</c:v>
                </c:pt>
                <c:pt idx="129">
                  <c:v>0.59818242286600043</c:v>
                </c:pt>
                <c:pt idx="130">
                  <c:v>0.60603420728534418</c:v>
                </c:pt>
                <c:pt idx="131">
                  <c:v>0.62370370545876685</c:v>
                </c:pt>
                <c:pt idx="132">
                  <c:v>0.64141364473919715</c:v>
                </c:pt>
                <c:pt idx="133">
                  <c:v>0.6504035586164636</c:v>
                </c:pt>
                <c:pt idx="134">
                  <c:v>0.65978515262155035</c:v>
                </c:pt>
                <c:pt idx="135">
                  <c:v>0.66580958487648667</c:v>
                </c:pt>
                <c:pt idx="136">
                  <c:v>0.67351641923727446</c:v>
                </c:pt>
                <c:pt idx="137">
                  <c:v>0.68679619156251093</c:v>
                </c:pt>
                <c:pt idx="138">
                  <c:v>0.69034453226702874</c:v>
                </c:pt>
                <c:pt idx="139">
                  <c:v>0.67802471438005441</c:v>
                </c:pt>
                <c:pt idx="140">
                  <c:v>0.69518042039162786</c:v>
                </c:pt>
                <c:pt idx="141">
                  <c:v>0.71135145290812662</c:v>
                </c:pt>
                <c:pt idx="142">
                  <c:v>0.71932926042335144</c:v>
                </c:pt>
                <c:pt idx="143">
                  <c:v>0.74319722635616259</c:v>
                </c:pt>
                <c:pt idx="144">
                  <c:v>0.71577208533127878</c:v>
                </c:pt>
                <c:pt idx="145">
                  <c:v>0.73095374309859462</c:v>
                </c:pt>
                <c:pt idx="146">
                  <c:v>0.74519514304047796</c:v>
                </c:pt>
                <c:pt idx="147">
                  <c:v>0.74349677388657609</c:v>
                </c:pt>
                <c:pt idx="148">
                  <c:v>0.77056298232730525</c:v>
                </c:pt>
                <c:pt idx="149">
                  <c:v>0.76054788932213846</c:v>
                </c:pt>
                <c:pt idx="150">
                  <c:v>0.77923012184788476</c:v>
                </c:pt>
                <c:pt idx="151">
                  <c:v>0.78104991955035841</c:v>
                </c:pt>
                <c:pt idx="152">
                  <c:v>0.7582136183285404</c:v>
                </c:pt>
                <c:pt idx="153">
                  <c:v>0.79247799083771442</c:v>
                </c:pt>
                <c:pt idx="154">
                  <c:v>0.83582530132851884</c:v>
                </c:pt>
                <c:pt idx="155">
                  <c:v>0.82768094471263876</c:v>
                </c:pt>
                <c:pt idx="156">
                  <c:v>0.80466102752526636</c:v>
                </c:pt>
                <c:pt idx="157">
                  <c:v>0.83708919095575318</c:v>
                </c:pt>
                <c:pt idx="158">
                  <c:v>0.80974022572215532</c:v>
                </c:pt>
                <c:pt idx="159">
                  <c:v>0.82115139863843112</c:v>
                </c:pt>
                <c:pt idx="160">
                  <c:v>0.85846744529529673</c:v>
                </c:pt>
                <c:pt idx="161">
                  <c:v>0.8663041348850431</c:v>
                </c:pt>
                <c:pt idx="162">
                  <c:v>0.85790890229767713</c:v>
                </c:pt>
                <c:pt idx="163">
                  <c:v>0.8908126678912609</c:v>
                </c:pt>
                <c:pt idx="164">
                  <c:v>0.87032390789465452</c:v>
                </c:pt>
                <c:pt idx="165">
                  <c:v>0.86468465277173001</c:v>
                </c:pt>
                <c:pt idx="166">
                  <c:v>0.85837969238112821</c:v>
                </c:pt>
                <c:pt idx="167">
                  <c:v>0.8675733881331138</c:v>
                </c:pt>
                <c:pt idx="168">
                  <c:v>0.89355237388255571</c:v>
                </c:pt>
                <c:pt idx="169">
                  <c:v>0.86933613008604027</c:v>
                </c:pt>
                <c:pt idx="170">
                  <c:v>0.8444763106851938</c:v>
                </c:pt>
                <c:pt idx="171">
                  <c:v>0.858408485708817</c:v>
                </c:pt>
                <c:pt idx="172">
                  <c:v>0.83408181970213713</c:v>
                </c:pt>
                <c:pt idx="173">
                  <c:v>0.81482396837897486</c:v>
                </c:pt>
                <c:pt idx="174">
                  <c:v>0.91204657072555539</c:v>
                </c:pt>
                <c:pt idx="175">
                  <c:v>0.86900934878502145</c:v>
                </c:pt>
                <c:pt idx="176">
                  <c:v>0.82118832332918057</c:v>
                </c:pt>
                <c:pt idx="177">
                  <c:v>0.81758217729672733</c:v>
                </c:pt>
                <c:pt idx="178">
                  <c:v>0.84958164174165907</c:v>
                </c:pt>
                <c:pt idx="179">
                  <c:v>0.85369348093402575</c:v>
                </c:pt>
                <c:pt idx="180">
                  <c:v>0.8670538008532902</c:v>
                </c:pt>
                <c:pt idx="181">
                  <c:v>0.8940346821591727</c:v>
                </c:pt>
                <c:pt idx="182">
                  <c:v>0.91189827764204257</c:v>
                </c:pt>
                <c:pt idx="183">
                  <c:v>0.92390948998366529</c:v>
                </c:pt>
                <c:pt idx="184">
                  <c:v>0.93342979910508994</c:v>
                </c:pt>
                <c:pt idx="185">
                  <c:v>0.88984683816879517</c:v>
                </c:pt>
                <c:pt idx="186">
                  <c:v>0.9384969079000216</c:v>
                </c:pt>
                <c:pt idx="187">
                  <c:v>0.96576682469051711</c:v>
                </c:pt>
                <c:pt idx="188">
                  <c:v>1.009350722590352</c:v>
                </c:pt>
                <c:pt idx="189">
                  <c:v>0.97922792271000203</c:v>
                </c:pt>
                <c:pt idx="190">
                  <c:v>1.0431938668520657</c:v>
                </c:pt>
                <c:pt idx="191">
                  <c:v>0.98524989853437939</c:v>
                </c:pt>
                <c:pt idx="192">
                  <c:v>1.0457621281997787</c:v>
                </c:pt>
                <c:pt idx="193">
                  <c:v>1.0087005842104313</c:v>
                </c:pt>
                <c:pt idx="194">
                  <c:v>1.0328961763107825</c:v>
                </c:pt>
                <c:pt idx="195">
                  <c:v>1.0361055762842741</c:v>
                </c:pt>
                <c:pt idx="196">
                  <c:v>1.0557660427761628</c:v>
                </c:pt>
                <c:pt idx="197">
                  <c:v>1.0822921970535027</c:v>
                </c:pt>
                <c:pt idx="198">
                  <c:v>1.1182807760245161</c:v>
                </c:pt>
                <c:pt idx="199">
                  <c:v>1.1509167406706711</c:v>
                </c:pt>
                <c:pt idx="200">
                  <c:v>1.1533177624398872</c:v>
                </c:pt>
                <c:pt idx="201">
                  <c:v>1.1135369899883729</c:v>
                </c:pt>
                <c:pt idx="202">
                  <c:v>1.17294934922062</c:v>
                </c:pt>
                <c:pt idx="203">
                  <c:v>1.1252729682497575</c:v>
                </c:pt>
                <c:pt idx="204">
                  <c:v>1.130103564784013</c:v>
                </c:pt>
                <c:pt idx="205">
                  <c:v>1.1869258699788277</c:v>
                </c:pt>
                <c:pt idx="206">
                  <c:v>1.1763825244699544</c:v>
                </c:pt>
                <c:pt idx="207">
                  <c:v>1.1746562507930935</c:v>
                </c:pt>
                <c:pt idx="208">
                  <c:v>1.2036303458607067</c:v>
                </c:pt>
                <c:pt idx="209">
                  <c:v>1.1870734920870651</c:v>
                </c:pt>
                <c:pt idx="210">
                  <c:v>1.1734304126785888</c:v>
                </c:pt>
                <c:pt idx="211">
                  <c:v>1.1693280037473164</c:v>
                </c:pt>
                <c:pt idx="212">
                  <c:v>1.2276163987070876</c:v>
                </c:pt>
                <c:pt idx="213">
                  <c:v>1.2340048036703855</c:v>
                </c:pt>
                <c:pt idx="214">
                  <c:v>1.1826217256702631</c:v>
                </c:pt>
                <c:pt idx="215">
                  <c:v>1.2470697759461746</c:v>
                </c:pt>
                <c:pt idx="216">
                  <c:v>1.1962727573674115</c:v>
                </c:pt>
                <c:pt idx="217">
                  <c:v>1.2609036191900458</c:v>
                </c:pt>
                <c:pt idx="218">
                  <c:v>1.2889280387331725</c:v>
                </c:pt>
                <c:pt idx="219">
                  <c:v>1.2942282753951928</c:v>
                </c:pt>
                <c:pt idx="220">
                  <c:v>1.2922574426637023</c:v>
                </c:pt>
                <c:pt idx="221">
                  <c:v>1.2505749272491484</c:v>
                </c:pt>
                <c:pt idx="222">
                  <c:v>1.3389289502850787</c:v>
                </c:pt>
                <c:pt idx="223">
                  <c:v>1.3301333730228015</c:v>
                </c:pt>
                <c:pt idx="224">
                  <c:v>1.2581110673398177</c:v>
                </c:pt>
                <c:pt idx="225">
                  <c:v>1.2830399839924178</c:v>
                </c:pt>
                <c:pt idx="226">
                  <c:v>1.2240972758149615</c:v>
                </c:pt>
                <c:pt idx="227">
                  <c:v>1.2787874371633756</c:v>
                </c:pt>
                <c:pt idx="228">
                  <c:v>1.2606984006076405</c:v>
                </c:pt>
                <c:pt idx="229">
                  <c:v>1.2596191946632973</c:v>
                </c:pt>
                <c:pt idx="230">
                  <c:v>1.2670805748032143</c:v>
                </c:pt>
                <c:pt idx="231">
                  <c:v>1.1412729094676721</c:v>
                </c:pt>
                <c:pt idx="232">
                  <c:v>1.1533585944954239</c:v>
                </c:pt>
                <c:pt idx="233">
                  <c:v>1.1276980156898486</c:v>
                </c:pt>
                <c:pt idx="234">
                  <c:v>1.0916806242762589</c:v>
                </c:pt>
                <c:pt idx="235">
                  <c:v>1.2461876532516181</c:v>
                </c:pt>
                <c:pt idx="236">
                  <c:v>1.143130148378102</c:v>
                </c:pt>
                <c:pt idx="237">
                  <c:v>1.1005053842204959</c:v>
                </c:pt>
                <c:pt idx="238">
                  <c:v>1.0833427274218432</c:v>
                </c:pt>
                <c:pt idx="239">
                  <c:v>1.1922109257890723</c:v>
                </c:pt>
                <c:pt idx="240">
                  <c:v>1.2993701908548427</c:v>
                </c:pt>
                <c:pt idx="241">
                  <c:v>1.4642121728544844</c:v>
                </c:pt>
                <c:pt idx="242">
                  <c:v>1.4383853291908499</c:v>
                </c:pt>
                <c:pt idx="243">
                  <c:v>1.4135445106663869</c:v>
                </c:pt>
                <c:pt idx="244">
                  <c:v>1.4832447632783463</c:v>
                </c:pt>
                <c:pt idx="245">
                  <c:v>1.6215238619815331</c:v>
                </c:pt>
                <c:pt idx="246">
                  <c:v>1.6648741313646909</c:v>
                </c:pt>
                <c:pt idx="247">
                  <c:v>1.6701382771680873</c:v>
                </c:pt>
                <c:pt idx="248">
                  <c:v>1.5438869249726705</c:v>
                </c:pt>
                <c:pt idx="249">
                  <c:v>1.6566231996864689</c:v>
                </c:pt>
                <c:pt idx="250">
                  <c:v>1.6205832223852745</c:v>
                </c:pt>
                <c:pt idx="251">
                  <c:v>1.6570651390208524</c:v>
                </c:pt>
                <c:pt idx="252">
                  <c:v>1.7058956620521593</c:v>
                </c:pt>
                <c:pt idx="253">
                  <c:v>1.6936799299560157</c:v>
                </c:pt>
                <c:pt idx="254">
                  <c:v>1.8339226069310599</c:v>
                </c:pt>
                <c:pt idx="255">
                  <c:v>1.8220074865182179</c:v>
                </c:pt>
                <c:pt idx="256">
                  <c:v>1.8039575386419204</c:v>
                </c:pt>
                <c:pt idx="257">
                  <c:v>1.7923551433193352</c:v>
                </c:pt>
                <c:pt idx="258">
                  <c:v>1.8369899571971771</c:v>
                </c:pt>
                <c:pt idx="259">
                  <c:v>1.8299835745061666</c:v>
                </c:pt>
                <c:pt idx="260">
                  <c:v>1.8675533803434452</c:v>
                </c:pt>
                <c:pt idx="261">
                  <c:v>1.9378705040873356</c:v>
                </c:pt>
                <c:pt idx="262">
                  <c:v>1.8715718508541479</c:v>
                </c:pt>
                <c:pt idx="263">
                  <c:v>1.9344880897144701</c:v>
                </c:pt>
                <c:pt idx="264">
                  <c:v>2.1498251539835311</c:v>
                </c:pt>
                <c:pt idx="265">
                  <c:v>1.9814551863117091</c:v>
                </c:pt>
                <c:pt idx="266">
                  <c:v>1.8370744868975053</c:v>
                </c:pt>
                <c:pt idx="267">
                  <c:v>1.8831091715282966</c:v>
                </c:pt>
                <c:pt idx="268">
                  <c:v>1.9167168076005825</c:v>
                </c:pt>
                <c:pt idx="269">
                  <c:v>2.0278855565196041</c:v>
                </c:pt>
                <c:pt idx="270">
                  <c:v>2.0180915408742561</c:v>
                </c:pt>
                <c:pt idx="271">
                  <c:v>2.002400130851123</c:v>
                </c:pt>
                <c:pt idx="272">
                  <c:v>2.1148825765752499</c:v>
                </c:pt>
                <c:pt idx="273">
                  <c:v>2.1163870217305814</c:v>
                </c:pt>
                <c:pt idx="274">
                  <c:v>2.0269196156776248</c:v>
                </c:pt>
                <c:pt idx="275">
                  <c:v>2.1988642765469857</c:v>
                </c:pt>
                <c:pt idx="276">
                  <c:v>2.1557939875349819</c:v>
                </c:pt>
                <c:pt idx="277">
                  <c:v>2.1768151595864871</c:v>
                </c:pt>
                <c:pt idx="278">
                  <c:v>2.1450805701944131</c:v>
                </c:pt>
                <c:pt idx="279">
                  <c:v>2.0927820126878327</c:v>
                </c:pt>
                <c:pt idx="280">
                  <c:v>2.2401695343498118</c:v>
                </c:pt>
                <c:pt idx="281">
                  <c:v>2.1899661071158594</c:v>
                </c:pt>
                <c:pt idx="282">
                  <c:v>2.052152329093293</c:v>
                </c:pt>
                <c:pt idx="283">
                  <c:v>2.1940046905119304</c:v>
                </c:pt>
                <c:pt idx="284">
                  <c:v>2.0236527274310689</c:v>
                </c:pt>
                <c:pt idx="285">
                  <c:v>2.0380033038340462</c:v>
                </c:pt>
                <c:pt idx="286">
                  <c:v>2.0688441393167722</c:v>
                </c:pt>
                <c:pt idx="287">
                  <c:v>2.0788335388671753</c:v>
                </c:pt>
                <c:pt idx="288">
                  <c:v>2.1494066492645292</c:v>
                </c:pt>
                <c:pt idx="289">
                  <c:v>2.1893918172591897</c:v>
                </c:pt>
                <c:pt idx="290">
                  <c:v>2.2219911024221717</c:v>
                </c:pt>
                <c:pt idx="291">
                  <c:v>2.1539311885796386</c:v>
                </c:pt>
                <c:pt idx="292">
                  <c:v>2.235398030912028</c:v>
                </c:pt>
                <c:pt idx="293">
                  <c:v>2.2562564861405288</c:v>
                </c:pt>
                <c:pt idx="294">
                  <c:v>2.1622803993836981</c:v>
                </c:pt>
                <c:pt idx="295">
                  <c:v>2.078627865755045</c:v>
                </c:pt>
                <c:pt idx="296">
                  <c:v>2.0741145857142818</c:v>
                </c:pt>
                <c:pt idx="297">
                  <c:v>2.1494244372782023</c:v>
                </c:pt>
                <c:pt idx="298">
                  <c:v>2.3560964608042245</c:v>
                </c:pt>
                <c:pt idx="299">
                  <c:v>2.1094185860414782</c:v>
                </c:pt>
                <c:pt idx="300">
                  <c:v>2.2318701013905651</c:v>
                </c:pt>
                <c:pt idx="301">
                  <c:v>2.1633796100532066</c:v>
                </c:pt>
                <c:pt idx="302">
                  <c:v>2.1108471328752265</c:v>
                </c:pt>
                <c:pt idx="303">
                  <c:v>2.2246285822644429</c:v>
                </c:pt>
                <c:pt idx="304">
                  <c:v>2.2671951902864529</c:v>
                </c:pt>
                <c:pt idx="305">
                  <c:v>2.4445945536122116</c:v>
                </c:pt>
                <c:pt idx="306">
                  <c:v>2.192846782475788</c:v>
                </c:pt>
                <c:pt idx="307">
                  <c:v>2.5281510386728101</c:v>
                </c:pt>
                <c:pt idx="308">
                  <c:v>2.3227554849576726</c:v>
                </c:pt>
                <c:pt idx="309">
                  <c:v>2.4083066897835792</c:v>
                </c:pt>
                <c:pt idx="310">
                  <c:v>2.3861672758465291</c:v>
                </c:pt>
                <c:pt idx="311">
                  <c:v>2.6113956843445196</c:v>
                </c:pt>
                <c:pt idx="312">
                  <c:v>2.2169226023321054</c:v>
                </c:pt>
                <c:pt idx="313">
                  <c:v>2.3768125186778954</c:v>
                </c:pt>
                <c:pt idx="314">
                  <c:v>2.3016663670413551</c:v>
                </c:pt>
                <c:pt idx="315">
                  <c:v>2.3146643049228421</c:v>
                </c:pt>
                <c:pt idx="316">
                  <c:v>2.0745158197847058</c:v>
                </c:pt>
                <c:pt idx="317">
                  <c:v>2.1782962022651953</c:v>
                </c:pt>
                <c:pt idx="318">
                  <c:v>2.3845334897608095</c:v>
                </c:pt>
                <c:pt idx="319">
                  <c:v>2.5243777606760887</c:v>
                </c:pt>
                <c:pt idx="320">
                  <c:v>2.7837503941900099</c:v>
                </c:pt>
                <c:pt idx="321">
                  <c:v>2.9177922270871792</c:v>
                </c:pt>
                <c:pt idx="322">
                  <c:v>2.856019405765442</c:v>
                </c:pt>
                <c:pt idx="323">
                  <c:v>3.030941080544669</c:v>
                </c:pt>
                <c:pt idx="324">
                  <c:v>3.1081634365365041</c:v>
                </c:pt>
                <c:pt idx="325">
                  <c:v>3.2084328946508922</c:v>
                </c:pt>
                <c:pt idx="326">
                  <c:v>3.3626542403377702</c:v>
                </c:pt>
                <c:pt idx="327">
                  <c:v>3.4699162230271918</c:v>
                </c:pt>
                <c:pt idx="328">
                  <c:v>3.4986159267741623</c:v>
                </c:pt>
                <c:pt idx="329">
                  <c:v>3.6115670405253986</c:v>
                </c:pt>
                <c:pt idx="330">
                  <c:v>3.9389032229585452</c:v>
                </c:pt>
                <c:pt idx="331">
                  <c:v>4.2453169109779365</c:v>
                </c:pt>
                <c:pt idx="332">
                  <c:v>4.1816420750103056</c:v>
                </c:pt>
                <c:pt idx="333">
                  <c:v>4.2356063886485824</c:v>
                </c:pt>
                <c:pt idx="334">
                  <c:v>4.245285373555685</c:v>
                </c:pt>
                <c:pt idx="335">
                  <c:v>4.610914146982692</c:v>
                </c:pt>
                <c:pt idx="336">
                  <c:v>4.5304433288508417</c:v>
                </c:pt>
                <c:pt idx="337">
                  <c:v>4.7357152444098993</c:v>
                </c:pt>
                <c:pt idx="338">
                  <c:v>4.9539836845429841</c:v>
                </c:pt>
                <c:pt idx="339">
                  <c:v>5.0878690248332799</c:v>
                </c:pt>
                <c:pt idx="340">
                  <c:v>5.4373201097963513</c:v>
                </c:pt>
                <c:pt idx="341">
                  <c:v>5.2880257732688012</c:v>
                </c:pt>
                <c:pt idx="342">
                  <c:v>5.5115151349380831</c:v>
                </c:pt>
                <c:pt idx="343">
                  <c:v>5.9247326107529137</c:v>
                </c:pt>
                <c:pt idx="344">
                  <c:v>6.3692831937627981</c:v>
                </c:pt>
                <c:pt idx="345">
                  <c:v>6.9344582625886941</c:v>
                </c:pt>
                <c:pt idx="346">
                  <c:v>7.3519476135238122</c:v>
                </c:pt>
                <c:pt idx="347">
                  <c:v>7.6691544677078287</c:v>
                </c:pt>
                <c:pt idx="348">
                  <c:v>7.7337745231164323</c:v>
                </c:pt>
                <c:pt idx="349">
                  <c:v>8.1395230720189282</c:v>
                </c:pt>
                <c:pt idx="350">
                  <c:v>8.9354429109368194</c:v>
                </c:pt>
                <c:pt idx="351">
                  <c:v>9.6725174116684904</c:v>
                </c:pt>
                <c:pt idx="352">
                  <c:v>10.331692199391362</c:v>
                </c:pt>
                <c:pt idx="353">
                  <c:v>11.842765257091648</c:v>
                </c:pt>
                <c:pt idx="354">
                  <c:v>12.47244431342267</c:v>
                </c:pt>
                <c:pt idx="355">
                  <c:v>13.506505489312303</c:v>
                </c:pt>
                <c:pt idx="356">
                  <c:v>15.217467387004213</c:v>
                </c:pt>
                <c:pt idx="357">
                  <c:v>15.419604257167885</c:v>
                </c:pt>
                <c:pt idx="358">
                  <c:v>12.148158843999312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5045248"/>
        <c:axId val="250031104"/>
      </c:lineChart>
      <c:catAx>
        <c:axId val="2150452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wala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50031104"/>
        <c:crosses val="autoZero"/>
        <c:auto val="1"/>
        <c:lblAlgn val="ctr"/>
        <c:lblOffset val="100"/>
        <c:noMultiLvlLbl val="0"/>
      </c:catAx>
      <c:valAx>
        <c:axId val="250031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50452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319087</xdr:colOff>
      <xdr:row>3</xdr:row>
      <xdr:rowOff>61912</xdr:rowOff>
    </xdr:from>
    <xdr:to>
      <xdr:col>22</xdr:col>
      <xdr:colOff>14287</xdr:colOff>
      <xdr:row>17</xdr:row>
      <xdr:rowOff>138112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57150</xdr:colOff>
      <xdr:row>66</xdr:row>
      <xdr:rowOff>152400</xdr:rowOff>
    </xdr:to>
    <xdr:sp macro="" textlink="">
      <xdr:nvSpPr>
        <xdr:cNvPr id="2" name="TextBox 1"/>
        <xdr:cNvSpPr txBox="1"/>
      </xdr:nvSpPr>
      <xdr:spPr>
        <a:xfrm>
          <a:off x="0" y="0"/>
          <a:ext cx="7372350" cy="1272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CAST ('2.41' AS varchar(5)) version INTO #tmp_version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-- Before execute the script, need to set the tickers</a:t>
          </a:r>
        </a:p>
        <a:p>
          <a:r>
            <a:rPr lang="en-US" sz="1100"/>
            <a:t>DROP TABLE IF EXISTS #ticker;</a:t>
          </a:r>
        </a:p>
        <a:p>
          <a:r>
            <a:rPr lang="en-US" sz="1100"/>
            <a:t>CREATE TABLE #ticker(</a:t>
          </a:r>
        </a:p>
        <a:p>
          <a:r>
            <a:rPr lang="en-US" sz="1100"/>
            <a:t>    tickerName varchar(20),</a:t>
          </a:r>
        </a:p>
        <a:p>
          <a:r>
            <a:rPr lang="en-US" sz="1100"/>
            <a:t>    mtgRateSeries varchar(30)</a:t>
          </a:r>
        </a:p>
        <a:p>
          <a:r>
            <a:rPr lang="en-US" sz="1100"/>
            <a:t>)</a:t>
          </a:r>
        </a:p>
        <a:p>
          <a:r>
            <a:rPr lang="en-US" sz="1100"/>
            <a:t>;</a:t>
          </a:r>
        </a:p>
        <a:p>
          <a:r>
            <a:rPr lang="en-US" sz="1100"/>
            <a:t>INSERT #ticker SELECT 'GNSF', 'GINNIE_30YR';   -- Ginnie 1</a:t>
          </a:r>
        </a:p>
        <a:p>
          <a:r>
            <a:rPr lang="en-US" sz="1100"/>
            <a:t>INSERT #ticker SELECT 'G2SF', 'GINNIE_30YR';   -- Ginnie 2</a:t>
          </a:r>
        </a:p>
        <a:p>
          <a:r>
            <a:rPr lang="en-US" sz="1100"/>
            <a:t>INSERT #ticker SELECT 'G2SF-JM', 'GINNIE_30YR';-- Ginnie Jumbo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CREATE INDEX pool_tickerName_idx ON #ticker(tickerName);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-- Before execute the script, create Sample of Pools (Optional)</a:t>
          </a:r>
        </a:p>
        <a:p>
          <a:r>
            <a:rPr lang="en-US" sz="1100"/>
            <a:t>DROP TABLE IF EXISTS #PoolIssueId;</a:t>
          </a:r>
        </a:p>
        <a:p>
          <a:r>
            <a:rPr lang="en-US" sz="1100"/>
            <a:t>SELECT issueId, NEWID() as IDX, marketTicker</a:t>
          </a:r>
        </a:p>
        <a:p>
          <a:r>
            <a:rPr lang="en-US" sz="1100"/>
            <a:t>INTO #PoolIssueId</a:t>
          </a:r>
        </a:p>
        <a:p>
          <a:r>
            <a:rPr lang="en-US" sz="1100"/>
            <a:t>FROM (</a:t>
          </a:r>
        </a:p>
        <a:p>
          <a:r>
            <a:rPr lang="en-US" sz="1100"/>
            <a:t>    SELECT distinct issueId, marketTicker FROM GNM.sec p WHERE p.collateralType = 'LOAN'</a:t>
          </a:r>
        </a:p>
        <a:p>
          <a:r>
            <a:rPr lang="en-US" sz="1100"/>
            <a:t>) o</a:t>
          </a:r>
        </a:p>
        <a:p>
          <a:r>
            <a:rPr lang="en-US" sz="1100"/>
            <a:t>WHERE o.marketTicker IN (SELECT tickerName FROM #ticker)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DROP TABLE IF EXISTS #PoolIDSample;</a:t>
          </a:r>
        </a:p>
        <a:p>
          <a:r>
            <a:rPr lang="en-US" sz="1100"/>
            <a:t>--SELECT top 50000 issueId -- subset of total</a:t>
          </a:r>
        </a:p>
        <a:p>
          <a:r>
            <a:rPr lang="en-US" sz="1100"/>
            <a:t>SELECT issueId -- all pools</a:t>
          </a:r>
        </a:p>
        <a:p>
          <a:r>
            <a:rPr lang="en-US" sz="1100"/>
            <a:t>INTO #PoolIDSample FROM #PoolIssueId </a:t>
          </a:r>
        </a:p>
        <a:p>
          <a:r>
            <a:rPr lang="en-US" sz="1100"/>
            <a:t>ORDER BY IDX;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CREATE INDEX issueId_idx ON #PoolIDSample(issueId);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-----------------------------------------------------------</a:t>
          </a:r>
        </a:p>
        <a:p>
          <a:r>
            <a:rPr lang="en-US" sz="1100"/>
            <a:t>-- Create Media Effect Series</a:t>
          </a:r>
        </a:p>
        <a:p>
          <a:endParaRPr lang="en-US" sz="1100"/>
        </a:p>
        <a:p>
          <a:r>
            <a:rPr lang="en-US" sz="1100"/>
            <a:t>-- Combined Loan and Pool Percent Refinanceable Percent</a:t>
          </a:r>
        </a:p>
        <a:p>
          <a:r>
            <a:rPr lang="en-US" sz="1100"/>
            <a:t>-- Lag of 1 Month is Assumed</a:t>
          </a:r>
        </a:p>
        <a:p>
          <a:r>
            <a:rPr lang="en-US" sz="1100"/>
            <a:t>-----------------------------------------------------------</a:t>
          </a:r>
        </a:p>
        <a:p>
          <a:r>
            <a:rPr lang="en-US" sz="1100"/>
            <a:t>DROP TABLE IF EXISTS #MediaEffect;</a:t>
          </a:r>
        </a:p>
        <a:p>
          <a:r>
            <a:rPr lang="en-US" sz="1100"/>
            <a:t>SELECT</a:t>
          </a:r>
        </a:p>
        <a:p>
          <a:r>
            <a:rPr lang="en-US" sz="1100"/>
            <a:t>    convert(date, dateadd(month, +1, AsOfDate)) as asOf,</a:t>
          </a:r>
        </a:p>
        <a:p>
          <a:r>
            <a:rPr lang="en-US" sz="1100"/>
            <a:t>    convert(numeric(6,2), 100.0 * SeriesNumValue) as media_effect</a:t>
          </a:r>
        </a:p>
        <a:p>
          <a:r>
            <a:rPr lang="en-US" sz="1100"/>
            <a:t>INTO #MediaEffect</a:t>
          </a:r>
        </a:p>
        <a:p>
          <a:r>
            <a:rPr lang="en-US" sz="1100"/>
            <a:t>FROM report.TimeSeries</a:t>
          </a:r>
        </a:p>
        <a:p>
          <a:r>
            <a:rPr lang="en-US" sz="1100"/>
            <a:t>WHERE 1=1</a:t>
          </a:r>
        </a:p>
        <a:p>
          <a:r>
            <a:rPr lang="en-US" sz="1100"/>
            <a:t>    AND TimeSeriesMetaId = (SELECT TimeSeriesMetaId FROM report.TimeSeriesMeta WHERE Source = 'CELLO' AND TickerName = 'CONVENTIONAL_30YR_COMBINED' AND SeriesType = 'MONTHLY_PCT_REFI' AND ModelType = 'ScaleMediaEffectModel v4.0')</a:t>
          </a:r>
        </a:p>
        <a:p>
          <a:r>
            <a:rPr lang="en-US" sz="1100"/>
            <a:t>ORDER BY asOf desc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CREATE INDEX asOf_idx ON #MediaEffect(asOf);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-----------------------------------------------------------</a:t>
          </a:r>
        </a:p>
        <a:p>
          <a:r>
            <a:rPr lang="en-US" sz="1100"/>
            <a:t>-- Create Mortgage Credit Availability Series</a:t>
          </a:r>
        </a:p>
        <a:p>
          <a:endParaRPr lang="en-US" sz="1100"/>
        </a:p>
        <a:p>
          <a:r>
            <a:rPr lang="en-US" sz="1100"/>
            <a:t>-- Raw Series from MBA</a:t>
          </a:r>
        </a:p>
        <a:p>
          <a:r>
            <a:rPr lang="en-US" sz="1100"/>
            <a:t>-----------------------------------------------------------</a:t>
          </a:r>
        </a:p>
        <a:p>
          <a:r>
            <a:rPr lang="en-US" sz="1100"/>
            <a:t>DROP TABLE IF EXISTS #CreditAvailability_mba;</a:t>
          </a:r>
        </a:p>
        <a:p>
          <a:r>
            <a:rPr lang="en-US" sz="1100"/>
            <a:t>SELECT</a:t>
          </a:r>
        </a:p>
        <a:p>
          <a:r>
            <a:rPr lang="en-US" sz="1100"/>
            <a:t>    AsOfDate as asOf,</a:t>
          </a:r>
        </a:p>
        <a:p>
          <a:r>
            <a:rPr lang="en-US" sz="1100"/>
            <a:t>    convert(numeric(6,2), SeriesNumValue) as mca_index</a:t>
          </a:r>
        </a:p>
        <a:p>
          <a:r>
            <a:rPr lang="en-US" sz="1100"/>
            <a:t>INTO #CreditAvailability_mba</a:t>
          </a:r>
        </a:p>
        <a:p>
          <a:r>
            <a:rPr lang="en-US" sz="1100"/>
            <a:t>FROM report.TimeSeries</a:t>
          </a:r>
        </a:p>
        <a:p>
          <a:r>
            <a:rPr lang="en-US" sz="1100"/>
            <a:t>WHERE 1=1</a:t>
          </a:r>
        </a:p>
        <a:p>
          <a:r>
            <a:rPr lang="en-US" sz="1100"/>
            <a:t>    AND TimeSeriesMetaId = (SELECT TimeSeriesMetaId FROM report.TimeSeriesMeta WHERE Source = 'CELLO' AND TickerName = 'MBA_CAI_Composite' AND SeriesType = 'Index' AND ModelType = 'MCAI_v2.0')</a:t>
          </a:r>
        </a:p>
        <a:p>
          <a:r>
            <a:rPr lang="en-US" sz="1100"/>
            <a:t>ORDER BY asOf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-- Extend Time Series for several months after end</a:t>
          </a:r>
        </a:p>
        <a:p>
          <a:r>
            <a:rPr lang="en-US" sz="1100"/>
            <a:t>DROP TABLE IF EXISTS #CreditAvailability_extended;</a:t>
          </a:r>
        </a:p>
        <a:p>
          <a:r>
            <a:rPr lang="en-US" sz="1100"/>
            <a:t>SELECT</a:t>
          </a:r>
        </a:p>
        <a:p>
          <a:r>
            <a:rPr lang="en-US" sz="1100"/>
            <a:t>    asOf,</a:t>
          </a:r>
        </a:p>
        <a:p>
          <a:r>
            <a:rPr lang="en-US" sz="1100"/>
            <a:t>    mca_index</a:t>
          </a:r>
        </a:p>
        <a:p>
          <a:r>
            <a:rPr lang="en-US" sz="1100"/>
            <a:t>INTO #CreditAvailability_extended</a:t>
          </a:r>
        </a:p>
        <a:p>
          <a:r>
            <a:rPr lang="en-US" sz="1100"/>
            <a:t>FROM #CreditAvailability_mba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INSERT INTO #CreditAvailability_extended</a:t>
          </a:r>
        </a:p>
        <a:p>
          <a:r>
            <a:rPr lang="en-US" sz="1100"/>
            <a:t>SELECT dateadd(month,1,asOf), mca_index FROM #CreditAvailability_mba</a:t>
          </a:r>
        </a:p>
        <a:p>
          <a:r>
            <a:rPr lang="en-US" sz="1100"/>
            <a:t>WHERE asOf = (SELECT max(asOf) FROM #CreditAvailability_mba)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INSERT INTO #CreditAvailability_extended</a:t>
          </a:r>
        </a:p>
        <a:p>
          <a:r>
            <a:rPr lang="en-US" sz="1100"/>
            <a:t>SELECT dateadd(month,2,asOf), mca_index FROM #CreditAvailability_mba</a:t>
          </a:r>
        </a:p>
        <a:p>
          <a:r>
            <a:rPr lang="en-US" sz="1100"/>
            <a:t>WHERE asOf = (SELECT max(asOf) FROM #CreditAvailability_mba)</a:t>
          </a:r>
        </a:p>
        <a:p>
          <a:r>
            <a:rPr lang="en-US" sz="1100"/>
            <a:t>;</a:t>
          </a:r>
        </a:p>
        <a:p>
          <a:endParaRPr lang="en-US" sz="1100"/>
        </a:p>
        <a:p>
          <a:r>
            <a:rPr lang="en-US" sz="1100"/>
            <a:t>DROP TABLE IF EXISTS #CreditAvailability;</a:t>
          </a:r>
        </a:p>
        <a:p>
          <a:r>
            <a:rPr lang="en-US" sz="1100"/>
            <a:t>SELECT </a:t>
          </a:r>
        </a:p>
        <a:p>
          <a:r>
            <a:rPr lang="en-US" sz="1100"/>
            <a:t>    t1.asOf, </a:t>
          </a:r>
        </a:p>
        <a:p>
          <a:r>
            <a:rPr lang="en-US" sz="1100"/>
            <a:t>    avg(t2.mca_index) AS mca_18mo</a:t>
          </a:r>
        </a:p>
        <a:p>
          <a:r>
            <a:rPr lang="en-US" sz="1100"/>
            <a:t>INTO #CreditAvailability</a:t>
          </a:r>
        </a:p>
        <a:p>
          <a:r>
            <a:rPr lang="en-US" sz="1100"/>
            <a:t>FROM #CreditAvailability_extended t1, #CreditAvailability_extended t2</a:t>
          </a:r>
        </a:p>
        <a:p>
          <a:r>
            <a:rPr lang="en-US" sz="1100"/>
            <a:t>WHERE t2.asOf</a:t>
          </a:r>
        </a:p>
        <a:p>
          <a:r>
            <a:rPr lang="en-US" sz="1100"/>
            <a:t>BETWEEN (dateadd(month,-17,t1.AsOf)) AND t1.asOf -- 18 Month average, but 17 is used with the BETWEEN clause</a:t>
          </a:r>
        </a:p>
        <a:p>
          <a:r>
            <a:rPr lang="en-US" sz="1100"/>
            <a:t>GROUP BY t1.asOf</a:t>
          </a:r>
        </a:p>
        <a:p>
          <a:r>
            <a:rPr lang="en-US" sz="1100"/>
            <a:t>ORDER BY t1.asOf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CREATE INDEX asOf_idx ON #CreditAvailability(asOf);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--------------------------------------------------------------------------------</a:t>
          </a:r>
        </a:p>
        <a:p>
          <a:r>
            <a:rPr lang="en-US" sz="1100"/>
            <a:t>-- Create Monthly HPI data for Symphony Tracking</a:t>
          </a:r>
        </a:p>
        <a:p>
          <a:endParaRPr lang="en-US" sz="1100"/>
        </a:p>
        <a:p>
          <a:r>
            <a:rPr lang="en-US" sz="1100"/>
            <a:t>-- Requires Extending the Time Series to the latest factor date using an </a:t>
          </a:r>
        </a:p>
        <a:p>
          <a:r>
            <a:rPr lang="en-US" sz="1100"/>
            <a:t>-- Assumes of 3% HPA for missing periods</a:t>
          </a:r>
        </a:p>
        <a:p>
          <a:r>
            <a:rPr lang="en-US" sz="1100"/>
            <a:t>--------------------------------------------------------------------------------</a:t>
          </a:r>
        </a:p>
        <a:p>
          <a:r>
            <a:rPr lang="en-US" sz="1100"/>
            <a:t>DROP TABLE IF EXISTS #t;</a:t>
          </a:r>
        </a:p>
        <a:p>
          <a:r>
            <a:rPr lang="en-US" sz="1100"/>
            <a:t>CREATE TABLE #t(</a:t>
          </a:r>
        </a:p>
        <a:p>
          <a:r>
            <a:rPr lang="en-US" sz="1100"/>
            <a:t>    projected_month int</a:t>
          </a:r>
        </a:p>
        <a:p>
          <a:r>
            <a:rPr lang="en-US" sz="1100"/>
            <a:t>)</a:t>
          </a:r>
        </a:p>
        <a:p>
          <a:r>
            <a:rPr lang="en-US" sz="1100"/>
            <a:t>;    </a:t>
          </a:r>
        </a:p>
        <a:p>
          <a:r>
            <a:rPr lang="en-US" sz="1100"/>
            <a:t>INSERT #t SELECT 1;</a:t>
          </a:r>
        </a:p>
        <a:p>
          <a:r>
            <a:rPr lang="en-US" sz="1100"/>
            <a:t>INSERT #t SELECT 2;</a:t>
          </a:r>
        </a:p>
        <a:p>
          <a:r>
            <a:rPr lang="en-US" sz="1100"/>
            <a:t>INSERT #t SELECT 3;</a:t>
          </a:r>
        </a:p>
        <a:p>
          <a:r>
            <a:rPr lang="en-US" sz="1100"/>
            <a:t>INSERT #t SELECT 4;</a:t>
          </a:r>
        </a:p>
        <a:p>
          <a:r>
            <a:rPr lang="en-US" sz="1100"/>
            <a:t>INSERT #t SELECT 5;</a:t>
          </a:r>
        </a:p>
        <a:p>
          <a:r>
            <a:rPr lang="en-US" sz="1100"/>
            <a:t>INSERT #t SELECT 6;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DROP TABLE IF EXISTS #HPI_Latest_Date;</a:t>
          </a:r>
        </a:p>
        <a:p>
          <a:r>
            <a:rPr lang="en-US" sz="1100"/>
            <a:t>SELECT</a:t>
          </a:r>
        </a:p>
        <a:p>
          <a:r>
            <a:rPr lang="en-US" sz="1100"/>
            <a:t>    TimeSeriesMetaId,</a:t>
          </a:r>
        </a:p>
        <a:p>
          <a:r>
            <a:rPr lang="en-US" sz="1100"/>
            <a:t>    max(AsOfDate) as latest_asOf</a:t>
          </a:r>
        </a:p>
        <a:p>
          <a:r>
            <a:rPr lang="en-US" sz="1100"/>
            <a:t>INTO #HPI_Latest_Date</a:t>
          </a:r>
        </a:p>
        <a:p>
          <a:r>
            <a:rPr lang="en-US" sz="1100"/>
            <a:t>FROM report.TimeSeries</a:t>
          </a:r>
        </a:p>
        <a:p>
          <a:r>
            <a:rPr lang="en-US" sz="1100"/>
            <a:t>WHERE TimeSeriesMetaId = (SELECT TimeSeriesMetaId FROM report.TimeSeriesMeta WHERE Source = 'CELLO' AND TickerName = 'HPI_USA_ALL_TRANSACTIONS' AND Category = 'HPI' AND SeriesType = 'HPIndex')</a:t>
          </a:r>
        </a:p>
        <a:p>
          <a:r>
            <a:rPr lang="en-US" sz="1100"/>
            <a:t>GROUP BY TimeSeriesMetaId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DROP TABLE IF EXISTS #HomePriceIndex_projected;</a:t>
          </a:r>
        </a:p>
        <a:p>
          <a:r>
            <a:rPr lang="en-US" sz="1100"/>
            <a:t>SELECT</a:t>
          </a:r>
        </a:p>
        <a:p>
          <a:r>
            <a:rPr lang="en-US" sz="1100"/>
            <a:t>    dateadd(MONTH, t.projected_month, ts.AsOfDate) as asOf,</a:t>
          </a:r>
        </a:p>
        <a:p>
          <a:r>
            <a:rPr lang="en-US" sz="1100"/>
            <a:t>    ts.SeriesNumValue * power(1.0 + 3.0 / 100.0, t.projected_month / 12.0) as HPIndex -- assume 3% annual appreciation for missing periods</a:t>
          </a:r>
        </a:p>
        <a:p>
          <a:r>
            <a:rPr lang="en-US" sz="1100"/>
            <a:t>INTO #HomePriceIndex_projected</a:t>
          </a:r>
        </a:p>
        <a:p>
          <a:r>
            <a:rPr lang="en-US" sz="1100"/>
            <a:t>FROM report.TimeSeries ts</a:t>
          </a:r>
        </a:p>
        <a:p>
          <a:r>
            <a:rPr lang="en-US" sz="1100"/>
            <a:t>JOIN #HPI_Latest_Date ld</a:t>
          </a:r>
        </a:p>
        <a:p>
          <a:r>
            <a:rPr lang="en-US" sz="1100"/>
            <a:t>    ON ts.AsOfDate = ld.latest_asOf</a:t>
          </a:r>
        </a:p>
        <a:p>
          <a:r>
            <a:rPr lang="en-US" sz="1100"/>
            <a:t>    AND ts.TimeSeriesMetaId = ld.TimeSeriesMetaId</a:t>
          </a:r>
        </a:p>
        <a:p>
          <a:r>
            <a:rPr lang="en-US" sz="1100"/>
            <a:t>CROSS JOIN #t t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DROP TABLE IF EXISTS #HomePriceIndex_monthly;</a:t>
          </a:r>
        </a:p>
        <a:p>
          <a:r>
            <a:rPr lang="en-US" sz="1100"/>
            <a:t>SELECT</a:t>
          </a:r>
        </a:p>
        <a:p>
          <a:r>
            <a:rPr lang="en-US" sz="1100"/>
            <a:t>    t.asOf,</a:t>
          </a:r>
        </a:p>
        <a:p>
          <a:r>
            <a:rPr lang="en-US" sz="1100"/>
            <a:t>    t.HPIndex</a:t>
          </a:r>
        </a:p>
        <a:p>
          <a:r>
            <a:rPr lang="en-US" sz="1100"/>
            <a:t>INTO #HomePriceIndex_monthly</a:t>
          </a:r>
        </a:p>
        <a:p>
          <a:r>
            <a:rPr lang="en-US" sz="1100"/>
            <a:t>FROM(</a:t>
          </a:r>
        </a:p>
        <a:p>
          <a:r>
            <a:rPr lang="en-US" sz="1100"/>
            <a:t>    SELECT asOfDate as asOf, SeriesNumValue as HPIndex FROM report.TimeSeries WHERE TimeSeriesMetaId = (SELECT TimeSeriesMetaId FROM #HPI_Latest_Date)</a:t>
          </a:r>
        </a:p>
        <a:p>
          <a:r>
            <a:rPr lang="en-US" sz="1100"/>
            <a:t>    </a:t>
          </a:r>
        </a:p>
        <a:p>
          <a:r>
            <a:rPr lang="en-US" sz="1100"/>
            <a:t>    UNION</a:t>
          </a:r>
        </a:p>
        <a:p>
          <a:r>
            <a:rPr lang="en-US" sz="1100"/>
            <a:t>    </a:t>
          </a:r>
        </a:p>
        <a:p>
          <a:r>
            <a:rPr lang="en-US" sz="1100"/>
            <a:t>    SELECT asOf, HPIndex FROM #HomePriceIndex_projected</a:t>
          </a:r>
        </a:p>
        <a:p>
          <a:r>
            <a:rPr lang="en-US" sz="1100"/>
            <a:t>) t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DROP TABLE IF EXISTS #HPA_MA;</a:t>
          </a:r>
        </a:p>
        <a:p>
          <a:r>
            <a:rPr lang="en-US" sz="1100"/>
            <a:t>SELECT</a:t>
          </a:r>
        </a:p>
        <a:p>
          <a:r>
            <a:rPr lang="en-US" sz="1100"/>
            <a:t>    'USA' as Region,</a:t>
          </a:r>
        </a:p>
        <a:p>
          <a:r>
            <a:rPr lang="en-US" sz="1100"/>
            <a:t>    t1.asOf,</a:t>
          </a:r>
        </a:p>
        <a:p>
          <a:r>
            <a:rPr lang="en-US" sz="1100"/>
            <a:t>    t1.HPIndex as HPIndex,</a:t>
          </a:r>
        </a:p>
        <a:p>
          <a:r>
            <a:rPr lang="en-US" sz="1100"/>
            <a:t>    t2.HPIndex as HPIndex_1YR,</a:t>
          </a:r>
        </a:p>
        <a:p>
          <a:r>
            <a:rPr lang="en-US" sz="1100"/>
            <a:t>    t3.HPIndex as HPIndex_2YR,</a:t>
          </a:r>
        </a:p>
        <a:p>
          <a:r>
            <a:rPr lang="en-US" sz="1100"/>
            <a:t>    CASE WHEN t2.HPIndex IS NULL THEN NULL ELSE t1.HPIndex / t2.HPIndex END as HPA_1YR,</a:t>
          </a:r>
        </a:p>
        <a:p>
          <a:r>
            <a:rPr lang="en-US" sz="1100"/>
            <a:t>    CASE WHEN t3.HPIndex IS NULL THEN NULL ELSE t1.HPIndex / t3.HPIndex END as HPA_2YR</a:t>
          </a:r>
        </a:p>
        <a:p>
          <a:r>
            <a:rPr lang="en-US" sz="1100"/>
            <a:t>INTO #HPA_MA</a:t>
          </a:r>
        </a:p>
        <a:p>
          <a:r>
            <a:rPr lang="en-US" sz="1100"/>
            <a:t>FROM #HomePriceIndex_monthly t1</a:t>
          </a:r>
        </a:p>
        <a:p>
          <a:r>
            <a:rPr lang="en-US" sz="1100"/>
            <a:t>LEFT JOIN #HomePriceIndex_monthly t2</a:t>
          </a:r>
        </a:p>
        <a:p>
          <a:r>
            <a:rPr lang="en-US" sz="1100"/>
            <a:t>    ON t1.asOf = dateadd(month, 12, t2.asOf)</a:t>
          </a:r>
        </a:p>
        <a:p>
          <a:r>
            <a:rPr lang="en-US" sz="1100"/>
            <a:t>LEFT JOIN #HomePriceIndex_monthly t3</a:t>
          </a:r>
        </a:p>
        <a:p>
          <a:r>
            <a:rPr lang="en-US" sz="1100"/>
            <a:t>    ON t1.asOf = dateadd(month, 24, t3.asOf)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CREATE INDEX asOf_idx ON #HPA_MA(asOf);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DELETE FROM #HPA_MA WHERE HPA_1YR IS NULL;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r>
            <a:rPr lang="en-US" sz="1100"/>
            <a:t>DELETE FROM #HPA_MA WHERE HPA_2YR IS NULL;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-----------------------------------------------------------</a:t>
          </a:r>
        </a:p>
        <a:p>
          <a:r>
            <a:rPr lang="en-US" sz="1100"/>
            <a:t>-- Store all pools with pertinent data</a:t>
          </a:r>
        </a:p>
        <a:p>
          <a:r>
            <a:rPr lang="en-US" sz="1100"/>
            <a:t>-----------------------------------------------------------</a:t>
          </a:r>
        </a:p>
        <a:p>
          <a:endParaRPr lang="en-US" sz="1100"/>
        </a:p>
        <a:p>
          <a:r>
            <a:rPr lang="en-US" sz="1100"/>
            <a:t>DROP TABLE IF EXISTS #GNM_fitting_loans;</a:t>
          </a:r>
        </a:p>
        <a:p>
          <a:r>
            <a:rPr lang="en-US" sz="1100"/>
            <a:t>SELECT</a:t>
          </a:r>
        </a:p>
        <a:p>
          <a:r>
            <a:rPr lang="en-US" sz="1100"/>
            <a:t>    slh.loanSeqNum,</a:t>
          </a:r>
        </a:p>
        <a:p>
          <a:r>
            <a:rPr lang="en-US" sz="1100"/>
            <a:t>    sl.marketTicker,</a:t>
          </a:r>
        </a:p>
        <a:p>
          <a:r>
            <a:rPr lang="en-US" sz="1100"/>
            <a:t>    slh.asOf,</a:t>
          </a:r>
        </a:p>
        <a:p>
          <a:r>
            <a:rPr lang="en-US" sz="1100"/>
            <a:t>    sl.loanType,</a:t>
          </a:r>
        </a:p>
        <a:p>
          <a:r>
            <a:rPr lang="en-US" sz="1100"/>
            <a:t>    slh.loanAge as wala,</a:t>
          </a:r>
        </a:p>
        <a:p>
          <a:r>
            <a:rPr lang="en-US" sz="1100"/>
            <a:t>    slh.schamBalance,</a:t>
          </a:r>
        </a:p>
        <a:p>
          <a:r>
            <a:rPr lang="en-US" sz="1100"/>
            <a:t>    slh.currentBalance,</a:t>
          </a:r>
        </a:p>
        <a:p>
          <a:r>
            <a:rPr lang="en-US" sz="1100"/>
            <a:t>    sl.originationDate,</a:t>
          </a:r>
        </a:p>
        <a:p>
          <a:r>
            <a:rPr lang="en-US" sz="1100"/>
            <a:t>    sl.origLoanSize,</a:t>
          </a:r>
        </a:p>
        <a:p>
          <a:r>
            <a:rPr lang="en-US" sz="1100"/>
            <a:t>    sl.origFICO,</a:t>
          </a:r>
        </a:p>
        <a:p>
          <a:r>
            <a:rPr lang="en-US" sz="1100"/>
            <a:t>    sl.origLTV,</a:t>
          </a:r>
        </a:p>
        <a:p>
          <a:r>
            <a:rPr lang="en-US" sz="1100"/>
            <a:t>    sl.origNoteRate,</a:t>
          </a:r>
        </a:p>
        <a:p>
          <a:r>
            <a:rPr lang="en-US" sz="1100"/>
            <a:t>    sl.loanPurposeType,</a:t>
          </a:r>
        </a:p>
        <a:p>
          <a:r>
            <a:rPr lang="en-US" sz="1100"/>
            <a:t>    slh.cltv,</a:t>
          </a:r>
        </a:p>
        <a:p>
          <a:r>
            <a:rPr lang="en-US" sz="1100"/>
            <a:t>    slh.hpa,</a:t>
          </a:r>
        </a:p>
        <a:p>
          <a:r>
            <a:rPr lang="en-US" sz="1100"/>
            <a:t>    slh.delMonths,</a:t>
          </a:r>
        </a:p>
        <a:p>
          <a:r>
            <a:rPr lang="en-US" sz="1100"/>
            <a:t>    sle.conventional_eligible,</a:t>
          </a:r>
        </a:p>
        <a:p>
          <a:r>
            <a:rPr lang="en-US" sz="1100"/>
            <a:t>    sli.refi_incentive_eligible as refi_incentive,</a:t>
          </a:r>
        </a:p>
        <a:p>
          <a:r>
            <a:rPr lang="en-US" sz="1100"/>
            <a:t>    slb.burnout as burnout,</a:t>
          </a:r>
        </a:p>
        <a:p>
          <a:r>
            <a:rPr lang="en-US" sz="1100"/>
            <a:t>    me.media_effect,</a:t>
          </a:r>
        </a:p>
        <a:p>
          <a:r>
            <a:rPr lang="en-US" sz="1100"/>
            <a:t>    ca.mca_18mo as credit_availability,</a:t>
          </a:r>
        </a:p>
        <a:p>
          <a:r>
            <a:rPr lang="en-US" sz="1100"/>
            <a:t>    100.0 * hpi.HPA_2YR as HPA_2YR,</a:t>
          </a:r>
        </a:p>
        <a:p>
          <a:r>
            <a:rPr lang="en-US" sz="1100"/>
            <a:t>    CASE WHEN slh_lag1.schamBalance - slh_lag1.currentBalance &gt;= 0.0 AND slh_lag1.currentBalance &gt; 0.0 THEN slh_lag1.schamBalance - slh_lag1.currentBalance ELSE 0.0 END as partialPayment,</a:t>
          </a:r>
        </a:p>
        <a:p>
          <a:r>
            <a:rPr lang="en-US" sz="1100"/>
            <a:t>    CASE WHEN slh_lag1.schamBalance - slh_lag1.currentBalance &gt;= 0.0 THEN slh_lag1.schamBalance - slh_lag1.currentBalance ELSE 0.0 END as prepayAmount,</a:t>
          </a:r>
        </a:p>
        <a:p>
          <a:r>
            <a:rPr lang="en-US" sz="1100"/>
            <a:t>    CASE WHEN slh_lag1.removalReasonType in ('FORECL','RPDEL','REPLMT') THEN slh_lag1.schamBalance ELSE 0.0 END as inVoluntaryAmount</a:t>
          </a:r>
        </a:p>
        <a:p>
          <a:r>
            <a:rPr lang="en-US" sz="1100"/>
            <a:t>INTO #GNM_fitting_loans</a:t>
          </a:r>
        </a:p>
        <a:p>
          <a:r>
            <a:rPr lang="en-US" sz="1100"/>
            <a:t>FROM scale.GNM_LoanHist slh</a:t>
          </a:r>
        </a:p>
        <a:p>
          <a:r>
            <a:rPr lang="en-US" sz="1100"/>
            <a:t>JOIN scale.GNM_Loan sl ON slh.loanSeqNum = sl.loanSeqNum</a:t>
          </a:r>
        </a:p>
        <a:p>
          <a:r>
            <a:rPr lang="en-US" sz="1100"/>
            <a:t>JOIN scale.GNM_LoanHist slh_lag1</a:t>
          </a:r>
        </a:p>
        <a:p>
          <a:r>
            <a:rPr lang="en-US" sz="1100"/>
            <a:t>    ON slh.loanSeqNum = slh_lag1.loanSeqNum</a:t>
          </a:r>
        </a:p>
        <a:p>
          <a:r>
            <a:rPr lang="en-US" sz="1100"/>
            <a:t>    AND slh.asOf = dateadd(month, -1, slh_lag1.asOf)</a:t>
          </a:r>
        </a:p>
        <a:p>
          <a:r>
            <a:rPr lang="en-US" sz="1100"/>
            <a:t>JOIN scale.GNM_LoanEligibility sle</a:t>
          </a:r>
        </a:p>
        <a:p>
          <a:r>
            <a:rPr lang="en-US" sz="1100"/>
            <a:t>    ON slh.loanSeqNum = sle.loanSeqNum</a:t>
          </a:r>
        </a:p>
        <a:p>
          <a:r>
            <a:rPr lang="en-US" sz="1100"/>
            <a:t>    AND slh.asOf = sle.asOf</a:t>
          </a:r>
        </a:p>
        <a:p>
          <a:r>
            <a:rPr lang="en-US" sz="1100"/>
            <a:t>JOIN scale.GNM_LoanIncentive sli</a:t>
          </a:r>
        </a:p>
        <a:p>
          <a:r>
            <a:rPr lang="en-US" sz="1100"/>
            <a:t>    ON slh.loanSeqNum = sli.loanSeqNum</a:t>
          </a:r>
        </a:p>
        <a:p>
          <a:r>
            <a:rPr lang="en-US" sz="1100"/>
            <a:t>    AND slh.asOf = sli.asOf</a:t>
          </a:r>
        </a:p>
        <a:p>
          <a:r>
            <a:rPr lang="en-US" sz="1100"/>
            <a:t>JOIN scale.GNM_LoanBurnout slb</a:t>
          </a:r>
        </a:p>
        <a:p>
          <a:r>
            <a:rPr lang="en-US" sz="1100"/>
            <a:t>    ON slh.loanSeqNum = slb.loanSeqNum</a:t>
          </a:r>
        </a:p>
        <a:p>
          <a:r>
            <a:rPr lang="en-US" sz="1100"/>
            <a:t>    AND slh.asOf = slb.asOf</a:t>
          </a:r>
        </a:p>
        <a:p>
          <a:r>
            <a:rPr lang="en-US" sz="1100"/>
            <a:t>JOIN #MediaEffect me</a:t>
          </a:r>
        </a:p>
        <a:p>
          <a:r>
            <a:rPr lang="en-US" sz="1100"/>
            <a:t>    ON slh.asOf = me.asOf</a:t>
          </a:r>
        </a:p>
        <a:p>
          <a:r>
            <a:rPr lang="en-US" sz="1100"/>
            <a:t>JOIN #CreditAvailability ca</a:t>
          </a:r>
        </a:p>
        <a:p>
          <a:r>
            <a:rPr lang="en-US" sz="1100"/>
            <a:t>    ON slh.asOf = ca.asOf</a:t>
          </a:r>
        </a:p>
        <a:p>
          <a:r>
            <a:rPr lang="en-US" sz="1100"/>
            <a:t>JOIN #HPA_MA hpi</a:t>
          </a:r>
        </a:p>
        <a:p>
          <a:r>
            <a:rPr lang="en-US" sz="1100"/>
            <a:t>    ON slh.asOf = hpi.asOf</a:t>
          </a:r>
        </a:p>
        <a:p>
          <a:r>
            <a:rPr lang="en-US" sz="1100"/>
            <a:t>WHERE 1=1</a:t>
          </a:r>
        </a:p>
        <a:p>
          <a:r>
            <a:rPr lang="en-US" sz="1100"/>
            <a:t>    AND sli.version = '2.42'</a:t>
          </a:r>
        </a:p>
        <a:p>
          <a:r>
            <a:rPr lang="en-US" sz="1100"/>
            <a:t>    AND slb.version = '2.42'</a:t>
          </a:r>
        </a:p>
        <a:p>
          <a:r>
            <a:rPr lang="en-US" sz="1100"/>
            <a:t>    AND slh.asOf &gt;= '2013-08-01'--(select asOf from #tmp_asOf)</a:t>
          </a:r>
        </a:p>
        <a:p>
          <a:r>
            <a:rPr lang="en-US" sz="1100"/>
            <a:t>    AND slh.schamBalance &gt; 0.01</a:t>
          </a:r>
        </a:p>
        <a:p>
          <a:r>
            <a:rPr lang="en-US" sz="1100"/>
            <a:t>--    AND slh.celloDerived = 'N'</a:t>
          </a:r>
        </a:p>
        <a:p>
          <a:r>
            <a:rPr lang="en-US" sz="1100"/>
            <a:t>--    AND sl.loanSeqNum = '1020242446'</a:t>
          </a:r>
        </a:p>
        <a:p>
          <a:r>
            <a:rPr lang="en-US" sz="1100"/>
            <a:t>--ORDER by slh.asof</a:t>
          </a:r>
        </a:p>
        <a:p>
          <a:r>
            <a:rPr lang="en-US" sz="1100"/>
            <a:t>;</a:t>
          </a:r>
        </a:p>
        <a:p>
          <a:r>
            <a:rPr lang="en-US" sz="1100"/>
            <a:t>COMMIT;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select p.wala,</a:t>
          </a:r>
        </a:p>
        <a:p>
          <a:r>
            <a:rPr lang="en-US" sz="1100"/>
            <a:t>    sum(p.partialPayment)/sum(p.schamBalance) as curtailment,</a:t>
          </a:r>
        </a:p>
        <a:p>
          <a:r>
            <a:rPr lang="en-US" sz="1100"/>
            <a:t>    sum(p.prepayAmount)/sum(p.schamBalance) as smm</a:t>
          </a:r>
        </a:p>
        <a:p>
          <a:r>
            <a:rPr lang="en-US" sz="1100"/>
            <a:t>FROM #GNM_fitting_loans p</a:t>
          </a:r>
        </a:p>
        <a:p>
          <a:r>
            <a:rPr lang="en-US" sz="1100"/>
            <a:t>group by wala</a:t>
          </a:r>
        </a:p>
        <a:p>
          <a:r>
            <a:rPr lang="en-US" sz="1100"/>
            <a:t>order by wala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2"/>
  <sheetViews>
    <sheetView tabSelected="1" topLeftCell="I1" workbookViewId="0">
      <selection activeCell="Q53" sqref="Q53"/>
    </sheetView>
  </sheetViews>
  <sheetFormatPr defaultRowHeight="15" x14ac:dyDescent="0.25"/>
  <cols>
    <col min="1" max="1" width="9.7109375" hidden="1" customWidth="1"/>
    <col min="2" max="8" width="0" hidden="1" customWidth="1"/>
  </cols>
  <sheetData>
    <row r="1" spans="1:13" x14ac:dyDescent="0.25">
      <c r="A1" t="s">
        <v>0</v>
      </c>
      <c r="B1" t="s">
        <v>4</v>
      </c>
      <c r="C1" t="s">
        <v>3</v>
      </c>
      <c r="D1" t="s">
        <v>1</v>
      </c>
      <c r="E1" t="s">
        <v>2</v>
      </c>
      <c r="I1" t="s">
        <v>5</v>
      </c>
      <c r="J1" t="s">
        <v>4</v>
      </c>
      <c r="K1" t="s">
        <v>3</v>
      </c>
      <c r="L1" t="s">
        <v>1</v>
      </c>
      <c r="M1" t="s">
        <v>2</v>
      </c>
    </row>
    <row r="2" spans="1:13" x14ac:dyDescent="0.25">
      <c r="A2" s="1">
        <v>41487</v>
      </c>
      <c r="B2">
        <v>0</v>
      </c>
      <c r="C2">
        <v>0</v>
      </c>
      <c r="D2">
        <f>100*(1-(1-B2)^12)</f>
        <v>0</v>
      </c>
      <c r="E2">
        <f>100*(1-(1-C2)^12)</f>
        <v>0</v>
      </c>
      <c r="I2">
        <v>0</v>
      </c>
      <c r="J2">
        <v>1.9290112198103E-4</v>
      </c>
      <c r="K2">
        <v>3.4819466902749E-4</v>
      </c>
      <c r="L2">
        <f>100*(1-(1-J2)^12)</f>
        <v>0.23123591266208665</v>
      </c>
      <c r="M2">
        <f>100*(1-(1-K2)^12)</f>
        <v>0.41703434995306043</v>
      </c>
    </row>
    <row r="3" spans="1:13" x14ac:dyDescent="0.25">
      <c r="A3" s="1">
        <v>41518</v>
      </c>
      <c r="B3">
        <v>0</v>
      </c>
      <c r="C3">
        <v>0</v>
      </c>
      <c r="D3">
        <f t="shared" ref="D3:D47" si="0">100*(1-(1-B3)^12)</f>
        <v>0</v>
      </c>
      <c r="E3">
        <f t="shared" ref="E3:E47" si="1">100*(1-(1-C3)^12)</f>
        <v>0</v>
      </c>
      <c r="I3">
        <v>1</v>
      </c>
      <c r="J3">
        <v>2.36391371775547E-4</v>
      </c>
      <c r="K3">
        <v>1.61183474582122E-3</v>
      </c>
      <c r="L3">
        <f t="shared" ref="L3:L66" si="2">100*(1-(1-J3)^12)</f>
        <v>0.28330112277848984</v>
      </c>
      <c r="M3">
        <f t="shared" ref="M3:M66" si="3">100*(1-(1-K3)^12)</f>
        <v>1.9171466139271343</v>
      </c>
    </row>
    <row r="4" spans="1:13" x14ac:dyDescent="0.25">
      <c r="A4" s="1">
        <v>41548</v>
      </c>
      <c r="B4">
        <v>5.2953495974854703E-6</v>
      </c>
      <c r="C4">
        <v>1.4772392356505099E-5</v>
      </c>
      <c r="D4">
        <f t="shared" si="0"/>
        <v>6.3542344514777582E-3</v>
      </c>
      <c r="E4">
        <f t="shared" si="1"/>
        <v>1.7725430623094507E-2</v>
      </c>
      <c r="I4">
        <v>2</v>
      </c>
      <c r="J4">
        <v>2.04565862027422E-4</v>
      </c>
      <c r="K4">
        <v>4.3781208962858798E-3</v>
      </c>
      <c r="L4">
        <f t="shared" si="2"/>
        <v>0.24520303121082776</v>
      </c>
      <c r="M4">
        <f t="shared" si="3"/>
        <v>5.1290648249916471</v>
      </c>
    </row>
    <row r="5" spans="1:13" x14ac:dyDescent="0.25">
      <c r="A5" s="1">
        <v>41579</v>
      </c>
      <c r="B5">
        <v>2.9062896326280098E-4</v>
      </c>
      <c r="C5">
        <v>9.5737339132504207E-3</v>
      </c>
      <c r="D5">
        <f t="shared" si="0"/>
        <v>0.34819782533680455</v>
      </c>
      <c r="E5">
        <f t="shared" si="1"/>
        <v>10.902443899862957</v>
      </c>
      <c r="I5">
        <v>3</v>
      </c>
      <c r="J5">
        <v>1.6230802982767999E-4</v>
      </c>
      <c r="K5">
        <v>5.9658022497384401E-3</v>
      </c>
      <c r="L5">
        <f t="shared" si="2"/>
        <v>0.19459586010980301</v>
      </c>
      <c r="M5">
        <f t="shared" si="3"/>
        <v>6.9286725437559866</v>
      </c>
    </row>
    <row r="6" spans="1:13" x14ac:dyDescent="0.25">
      <c r="A6" s="1">
        <v>41609</v>
      </c>
      <c r="B6">
        <v>2.6009065263317898E-4</v>
      </c>
      <c r="C6">
        <v>9.5470222597069301E-3</v>
      </c>
      <c r="D6">
        <f t="shared" si="0"/>
        <v>0.31166269883596831</v>
      </c>
      <c r="E6">
        <f t="shared" si="1"/>
        <v>10.873604243359548</v>
      </c>
      <c r="I6">
        <v>4</v>
      </c>
      <c r="J6">
        <v>1.4353896205602799E-4</v>
      </c>
      <c r="K6">
        <v>7.1566837308606399E-3</v>
      </c>
      <c r="L6">
        <f t="shared" si="2"/>
        <v>0.17211083684692818</v>
      </c>
      <c r="M6">
        <f t="shared" si="3"/>
        <v>8.2579166349071471</v>
      </c>
    </row>
    <row r="7" spans="1:13" x14ac:dyDescent="0.25">
      <c r="A7" s="1">
        <v>41640</v>
      </c>
      <c r="B7">
        <v>3.5130546130720901E-4</v>
      </c>
      <c r="C7">
        <v>8.2212929856022507E-3</v>
      </c>
      <c r="D7">
        <f t="shared" si="0"/>
        <v>0.42075296418009334</v>
      </c>
      <c r="E7">
        <f t="shared" si="1"/>
        <v>9.4314614863654338</v>
      </c>
      <c r="I7">
        <v>5</v>
      </c>
      <c r="J7">
        <v>1.40925302828796E-4</v>
      </c>
      <c r="K7">
        <v>8.2894941119917107E-3</v>
      </c>
      <c r="L7">
        <f t="shared" si="2"/>
        <v>0.1689793493374836</v>
      </c>
      <c r="M7">
        <f t="shared" si="3"/>
        <v>9.5061701766335656</v>
      </c>
    </row>
    <row r="8" spans="1:13" x14ac:dyDescent="0.25">
      <c r="A8" s="1">
        <v>41671</v>
      </c>
      <c r="B8">
        <v>2.7367249289299799E-4</v>
      </c>
      <c r="C8">
        <v>8.3176403600124602E-3</v>
      </c>
      <c r="D8">
        <f t="shared" si="0"/>
        <v>0.32791312435110909</v>
      </c>
      <c r="E8">
        <f t="shared" si="1"/>
        <v>9.5369855915224289</v>
      </c>
      <c r="I8">
        <v>6</v>
      </c>
      <c r="J8">
        <v>4.52451133957041E-5</v>
      </c>
      <c r="K8">
        <v>3.05897073183824E-3</v>
      </c>
      <c r="L8">
        <f t="shared" si="2"/>
        <v>5.4280627118408198E-2</v>
      </c>
      <c r="M8">
        <f t="shared" si="3"/>
        <v>3.6096320940562143</v>
      </c>
    </row>
    <row r="9" spans="1:13" x14ac:dyDescent="0.25">
      <c r="A9" s="1">
        <v>41699</v>
      </c>
      <c r="B9">
        <v>2.8044985869761301E-4</v>
      </c>
      <c r="C9">
        <v>9.3018126028942098E-3</v>
      </c>
      <c r="D9">
        <f t="shared" si="0"/>
        <v>0.33602121139307828</v>
      </c>
      <c r="E9">
        <f t="shared" si="1"/>
        <v>10.60845967096432</v>
      </c>
      <c r="I9">
        <v>7</v>
      </c>
      <c r="J9">
        <v>1.8271739492876601E-4</v>
      </c>
      <c r="K9">
        <v>1.29470617647833E-2</v>
      </c>
      <c r="L9">
        <f t="shared" si="2"/>
        <v>0.21904066279619938</v>
      </c>
      <c r="M9">
        <f t="shared" si="3"/>
        <v>14.476523251627659</v>
      </c>
    </row>
    <row r="10" spans="1:13" x14ac:dyDescent="0.25">
      <c r="A10" s="1">
        <v>41730</v>
      </c>
      <c r="B10">
        <v>2.6546173997908201E-4</v>
      </c>
      <c r="C10">
        <v>1.0918696445148901E-2</v>
      </c>
      <c r="D10">
        <f t="shared" si="0"/>
        <v>0.31808939771115208</v>
      </c>
      <c r="E10">
        <f t="shared" si="1"/>
        <v>12.343543475968399</v>
      </c>
      <c r="I10">
        <v>8</v>
      </c>
      <c r="J10">
        <v>2.45927689855195E-4</v>
      </c>
      <c r="K10">
        <v>1.60507480391428E-2</v>
      </c>
      <c r="L10">
        <f t="shared" si="2"/>
        <v>0.29471438404011785</v>
      </c>
      <c r="M10">
        <f t="shared" si="3"/>
        <v>17.648332253939181</v>
      </c>
    </row>
    <row r="11" spans="1:13" x14ac:dyDescent="0.25">
      <c r="A11" s="1">
        <v>41760</v>
      </c>
      <c r="B11">
        <v>3.5090741656213902E-4</v>
      </c>
      <c r="C11">
        <v>1.19854040013079E-2</v>
      </c>
      <c r="D11">
        <f t="shared" si="0"/>
        <v>0.42027715203097893</v>
      </c>
      <c r="E11">
        <f t="shared" si="1"/>
        <v>13.47127071962343</v>
      </c>
      <c r="I11">
        <v>9</v>
      </c>
      <c r="J11">
        <v>2.6133563355738198E-4</v>
      </c>
      <c r="K11">
        <v>1.51511277822927E-2</v>
      </c>
      <c r="L11">
        <f t="shared" si="2"/>
        <v>0.3131523970315242</v>
      </c>
      <c r="M11">
        <f t="shared" si="3"/>
        <v>16.740249896533655</v>
      </c>
    </row>
    <row r="12" spans="1:13" x14ac:dyDescent="0.25">
      <c r="A12" s="1">
        <v>41791</v>
      </c>
      <c r="B12">
        <v>2.5334460165237199E-4</v>
      </c>
      <c r="C12">
        <v>1.2796207147244699E-2</v>
      </c>
      <c r="D12">
        <f t="shared" si="0"/>
        <v>0.30359026849547943</v>
      </c>
      <c r="E12">
        <f t="shared" si="1"/>
        <v>14.3195412546127</v>
      </c>
      <c r="I12">
        <v>10</v>
      </c>
      <c r="J12">
        <v>2.7010808480463101E-4</v>
      </c>
      <c r="K12">
        <v>1.4542039229320101E-2</v>
      </c>
      <c r="L12">
        <f t="shared" si="2"/>
        <v>0.32364860975713228</v>
      </c>
      <c r="M12">
        <f t="shared" si="3"/>
        <v>16.120230907874777</v>
      </c>
    </row>
    <row r="13" spans="1:13" x14ac:dyDescent="0.25">
      <c r="A13" s="1">
        <v>41821</v>
      </c>
      <c r="B13">
        <v>2.9958743097630502E-4</v>
      </c>
      <c r="C13">
        <v>1.31668435850626E-2</v>
      </c>
      <c r="D13">
        <f t="shared" si="0"/>
        <v>0.35891314097571403</v>
      </c>
      <c r="E13">
        <f t="shared" si="1"/>
        <v>14.704760289358132</v>
      </c>
      <c r="I13">
        <v>11</v>
      </c>
      <c r="J13">
        <v>2.71339563435024E-4</v>
      </c>
      <c r="K13">
        <v>1.4625128437354799E-2</v>
      </c>
      <c r="L13">
        <f t="shared" si="2"/>
        <v>0.32512198930978453</v>
      </c>
      <c r="M13">
        <f t="shared" si="3"/>
        <v>16.205059762337104</v>
      </c>
    </row>
    <row r="14" spans="1:13" x14ac:dyDescent="0.25">
      <c r="A14" s="1">
        <v>41852</v>
      </c>
      <c r="B14">
        <v>3.2675837186718599E-4</v>
      </c>
      <c r="C14">
        <v>1.2754463728169199E-2</v>
      </c>
      <c r="D14">
        <f t="shared" si="0"/>
        <v>0.39140612439813038</v>
      </c>
      <c r="E14">
        <f t="shared" si="1"/>
        <v>14.276055677724075</v>
      </c>
      <c r="I14">
        <v>12</v>
      </c>
      <c r="J14">
        <v>2.6980281017287001E-4</v>
      </c>
      <c r="K14">
        <v>1.52409726782695E-2</v>
      </c>
      <c r="L14">
        <f t="shared" si="2"/>
        <v>0.32328336655105261</v>
      </c>
      <c r="M14">
        <f t="shared" si="3"/>
        <v>16.831350713612181</v>
      </c>
    </row>
    <row r="15" spans="1:13" x14ac:dyDescent="0.25">
      <c r="A15" s="1">
        <v>41883</v>
      </c>
      <c r="B15">
        <v>2.5843624390949001E-4</v>
      </c>
      <c r="C15">
        <v>1.2563820686631E-2</v>
      </c>
      <c r="D15">
        <f t="shared" si="0"/>
        <v>0.30968306287940672</v>
      </c>
      <c r="E15">
        <f t="shared" si="1"/>
        <v>14.077198862504614</v>
      </c>
      <c r="I15">
        <v>13</v>
      </c>
      <c r="J15">
        <v>2.6626465933549798E-4</v>
      </c>
      <c r="K15">
        <v>1.55016106984293E-2</v>
      </c>
      <c r="L15">
        <f t="shared" si="2"/>
        <v>0.31905008692109105</v>
      </c>
      <c r="M15">
        <f t="shared" si="3"/>
        <v>17.095115362608503</v>
      </c>
    </row>
    <row r="16" spans="1:13" x14ac:dyDescent="0.25">
      <c r="A16" s="1">
        <v>41913</v>
      </c>
      <c r="B16">
        <v>4.0325769832419401E-4</v>
      </c>
      <c r="C16">
        <v>1.28651407891727E-2</v>
      </c>
      <c r="D16">
        <f t="shared" si="0"/>
        <v>0.48283740867275382</v>
      </c>
      <c r="E16">
        <f t="shared" si="1"/>
        <v>14.391307570779976</v>
      </c>
      <c r="I16">
        <v>14</v>
      </c>
      <c r="J16">
        <v>2.7257027826977899E-4</v>
      </c>
      <c r="K16">
        <v>1.5156332052998701E-2</v>
      </c>
      <c r="L16">
        <f t="shared" si="2"/>
        <v>0.3265944350878125</v>
      </c>
      <c r="M16">
        <f t="shared" si="3"/>
        <v>16.745529411359016</v>
      </c>
    </row>
    <row r="17" spans="1:13" x14ac:dyDescent="0.25">
      <c r="A17" s="1">
        <v>41944</v>
      </c>
      <c r="B17">
        <v>2.1128461968214501E-4</v>
      </c>
      <c r="C17">
        <v>1.3104572721287001E-2</v>
      </c>
      <c r="D17">
        <f t="shared" si="0"/>
        <v>0.25324711916646647</v>
      </c>
      <c r="E17">
        <f t="shared" si="1"/>
        <v>14.640150558966013</v>
      </c>
      <c r="I17">
        <v>15</v>
      </c>
      <c r="J17">
        <v>2.7500817239483298E-4</v>
      </c>
      <c r="K17">
        <v>1.49093449516822E-2</v>
      </c>
      <c r="L17">
        <f t="shared" si="2"/>
        <v>0.32951110949653861</v>
      </c>
      <c r="M17">
        <f t="shared" si="3"/>
        <v>16.494632733485094</v>
      </c>
    </row>
    <row r="18" spans="1:13" x14ac:dyDescent="0.25">
      <c r="A18" s="1">
        <v>41974</v>
      </c>
      <c r="B18">
        <v>3.53764153730633E-4</v>
      </c>
      <c r="C18">
        <v>1.4334536585121099E-2</v>
      </c>
      <c r="D18">
        <f t="shared" si="0"/>
        <v>0.42369197380897061</v>
      </c>
      <c r="E18">
        <f t="shared" si="1"/>
        <v>15.908039875347102</v>
      </c>
      <c r="I18">
        <v>16</v>
      </c>
      <c r="J18">
        <v>2.7762795015048402E-4</v>
      </c>
      <c r="K18">
        <v>1.4739208690383599E-2</v>
      </c>
      <c r="L18">
        <f t="shared" si="2"/>
        <v>0.33264530062100395</v>
      </c>
      <c r="M18">
        <f t="shared" si="3"/>
        <v>16.321400419959588</v>
      </c>
    </row>
    <row r="19" spans="1:13" x14ac:dyDescent="0.25">
      <c r="A19" s="1">
        <v>42005</v>
      </c>
      <c r="B19">
        <v>3.1511555128357899E-4</v>
      </c>
      <c r="C19">
        <v>1.1758636342988E-2</v>
      </c>
      <c r="D19">
        <f t="shared" si="0"/>
        <v>0.37748398388841586</v>
      </c>
      <c r="E19">
        <f t="shared" si="1"/>
        <v>13.232650284811697</v>
      </c>
      <c r="I19">
        <v>17</v>
      </c>
      <c r="J19">
        <v>2.8202626625853302E-4</v>
      </c>
      <c r="K19">
        <v>1.46032306289475E-2</v>
      </c>
      <c r="L19">
        <f t="shared" si="2"/>
        <v>0.33790705652390063</v>
      </c>
      <c r="M19">
        <f t="shared" si="3"/>
        <v>16.18271111240367</v>
      </c>
    </row>
    <row r="20" spans="1:13" x14ac:dyDescent="0.25">
      <c r="A20" s="1">
        <v>42036</v>
      </c>
      <c r="B20">
        <v>2.7729384954396601E-4</v>
      </c>
      <c r="C20">
        <v>1.79729861258291E-2</v>
      </c>
      <c r="D20">
        <f t="shared" si="0"/>
        <v>0.33224560183509055</v>
      </c>
      <c r="E20">
        <f t="shared" si="1"/>
        <v>19.55830451179683</v>
      </c>
      <c r="I20">
        <v>18</v>
      </c>
      <c r="J20">
        <v>2.8855146985045402E-4</v>
      </c>
      <c r="K20">
        <v>1.4292096383072101E-2</v>
      </c>
      <c r="L20">
        <f t="shared" si="2"/>
        <v>0.34571276316037736</v>
      </c>
      <c r="M20">
        <f t="shared" si="3"/>
        <v>15.864580200244383</v>
      </c>
    </row>
    <row r="21" spans="1:13" x14ac:dyDescent="0.25">
      <c r="A21" s="1">
        <v>42064</v>
      </c>
      <c r="B21">
        <v>3.23367430671169E-4</v>
      </c>
      <c r="C21">
        <v>2.2339404499464199E-2</v>
      </c>
      <c r="D21">
        <f t="shared" si="0"/>
        <v>0.38735152129076855</v>
      </c>
      <c r="E21">
        <f t="shared" si="1"/>
        <v>23.746929506113712</v>
      </c>
      <c r="I21">
        <v>19</v>
      </c>
      <c r="J21">
        <v>2.8966672836853102E-4</v>
      </c>
      <c r="K21">
        <v>1.39603296120902E-2</v>
      </c>
      <c r="L21">
        <f t="shared" si="2"/>
        <v>0.34704682343488225</v>
      </c>
      <c r="M21">
        <f t="shared" si="3"/>
        <v>15.524133701801833</v>
      </c>
    </row>
    <row r="22" spans="1:13" x14ac:dyDescent="0.25">
      <c r="A22" s="1">
        <v>42095</v>
      </c>
      <c r="B22">
        <v>3.09013128921261E-4</v>
      </c>
      <c r="C22">
        <v>2.02358326746328E-2</v>
      </c>
      <c r="D22">
        <f t="shared" si="0"/>
        <v>0.37018617526560771</v>
      </c>
      <c r="E22">
        <f t="shared" si="1"/>
        <v>21.754634281322115</v>
      </c>
      <c r="I22">
        <v>20</v>
      </c>
      <c r="J22">
        <v>2.93621364854639E-4</v>
      </c>
      <c r="K22">
        <v>1.3545418002458001E-2</v>
      </c>
      <c r="L22">
        <f t="shared" si="2"/>
        <v>0.35177718522971801</v>
      </c>
      <c r="M22">
        <f t="shared" si="3"/>
        <v>15.096590068660731</v>
      </c>
    </row>
    <row r="23" spans="1:13" x14ac:dyDescent="0.25">
      <c r="A23" s="1">
        <v>42125</v>
      </c>
      <c r="B23">
        <v>3.1358632352667803E-4</v>
      </c>
      <c r="C23">
        <v>1.8583219996798898E-2</v>
      </c>
      <c r="D23">
        <f t="shared" si="0"/>
        <v>0.37565524604312728</v>
      </c>
      <c r="E23">
        <f t="shared" si="1"/>
        <v>20.15609855239936</v>
      </c>
      <c r="I23">
        <v>21</v>
      </c>
      <c r="J23">
        <v>3.0132924975008501E-4</v>
      </c>
      <c r="K23">
        <v>1.3307614328113299E-2</v>
      </c>
      <c r="L23">
        <f t="shared" si="2"/>
        <v>0.36099642573244051</v>
      </c>
      <c r="M23">
        <f t="shared" si="3"/>
        <v>14.850653138090596</v>
      </c>
    </row>
    <row r="24" spans="1:13" x14ac:dyDescent="0.25">
      <c r="A24" s="1">
        <v>42156</v>
      </c>
      <c r="B24">
        <v>2.9060189626667799E-4</v>
      </c>
      <c r="C24">
        <v>1.9157439541689601E-2</v>
      </c>
      <c r="D24">
        <f t="shared" si="0"/>
        <v>0.34816544862310561</v>
      </c>
      <c r="E24">
        <f t="shared" si="1"/>
        <v>20.714890837533297</v>
      </c>
      <c r="I24">
        <v>22</v>
      </c>
      <c r="J24">
        <v>3.1102952028744398E-4</v>
      </c>
      <c r="K24">
        <v>1.31832876657011E-2</v>
      </c>
      <c r="L24">
        <f t="shared" si="2"/>
        <v>0.37259760604307912</v>
      </c>
      <c r="M24">
        <f t="shared" si="3"/>
        <v>14.721814518846966</v>
      </c>
    </row>
    <row r="25" spans="1:13" x14ac:dyDescent="0.25">
      <c r="A25" s="1">
        <v>42186</v>
      </c>
      <c r="B25">
        <v>4.3138526509435999E-4</v>
      </c>
      <c r="C25">
        <v>1.6556057622068601E-2</v>
      </c>
      <c r="D25">
        <f t="shared" si="0"/>
        <v>0.51643586708383094</v>
      </c>
      <c r="E25">
        <f t="shared" si="1"/>
        <v>18.154404086406771</v>
      </c>
      <c r="I25">
        <v>23</v>
      </c>
      <c r="J25">
        <v>3.1278012811100902E-4</v>
      </c>
      <c r="K25">
        <v>1.38279050911762E-2</v>
      </c>
      <c r="L25">
        <f t="shared" si="2"/>
        <v>0.37469113915714614</v>
      </c>
      <c r="M25">
        <f t="shared" si="3"/>
        <v>15.387892414638726</v>
      </c>
    </row>
    <row r="26" spans="1:13" x14ac:dyDescent="0.25">
      <c r="A26" s="1">
        <v>42217</v>
      </c>
      <c r="B26">
        <v>2.62259211394253E-4</v>
      </c>
      <c r="C26">
        <v>1.50792965356581E-2</v>
      </c>
      <c r="D26">
        <f t="shared" si="0"/>
        <v>0.31425750297836563</v>
      </c>
      <c r="E26">
        <f t="shared" si="1"/>
        <v>16.667348745504096</v>
      </c>
      <c r="I26">
        <v>24</v>
      </c>
      <c r="J26">
        <v>3.1107229091140702E-4</v>
      </c>
      <c r="K26">
        <v>1.41371089590633E-2</v>
      </c>
      <c r="L26">
        <f t="shared" si="2"/>
        <v>0.3726487554539859</v>
      </c>
      <c r="M26">
        <f t="shared" si="3"/>
        <v>15.705694818603122</v>
      </c>
    </row>
    <row r="27" spans="1:13" x14ac:dyDescent="0.25">
      <c r="A27" s="1">
        <v>42248</v>
      </c>
      <c r="B27">
        <v>2.63629768059797E-4</v>
      </c>
      <c r="C27">
        <v>1.5146845802279801E-2</v>
      </c>
      <c r="D27">
        <f t="shared" si="0"/>
        <v>0.31589742020610156</v>
      </c>
      <c r="E27">
        <f t="shared" si="1"/>
        <v>16.735905776884952</v>
      </c>
      <c r="I27">
        <v>25</v>
      </c>
      <c r="J27">
        <v>3.0765781183163699E-4</v>
      </c>
      <c r="K27">
        <v>1.40415759158114E-2</v>
      </c>
      <c r="L27">
        <f t="shared" si="2"/>
        <v>0.36856530244048225</v>
      </c>
      <c r="M27">
        <f t="shared" si="3"/>
        <v>15.607622136698762</v>
      </c>
    </row>
    <row r="28" spans="1:13" x14ac:dyDescent="0.25">
      <c r="A28" s="1">
        <v>42278</v>
      </c>
      <c r="B28">
        <v>3.7417179446521602E-4</v>
      </c>
      <c r="C28">
        <v>1.4091786247159401E-2</v>
      </c>
      <c r="D28">
        <f t="shared" si="0"/>
        <v>0.4480832749652941</v>
      </c>
      <c r="E28">
        <f t="shared" si="1"/>
        <v>15.65918028572586</v>
      </c>
      <c r="I28">
        <v>26</v>
      </c>
      <c r="J28">
        <v>3.0019897276457798E-4</v>
      </c>
      <c r="K28">
        <v>1.3943518010216699E-2</v>
      </c>
      <c r="L28">
        <f t="shared" si="2"/>
        <v>0.35964457390490479</v>
      </c>
      <c r="M28">
        <f t="shared" si="3"/>
        <v>15.506848703768695</v>
      </c>
    </row>
    <row r="29" spans="1:13" x14ac:dyDescent="0.25">
      <c r="A29" s="1">
        <v>42309</v>
      </c>
      <c r="B29">
        <v>2.6601780919496099E-4</v>
      </c>
      <c r="C29">
        <v>1.20129688592217E-2</v>
      </c>
      <c r="D29">
        <f t="shared" si="0"/>
        <v>0.31875473279977529</v>
      </c>
      <c r="E29">
        <f t="shared" si="1"/>
        <v>13.500235305937702</v>
      </c>
      <c r="I29">
        <v>27</v>
      </c>
      <c r="J29">
        <v>3.0655531491691402E-4</v>
      </c>
      <c r="K29">
        <v>1.38155590962043E-2</v>
      </c>
      <c r="L29">
        <f t="shared" si="2"/>
        <v>0.36724676859576366</v>
      </c>
      <c r="M29">
        <f t="shared" si="3"/>
        <v>15.3751803220052</v>
      </c>
    </row>
    <row r="30" spans="1:13" x14ac:dyDescent="0.25">
      <c r="A30" s="1">
        <v>42339</v>
      </c>
      <c r="B30">
        <v>4.2612694750245598E-4</v>
      </c>
      <c r="C30">
        <v>1.3866894994112E-2</v>
      </c>
      <c r="D30">
        <f t="shared" si="0"/>
        <v>0.51015558212835765</v>
      </c>
      <c r="E30">
        <f t="shared" si="1"/>
        <v>15.428026998826383</v>
      </c>
      <c r="I30">
        <v>28</v>
      </c>
      <c r="J30">
        <v>3.1302194857375098E-4</v>
      </c>
      <c r="K30">
        <v>1.37784343401061E-2</v>
      </c>
      <c r="L30">
        <f t="shared" si="2"/>
        <v>0.37498032648405344</v>
      </c>
      <c r="M30">
        <f t="shared" si="3"/>
        <v>15.33694415179121</v>
      </c>
    </row>
    <row r="31" spans="1:13" x14ac:dyDescent="0.25">
      <c r="A31" s="1">
        <v>42370</v>
      </c>
      <c r="B31">
        <v>2.6112292005444601E-4</v>
      </c>
      <c r="C31">
        <v>1.1563346598682999E-2</v>
      </c>
      <c r="D31">
        <f t="shared" si="0"/>
        <v>0.31289787335505581</v>
      </c>
      <c r="E31">
        <f t="shared" si="1"/>
        <v>13.026669805183788</v>
      </c>
      <c r="I31">
        <v>29</v>
      </c>
      <c r="J31">
        <v>3.2297001421620998E-4</v>
      </c>
      <c r="K31">
        <v>1.38462906911875E-2</v>
      </c>
      <c r="L31">
        <f t="shared" si="2"/>
        <v>0.38687631411806755</v>
      </c>
      <c r="M31">
        <f t="shared" si="3"/>
        <v>15.406819961305885</v>
      </c>
    </row>
    <row r="32" spans="1:13" x14ac:dyDescent="0.25">
      <c r="A32" s="1">
        <v>42401</v>
      </c>
      <c r="B32">
        <v>3.1555191518504598E-4</v>
      </c>
      <c r="C32">
        <v>1.23363235331956E-2</v>
      </c>
      <c r="D32">
        <f t="shared" si="0"/>
        <v>0.37800580710778409</v>
      </c>
      <c r="E32">
        <f t="shared" si="1"/>
        <v>13.839346759062533</v>
      </c>
      <c r="I32">
        <v>30</v>
      </c>
      <c r="J32">
        <v>3.1569364201832297E-4</v>
      </c>
      <c r="K32">
        <v>1.38354514466663E-2</v>
      </c>
      <c r="L32">
        <f t="shared" si="2"/>
        <v>0.37817528977339698</v>
      </c>
      <c r="M32">
        <f t="shared" si="3"/>
        <v>15.395661681364569</v>
      </c>
    </row>
    <row r="33" spans="1:13" x14ac:dyDescent="0.25">
      <c r="A33" s="1">
        <v>42430</v>
      </c>
      <c r="B33">
        <v>3.6757140201207702E-4</v>
      </c>
      <c r="C33">
        <v>1.7185160717722602E-2</v>
      </c>
      <c r="D33">
        <f t="shared" si="0"/>
        <v>0.44019505642297618</v>
      </c>
      <c r="E33">
        <f t="shared" si="1"/>
        <v>18.780471873954554</v>
      </c>
      <c r="I33">
        <v>31</v>
      </c>
      <c r="J33">
        <v>3.1536125161491798E-4</v>
      </c>
      <c r="K33">
        <v>1.3929869981176801E-2</v>
      </c>
      <c r="L33">
        <f t="shared" si="2"/>
        <v>0.37777780350073398</v>
      </c>
      <c r="M33">
        <f t="shared" si="3"/>
        <v>15.492813977039754</v>
      </c>
    </row>
    <row r="34" spans="1:13" x14ac:dyDescent="0.25">
      <c r="A34" s="1">
        <v>42461</v>
      </c>
      <c r="B34">
        <v>3.64214084063164E-4</v>
      </c>
      <c r="C34">
        <v>1.6394858052616101E-2</v>
      </c>
      <c r="D34">
        <f t="shared" si="0"/>
        <v>0.43618246037286923</v>
      </c>
      <c r="E34">
        <f t="shared" si="1"/>
        <v>17.993271865484374</v>
      </c>
      <c r="I34">
        <v>32</v>
      </c>
      <c r="J34">
        <v>3.1304980028133201E-4</v>
      </c>
      <c r="K34">
        <v>1.3861170415128E-2</v>
      </c>
      <c r="L34">
        <f t="shared" si="2"/>
        <v>0.37501363362785201</v>
      </c>
      <c r="M34">
        <f t="shared" si="3"/>
        <v>15.422135448551867</v>
      </c>
    </row>
    <row r="35" spans="1:13" x14ac:dyDescent="0.25">
      <c r="A35" s="1">
        <v>42491</v>
      </c>
      <c r="B35">
        <v>2.9073311619079E-4</v>
      </c>
      <c r="C35">
        <v>1.7531342905934801E-2</v>
      </c>
      <c r="D35">
        <f t="shared" si="0"/>
        <v>0.34832240979695284</v>
      </c>
      <c r="E35">
        <f t="shared" si="1"/>
        <v>19.123108305330572</v>
      </c>
      <c r="I35">
        <v>33</v>
      </c>
      <c r="J35">
        <v>3.1428151522990401E-4</v>
      </c>
      <c r="K35">
        <v>1.3828338734478701E-2</v>
      </c>
      <c r="L35">
        <f t="shared" si="2"/>
        <v>0.37648659978061216</v>
      </c>
      <c r="M35">
        <f t="shared" si="3"/>
        <v>15.388338885009079</v>
      </c>
    </row>
    <row r="36" spans="1:13" x14ac:dyDescent="0.25">
      <c r="A36" s="1">
        <v>42522</v>
      </c>
      <c r="B36">
        <v>3.2464545141661799E-4</v>
      </c>
      <c r="C36">
        <v>1.9535118775705001E-2</v>
      </c>
      <c r="D36">
        <f t="shared" si="0"/>
        <v>0.3888796890839985</v>
      </c>
      <c r="E36">
        <f t="shared" si="1"/>
        <v>21.08046638018849</v>
      </c>
      <c r="I36">
        <v>34</v>
      </c>
      <c r="J36">
        <v>3.1806003770164801E-4</v>
      </c>
      <c r="K36">
        <v>1.4001093605306899E-2</v>
      </c>
      <c r="L36">
        <f t="shared" si="2"/>
        <v>0.38100508216183382</v>
      </c>
      <c r="M36">
        <f t="shared" si="3"/>
        <v>15.566032106484485</v>
      </c>
    </row>
    <row r="37" spans="1:13" x14ac:dyDescent="0.25">
      <c r="A37" s="1">
        <v>42552</v>
      </c>
      <c r="B37">
        <v>3.25708956564878E-4</v>
      </c>
      <c r="C37">
        <v>1.78041254854516E-2</v>
      </c>
      <c r="D37">
        <f t="shared" si="0"/>
        <v>0.39015133775198718</v>
      </c>
      <c r="E37">
        <f t="shared" si="1"/>
        <v>19.392162973950001</v>
      </c>
      <c r="I37">
        <v>35</v>
      </c>
      <c r="J37">
        <v>3.1831912796983499E-4</v>
      </c>
      <c r="K37">
        <v>1.4296488403759799E-2</v>
      </c>
      <c r="L37">
        <f t="shared" si="2"/>
        <v>0.3813149040077346</v>
      </c>
      <c r="M37">
        <f t="shared" si="3"/>
        <v>15.869078678311688</v>
      </c>
    </row>
    <row r="38" spans="1:13" x14ac:dyDescent="0.25">
      <c r="A38" s="1">
        <v>42583</v>
      </c>
      <c r="B38">
        <v>3.1753830928526398E-4</v>
      </c>
      <c r="C38">
        <v>2.1819793774508399E-2</v>
      </c>
      <c r="D38">
        <f t="shared" si="0"/>
        <v>0.38038119321198716</v>
      </c>
      <c r="E38">
        <f t="shared" si="1"/>
        <v>23.259178152614069</v>
      </c>
      <c r="I38">
        <v>36</v>
      </c>
      <c r="J38">
        <v>3.1471688479214698E-4</v>
      </c>
      <c r="K38">
        <v>1.4317505013130101E-2</v>
      </c>
      <c r="L38">
        <f t="shared" si="2"/>
        <v>0.37700723870602859</v>
      </c>
      <c r="M38">
        <f t="shared" si="3"/>
        <v>15.890601653809178</v>
      </c>
    </row>
    <row r="39" spans="1:13" x14ac:dyDescent="0.25">
      <c r="A39" s="1">
        <v>42614</v>
      </c>
      <c r="B39">
        <v>4.0493194357663098E-4</v>
      </c>
      <c r="C39">
        <v>2.0552373929264001E-2</v>
      </c>
      <c r="D39">
        <f t="shared" si="0"/>
        <v>0.48483759048714159</v>
      </c>
      <c r="E39">
        <f t="shared" si="1"/>
        <v>22.057449062737234</v>
      </c>
      <c r="I39">
        <v>37</v>
      </c>
      <c r="J39">
        <v>3.0992416670419E-4</v>
      </c>
      <c r="K39">
        <v>1.4028628716247601E-2</v>
      </c>
      <c r="L39">
        <f t="shared" si="2"/>
        <v>0.37127570478157068</v>
      </c>
      <c r="M39">
        <f t="shared" si="3"/>
        <v>15.594322705207198</v>
      </c>
    </row>
    <row r="40" spans="1:13" x14ac:dyDescent="0.25">
      <c r="A40" s="1">
        <v>42644</v>
      </c>
      <c r="B40">
        <v>2.6766686567768297E-4</v>
      </c>
      <c r="C40">
        <v>1.9580011108716999E-2</v>
      </c>
      <c r="D40">
        <f t="shared" si="0"/>
        <v>0.32072779981987543</v>
      </c>
      <c r="E40">
        <f t="shared" si="1"/>
        <v>21.123817121176302</v>
      </c>
      <c r="I40">
        <v>38</v>
      </c>
      <c r="J40">
        <v>3.1196386411842098E-4</v>
      </c>
      <c r="K40">
        <v>1.3870346151850701E-2</v>
      </c>
      <c r="L40">
        <f t="shared" si="2"/>
        <v>0.37371498282401383</v>
      </c>
      <c r="M40">
        <f t="shared" si="3"/>
        <v>15.431578636222964</v>
      </c>
    </row>
    <row r="41" spans="1:13" x14ac:dyDescent="0.25">
      <c r="A41" s="1">
        <v>42675</v>
      </c>
      <c r="B41">
        <v>2.8310866800719699E-4</v>
      </c>
      <c r="C41">
        <v>1.8908617226728701E-2</v>
      </c>
      <c r="D41">
        <f t="shared" si="0"/>
        <v>0.33920190708136566</v>
      </c>
      <c r="E41">
        <f t="shared" si="1"/>
        <v>20.473195129484033</v>
      </c>
      <c r="I41">
        <v>39</v>
      </c>
      <c r="J41">
        <v>3.1834783643197698E-4</v>
      </c>
      <c r="K41">
        <v>1.3764806687672E-2</v>
      </c>
      <c r="L41">
        <f t="shared" si="2"/>
        <v>0.38134923372109553</v>
      </c>
      <c r="M41">
        <f t="shared" si="3"/>
        <v>15.322904551424244</v>
      </c>
    </row>
    <row r="42" spans="1:13" x14ac:dyDescent="0.25">
      <c r="A42" s="1">
        <v>42705</v>
      </c>
      <c r="B42">
        <v>4.3449468610847998E-4</v>
      </c>
      <c r="C42">
        <v>1.6726978573462899E-2</v>
      </c>
      <c r="D42">
        <f t="shared" si="0"/>
        <v>0.52014944097409366</v>
      </c>
      <c r="E42">
        <f t="shared" si="1"/>
        <v>18.324936585697003</v>
      </c>
      <c r="I42">
        <v>40</v>
      </c>
      <c r="J42">
        <v>3.17816841363233E-4</v>
      </c>
      <c r="K42">
        <v>1.4044655026981399E-2</v>
      </c>
      <c r="L42">
        <f t="shared" si="2"/>
        <v>0.38071426557815258</v>
      </c>
      <c r="M42">
        <f t="shared" si="3"/>
        <v>15.610784733137461</v>
      </c>
    </row>
    <row r="43" spans="1:13" x14ac:dyDescent="0.25">
      <c r="A43" s="1">
        <v>42736</v>
      </c>
      <c r="B43">
        <v>2.8884762019630702E-4</v>
      </c>
      <c r="C43">
        <v>1.14861411751638E-2</v>
      </c>
      <c r="D43">
        <f t="shared" si="0"/>
        <v>0.34606701662339701</v>
      </c>
      <c r="E43">
        <f t="shared" si="1"/>
        <v>12.94511437293413</v>
      </c>
      <c r="I43">
        <v>41</v>
      </c>
      <c r="J43">
        <v>3.2232948959908702E-4</v>
      </c>
      <c r="K43">
        <v>1.40854989353973E-2</v>
      </c>
      <c r="L43">
        <f t="shared" si="2"/>
        <v>0.38611040816025621</v>
      </c>
      <c r="M43">
        <f t="shared" si="3"/>
        <v>15.652725782720401</v>
      </c>
    </row>
    <row r="44" spans="1:13" x14ac:dyDescent="0.25">
      <c r="A44" s="1">
        <v>42767</v>
      </c>
      <c r="B44">
        <v>2.95268084693737E-4</v>
      </c>
      <c r="C44">
        <v>1.03149621251181E-2</v>
      </c>
      <c r="D44">
        <f t="shared" si="0"/>
        <v>0.35374685819369311</v>
      </c>
      <c r="E44">
        <f t="shared" si="1"/>
        <v>11.699318499147171</v>
      </c>
      <c r="I44">
        <v>42</v>
      </c>
      <c r="J44">
        <v>3.3009465819313499E-4</v>
      </c>
      <c r="K44">
        <v>1.41105047989239E-2</v>
      </c>
      <c r="L44">
        <f t="shared" si="2"/>
        <v>0.39539522814867611</v>
      </c>
      <c r="M44">
        <f t="shared" si="3"/>
        <v>15.678393917956601</v>
      </c>
    </row>
    <row r="45" spans="1:13" x14ac:dyDescent="0.25">
      <c r="A45" s="1">
        <v>42795</v>
      </c>
      <c r="B45">
        <v>4.9085398197723799E-4</v>
      </c>
      <c r="C45">
        <v>1.20428796808094E-2</v>
      </c>
      <c r="D45">
        <f t="shared" si="0"/>
        <v>0.58743718896702157</v>
      </c>
      <c r="E45">
        <f t="shared" si="1"/>
        <v>13.531654928063642</v>
      </c>
      <c r="I45">
        <v>43</v>
      </c>
      <c r="J45">
        <v>3.31064289428981E-4</v>
      </c>
      <c r="K45">
        <v>1.4377049250964001E-2</v>
      </c>
      <c r="L45">
        <f t="shared" si="2"/>
        <v>0.39655456148793844</v>
      </c>
      <c r="M45">
        <f t="shared" si="3"/>
        <v>15.95155312319687</v>
      </c>
    </row>
    <row r="46" spans="1:13" x14ac:dyDescent="0.25">
      <c r="A46" s="1">
        <v>42826</v>
      </c>
      <c r="B46">
        <v>2.6291495830335502E-4</v>
      </c>
      <c r="C46">
        <v>1.0888091642241301E-2</v>
      </c>
      <c r="D46">
        <f t="shared" si="0"/>
        <v>0.31504212933430864</v>
      </c>
      <c r="E46">
        <f t="shared" si="1"/>
        <v>12.310990052883797</v>
      </c>
      <c r="I46">
        <v>44</v>
      </c>
      <c r="J46">
        <v>3.2900929281637603E-4</v>
      </c>
      <c r="K46">
        <v>1.42027879552825E-2</v>
      </c>
      <c r="L46">
        <f t="shared" si="2"/>
        <v>0.39409750335738236</v>
      </c>
      <c r="M46">
        <f t="shared" si="3"/>
        <v>15.773059202604644</v>
      </c>
    </row>
    <row r="47" spans="1:13" x14ac:dyDescent="0.25">
      <c r="A47" s="1">
        <v>42856</v>
      </c>
      <c r="B47">
        <v>3.2812985844208302E-4</v>
      </c>
      <c r="C47">
        <v>1.28305724041828E-2</v>
      </c>
      <c r="D47">
        <f t="shared" si="0"/>
        <v>0.39304599005915986</v>
      </c>
      <c r="E47">
        <f t="shared" si="1"/>
        <v>14.355325565759202</v>
      </c>
      <c r="I47">
        <v>45</v>
      </c>
      <c r="J47">
        <v>3.2618584363634101E-4</v>
      </c>
      <c r="K47">
        <v>1.44145266251249E-2</v>
      </c>
      <c r="L47">
        <f t="shared" si="2"/>
        <v>0.3907215537689579</v>
      </c>
      <c r="M47">
        <f t="shared" si="3"/>
        <v>15.989895449825585</v>
      </c>
    </row>
    <row r="48" spans="1:13" x14ac:dyDescent="0.25">
      <c r="I48">
        <v>46</v>
      </c>
      <c r="J48">
        <v>3.3094225858363099E-4</v>
      </c>
      <c r="K48">
        <v>1.45113315481689E-2</v>
      </c>
      <c r="L48">
        <f t="shared" si="2"/>
        <v>0.39640865677446069</v>
      </c>
      <c r="M48">
        <f t="shared" si="3"/>
        <v>16.088860380096204</v>
      </c>
    </row>
    <row r="49" spans="9:13" x14ac:dyDescent="0.25">
      <c r="I49">
        <v>47</v>
      </c>
      <c r="J49">
        <v>3.3598385157631601E-4</v>
      </c>
      <c r="K49">
        <v>1.48442485246038E-2</v>
      </c>
      <c r="L49">
        <f t="shared" si="2"/>
        <v>0.40243641368775673</v>
      </c>
      <c r="M49">
        <f t="shared" si="3"/>
        <v>16.428390580458618</v>
      </c>
    </row>
    <row r="50" spans="9:13" x14ac:dyDescent="0.25">
      <c r="I50">
        <v>48</v>
      </c>
      <c r="J50">
        <v>3.29502326565819E-4</v>
      </c>
      <c r="K50">
        <v>1.49601134591108E-2</v>
      </c>
      <c r="L50">
        <f t="shared" si="2"/>
        <v>0.3946870045689721</v>
      </c>
      <c r="M50">
        <f t="shared" si="3"/>
        <v>16.546261379365756</v>
      </c>
    </row>
    <row r="51" spans="9:13" x14ac:dyDescent="0.25">
      <c r="I51">
        <v>49</v>
      </c>
      <c r="J51">
        <v>3.2438945916609302E-4</v>
      </c>
      <c r="K51">
        <v>1.4703602492135001E-2</v>
      </c>
      <c r="L51">
        <f t="shared" si="2"/>
        <v>0.38857359318199558</v>
      </c>
      <c r="M51">
        <f t="shared" si="3"/>
        <v>16.285104619513969</v>
      </c>
    </row>
    <row r="52" spans="9:13" x14ac:dyDescent="0.25">
      <c r="I52">
        <v>50</v>
      </c>
      <c r="J52">
        <v>3.2269776318263898E-4</v>
      </c>
      <c r="K52">
        <v>1.46177994012433E-2</v>
      </c>
      <c r="L52">
        <f t="shared" si="2"/>
        <v>0.38655077117937253</v>
      </c>
      <c r="M52">
        <f t="shared" si="3"/>
        <v>16.197580441103621</v>
      </c>
    </row>
    <row r="53" spans="9:13" x14ac:dyDescent="0.25">
      <c r="I53">
        <v>51</v>
      </c>
      <c r="J53">
        <v>3.2141715187811799E-4</v>
      </c>
      <c r="K53">
        <v>1.48065864989826E-2</v>
      </c>
      <c r="L53">
        <f t="shared" si="2"/>
        <v>0.38501947293753114</v>
      </c>
      <c r="M53">
        <f t="shared" si="3"/>
        <v>16.390043694044721</v>
      </c>
    </row>
    <row r="54" spans="9:13" x14ac:dyDescent="0.25">
      <c r="I54">
        <v>52</v>
      </c>
      <c r="J54">
        <v>3.2481413809398502E-4</v>
      </c>
      <c r="K54">
        <v>1.5077606589093E-2</v>
      </c>
      <c r="L54">
        <f t="shared" si="2"/>
        <v>0.38908139120537033</v>
      </c>
      <c r="M54">
        <f t="shared" si="3"/>
        <v>16.665632923433272</v>
      </c>
    </row>
    <row r="55" spans="9:13" x14ac:dyDescent="0.25">
      <c r="I55">
        <v>53</v>
      </c>
      <c r="J55">
        <v>3.2829060895748699E-4</v>
      </c>
      <c r="K55">
        <v>1.55590555377863E-2</v>
      </c>
      <c r="L55">
        <f t="shared" si="2"/>
        <v>0.39323819538779059</v>
      </c>
      <c r="M55">
        <f t="shared" si="3"/>
        <v>17.153146088763204</v>
      </c>
    </row>
    <row r="56" spans="9:13" x14ac:dyDescent="0.25">
      <c r="I56">
        <v>54</v>
      </c>
      <c r="J56">
        <v>3.3194142549842001E-4</v>
      </c>
      <c r="K56">
        <v>1.59294745267455E-2</v>
      </c>
      <c r="L56">
        <f t="shared" si="2"/>
        <v>0.39760329292178875</v>
      </c>
      <c r="M56">
        <f t="shared" si="3"/>
        <v>17.526449762344441</v>
      </c>
    </row>
    <row r="57" spans="9:13" x14ac:dyDescent="0.25">
      <c r="I57">
        <v>55</v>
      </c>
      <c r="J57">
        <v>3.30532746671739E-4</v>
      </c>
      <c r="K57">
        <v>1.6417684873485699E-2</v>
      </c>
      <c r="L57">
        <f t="shared" si="2"/>
        <v>0.39591902734708029</v>
      </c>
      <c r="M57">
        <f t="shared" si="3"/>
        <v>18.016106808843613</v>
      </c>
    </row>
    <row r="58" spans="9:13" x14ac:dyDescent="0.25">
      <c r="I58">
        <v>56</v>
      </c>
      <c r="J58">
        <v>3.3812314523373797E-4</v>
      </c>
      <c r="K58">
        <v>1.6788810014597502E-2</v>
      </c>
      <c r="L58">
        <f t="shared" si="2"/>
        <v>0.40499406415623884</v>
      </c>
      <c r="M58">
        <f t="shared" si="3"/>
        <v>18.38654723321801</v>
      </c>
    </row>
    <row r="59" spans="9:13" x14ac:dyDescent="0.25">
      <c r="I59">
        <v>57</v>
      </c>
      <c r="J59">
        <v>3.4251501794169598E-4</v>
      </c>
      <c r="K59">
        <v>1.7374846711540302E-2</v>
      </c>
      <c r="L59">
        <f t="shared" si="2"/>
        <v>0.41024461572040094</v>
      </c>
      <c r="M59">
        <f t="shared" si="3"/>
        <v>18.968379458018159</v>
      </c>
    </row>
    <row r="60" spans="9:13" x14ac:dyDescent="0.25">
      <c r="I60">
        <v>58</v>
      </c>
      <c r="J60">
        <v>3.4898880149823399E-4</v>
      </c>
      <c r="K60">
        <v>1.7749015406913399E-2</v>
      </c>
      <c r="L60">
        <f t="shared" si="2"/>
        <v>0.41798366115056718</v>
      </c>
      <c r="M60">
        <f t="shared" si="3"/>
        <v>19.337872270902078</v>
      </c>
    </row>
    <row r="61" spans="9:13" x14ac:dyDescent="0.25">
      <c r="I61">
        <v>59</v>
      </c>
      <c r="J61">
        <v>3.68398148413142E-4</v>
      </c>
      <c r="K61">
        <v>1.8483491839133202E-2</v>
      </c>
      <c r="L61">
        <f t="shared" si="2"/>
        <v>0.44118314364783862</v>
      </c>
      <c r="M61">
        <f t="shared" si="3"/>
        <v>20.058682606787738</v>
      </c>
    </row>
    <row r="62" spans="9:13" x14ac:dyDescent="0.25">
      <c r="I62">
        <v>60</v>
      </c>
      <c r="J62">
        <v>3.6462187216875701E-4</v>
      </c>
      <c r="K62">
        <v>1.9052149451798402E-2</v>
      </c>
      <c r="L62">
        <f t="shared" si="2"/>
        <v>0.43666984807972931</v>
      </c>
      <c r="M62">
        <f t="shared" si="3"/>
        <v>20.612698697291442</v>
      </c>
    </row>
    <row r="63" spans="9:13" x14ac:dyDescent="0.25">
      <c r="I63">
        <v>61</v>
      </c>
      <c r="J63">
        <v>3.5990941113799702E-4</v>
      </c>
      <c r="K63">
        <v>1.92072350923344E-2</v>
      </c>
      <c r="L63">
        <f t="shared" si="2"/>
        <v>0.4310373886168839</v>
      </c>
      <c r="M63">
        <f t="shared" si="3"/>
        <v>20.763179241265583</v>
      </c>
    </row>
    <row r="64" spans="9:13" x14ac:dyDescent="0.25">
      <c r="I64">
        <v>62</v>
      </c>
      <c r="J64">
        <v>3.5421940812529101E-4</v>
      </c>
      <c r="K64">
        <v>1.9088614948019101E-2</v>
      </c>
      <c r="L64">
        <f t="shared" si="2"/>
        <v>0.42423615558034866</v>
      </c>
      <c r="M64">
        <f t="shared" si="3"/>
        <v>20.648104928473042</v>
      </c>
    </row>
    <row r="65" spans="9:13" x14ac:dyDescent="0.25">
      <c r="I65">
        <v>63</v>
      </c>
      <c r="J65">
        <v>3.5445712278933602E-4</v>
      </c>
      <c r="K65">
        <v>1.9070948828277201E-2</v>
      </c>
      <c r="L65">
        <f t="shared" si="2"/>
        <v>0.42452030329050983</v>
      </c>
      <c r="M65">
        <f t="shared" si="3"/>
        <v>20.630953789624328</v>
      </c>
    </row>
    <row r="66" spans="9:13" x14ac:dyDescent="0.25">
      <c r="I66">
        <v>64</v>
      </c>
      <c r="J66">
        <v>3.4837256801263899E-4</v>
      </c>
      <c r="K66">
        <v>1.9249733436394401E-2</v>
      </c>
      <c r="L66">
        <f t="shared" si="2"/>
        <v>0.41724701229524097</v>
      </c>
      <c r="M66">
        <f t="shared" si="3"/>
        <v>20.804369976589332</v>
      </c>
    </row>
    <row r="67" spans="9:13" x14ac:dyDescent="0.25">
      <c r="I67">
        <v>65</v>
      </c>
      <c r="J67">
        <v>3.4700012161766898E-4</v>
      </c>
      <c r="K67">
        <v>1.9499539114552801E-2</v>
      </c>
      <c r="L67">
        <f t="shared" ref="L67:L130" si="4">100*(1-(1-J67)^12)</f>
        <v>0.41560636447020016</v>
      </c>
      <c r="M67">
        <f t="shared" ref="M67:M130" si="5">100*(1-(1-K67)^12)</f>
        <v>21.046093003076869</v>
      </c>
    </row>
    <row r="68" spans="9:13" x14ac:dyDescent="0.25">
      <c r="I68">
        <v>66</v>
      </c>
      <c r="J68">
        <v>3.5158476813391899E-4</v>
      </c>
      <c r="K68">
        <v>2.00946031167103E-2</v>
      </c>
      <c r="L68">
        <f t="shared" si="4"/>
        <v>0.4210868389210809</v>
      </c>
      <c r="M68">
        <f t="shared" si="5"/>
        <v>21.619181396620135</v>
      </c>
    </row>
    <row r="69" spans="9:13" x14ac:dyDescent="0.25">
      <c r="I69">
        <v>67</v>
      </c>
      <c r="J69">
        <v>3.5402080974433899E-4</v>
      </c>
      <c r="K69">
        <v>2.04646234088974E-2</v>
      </c>
      <c r="L69">
        <f t="shared" si="4"/>
        <v>0.42399876420663452</v>
      </c>
      <c r="M69">
        <f t="shared" si="5"/>
        <v>21.973611555637941</v>
      </c>
    </row>
    <row r="70" spans="9:13" x14ac:dyDescent="0.25">
      <c r="I70">
        <v>68</v>
      </c>
      <c r="J70">
        <v>3.57451845312796E-4</v>
      </c>
      <c r="K70">
        <v>2.1154404642906102E-2</v>
      </c>
      <c r="L70">
        <f t="shared" si="4"/>
        <v>0.42809992433439081</v>
      </c>
      <c r="M70">
        <f t="shared" si="5"/>
        <v>22.63041080091638</v>
      </c>
    </row>
    <row r="71" spans="9:13" x14ac:dyDescent="0.25">
      <c r="I71">
        <v>69</v>
      </c>
      <c r="J71">
        <v>3.5966299635746898E-4</v>
      </c>
      <c r="K71">
        <v>2.17677810184113E-2</v>
      </c>
      <c r="L71">
        <f t="shared" si="4"/>
        <v>0.43074285904499687</v>
      </c>
      <c r="M71">
        <f t="shared" si="5"/>
        <v>23.210197371962604</v>
      </c>
    </row>
    <row r="72" spans="9:13" x14ac:dyDescent="0.25">
      <c r="I72">
        <v>70</v>
      </c>
      <c r="J72">
        <v>3.6581106811755301E-4</v>
      </c>
      <c r="K72">
        <v>2.1843485453542501E-2</v>
      </c>
      <c r="L72">
        <f t="shared" si="4"/>
        <v>0.43809116073146859</v>
      </c>
      <c r="M72">
        <f t="shared" si="5"/>
        <v>23.281479279561545</v>
      </c>
    </row>
    <row r="73" spans="9:13" x14ac:dyDescent="0.25">
      <c r="I73">
        <v>71</v>
      </c>
      <c r="J73">
        <v>3.6688798813781001E-4</v>
      </c>
      <c r="K73">
        <v>2.2118909321464399E-2</v>
      </c>
      <c r="L73">
        <f t="shared" si="4"/>
        <v>0.43937826649997902</v>
      </c>
      <c r="M73">
        <f t="shared" si="5"/>
        <v>23.540301896422022</v>
      </c>
    </row>
    <row r="74" spans="9:13" x14ac:dyDescent="0.25">
      <c r="I74">
        <v>72</v>
      </c>
      <c r="J74">
        <v>3.5858649905310102E-4</v>
      </c>
      <c r="K74">
        <v>2.19635251265663E-2</v>
      </c>
      <c r="L74">
        <f t="shared" si="4"/>
        <v>0.42945615620438859</v>
      </c>
      <c r="M74">
        <f t="shared" si="5"/>
        <v>23.39438210415301</v>
      </c>
    </row>
    <row r="75" spans="9:13" x14ac:dyDescent="0.25">
      <c r="I75">
        <v>73</v>
      </c>
      <c r="J75">
        <v>3.5986851600715601E-4</v>
      </c>
      <c r="K75">
        <v>2.1527913301626199E-2</v>
      </c>
      <c r="L75">
        <f t="shared" si="4"/>
        <v>0.43098850838441116</v>
      </c>
      <c r="M75">
        <f t="shared" si="5"/>
        <v>22.983941206800129</v>
      </c>
    </row>
    <row r="76" spans="9:13" x14ac:dyDescent="0.25">
      <c r="I76">
        <v>74</v>
      </c>
      <c r="J76">
        <v>3.5798467736137998E-4</v>
      </c>
      <c r="K76">
        <v>2.0874508471982901E-2</v>
      </c>
      <c r="L76">
        <f t="shared" si="4"/>
        <v>0.42873681131834207</v>
      </c>
      <c r="M76">
        <f t="shared" si="5"/>
        <v>22.364511355566428</v>
      </c>
    </row>
    <row r="77" spans="9:13" x14ac:dyDescent="0.25">
      <c r="I77">
        <v>75</v>
      </c>
      <c r="J77">
        <v>3.6443051946671802E-4</v>
      </c>
      <c r="K77">
        <v>2.05351938597776E-2</v>
      </c>
      <c r="L77">
        <f t="shared" si="4"/>
        <v>0.43644114390137823</v>
      </c>
      <c r="M77">
        <f t="shared" si="5"/>
        <v>22.041041598822432</v>
      </c>
    </row>
    <row r="78" spans="9:13" x14ac:dyDescent="0.25">
      <c r="I78">
        <v>76</v>
      </c>
      <c r="J78">
        <v>3.6732087979085901E-4</v>
      </c>
      <c r="K78">
        <v>2.0138362122074999E-2</v>
      </c>
      <c r="L78">
        <f t="shared" si="4"/>
        <v>0.43989564263278158</v>
      </c>
      <c r="M78">
        <f t="shared" si="5"/>
        <v>21.661173503882146</v>
      </c>
    </row>
    <row r="79" spans="9:13" x14ac:dyDescent="0.25">
      <c r="I79">
        <v>77</v>
      </c>
      <c r="J79">
        <v>3.6381094177634799E-4</v>
      </c>
      <c r="K79">
        <v>1.99298662720356E-2</v>
      </c>
      <c r="L79">
        <f t="shared" si="4"/>
        <v>0.43570062319160385</v>
      </c>
      <c r="M79">
        <f t="shared" si="5"/>
        <v>21.460911165327811</v>
      </c>
    </row>
    <row r="80" spans="9:13" x14ac:dyDescent="0.25">
      <c r="I80">
        <v>78</v>
      </c>
      <c r="J80">
        <v>3.55560960708464E-4</v>
      </c>
      <c r="K80">
        <v>1.9957733761771599E-2</v>
      </c>
      <c r="L80">
        <f t="shared" si="4"/>
        <v>0.42583974524914581</v>
      </c>
      <c r="M80">
        <f t="shared" si="5"/>
        <v>21.487705309028893</v>
      </c>
    </row>
    <row r="81" spans="9:13" x14ac:dyDescent="0.25">
      <c r="I81">
        <v>79</v>
      </c>
      <c r="J81">
        <v>3.6945432382194698E-4</v>
      </c>
      <c r="K81">
        <v>2.0287438517733802E-2</v>
      </c>
      <c r="L81">
        <f t="shared" si="4"/>
        <v>0.4424454202247019</v>
      </c>
      <c r="M81">
        <f t="shared" si="5"/>
        <v>21.804075752785746</v>
      </c>
    </row>
    <row r="82" spans="9:13" x14ac:dyDescent="0.25">
      <c r="I82">
        <v>80</v>
      </c>
      <c r="J82">
        <v>3.7319360524507201E-4</v>
      </c>
      <c r="K82">
        <v>2.0618422219498202E-2</v>
      </c>
      <c r="L82">
        <f t="shared" si="4"/>
        <v>0.44691426392367006</v>
      </c>
      <c r="M82">
        <f t="shared" si="5"/>
        <v>22.12049762025956</v>
      </c>
    </row>
    <row r="83" spans="9:13" x14ac:dyDescent="0.25">
      <c r="I83">
        <v>81</v>
      </c>
      <c r="J83">
        <v>3.8541216851770198E-4</v>
      </c>
      <c r="K83">
        <v>2.0741579141853098E-2</v>
      </c>
      <c r="L83">
        <f t="shared" si="4"/>
        <v>0.461515479870378</v>
      </c>
      <c r="M83">
        <f t="shared" si="5"/>
        <v>22.237936247120405</v>
      </c>
    </row>
    <row r="84" spans="9:13" x14ac:dyDescent="0.25">
      <c r="I84">
        <v>82</v>
      </c>
      <c r="J84">
        <v>3.6787354275685601E-4</v>
      </c>
      <c r="K84">
        <v>2.1114276481723902E-2</v>
      </c>
      <c r="L84">
        <f t="shared" si="4"/>
        <v>0.44055616143812149</v>
      </c>
      <c r="M84">
        <f t="shared" si="5"/>
        <v>22.592340655993414</v>
      </c>
    </row>
    <row r="85" spans="9:13" x14ac:dyDescent="0.25">
      <c r="I85">
        <v>83</v>
      </c>
      <c r="J85">
        <v>3.7787796176087102E-4</v>
      </c>
      <c r="K85">
        <v>2.18114735595232E-2</v>
      </c>
      <c r="L85">
        <f t="shared" si="4"/>
        <v>0.45251231460099461</v>
      </c>
      <c r="M85">
        <f t="shared" si="5"/>
        <v>23.251344871961109</v>
      </c>
    </row>
    <row r="86" spans="9:13" x14ac:dyDescent="0.25">
      <c r="I86">
        <v>84</v>
      </c>
      <c r="J86">
        <v>3.7180991897012798E-4</v>
      </c>
      <c r="K86">
        <v>2.1909008851785702E-2</v>
      </c>
      <c r="L86">
        <f t="shared" si="4"/>
        <v>0.44526063135365002</v>
      </c>
      <c r="M86">
        <f t="shared" si="5"/>
        <v>23.343125936274244</v>
      </c>
    </row>
    <row r="87" spans="9:13" x14ac:dyDescent="0.25">
      <c r="I87">
        <v>85</v>
      </c>
      <c r="J87">
        <v>3.6755575661327598E-4</v>
      </c>
      <c r="K87">
        <v>2.1864398111591701E-2</v>
      </c>
      <c r="L87">
        <f t="shared" si="4"/>
        <v>0.44017635771409491</v>
      </c>
      <c r="M87">
        <f t="shared" si="5"/>
        <v>23.301159560036922</v>
      </c>
    </row>
    <row r="88" spans="9:13" x14ac:dyDescent="0.25">
      <c r="I88">
        <v>86</v>
      </c>
      <c r="J88">
        <v>3.7832709692204903E-4</v>
      </c>
      <c r="K88">
        <v>2.1271178421117799E-2</v>
      </c>
      <c r="L88">
        <f t="shared" si="4"/>
        <v>0.4530490394147102</v>
      </c>
      <c r="M88">
        <f t="shared" si="5"/>
        <v>22.741098087636246</v>
      </c>
    </row>
    <row r="89" spans="9:13" x14ac:dyDescent="0.25">
      <c r="I89">
        <v>87</v>
      </c>
      <c r="J89">
        <v>3.7718008184786699E-4</v>
      </c>
      <c r="K89">
        <v>2.0803503660756902E-2</v>
      </c>
      <c r="L89">
        <f t="shared" si="4"/>
        <v>0.45167832995083312</v>
      </c>
      <c r="M89">
        <f t="shared" si="5"/>
        <v>22.296924197856061</v>
      </c>
    </row>
    <row r="90" spans="9:13" x14ac:dyDescent="0.25">
      <c r="I90">
        <v>88</v>
      </c>
      <c r="J90">
        <v>3.7402641524306201E-4</v>
      </c>
      <c r="K90">
        <v>2.0485829219492099E-2</v>
      </c>
      <c r="L90">
        <f t="shared" si="4"/>
        <v>0.44790953645573728</v>
      </c>
      <c r="M90">
        <f t="shared" si="5"/>
        <v>21.993879317549936</v>
      </c>
    </row>
    <row r="91" spans="9:13" x14ac:dyDescent="0.25">
      <c r="I91">
        <v>89</v>
      </c>
      <c r="J91">
        <v>3.8511172194681401E-4</v>
      </c>
      <c r="K91">
        <v>2.0145342048324098E-2</v>
      </c>
      <c r="L91">
        <f t="shared" si="4"/>
        <v>0.46115646895373841</v>
      </c>
      <c r="M91">
        <f t="shared" si="5"/>
        <v>21.66786968776686</v>
      </c>
    </row>
    <row r="92" spans="9:13" x14ac:dyDescent="0.25">
      <c r="I92">
        <v>90</v>
      </c>
      <c r="J92">
        <v>3.8907430065066202E-4</v>
      </c>
      <c r="K92">
        <v>1.9829441222999001E-2</v>
      </c>
      <c r="L92">
        <f t="shared" si="4"/>
        <v>0.46589135523918968</v>
      </c>
      <c r="M92">
        <f t="shared" si="5"/>
        <v>21.364284548933099</v>
      </c>
    </row>
    <row r="93" spans="9:13" x14ac:dyDescent="0.25">
      <c r="I93">
        <v>91</v>
      </c>
      <c r="J93">
        <v>3.7821437526053199E-4</v>
      </c>
      <c r="K93">
        <v>1.9454949604380802E-2</v>
      </c>
      <c r="L93">
        <f t="shared" si="4"/>
        <v>0.45291433519640822</v>
      </c>
      <c r="M93">
        <f t="shared" si="5"/>
        <v>21.002995868139084</v>
      </c>
    </row>
    <row r="94" spans="9:13" x14ac:dyDescent="0.25">
      <c r="I94">
        <v>92</v>
      </c>
      <c r="J94">
        <v>3.8257230652574302E-4</v>
      </c>
      <c r="K94">
        <v>1.9450865006942899E-2</v>
      </c>
      <c r="L94">
        <f t="shared" si="4"/>
        <v>0.45812201227637406</v>
      </c>
      <c r="M94">
        <f t="shared" si="5"/>
        <v>20.999046900939277</v>
      </c>
    </row>
    <row r="95" spans="9:13" x14ac:dyDescent="0.25">
      <c r="I95">
        <v>93</v>
      </c>
      <c r="J95">
        <v>3.86301429456223E-4</v>
      </c>
      <c r="K95">
        <v>1.8837131102599099E-2</v>
      </c>
      <c r="L95">
        <f t="shared" si="4"/>
        <v>0.46257807244320936</v>
      </c>
      <c r="M95">
        <f t="shared" si="5"/>
        <v>20.403631678072443</v>
      </c>
    </row>
    <row r="96" spans="9:13" x14ac:dyDescent="0.25">
      <c r="I96">
        <v>94</v>
      </c>
      <c r="J96">
        <v>3.8323610920084402E-4</v>
      </c>
      <c r="K96">
        <v>1.8879602259936502E-2</v>
      </c>
      <c r="L96">
        <f t="shared" si="4"/>
        <v>0.45891522682117714</v>
      </c>
      <c r="M96">
        <f t="shared" si="5"/>
        <v>20.444967263971481</v>
      </c>
    </row>
    <row r="97" spans="9:13" x14ac:dyDescent="0.25">
      <c r="I97">
        <v>95</v>
      </c>
      <c r="J97">
        <v>3.8387451268991697E-4</v>
      </c>
      <c r="K97">
        <v>1.8812574632051101E-2</v>
      </c>
      <c r="L97">
        <f t="shared" si="4"/>
        <v>0.4596780850072868</v>
      </c>
      <c r="M97">
        <f t="shared" si="5"/>
        <v>20.379722804012712</v>
      </c>
    </row>
    <row r="98" spans="9:13" x14ac:dyDescent="0.25">
      <c r="I98">
        <v>96</v>
      </c>
      <c r="J98">
        <v>3.55813094717501E-4</v>
      </c>
      <c r="K98">
        <v>1.8759006364883899E-2</v>
      </c>
      <c r="L98">
        <f t="shared" si="4"/>
        <v>0.42614112437664442</v>
      </c>
      <c r="M98">
        <f t="shared" si="5"/>
        <v>20.327544378851492</v>
      </c>
    </row>
    <row r="99" spans="9:13" x14ac:dyDescent="0.25">
      <c r="I99">
        <v>97</v>
      </c>
      <c r="J99">
        <v>3.74175891818495E-4</v>
      </c>
      <c r="K99">
        <v>1.8788259221776599E-2</v>
      </c>
      <c r="L99">
        <f t="shared" si="4"/>
        <v>0.44808817158987768</v>
      </c>
      <c r="M99">
        <f t="shared" si="5"/>
        <v>20.356042146647479</v>
      </c>
    </row>
    <row r="100" spans="9:13" x14ac:dyDescent="0.25">
      <c r="I100">
        <v>98</v>
      </c>
      <c r="J100">
        <v>3.5546314600807101E-4</v>
      </c>
      <c r="K100">
        <v>1.80906599786353E-2</v>
      </c>
      <c r="L100">
        <f t="shared" si="4"/>
        <v>0.42572282581447851</v>
      </c>
      <c r="M100">
        <f t="shared" si="5"/>
        <v>19.673897847887833</v>
      </c>
    </row>
    <row r="101" spans="9:13" x14ac:dyDescent="0.25">
      <c r="I101">
        <v>99</v>
      </c>
      <c r="J101">
        <v>3.5887165980764101E-4</v>
      </c>
      <c r="K101">
        <v>1.8271052462887599E-2</v>
      </c>
      <c r="L101">
        <f t="shared" si="4"/>
        <v>0.42979700122923736</v>
      </c>
      <c r="M101">
        <f t="shared" si="5"/>
        <v>19.850805332280142</v>
      </c>
    </row>
    <row r="102" spans="9:13" x14ac:dyDescent="0.25">
      <c r="I102">
        <v>100</v>
      </c>
      <c r="J102">
        <v>3.8306744465603401E-4</v>
      </c>
      <c r="K102">
        <v>1.7789396640607202E-2</v>
      </c>
      <c r="L102">
        <f t="shared" si="4"/>
        <v>0.45871368077332608</v>
      </c>
      <c r="M102">
        <f t="shared" si="5"/>
        <v>19.377656398034514</v>
      </c>
    </row>
    <row r="103" spans="9:13" x14ac:dyDescent="0.25">
      <c r="I103">
        <v>101</v>
      </c>
      <c r="J103">
        <v>3.70444652710102E-4</v>
      </c>
      <c r="K103">
        <v>1.79239946172981E-2</v>
      </c>
      <c r="L103">
        <f t="shared" si="4"/>
        <v>0.44362898772011272</v>
      </c>
      <c r="M103">
        <f t="shared" si="5"/>
        <v>19.510134249987708</v>
      </c>
    </row>
    <row r="104" spans="9:13" x14ac:dyDescent="0.25">
      <c r="I104">
        <v>102</v>
      </c>
      <c r="J104">
        <v>3.8468994850768203E-4</v>
      </c>
      <c r="K104">
        <v>1.7493847040619102E-2</v>
      </c>
      <c r="L104">
        <f t="shared" si="4"/>
        <v>0.46065247960808131</v>
      </c>
      <c r="M104">
        <f t="shared" si="5"/>
        <v>19.086060580892962</v>
      </c>
    </row>
    <row r="105" spans="9:13" x14ac:dyDescent="0.25">
      <c r="I105">
        <v>103</v>
      </c>
      <c r="J105">
        <v>3.7953776054377802E-4</v>
      </c>
      <c r="K105">
        <v>1.74304954258576E-2</v>
      </c>
      <c r="L105">
        <f t="shared" si="4"/>
        <v>0.45449579159297926</v>
      </c>
      <c r="M105">
        <f t="shared" si="5"/>
        <v>19.023430780827823</v>
      </c>
    </row>
    <row r="106" spans="9:13" x14ac:dyDescent="0.25">
      <c r="I106">
        <v>104</v>
      </c>
      <c r="J106">
        <v>3.7417047891519901E-4</v>
      </c>
      <c r="K106">
        <v>1.6880292323508399E-2</v>
      </c>
      <c r="L106">
        <f t="shared" si="4"/>
        <v>0.44808170279070358</v>
      </c>
      <c r="M106">
        <f t="shared" si="5"/>
        <v>18.477624725983123</v>
      </c>
    </row>
    <row r="107" spans="9:13" x14ac:dyDescent="0.25">
      <c r="I107">
        <v>105</v>
      </c>
      <c r="J107">
        <v>3.7676862632568699E-4</v>
      </c>
      <c r="K107">
        <v>1.7298670135336099E-2</v>
      </c>
      <c r="L107">
        <f t="shared" si="4"/>
        <v>0.4511866268975373</v>
      </c>
      <c r="M107">
        <f t="shared" si="5"/>
        <v>18.89296501546275</v>
      </c>
    </row>
    <row r="108" spans="9:13" x14ac:dyDescent="0.25">
      <c r="I108">
        <v>106</v>
      </c>
      <c r="J108">
        <v>3.7198285429036998E-4</v>
      </c>
      <c r="K108">
        <v>1.6580928905933E-2</v>
      </c>
      <c r="L108">
        <f t="shared" si="4"/>
        <v>0.44546730636970677</v>
      </c>
      <c r="M108">
        <f t="shared" si="5"/>
        <v>18.179239119817602</v>
      </c>
    </row>
    <row r="109" spans="9:13" x14ac:dyDescent="0.25">
      <c r="I109">
        <v>107</v>
      </c>
      <c r="J109">
        <v>3.97855814123615E-4</v>
      </c>
      <c r="K109">
        <v>1.6704879894136101E-2</v>
      </c>
      <c r="L109">
        <f t="shared" si="4"/>
        <v>0.47638365214519585</v>
      </c>
      <c r="M109">
        <f t="shared" si="5"/>
        <v>18.30290647867503</v>
      </c>
    </row>
    <row r="110" spans="9:13" x14ac:dyDescent="0.25">
      <c r="I110">
        <v>108</v>
      </c>
      <c r="J110">
        <v>3.9474868057635102E-4</v>
      </c>
      <c r="K110">
        <v>1.7005879098653E-2</v>
      </c>
      <c r="L110">
        <f t="shared" si="4"/>
        <v>0.47267131372389359</v>
      </c>
      <c r="M110">
        <f t="shared" si="5"/>
        <v>18.602504030282674</v>
      </c>
    </row>
    <row r="111" spans="9:13" x14ac:dyDescent="0.25">
      <c r="I111">
        <v>109</v>
      </c>
      <c r="J111">
        <v>4.03629383299523E-4</v>
      </c>
      <c r="K111">
        <v>1.6068196886676499E-2</v>
      </c>
      <c r="L111">
        <f t="shared" si="4"/>
        <v>0.48328145523973687</v>
      </c>
      <c r="M111">
        <f t="shared" si="5"/>
        <v>17.665855127796881</v>
      </c>
    </row>
    <row r="112" spans="9:13" x14ac:dyDescent="0.25">
      <c r="I112">
        <v>110</v>
      </c>
      <c r="J112">
        <v>4.0973704173480298E-4</v>
      </c>
      <c r="K112">
        <v>1.5187451648776299E-2</v>
      </c>
      <c r="L112">
        <f t="shared" si="4"/>
        <v>0.49057792470766914</v>
      </c>
      <c r="M112">
        <f t="shared" si="5"/>
        <v>16.777092535562854</v>
      </c>
    </row>
    <row r="113" spans="9:13" x14ac:dyDescent="0.25">
      <c r="I113">
        <v>111</v>
      </c>
      <c r="J113">
        <v>3.8879477904731698E-4</v>
      </c>
      <c r="K113">
        <v>1.5194516670558499E-2</v>
      </c>
      <c r="L113">
        <f t="shared" si="4"/>
        <v>0.46555736157360972</v>
      </c>
      <c r="M113">
        <f t="shared" si="5"/>
        <v>16.784256722770152</v>
      </c>
    </row>
    <row r="114" spans="9:13" x14ac:dyDescent="0.25">
      <c r="I114">
        <v>112</v>
      </c>
      <c r="J114">
        <v>3.76189935256157E-4</v>
      </c>
      <c r="K114">
        <v>1.48855099792101E-2</v>
      </c>
      <c r="L114">
        <f t="shared" si="4"/>
        <v>0.4504950680272124</v>
      </c>
      <c r="M114">
        <f t="shared" si="5"/>
        <v>16.470383842161375</v>
      </c>
    </row>
    <row r="115" spans="9:13" x14ac:dyDescent="0.25">
      <c r="I115">
        <v>113</v>
      </c>
      <c r="J115">
        <v>3.901293945073E-4</v>
      </c>
      <c r="K115">
        <v>1.4435702856301601E-2</v>
      </c>
      <c r="L115">
        <f t="shared" si="4"/>
        <v>0.46715205234683088</v>
      </c>
      <c r="M115">
        <f t="shared" si="5"/>
        <v>16.011553323976468</v>
      </c>
    </row>
    <row r="116" spans="9:13" x14ac:dyDescent="0.25">
      <c r="I116">
        <v>114</v>
      </c>
      <c r="J116">
        <v>3.8900109591138797E-4</v>
      </c>
      <c r="K116">
        <v>1.48698207745458E-2</v>
      </c>
      <c r="L116">
        <f t="shared" si="4"/>
        <v>0.46580388474960488</v>
      </c>
      <c r="M116">
        <f t="shared" si="5"/>
        <v>16.454418655699364</v>
      </c>
    </row>
    <row r="117" spans="9:13" x14ac:dyDescent="0.25">
      <c r="I117">
        <v>115</v>
      </c>
      <c r="J117">
        <v>4.0631613852125701E-4</v>
      </c>
      <c r="K117">
        <v>1.4753668179973801E-2</v>
      </c>
      <c r="L117">
        <f t="shared" si="4"/>
        <v>0.48649122812521872</v>
      </c>
      <c r="M117">
        <f t="shared" si="5"/>
        <v>16.336135834480558</v>
      </c>
    </row>
    <row r="118" spans="9:13" x14ac:dyDescent="0.25">
      <c r="I118">
        <v>116</v>
      </c>
      <c r="J118">
        <v>4.3311572212934398E-4</v>
      </c>
      <c r="K118">
        <v>1.4903947316827501E-2</v>
      </c>
      <c r="L118">
        <f t="shared" si="4"/>
        <v>0.51850256335732592</v>
      </c>
      <c r="M118">
        <f t="shared" si="5"/>
        <v>16.489141928403605</v>
      </c>
    </row>
    <row r="119" spans="9:13" x14ac:dyDescent="0.25">
      <c r="I119">
        <v>117</v>
      </c>
      <c r="J119">
        <v>4.1179018251370401E-4</v>
      </c>
      <c r="K119">
        <v>1.4362537410657E-2</v>
      </c>
      <c r="L119">
        <f t="shared" si="4"/>
        <v>0.4930305841850946</v>
      </c>
      <c r="M119">
        <f t="shared" si="5"/>
        <v>15.93670205163782</v>
      </c>
    </row>
    <row r="120" spans="9:13" x14ac:dyDescent="0.25">
      <c r="I120">
        <v>118</v>
      </c>
      <c r="J120">
        <v>4.1519421193028498E-4</v>
      </c>
      <c r="K120">
        <v>1.44166769470256E-2</v>
      </c>
      <c r="L120">
        <f t="shared" si="4"/>
        <v>0.49709687832725225</v>
      </c>
      <c r="M120">
        <f t="shared" si="5"/>
        <v>15.992094913249355</v>
      </c>
    </row>
    <row r="121" spans="9:13" x14ac:dyDescent="0.25">
      <c r="I121">
        <v>119</v>
      </c>
      <c r="J121">
        <v>3.95222475182645E-4</v>
      </c>
      <c r="K121">
        <v>1.3619941379687099E-2</v>
      </c>
      <c r="L121">
        <f t="shared" si="4"/>
        <v>0.47323740184946894</v>
      </c>
      <c r="M121">
        <f t="shared" si="5"/>
        <v>15.173528152893912</v>
      </c>
    </row>
    <row r="122" spans="9:13" x14ac:dyDescent="0.25">
      <c r="I122">
        <v>120</v>
      </c>
      <c r="J122">
        <v>4.0310197843241002E-4</v>
      </c>
      <c r="K122">
        <v>1.29721684990095E-2</v>
      </c>
      <c r="L122">
        <f t="shared" si="4"/>
        <v>0.48265137187120111</v>
      </c>
      <c r="M122">
        <f t="shared" si="5"/>
        <v>14.502624159710875</v>
      </c>
    </row>
    <row r="123" spans="9:13" x14ac:dyDescent="0.25">
      <c r="I123">
        <v>121</v>
      </c>
      <c r="J123">
        <v>3.8152207182970101E-4</v>
      </c>
      <c r="K123">
        <v>1.28730857984101E-2</v>
      </c>
      <c r="L123">
        <f t="shared" si="4"/>
        <v>0.45686701689310327</v>
      </c>
      <c r="M123">
        <f t="shared" si="5"/>
        <v>14.39957552004164</v>
      </c>
    </row>
    <row r="124" spans="9:13" x14ac:dyDescent="0.25">
      <c r="I124">
        <v>122</v>
      </c>
      <c r="J124">
        <v>3.9553970139170799E-4</v>
      </c>
      <c r="K124">
        <v>1.21029042632894E-2</v>
      </c>
      <c r="L124">
        <f t="shared" si="4"/>
        <v>0.47361642095621326</v>
      </c>
      <c r="M124">
        <f t="shared" si="5"/>
        <v>13.594675788285437</v>
      </c>
    </row>
    <row r="125" spans="9:13" x14ac:dyDescent="0.25">
      <c r="I125">
        <v>123</v>
      </c>
      <c r="J125">
        <v>4.3772424950249301E-4</v>
      </c>
      <c r="K125">
        <v>1.2790174232538601E-2</v>
      </c>
      <c r="L125">
        <f t="shared" si="4"/>
        <v>0.52400636608377349</v>
      </c>
      <c r="M125">
        <f t="shared" si="5"/>
        <v>14.313257807032265</v>
      </c>
    </row>
    <row r="126" spans="9:13" x14ac:dyDescent="0.25">
      <c r="I126">
        <v>124</v>
      </c>
      <c r="J126">
        <v>4.4896768974097499E-4</v>
      </c>
      <c r="K126">
        <v>1.29355588664243E-2</v>
      </c>
      <c r="L126">
        <f t="shared" si="4"/>
        <v>0.53743284155374216</v>
      </c>
      <c r="M126">
        <f t="shared" si="5"/>
        <v>14.46456242302283</v>
      </c>
    </row>
    <row r="127" spans="9:13" x14ac:dyDescent="0.25">
      <c r="I127">
        <v>125</v>
      </c>
      <c r="J127">
        <v>4.68174361651968E-4</v>
      </c>
      <c r="K127">
        <v>1.3357004924023299E-2</v>
      </c>
      <c r="L127">
        <f t="shared" si="4"/>
        <v>0.56036485346129261</v>
      </c>
      <c r="M127">
        <f t="shared" si="5"/>
        <v>14.901786634906811</v>
      </c>
    </row>
    <row r="128" spans="9:13" x14ac:dyDescent="0.25">
      <c r="I128">
        <v>126</v>
      </c>
      <c r="J128">
        <v>4.8835452553497804E-4</v>
      </c>
      <c r="K128">
        <v>1.31605342463088E-2</v>
      </c>
      <c r="L128">
        <f t="shared" si="4"/>
        <v>0.58445395517777721</v>
      </c>
      <c r="M128">
        <f t="shared" si="5"/>
        <v>14.698216016106736</v>
      </c>
    </row>
    <row r="129" spans="9:13" x14ac:dyDescent="0.25">
      <c r="I129">
        <v>127</v>
      </c>
      <c r="J129">
        <v>4.8233740631006399E-4</v>
      </c>
      <c r="K129">
        <v>1.36731254145006E-2</v>
      </c>
      <c r="L129">
        <f t="shared" si="4"/>
        <v>0.57727186777055683</v>
      </c>
      <c r="M129">
        <f t="shared" si="5"/>
        <v>15.228396371701569</v>
      </c>
    </row>
    <row r="130" spans="9:13" x14ac:dyDescent="0.25">
      <c r="I130">
        <v>128</v>
      </c>
      <c r="J130">
        <v>5.0079738238389005E-4</v>
      </c>
      <c r="K130">
        <v>1.36214004164121E-2</v>
      </c>
      <c r="L130">
        <f t="shared" si="4"/>
        <v>0.59930435200720167</v>
      </c>
      <c r="M130">
        <f t="shared" si="5"/>
        <v>15.175033827259977</v>
      </c>
    </row>
    <row r="131" spans="9:13" x14ac:dyDescent="0.25">
      <c r="I131">
        <v>129</v>
      </c>
      <c r="J131">
        <v>4.9985728041093398E-4</v>
      </c>
      <c r="K131">
        <v>1.3348777477328599E-2</v>
      </c>
      <c r="L131">
        <f t="shared" ref="L131:L194" si="6">100*(1-(1-J131)^12)</f>
        <v>0.59818242286600043</v>
      </c>
      <c r="M131">
        <f t="shared" ref="M131:M194" si="7">100*(1-(1-K131)^12)</f>
        <v>14.893270811498184</v>
      </c>
    </row>
    <row r="132" spans="9:13" x14ac:dyDescent="0.25">
      <c r="I132">
        <v>130</v>
      </c>
      <c r="J132">
        <v>5.0643675750748E-4</v>
      </c>
      <c r="K132">
        <v>1.3809844486347001E-2</v>
      </c>
      <c r="L132">
        <f t="shared" si="6"/>
        <v>0.60603420728534418</v>
      </c>
      <c r="M132">
        <f t="shared" si="7"/>
        <v>15.369295663255444</v>
      </c>
    </row>
    <row r="133" spans="9:13" x14ac:dyDescent="0.25">
      <c r="I133">
        <v>131</v>
      </c>
      <c r="J133">
        <v>5.21244823467077E-4</v>
      </c>
      <c r="K133">
        <v>1.41195162394347E-2</v>
      </c>
      <c r="L133">
        <f t="shared" si="6"/>
        <v>0.62370370545876685</v>
      </c>
      <c r="M133">
        <f t="shared" si="7"/>
        <v>15.687642268105206</v>
      </c>
    </row>
    <row r="134" spans="9:13" x14ac:dyDescent="0.25">
      <c r="I134">
        <v>132</v>
      </c>
      <c r="J134">
        <v>5.3608920343551703E-4</v>
      </c>
      <c r="K134">
        <v>1.4428025281373101E-2</v>
      </c>
      <c r="L134">
        <f t="shared" si="6"/>
        <v>0.64141364473919715</v>
      </c>
      <c r="M134">
        <f t="shared" si="7"/>
        <v>16.003701717872499</v>
      </c>
    </row>
    <row r="135" spans="9:13" x14ac:dyDescent="0.25">
      <c r="I135">
        <v>133</v>
      </c>
      <c r="J135">
        <v>5.4362543108863902E-4</v>
      </c>
      <c r="K135">
        <v>1.41088595682157E-2</v>
      </c>
      <c r="L135">
        <f t="shared" si="6"/>
        <v>0.6504035586164636</v>
      </c>
      <c r="M135">
        <f t="shared" si="7"/>
        <v>15.676705333956086</v>
      </c>
    </row>
    <row r="136" spans="9:13" x14ac:dyDescent="0.25">
      <c r="I136">
        <v>134</v>
      </c>
      <c r="J136">
        <v>5.5149067002889301E-4</v>
      </c>
      <c r="K136">
        <v>1.40128977622717E-2</v>
      </c>
      <c r="L136">
        <f t="shared" si="6"/>
        <v>0.65978515262155035</v>
      </c>
      <c r="M136">
        <f t="shared" si="7"/>
        <v>15.578161201322816</v>
      </c>
    </row>
    <row r="137" spans="9:13" x14ac:dyDescent="0.25">
      <c r="I137">
        <v>135</v>
      </c>
      <c r="J137">
        <v>5.5654172715566697E-4</v>
      </c>
      <c r="K137">
        <v>1.38687434806485E-2</v>
      </c>
      <c r="L137">
        <f t="shared" si="6"/>
        <v>0.66580958487648667</v>
      </c>
      <c r="M137">
        <f t="shared" si="7"/>
        <v>15.429929320624126</v>
      </c>
    </row>
    <row r="138" spans="9:13" x14ac:dyDescent="0.25">
      <c r="I138">
        <v>136</v>
      </c>
      <c r="J138">
        <v>5.63003767959486E-4</v>
      </c>
      <c r="K138">
        <v>1.3499547166831299E-2</v>
      </c>
      <c r="L138">
        <f t="shared" si="6"/>
        <v>0.67351641923727446</v>
      </c>
      <c r="M138">
        <f t="shared" si="7"/>
        <v>15.049201126768374</v>
      </c>
    </row>
    <row r="139" spans="9:13" x14ac:dyDescent="0.25">
      <c r="I139">
        <v>137</v>
      </c>
      <c r="J139">
        <v>5.7413969453435504E-4</v>
      </c>
      <c r="K139">
        <v>1.34744261794735E-2</v>
      </c>
      <c r="L139">
        <f t="shared" si="6"/>
        <v>0.68679619156251093</v>
      </c>
      <c r="M139">
        <f t="shared" si="7"/>
        <v>15.023238480524103</v>
      </c>
    </row>
    <row r="140" spans="9:13" x14ac:dyDescent="0.25">
      <c r="I140">
        <v>138</v>
      </c>
      <c r="J140">
        <v>5.7711543307313801E-4</v>
      </c>
      <c r="K140">
        <v>1.3401782658387301E-2</v>
      </c>
      <c r="L140">
        <f t="shared" si="6"/>
        <v>0.69034453226702874</v>
      </c>
      <c r="M140">
        <f t="shared" si="7"/>
        <v>14.948120162346823</v>
      </c>
    </row>
    <row r="141" spans="9:13" x14ac:dyDescent="0.25">
      <c r="I141">
        <v>139</v>
      </c>
      <c r="J141">
        <v>5.66784104725104E-4</v>
      </c>
      <c r="K141">
        <v>1.3316355186295601E-2</v>
      </c>
      <c r="L141">
        <f t="shared" si="6"/>
        <v>0.67802471438005441</v>
      </c>
      <c r="M141">
        <f t="shared" si="7"/>
        <v>14.859704495294379</v>
      </c>
    </row>
    <row r="142" spans="9:13" x14ac:dyDescent="0.25">
      <c r="I142">
        <v>140</v>
      </c>
      <c r="J142">
        <v>5.8117110210420596E-4</v>
      </c>
      <c r="K142">
        <v>1.31742645975872E-2</v>
      </c>
      <c r="L142">
        <f t="shared" si="6"/>
        <v>0.69518042039162786</v>
      </c>
      <c r="M142">
        <f t="shared" si="7"/>
        <v>14.712457041645365</v>
      </c>
    </row>
    <row r="143" spans="9:13" x14ac:dyDescent="0.25">
      <c r="I143">
        <v>141</v>
      </c>
      <c r="J143">
        <v>5.9473442562902202E-4</v>
      </c>
      <c r="K143">
        <v>1.3141323440976099E-2</v>
      </c>
      <c r="L143">
        <f t="shared" si="6"/>
        <v>0.71135145290812662</v>
      </c>
      <c r="M143">
        <f t="shared" si="7"/>
        <v>14.678287042978489</v>
      </c>
    </row>
    <row r="144" spans="9:13" x14ac:dyDescent="0.25">
      <c r="I144">
        <v>142</v>
      </c>
      <c r="J144">
        <v>6.0142649348168603E-4</v>
      </c>
      <c r="K144">
        <v>1.30741032764304E-2</v>
      </c>
      <c r="L144">
        <f t="shared" si="6"/>
        <v>0.71932926042335144</v>
      </c>
      <c r="M144">
        <f t="shared" si="7"/>
        <v>14.608520351610332</v>
      </c>
    </row>
    <row r="145" spans="9:13" x14ac:dyDescent="0.25">
      <c r="I145">
        <v>143</v>
      </c>
      <c r="J145">
        <v>6.2145073359849397E-4</v>
      </c>
      <c r="K145">
        <v>1.3376509430204299E-2</v>
      </c>
      <c r="L145">
        <f t="shared" si="6"/>
        <v>0.74319722635616259</v>
      </c>
      <c r="M145">
        <f t="shared" si="7"/>
        <v>14.921971664552625</v>
      </c>
    </row>
    <row r="146" spans="9:13" x14ac:dyDescent="0.25">
      <c r="I146">
        <v>144</v>
      </c>
      <c r="J146">
        <v>5.9844254797702305E-4</v>
      </c>
      <c r="K146">
        <v>1.37102742769046E-2</v>
      </c>
      <c r="L146">
        <f t="shared" si="6"/>
        <v>0.71577208533127878</v>
      </c>
      <c r="M146">
        <f t="shared" si="7"/>
        <v>15.2667023302808</v>
      </c>
    </row>
    <row r="147" spans="9:13" x14ac:dyDescent="0.25">
      <c r="I147">
        <v>145</v>
      </c>
      <c r="J147">
        <v>6.1117840424726401E-4</v>
      </c>
      <c r="K147">
        <v>1.32177155405033E-2</v>
      </c>
      <c r="L147">
        <f t="shared" si="6"/>
        <v>0.73095374309859462</v>
      </c>
      <c r="M147">
        <f t="shared" si="7"/>
        <v>14.757509699487326</v>
      </c>
    </row>
    <row r="148" spans="9:13" x14ac:dyDescent="0.25">
      <c r="I148">
        <v>146</v>
      </c>
      <c r="J148">
        <v>6.2312710358247302E-4</v>
      </c>
      <c r="K148">
        <v>1.31407952635785E-2</v>
      </c>
      <c r="L148">
        <f t="shared" si="6"/>
        <v>0.74519514304047796</v>
      </c>
      <c r="M148">
        <f t="shared" si="7"/>
        <v>14.677739060163519</v>
      </c>
    </row>
    <row r="149" spans="9:13" x14ac:dyDescent="0.25">
      <c r="I149">
        <v>147</v>
      </c>
      <c r="J149">
        <v>6.2170206968000202E-4</v>
      </c>
      <c r="K149">
        <v>1.28441854791974E-2</v>
      </c>
      <c r="L149">
        <f t="shared" si="6"/>
        <v>0.74349677388657609</v>
      </c>
      <c r="M149">
        <f t="shared" si="7"/>
        <v>14.369496980582607</v>
      </c>
    </row>
    <row r="150" spans="9:13" x14ac:dyDescent="0.25">
      <c r="I150">
        <v>148</v>
      </c>
      <c r="J150">
        <v>6.4441490774562102E-4</v>
      </c>
      <c r="K150">
        <v>1.28305332659964E-2</v>
      </c>
      <c r="L150">
        <f t="shared" si="6"/>
        <v>0.77056298232730525</v>
      </c>
      <c r="M150">
        <f t="shared" si="7"/>
        <v>14.355284819222202</v>
      </c>
    </row>
    <row r="151" spans="9:13" x14ac:dyDescent="0.25">
      <c r="I151">
        <v>149</v>
      </c>
      <c r="J151">
        <v>6.3600999579663698E-4</v>
      </c>
      <c r="K151">
        <v>1.2861863181747899E-2</v>
      </c>
      <c r="L151">
        <f t="shared" si="6"/>
        <v>0.76054788932213846</v>
      </c>
      <c r="M151">
        <f t="shared" si="7"/>
        <v>14.387896525480814</v>
      </c>
    </row>
    <row r="152" spans="9:13" x14ac:dyDescent="0.25">
      <c r="I152">
        <v>150</v>
      </c>
      <c r="J152">
        <v>6.5168921171650501E-4</v>
      </c>
      <c r="K152">
        <v>1.2691270247633E-2</v>
      </c>
      <c r="L152">
        <f t="shared" si="6"/>
        <v>0.77923012184788476</v>
      </c>
      <c r="M152">
        <f t="shared" si="7"/>
        <v>14.210186325931796</v>
      </c>
    </row>
    <row r="153" spans="9:13" x14ac:dyDescent="0.25">
      <c r="I153">
        <v>151</v>
      </c>
      <c r="J153">
        <v>6.5321663640976297E-4</v>
      </c>
      <c r="K153">
        <v>1.2822006934062101E-2</v>
      </c>
      <c r="L153">
        <f t="shared" si="6"/>
        <v>0.78104991955035841</v>
      </c>
      <c r="M153">
        <f t="shared" si="7"/>
        <v>14.346407681283956</v>
      </c>
    </row>
    <row r="154" spans="9:13" x14ac:dyDescent="0.25">
      <c r="I154">
        <v>152</v>
      </c>
      <c r="J154">
        <v>6.34051129996471E-4</v>
      </c>
      <c r="K154">
        <v>1.31874864090654E-2</v>
      </c>
      <c r="L154">
        <f t="shared" si="6"/>
        <v>0.7582136183285404</v>
      </c>
      <c r="M154">
        <f t="shared" si="7"/>
        <v>14.72616855337251</v>
      </c>
    </row>
    <row r="155" spans="9:13" x14ac:dyDescent="0.25">
      <c r="I155">
        <v>153</v>
      </c>
      <c r="J155">
        <v>6.6280923374219703E-4</v>
      </c>
      <c r="K155">
        <v>1.3001997195896399E-2</v>
      </c>
      <c r="L155">
        <f t="shared" si="6"/>
        <v>0.79247799083771442</v>
      </c>
      <c r="M155">
        <f t="shared" si="7"/>
        <v>14.533624519114618</v>
      </c>
    </row>
    <row r="156" spans="9:13" x14ac:dyDescent="0.25">
      <c r="I156">
        <v>154</v>
      </c>
      <c r="J156">
        <v>6.9920369936369003E-4</v>
      </c>
      <c r="K156">
        <v>1.2922974131670701E-2</v>
      </c>
      <c r="L156">
        <f t="shared" si="6"/>
        <v>0.83582530132851884</v>
      </c>
      <c r="M156">
        <f t="shared" si="7"/>
        <v>14.451474933667329</v>
      </c>
    </row>
    <row r="157" spans="9:13" x14ac:dyDescent="0.25">
      <c r="I157">
        <v>155</v>
      </c>
      <c r="J157">
        <v>6.9236457312918701E-4</v>
      </c>
      <c r="K157">
        <v>1.30520497251327E-2</v>
      </c>
      <c r="L157">
        <f t="shared" si="6"/>
        <v>0.82768094471263876</v>
      </c>
      <c r="M157">
        <f t="shared" si="7"/>
        <v>14.585619947277962</v>
      </c>
    </row>
    <row r="158" spans="9:13" x14ac:dyDescent="0.25">
      <c r="I158">
        <v>156</v>
      </c>
      <c r="J158">
        <v>6.7303665629781504E-4</v>
      </c>
      <c r="K158">
        <v>1.30845935231674E-2</v>
      </c>
      <c r="L158">
        <f t="shared" si="6"/>
        <v>0.80466102752526636</v>
      </c>
      <c r="M158">
        <f t="shared" si="7"/>
        <v>14.619411446811714</v>
      </c>
    </row>
    <row r="159" spans="9:13" x14ac:dyDescent="0.25">
      <c r="I159">
        <v>157</v>
      </c>
      <c r="J159">
        <v>7.00265081740417E-4</v>
      </c>
      <c r="K159">
        <v>1.33835573211308E-2</v>
      </c>
      <c r="L159">
        <f t="shared" si="6"/>
        <v>0.83708919095575318</v>
      </c>
      <c r="M159">
        <f t="shared" si="7"/>
        <v>14.929264380914397</v>
      </c>
    </row>
    <row r="160" spans="9:13" x14ac:dyDescent="0.25">
      <c r="I160">
        <v>158</v>
      </c>
      <c r="J160">
        <v>6.7730088457684302E-4</v>
      </c>
      <c r="K160">
        <v>1.29623903302181E-2</v>
      </c>
      <c r="L160">
        <f t="shared" si="6"/>
        <v>0.80974022572215532</v>
      </c>
      <c r="M160">
        <f t="shared" si="7"/>
        <v>14.492459664262814</v>
      </c>
    </row>
    <row r="161" spans="9:13" x14ac:dyDescent="0.25">
      <c r="I161">
        <v>159</v>
      </c>
      <c r="J161">
        <v>6.86881836604171E-4</v>
      </c>
      <c r="K161">
        <v>1.28840278383898E-2</v>
      </c>
      <c r="L161">
        <f t="shared" si="6"/>
        <v>0.82115139863843112</v>
      </c>
      <c r="M161">
        <f t="shared" si="7"/>
        <v>14.410961121858145</v>
      </c>
    </row>
    <row r="162" spans="9:13" x14ac:dyDescent="0.25">
      <c r="I162">
        <v>160</v>
      </c>
      <c r="J162">
        <v>7.1821987530035203E-4</v>
      </c>
      <c r="K162">
        <v>1.2984000030681699E-2</v>
      </c>
      <c r="L162">
        <f t="shared" si="6"/>
        <v>0.85846744529529673</v>
      </c>
      <c r="M162">
        <f t="shared" si="7"/>
        <v>14.514921663664449</v>
      </c>
    </row>
    <row r="163" spans="9:13" x14ac:dyDescent="0.25">
      <c r="I163">
        <v>161</v>
      </c>
      <c r="J163">
        <v>7.2480250574874505E-4</v>
      </c>
      <c r="K163">
        <v>1.2634145516910601E-2</v>
      </c>
      <c r="L163">
        <f t="shared" si="6"/>
        <v>0.8663041348850431</v>
      </c>
      <c r="M163">
        <f t="shared" si="7"/>
        <v>14.150602776980147</v>
      </c>
    </row>
    <row r="164" spans="9:13" x14ac:dyDescent="0.25">
      <c r="I164">
        <v>162</v>
      </c>
      <c r="J164">
        <v>7.1775073084816895E-4</v>
      </c>
      <c r="K164">
        <v>1.23877031896623E-2</v>
      </c>
      <c r="L164">
        <f t="shared" si="6"/>
        <v>0.85790890229767713</v>
      </c>
      <c r="M164">
        <f t="shared" si="7"/>
        <v>13.893117755892636</v>
      </c>
    </row>
    <row r="165" spans="9:13" x14ac:dyDescent="0.25">
      <c r="I165">
        <v>163</v>
      </c>
      <c r="J165">
        <v>7.4539216204796998E-4</v>
      </c>
      <c r="K165">
        <v>1.17078913459015E-2</v>
      </c>
      <c r="L165">
        <f t="shared" si="6"/>
        <v>0.8908126678912609</v>
      </c>
      <c r="M165">
        <f t="shared" si="7"/>
        <v>13.179170402987683</v>
      </c>
    </row>
    <row r="166" spans="9:13" x14ac:dyDescent="0.25">
      <c r="I166">
        <v>164</v>
      </c>
      <c r="J166">
        <v>7.2817920332202796E-4</v>
      </c>
      <c r="K166">
        <v>1.26268680405793E-2</v>
      </c>
      <c r="L166">
        <f t="shared" si="6"/>
        <v>0.87032390789465452</v>
      </c>
      <c r="M166">
        <f t="shared" si="7"/>
        <v>14.143009332895296</v>
      </c>
    </row>
    <row r="167" spans="9:13" x14ac:dyDescent="0.25">
      <c r="I167">
        <v>165</v>
      </c>
      <c r="J167">
        <v>7.2344214069016604E-4</v>
      </c>
      <c r="K167">
        <v>1.2551786575092099E-2</v>
      </c>
      <c r="L167">
        <f t="shared" si="6"/>
        <v>0.86468465277173001</v>
      </c>
      <c r="M167">
        <f t="shared" si="7"/>
        <v>14.064632089204087</v>
      </c>
    </row>
    <row r="168" spans="9:13" x14ac:dyDescent="0.25">
      <c r="I168">
        <v>166</v>
      </c>
      <c r="J168">
        <v>7.1814616766695304E-4</v>
      </c>
      <c r="K168">
        <v>1.2061438265210301E-2</v>
      </c>
      <c r="L168">
        <f t="shared" si="6"/>
        <v>0.85837969238112821</v>
      </c>
      <c r="M168">
        <f t="shared" si="7"/>
        <v>13.55114440908347</v>
      </c>
    </row>
    <row r="169" spans="9:13" x14ac:dyDescent="0.25">
      <c r="I169">
        <v>167</v>
      </c>
      <c r="J169">
        <v>7.2586869278195502E-4</v>
      </c>
      <c r="K169">
        <v>1.18439055638305E-2</v>
      </c>
      <c r="L169">
        <f t="shared" si="6"/>
        <v>0.8675733881331138</v>
      </c>
      <c r="M169">
        <f t="shared" si="7"/>
        <v>13.322447063301491</v>
      </c>
    </row>
    <row r="170" spans="9:13" x14ac:dyDescent="0.25">
      <c r="I170">
        <v>168</v>
      </c>
      <c r="J170">
        <v>7.4769408328922602E-4</v>
      </c>
      <c r="K170">
        <v>1.11619123117392E-2</v>
      </c>
      <c r="L170">
        <f t="shared" si="6"/>
        <v>0.89355237388255571</v>
      </c>
      <c r="M170">
        <f t="shared" si="7"/>
        <v>12.601851435206978</v>
      </c>
    </row>
    <row r="171" spans="9:13" x14ac:dyDescent="0.25">
      <c r="I171">
        <v>169</v>
      </c>
      <c r="J171">
        <v>7.2734943664638796E-4</v>
      </c>
      <c r="K171">
        <v>1.1252928500140501E-2</v>
      </c>
      <c r="L171">
        <f t="shared" si="6"/>
        <v>0.86933613008604027</v>
      </c>
      <c r="M171">
        <f t="shared" si="7"/>
        <v>12.69833583320078</v>
      </c>
    </row>
    <row r="172" spans="9:13" x14ac:dyDescent="0.25">
      <c r="I172">
        <v>170</v>
      </c>
      <c r="J172">
        <v>7.0646884514367003E-4</v>
      </c>
      <c r="K172">
        <v>1.07287984905335E-2</v>
      </c>
      <c r="L172">
        <f t="shared" si="6"/>
        <v>0.8444763106851938</v>
      </c>
      <c r="M172">
        <f t="shared" si="7"/>
        <v>12.141375620779849</v>
      </c>
    </row>
    <row r="173" spans="9:13" x14ac:dyDescent="0.25">
      <c r="I173">
        <v>171</v>
      </c>
      <c r="J173">
        <v>7.1817035247584698E-4</v>
      </c>
      <c r="K173">
        <v>1.03143234795465E-2</v>
      </c>
      <c r="L173">
        <f t="shared" si="6"/>
        <v>0.858408485708817</v>
      </c>
      <c r="M173">
        <f t="shared" si="7"/>
        <v>11.698634729618117</v>
      </c>
    </row>
    <row r="174" spans="9:13" x14ac:dyDescent="0.25">
      <c r="I174">
        <v>172</v>
      </c>
      <c r="J174">
        <v>6.9773958817023697E-4</v>
      </c>
      <c r="K174">
        <v>1.03009489370666E-2</v>
      </c>
      <c r="L174">
        <f t="shared" si="6"/>
        <v>0.83408181970213713</v>
      </c>
      <c r="M174">
        <f t="shared" si="7"/>
        <v>11.684314084122304</v>
      </c>
    </row>
    <row r="175" spans="9:13" x14ac:dyDescent="0.25">
      <c r="I175">
        <v>173</v>
      </c>
      <c r="J175">
        <v>6.8156912857974497E-4</v>
      </c>
      <c r="K175">
        <v>9.5976210850578104E-3</v>
      </c>
      <c r="L175">
        <f t="shared" si="6"/>
        <v>0.81482396837897486</v>
      </c>
      <c r="M175">
        <f t="shared" si="7"/>
        <v>10.928226814668896</v>
      </c>
    </row>
    <row r="176" spans="9:13" x14ac:dyDescent="0.25">
      <c r="I176">
        <v>174</v>
      </c>
      <c r="J176">
        <v>7.6323457038328596E-4</v>
      </c>
      <c r="K176">
        <v>1.02091119741325E-2</v>
      </c>
      <c r="L176">
        <f t="shared" si="6"/>
        <v>0.91204657072555539</v>
      </c>
      <c r="M176">
        <f t="shared" si="7"/>
        <v>11.585923143987786</v>
      </c>
    </row>
    <row r="177" spans="9:13" x14ac:dyDescent="0.25">
      <c r="I177">
        <v>175</v>
      </c>
      <c r="J177">
        <v>7.2707493100011204E-4</v>
      </c>
      <c r="K177">
        <v>1.0126507834570499E-2</v>
      </c>
      <c r="L177">
        <f t="shared" si="6"/>
        <v>0.86900934878502145</v>
      </c>
      <c r="M177">
        <f t="shared" si="7"/>
        <v>11.497338105562161</v>
      </c>
    </row>
    <row r="178" spans="9:13" x14ac:dyDescent="0.25">
      <c r="I178">
        <v>176</v>
      </c>
      <c r="J178">
        <v>6.8691284063934896E-4</v>
      </c>
      <c r="K178">
        <v>9.5360967011912795E-3</v>
      </c>
      <c r="L178">
        <f t="shared" si="6"/>
        <v>0.82118832332918057</v>
      </c>
      <c r="M178">
        <f t="shared" si="7"/>
        <v>10.861805826832116</v>
      </c>
    </row>
    <row r="179" spans="9:13" x14ac:dyDescent="0.25">
      <c r="I179">
        <v>177</v>
      </c>
      <c r="J179">
        <v>6.8388496871650995E-4</v>
      </c>
      <c r="K179">
        <v>8.9978560604602898E-3</v>
      </c>
      <c r="L179">
        <f t="shared" si="6"/>
        <v>0.81758217729672733</v>
      </c>
      <c r="M179">
        <f t="shared" si="7"/>
        <v>10.278788645766479</v>
      </c>
    </row>
    <row r="180" spans="9:13" x14ac:dyDescent="0.25">
      <c r="I180">
        <v>178</v>
      </c>
      <c r="J180">
        <v>7.1075659139275898E-4</v>
      </c>
      <c r="K180">
        <v>9.3334802244732906E-3</v>
      </c>
      <c r="L180">
        <f t="shared" si="6"/>
        <v>0.84958164174165907</v>
      </c>
      <c r="M180">
        <f t="shared" si="7"/>
        <v>10.642742400647142</v>
      </c>
    </row>
    <row r="181" spans="9:13" x14ac:dyDescent="0.25">
      <c r="I181">
        <v>179</v>
      </c>
      <c r="J181">
        <v>7.1421009403176605E-4</v>
      </c>
      <c r="K181">
        <v>9.0545370592567502E-3</v>
      </c>
      <c r="L181">
        <f t="shared" si="6"/>
        <v>0.85369348093402575</v>
      </c>
      <c r="M181">
        <f t="shared" si="7"/>
        <v>10.340349219814282</v>
      </c>
    </row>
    <row r="182" spans="9:13" x14ac:dyDescent="0.25">
      <c r="I182">
        <v>180</v>
      </c>
      <c r="J182">
        <v>7.2543223209822197E-4</v>
      </c>
      <c r="K182">
        <v>1.0326058376391001E-2</v>
      </c>
      <c r="L182">
        <f t="shared" si="6"/>
        <v>0.8670538008532902</v>
      </c>
      <c r="M182">
        <f t="shared" si="7"/>
        <v>11.711197989215794</v>
      </c>
    </row>
    <row r="183" spans="9:13" x14ac:dyDescent="0.25">
      <c r="I183">
        <v>181</v>
      </c>
      <c r="J183">
        <v>7.4809932830955295E-4</v>
      </c>
      <c r="K183">
        <v>9.6132381957524903E-3</v>
      </c>
      <c r="L183">
        <f t="shared" si="6"/>
        <v>0.8940346821591727</v>
      </c>
      <c r="M183">
        <f t="shared" si="7"/>
        <v>10.945079638982335</v>
      </c>
    </row>
    <row r="184" spans="9:13" x14ac:dyDescent="0.25">
      <c r="I184">
        <v>182</v>
      </c>
      <c r="J184">
        <v>7.6310995062688698E-4</v>
      </c>
      <c r="K184">
        <v>1.0035421122599201E-2</v>
      </c>
      <c r="L184">
        <f t="shared" si="6"/>
        <v>0.91189827764204257</v>
      </c>
      <c r="M184">
        <f t="shared" si="7"/>
        <v>11.399562003623419</v>
      </c>
    </row>
    <row r="185" spans="9:13" x14ac:dyDescent="0.25">
      <c r="I185">
        <v>183</v>
      </c>
      <c r="J185">
        <v>7.73204261580947E-4</v>
      </c>
      <c r="K185">
        <v>1.0117603702727299E-2</v>
      </c>
      <c r="L185">
        <f t="shared" si="6"/>
        <v>0.92390948998366529</v>
      </c>
      <c r="M185">
        <f t="shared" si="7"/>
        <v>11.487784419787616</v>
      </c>
    </row>
    <row r="186" spans="9:13" x14ac:dyDescent="0.25">
      <c r="I186">
        <v>184</v>
      </c>
      <c r="J186">
        <v>7.8120599617419E-4</v>
      </c>
      <c r="K186">
        <v>9.5664686886869094E-3</v>
      </c>
      <c r="L186">
        <f t="shared" si="6"/>
        <v>0.93342979910508994</v>
      </c>
      <c r="M186">
        <f t="shared" si="7"/>
        <v>10.894600733035142</v>
      </c>
    </row>
    <row r="187" spans="9:13" x14ac:dyDescent="0.25">
      <c r="I187">
        <v>185</v>
      </c>
      <c r="J187">
        <v>7.4458067867638701E-4</v>
      </c>
      <c r="K187">
        <v>9.2791748185852806E-3</v>
      </c>
      <c r="L187">
        <f t="shared" si="6"/>
        <v>0.88984683816879517</v>
      </c>
      <c r="M187">
        <f t="shared" si="7"/>
        <v>10.583945071740164</v>
      </c>
    </row>
    <row r="188" spans="9:13" x14ac:dyDescent="0.25">
      <c r="I188">
        <v>186</v>
      </c>
      <c r="J188">
        <v>7.8546514318727004E-4</v>
      </c>
      <c r="K188">
        <v>9.3305531167998095E-3</v>
      </c>
      <c r="L188">
        <f t="shared" si="6"/>
        <v>0.9384969079000216</v>
      </c>
      <c r="M188">
        <f t="shared" si="7"/>
        <v>10.639574078394375</v>
      </c>
    </row>
    <row r="189" spans="9:13" x14ac:dyDescent="0.25">
      <c r="I189">
        <v>187</v>
      </c>
      <c r="J189">
        <v>8.0839024102372602E-4</v>
      </c>
      <c r="K189">
        <v>9.4095831101444899E-3</v>
      </c>
      <c r="L189">
        <f t="shared" si="6"/>
        <v>0.96576682469051711</v>
      </c>
      <c r="M189">
        <f t="shared" si="7"/>
        <v>10.725080574587032</v>
      </c>
    </row>
    <row r="190" spans="9:13" x14ac:dyDescent="0.25">
      <c r="I190">
        <v>188</v>
      </c>
      <c r="J190">
        <v>8.4504208879990705E-4</v>
      </c>
      <c r="K190">
        <v>9.5129221605628408E-3</v>
      </c>
      <c r="L190">
        <f t="shared" si="6"/>
        <v>1.009350722590352</v>
      </c>
      <c r="M190">
        <f t="shared" si="7"/>
        <v>10.836775100724649</v>
      </c>
    </row>
    <row r="191" spans="9:13" x14ac:dyDescent="0.25">
      <c r="I191">
        <v>189</v>
      </c>
      <c r="J191">
        <v>8.1970876338974296E-4</v>
      </c>
      <c r="K191">
        <v>9.3176504351016095E-3</v>
      </c>
      <c r="L191">
        <f t="shared" si="6"/>
        <v>0.97922792271000203</v>
      </c>
      <c r="M191">
        <f t="shared" si="7"/>
        <v>10.625606896123729</v>
      </c>
    </row>
    <row r="192" spans="9:13" x14ac:dyDescent="0.25">
      <c r="I192">
        <v>190</v>
      </c>
      <c r="J192">
        <v>8.7351266101187003E-4</v>
      </c>
      <c r="K192">
        <v>9.5614901981099596E-3</v>
      </c>
      <c r="L192">
        <f t="shared" si="6"/>
        <v>1.0431938668520657</v>
      </c>
      <c r="M192">
        <f t="shared" si="7"/>
        <v>10.889225842453332</v>
      </c>
    </row>
    <row r="193" spans="9:13" x14ac:dyDescent="0.25">
      <c r="I193">
        <v>191</v>
      </c>
      <c r="J193">
        <v>8.2477269017616403E-4</v>
      </c>
      <c r="K193">
        <v>9.8226145507234203E-3</v>
      </c>
      <c r="L193">
        <f t="shared" si="6"/>
        <v>0.98524989853437939</v>
      </c>
      <c r="M193">
        <f t="shared" si="7"/>
        <v>11.170740926295853</v>
      </c>
    </row>
    <row r="194" spans="9:13" x14ac:dyDescent="0.25">
      <c r="I194">
        <v>192</v>
      </c>
      <c r="J194">
        <v>8.7567357727689197E-4</v>
      </c>
      <c r="K194">
        <v>9.5223538907107993E-3</v>
      </c>
      <c r="L194">
        <f t="shared" si="6"/>
        <v>1.0457621281997787</v>
      </c>
      <c r="M194">
        <f t="shared" si="7"/>
        <v>10.846963051114134</v>
      </c>
    </row>
    <row r="195" spans="9:13" x14ac:dyDescent="0.25">
      <c r="I195">
        <v>193</v>
      </c>
      <c r="J195">
        <v>8.4449524672015398E-4</v>
      </c>
      <c r="K195">
        <v>9.5562074558326205E-3</v>
      </c>
      <c r="L195">
        <f t="shared" ref="L195:L258" si="8">100*(1-(1-J195)^12)</f>
        <v>1.0087005842104313</v>
      </c>
      <c r="M195">
        <f t="shared" ref="M195:M258" si="9">100*(1-(1-K195)^12)</f>
        <v>10.883522149885339</v>
      </c>
    </row>
    <row r="196" spans="9:13" x14ac:dyDescent="0.25">
      <c r="I196">
        <v>194</v>
      </c>
      <c r="J196">
        <v>8.64848775987654E-4</v>
      </c>
      <c r="K196">
        <v>9.3957239151397001E-3</v>
      </c>
      <c r="L196">
        <f t="shared" si="8"/>
        <v>1.0328961763107825</v>
      </c>
      <c r="M196">
        <f t="shared" si="9"/>
        <v>10.710091044599658</v>
      </c>
    </row>
    <row r="197" spans="9:13" x14ac:dyDescent="0.25">
      <c r="I197">
        <v>195</v>
      </c>
      <c r="J197">
        <v>8.6754889204133402E-4</v>
      </c>
      <c r="K197">
        <v>1.00169029878902E-2</v>
      </c>
      <c r="L197">
        <f t="shared" si="8"/>
        <v>1.0361055762842741</v>
      </c>
      <c r="M197">
        <f t="shared" si="9"/>
        <v>11.379671793100709</v>
      </c>
    </row>
    <row r="198" spans="9:13" x14ac:dyDescent="0.25">
      <c r="I198">
        <v>196</v>
      </c>
      <c r="J198">
        <v>8.8409128781966398E-4</v>
      </c>
      <c r="K198">
        <v>9.5310356314333208E-3</v>
      </c>
      <c r="L198">
        <f t="shared" si="8"/>
        <v>1.0557660427761628</v>
      </c>
      <c r="M198">
        <f t="shared" si="9"/>
        <v>10.856339935996628</v>
      </c>
    </row>
    <row r="199" spans="9:13" x14ac:dyDescent="0.25">
      <c r="I199">
        <v>197</v>
      </c>
      <c r="J199">
        <v>9.0641527676912405E-4</v>
      </c>
      <c r="K199">
        <v>9.7242270476010605E-3</v>
      </c>
      <c r="L199">
        <f t="shared" si="8"/>
        <v>1.0822921970535027</v>
      </c>
      <c r="M199">
        <f t="shared" si="9"/>
        <v>11.06476637729844</v>
      </c>
    </row>
    <row r="200" spans="9:13" x14ac:dyDescent="0.25">
      <c r="I200">
        <v>198</v>
      </c>
      <c r="J200">
        <v>9.3671146632279495E-4</v>
      </c>
      <c r="K200">
        <v>9.9147328646754605E-3</v>
      </c>
      <c r="L200">
        <f t="shared" si="8"/>
        <v>1.1182807760245161</v>
      </c>
      <c r="M200">
        <f t="shared" si="9"/>
        <v>11.269857905269266</v>
      </c>
    </row>
    <row r="201" spans="9:13" x14ac:dyDescent="0.25">
      <c r="I201">
        <v>199</v>
      </c>
      <c r="J201">
        <v>9.6419407195598103E-4</v>
      </c>
      <c r="K201">
        <v>1.0020799401862301E-2</v>
      </c>
      <c r="L201">
        <f t="shared" si="8"/>
        <v>1.1509167406706711</v>
      </c>
      <c r="M201">
        <f t="shared" si="9"/>
        <v>11.383857246505723</v>
      </c>
    </row>
    <row r="202" spans="9:13" x14ac:dyDescent="0.25">
      <c r="I202">
        <v>200</v>
      </c>
      <c r="J202">
        <v>9.6621629052726999E-4</v>
      </c>
      <c r="K202">
        <v>9.6765560486136108E-3</v>
      </c>
      <c r="L202">
        <f t="shared" si="8"/>
        <v>1.1533177624398872</v>
      </c>
      <c r="M202">
        <f t="shared" si="9"/>
        <v>11.013377611851361</v>
      </c>
    </row>
    <row r="203" spans="9:13" x14ac:dyDescent="0.25">
      <c r="I203">
        <v>201</v>
      </c>
      <c r="J203">
        <v>9.3271743663094701E-4</v>
      </c>
      <c r="K203">
        <v>9.5668199229863408E-3</v>
      </c>
      <c r="L203">
        <f t="shared" si="8"/>
        <v>1.1135369899883729</v>
      </c>
      <c r="M203">
        <f t="shared" si="9"/>
        <v>10.89497992227445</v>
      </c>
    </row>
    <row r="204" spans="9:13" x14ac:dyDescent="0.25">
      <c r="I204">
        <v>202</v>
      </c>
      <c r="J204">
        <v>9.8275234034773105E-4</v>
      </c>
      <c r="K204">
        <v>9.6989947525414101E-3</v>
      </c>
      <c r="L204">
        <f t="shared" si="8"/>
        <v>1.17294934922062</v>
      </c>
      <c r="M204">
        <f t="shared" si="9"/>
        <v>11.037569655440594</v>
      </c>
    </row>
    <row r="205" spans="9:13" x14ac:dyDescent="0.25">
      <c r="I205">
        <v>203</v>
      </c>
      <c r="J205">
        <v>9.4259886140806402E-4</v>
      </c>
      <c r="K205">
        <v>9.4389973093226796E-3</v>
      </c>
      <c r="L205">
        <f t="shared" si="8"/>
        <v>1.1252729682497575</v>
      </c>
      <c r="M205">
        <f t="shared" si="9"/>
        <v>10.756886108773633</v>
      </c>
    </row>
    <row r="206" spans="9:13" x14ac:dyDescent="0.25">
      <c r="I206">
        <v>204</v>
      </c>
      <c r="J206">
        <v>9.4666642534604298E-4</v>
      </c>
      <c r="K206">
        <v>9.1532893214828007E-3</v>
      </c>
      <c r="L206">
        <f t="shared" si="8"/>
        <v>1.130103564784013</v>
      </c>
      <c r="M206">
        <f t="shared" si="9"/>
        <v>10.447510419177075</v>
      </c>
    </row>
    <row r="207" spans="9:13" x14ac:dyDescent="0.25">
      <c r="I207">
        <v>205</v>
      </c>
      <c r="J207">
        <v>9.9452685817813199E-4</v>
      </c>
      <c r="K207">
        <v>9.7966850502813705E-3</v>
      </c>
      <c r="L207">
        <f t="shared" si="8"/>
        <v>1.1869258699788277</v>
      </c>
      <c r="M207">
        <f t="shared" si="9"/>
        <v>11.142823139697466</v>
      </c>
    </row>
    <row r="208" spans="9:13" x14ac:dyDescent="0.25">
      <c r="I208">
        <v>206</v>
      </c>
      <c r="J208">
        <v>9.8564447689396999E-4</v>
      </c>
      <c r="K208">
        <v>9.7776858083336703E-3</v>
      </c>
      <c r="L208">
        <f t="shared" si="8"/>
        <v>1.1763825244699544</v>
      </c>
      <c r="M208">
        <f t="shared" si="9"/>
        <v>11.122361921540802</v>
      </c>
    </row>
    <row r="209" spans="9:13" x14ac:dyDescent="0.25">
      <c r="I209">
        <v>207</v>
      </c>
      <c r="J209">
        <v>9.8419023749448807E-4</v>
      </c>
      <c r="K209">
        <v>9.6522465554176005E-3</v>
      </c>
      <c r="L209">
        <f t="shared" si="8"/>
        <v>1.1746562507930935</v>
      </c>
      <c r="M209">
        <f t="shared" si="9"/>
        <v>10.987161791774591</v>
      </c>
    </row>
    <row r="210" spans="9:13" x14ac:dyDescent="0.25">
      <c r="I210">
        <v>208</v>
      </c>
      <c r="J210">
        <v>1.00860154424972E-3</v>
      </c>
      <c r="K210">
        <v>8.7706598006139294E-3</v>
      </c>
      <c r="L210">
        <f t="shared" si="8"/>
        <v>1.2036303458607067</v>
      </c>
      <c r="M210">
        <f t="shared" si="9"/>
        <v>10.031644319832234</v>
      </c>
    </row>
    <row r="211" spans="9:13" x14ac:dyDescent="0.25">
      <c r="I211">
        <v>209</v>
      </c>
      <c r="J211">
        <v>9.9465123054851999E-4</v>
      </c>
      <c r="K211">
        <v>9.3702448635224807E-3</v>
      </c>
      <c r="L211">
        <f t="shared" si="8"/>
        <v>1.1870734920870651</v>
      </c>
      <c r="M211">
        <f t="shared" si="9"/>
        <v>10.682527940559417</v>
      </c>
    </row>
    <row r="212" spans="9:13" x14ac:dyDescent="0.25">
      <c r="I212">
        <v>210</v>
      </c>
      <c r="J212">
        <v>9.8315758682026894E-4</v>
      </c>
      <c r="K212">
        <v>8.5563143762786807E-3</v>
      </c>
      <c r="L212">
        <f t="shared" si="8"/>
        <v>1.1734304126785888</v>
      </c>
      <c r="M212">
        <f t="shared" si="9"/>
        <v>9.7979072030388465</v>
      </c>
    </row>
    <row r="213" spans="9:13" x14ac:dyDescent="0.25">
      <c r="I213">
        <v>211</v>
      </c>
      <c r="J213">
        <v>9.7970178738252499E-4</v>
      </c>
      <c r="K213">
        <v>9.4228943589183007E-3</v>
      </c>
      <c r="L213">
        <f t="shared" si="8"/>
        <v>1.1693280037473164</v>
      </c>
      <c r="M213">
        <f t="shared" si="9"/>
        <v>10.739475296969204</v>
      </c>
    </row>
    <row r="214" spans="9:13" x14ac:dyDescent="0.25">
      <c r="I214">
        <v>212</v>
      </c>
      <c r="J214">
        <v>1.0288152823153299E-3</v>
      </c>
      <c r="K214">
        <v>8.8713785215947197E-3</v>
      </c>
      <c r="L214">
        <f t="shared" si="8"/>
        <v>1.2276163987070876</v>
      </c>
      <c r="M214">
        <f t="shared" si="9"/>
        <v>10.141283149132752</v>
      </c>
    </row>
    <row r="215" spans="9:13" x14ac:dyDescent="0.25">
      <c r="I215">
        <v>213</v>
      </c>
      <c r="J215">
        <v>1.0341997341171E-3</v>
      </c>
      <c r="K215">
        <v>9.4616210836354197E-3</v>
      </c>
      <c r="L215">
        <f t="shared" si="8"/>
        <v>1.2340048036703855</v>
      </c>
      <c r="M215">
        <f t="shared" si="9"/>
        <v>10.781342098377522</v>
      </c>
    </row>
    <row r="216" spans="9:13" x14ac:dyDescent="0.25">
      <c r="I216">
        <v>214</v>
      </c>
      <c r="J216">
        <v>9.9090066977646396E-4</v>
      </c>
      <c r="K216">
        <v>8.8723630177228105E-3</v>
      </c>
      <c r="L216">
        <f t="shared" si="8"/>
        <v>1.1826217256702631</v>
      </c>
      <c r="M216">
        <f t="shared" si="9"/>
        <v>10.142354232020567</v>
      </c>
    </row>
    <row r="217" spans="9:13" x14ac:dyDescent="0.25">
      <c r="I217">
        <v>215</v>
      </c>
      <c r="J217">
        <v>1.04521250882992E-3</v>
      </c>
      <c r="K217">
        <v>8.9912248461125801E-3</v>
      </c>
      <c r="L217">
        <f t="shared" si="8"/>
        <v>1.2470697759461746</v>
      </c>
      <c r="M217">
        <f t="shared" si="9"/>
        <v>10.271584029900982</v>
      </c>
    </row>
    <row r="218" spans="9:13" x14ac:dyDescent="0.25">
      <c r="I218">
        <v>216</v>
      </c>
      <c r="J218">
        <v>1.00240199395956E-3</v>
      </c>
      <c r="K218">
        <v>9.3740019184993199E-3</v>
      </c>
      <c r="L218">
        <f t="shared" si="8"/>
        <v>1.1962727573674115</v>
      </c>
      <c r="M218">
        <f t="shared" si="9"/>
        <v>10.686592793061811</v>
      </c>
    </row>
    <row r="219" spans="9:13" x14ac:dyDescent="0.25">
      <c r="I219">
        <v>217</v>
      </c>
      <c r="J219">
        <v>1.0568748389759299E-3</v>
      </c>
      <c r="K219">
        <v>9.2047631279766201E-3</v>
      </c>
      <c r="L219">
        <f t="shared" si="8"/>
        <v>1.2609036191900458</v>
      </c>
      <c r="M219">
        <f t="shared" si="9"/>
        <v>10.503320755553657</v>
      </c>
    </row>
    <row r="220" spans="9:13" x14ac:dyDescent="0.25">
      <c r="I220">
        <v>218</v>
      </c>
      <c r="J220">
        <v>1.08050482669439E-3</v>
      </c>
      <c r="K220">
        <v>9.6001858183144499E-3</v>
      </c>
      <c r="L220">
        <f t="shared" si="8"/>
        <v>1.2889280387331725</v>
      </c>
      <c r="M220">
        <f t="shared" si="9"/>
        <v>10.930994684659401</v>
      </c>
    </row>
    <row r="221" spans="9:13" x14ac:dyDescent="0.25">
      <c r="I221">
        <v>219</v>
      </c>
      <c r="J221">
        <v>1.08497463939094E-3</v>
      </c>
      <c r="K221">
        <v>8.9798819108421902E-3</v>
      </c>
      <c r="L221">
        <f t="shared" si="8"/>
        <v>1.2942282753951928</v>
      </c>
      <c r="M221">
        <f t="shared" si="9"/>
        <v>10.259259040892966</v>
      </c>
    </row>
    <row r="222" spans="9:13" x14ac:dyDescent="0.25">
      <c r="I222">
        <v>220</v>
      </c>
      <c r="J222">
        <v>1.08331256467345E-3</v>
      </c>
      <c r="K222">
        <v>9.3855313442070092E-3</v>
      </c>
      <c r="L222">
        <f t="shared" si="8"/>
        <v>1.2922574426637023</v>
      </c>
      <c r="M222">
        <f t="shared" si="9"/>
        <v>10.699065710782973</v>
      </c>
    </row>
    <row r="223" spans="9:13" x14ac:dyDescent="0.25">
      <c r="I223">
        <v>221</v>
      </c>
      <c r="J223">
        <v>1.0481673111423599E-3</v>
      </c>
      <c r="K223">
        <v>9.0583663484108193E-3</v>
      </c>
      <c r="L223">
        <f t="shared" si="8"/>
        <v>1.2505749272491484</v>
      </c>
      <c r="M223">
        <f t="shared" si="9"/>
        <v>10.344506769679873</v>
      </c>
    </row>
    <row r="224" spans="9:13" x14ac:dyDescent="0.25">
      <c r="I224">
        <v>222</v>
      </c>
      <c r="J224">
        <v>1.12268051168344E-3</v>
      </c>
      <c r="K224">
        <v>9.2414164939282097E-3</v>
      </c>
      <c r="L224">
        <f t="shared" si="8"/>
        <v>1.3389289502850787</v>
      </c>
      <c r="M224">
        <f t="shared" si="9"/>
        <v>10.54304263213367</v>
      </c>
    </row>
    <row r="225" spans="9:13" x14ac:dyDescent="0.25">
      <c r="I225">
        <v>223</v>
      </c>
      <c r="J225">
        <v>1.11526003707186E-3</v>
      </c>
      <c r="K225">
        <v>8.2160817462642796E-3</v>
      </c>
      <c r="L225">
        <f t="shared" si="8"/>
        <v>1.3301333730228015</v>
      </c>
      <c r="M225">
        <f t="shared" si="9"/>
        <v>9.4257506805089157</v>
      </c>
    </row>
    <row r="226" spans="9:13" x14ac:dyDescent="0.25">
      <c r="I226">
        <v>224</v>
      </c>
      <c r="J226">
        <v>1.05452051630913E-3</v>
      </c>
      <c r="K226">
        <v>8.8173448527249093E-3</v>
      </c>
      <c r="L226">
        <f t="shared" si="8"/>
        <v>1.2581110673398177</v>
      </c>
      <c r="M226">
        <f t="shared" si="9"/>
        <v>10.082479250086053</v>
      </c>
    </row>
    <row r="227" spans="9:13" x14ac:dyDescent="0.25">
      <c r="I227">
        <v>225</v>
      </c>
      <c r="J227">
        <v>1.0755395513061101E-3</v>
      </c>
      <c r="K227">
        <v>8.7343038411799804E-3</v>
      </c>
      <c r="L227">
        <f t="shared" si="8"/>
        <v>1.2830399839924178</v>
      </c>
      <c r="M227">
        <f t="shared" si="9"/>
        <v>9.9920384002295854</v>
      </c>
    </row>
    <row r="228" spans="9:13" x14ac:dyDescent="0.25">
      <c r="I228">
        <v>226</v>
      </c>
      <c r="J228">
        <v>1.02584933438665E-3</v>
      </c>
      <c r="K228">
        <v>8.7870941223783094E-3</v>
      </c>
      <c r="L228">
        <f t="shared" si="8"/>
        <v>1.2240972758149615</v>
      </c>
      <c r="M228">
        <f t="shared" si="9"/>
        <v>10.049542507766562</v>
      </c>
    </row>
    <row r="229" spans="9:13" x14ac:dyDescent="0.25">
      <c r="I229">
        <v>227</v>
      </c>
      <c r="J229">
        <v>1.0719536349181099E-3</v>
      </c>
      <c r="K229">
        <v>8.64500749024847E-3</v>
      </c>
      <c r="L229">
        <f t="shared" si="8"/>
        <v>1.2787874371633756</v>
      </c>
      <c r="M229">
        <f t="shared" si="9"/>
        <v>9.8946917542172663</v>
      </c>
    </row>
    <row r="230" spans="9:13" x14ac:dyDescent="0.25">
      <c r="I230">
        <v>228</v>
      </c>
      <c r="J230">
        <v>1.05670182282847E-3</v>
      </c>
      <c r="K230">
        <v>8.2526320846867899E-3</v>
      </c>
      <c r="L230">
        <f t="shared" si="8"/>
        <v>1.2606984006076405</v>
      </c>
      <c r="M230">
        <f t="shared" si="9"/>
        <v>9.4657978940604579</v>
      </c>
    </row>
    <row r="231" spans="9:13" x14ac:dyDescent="0.25">
      <c r="I231">
        <v>229</v>
      </c>
      <c r="J231">
        <v>1.05579196885992E-3</v>
      </c>
      <c r="K231">
        <v>8.6695807527023706E-3</v>
      </c>
      <c r="L231">
        <f t="shared" si="8"/>
        <v>1.2596191946632973</v>
      </c>
      <c r="M231">
        <f t="shared" si="9"/>
        <v>9.921489979679766</v>
      </c>
    </row>
    <row r="232" spans="9:13" x14ac:dyDescent="0.25">
      <c r="I232">
        <v>230</v>
      </c>
      <c r="J232">
        <v>1.0620826749966801E-3</v>
      </c>
      <c r="K232">
        <v>8.0533457667872291E-3</v>
      </c>
      <c r="L232">
        <f t="shared" si="8"/>
        <v>1.2670805748032143</v>
      </c>
      <c r="M232">
        <f t="shared" si="9"/>
        <v>9.2472481070769774</v>
      </c>
    </row>
    <row r="233" spans="9:13" x14ac:dyDescent="0.25">
      <c r="I233">
        <v>231</v>
      </c>
      <c r="J233">
        <v>9.5607217746959401E-4</v>
      </c>
      <c r="K233">
        <v>7.1136976896107604E-3</v>
      </c>
      <c r="L233">
        <f t="shared" si="8"/>
        <v>1.1412729094676721</v>
      </c>
      <c r="M233">
        <f t="shared" si="9"/>
        <v>8.2102406142861568</v>
      </c>
    </row>
    <row r="234" spans="9:13" x14ac:dyDescent="0.25">
      <c r="I234">
        <v>232</v>
      </c>
      <c r="J234">
        <v>9.6625068100098996E-4</v>
      </c>
      <c r="K234">
        <v>7.8470162587521604E-3</v>
      </c>
      <c r="L234">
        <f t="shared" si="8"/>
        <v>1.1533585944954239</v>
      </c>
      <c r="M234">
        <f t="shared" si="9"/>
        <v>9.0204648548719568</v>
      </c>
    </row>
    <row r="235" spans="9:13" x14ac:dyDescent="0.25">
      <c r="I235">
        <v>233</v>
      </c>
      <c r="J235">
        <v>9.4464082981707601E-4</v>
      </c>
      <c r="K235">
        <v>7.1945215533889299E-3</v>
      </c>
      <c r="L235">
        <f t="shared" si="8"/>
        <v>1.1276980156898486</v>
      </c>
      <c r="M235">
        <f t="shared" si="9"/>
        <v>8.2998639563500181</v>
      </c>
    </row>
    <row r="236" spans="9:13" x14ac:dyDescent="0.25">
      <c r="I236">
        <v>234</v>
      </c>
      <c r="J236">
        <v>9.1431774243031102E-4</v>
      </c>
      <c r="K236">
        <v>6.7570057179680296E-3</v>
      </c>
      <c r="L236">
        <f t="shared" si="8"/>
        <v>1.0916806242762589</v>
      </c>
      <c r="M236">
        <f t="shared" si="9"/>
        <v>7.8137548688080427</v>
      </c>
    </row>
    <row r="237" spans="9:13" x14ac:dyDescent="0.25">
      <c r="I237">
        <v>235</v>
      </c>
      <c r="J237">
        <v>1.0444689046661901E-3</v>
      </c>
      <c r="K237">
        <v>6.41029345603509E-3</v>
      </c>
      <c r="L237">
        <f t="shared" si="8"/>
        <v>1.2461876532516181</v>
      </c>
      <c r="M237">
        <f t="shared" si="9"/>
        <v>7.4268581645702936</v>
      </c>
    </row>
    <row r="238" spans="9:13" x14ac:dyDescent="0.25">
      <c r="I238">
        <v>236</v>
      </c>
      <c r="J238">
        <v>9.57636260620943E-4</v>
      </c>
      <c r="K238">
        <v>6.7475916572594004E-3</v>
      </c>
      <c r="L238">
        <f t="shared" si="8"/>
        <v>1.143130148378102</v>
      </c>
      <c r="M238">
        <f t="shared" si="9"/>
        <v>7.8032693120399959</v>
      </c>
    </row>
    <row r="239" spans="9:13" x14ac:dyDescent="0.25">
      <c r="I239">
        <v>237</v>
      </c>
      <c r="J239">
        <v>9.2174638268437299E-4</v>
      </c>
      <c r="K239">
        <v>6.1250542516748203E-3</v>
      </c>
      <c r="L239">
        <f t="shared" si="8"/>
        <v>1.1005053842204959</v>
      </c>
      <c r="M239">
        <f t="shared" si="9"/>
        <v>7.1074439635953057</v>
      </c>
    </row>
    <row r="240" spans="9:13" x14ac:dyDescent="0.25">
      <c r="I240">
        <v>238</v>
      </c>
      <c r="J240">
        <v>9.0729949935826196E-4</v>
      </c>
      <c r="K240">
        <v>5.9403332473078304E-3</v>
      </c>
      <c r="L240">
        <f t="shared" si="8"/>
        <v>1.0833427274218432</v>
      </c>
      <c r="M240">
        <f t="shared" si="9"/>
        <v>6.9000525875272505</v>
      </c>
    </row>
    <row r="241" spans="9:13" x14ac:dyDescent="0.25">
      <c r="I241">
        <v>239</v>
      </c>
      <c r="J241">
        <v>9.9897965045020595E-4</v>
      </c>
      <c r="K241">
        <v>6.85191617441816E-3</v>
      </c>
      <c r="L241">
        <f t="shared" si="8"/>
        <v>1.1922109257890723</v>
      </c>
      <c r="M241">
        <f t="shared" si="9"/>
        <v>7.919406860614564</v>
      </c>
    </row>
    <row r="242" spans="9:13" x14ac:dyDescent="0.25">
      <c r="I242">
        <v>240</v>
      </c>
      <c r="J242">
        <v>1.08931114640058E-3</v>
      </c>
      <c r="K242">
        <v>7.1903902961024096E-3</v>
      </c>
      <c r="L242">
        <f t="shared" si="8"/>
        <v>1.2993701908548427</v>
      </c>
      <c r="M242">
        <f t="shared" si="9"/>
        <v>8.2952848656761784</v>
      </c>
    </row>
    <row r="243" spans="9:13" x14ac:dyDescent="0.25">
      <c r="I243">
        <v>241</v>
      </c>
      <c r="J243">
        <v>1.22844281257073E-3</v>
      </c>
      <c r="K243">
        <v>7.8718506423493401E-3</v>
      </c>
      <c r="L243">
        <f t="shared" si="8"/>
        <v>1.4642121728544844</v>
      </c>
      <c r="M243">
        <f t="shared" si="9"/>
        <v>9.0477885803677651</v>
      </c>
    </row>
    <row r="244" spans="9:13" x14ac:dyDescent="0.25">
      <c r="I244">
        <v>242</v>
      </c>
      <c r="J244">
        <v>1.20663007906954E-3</v>
      </c>
      <c r="K244">
        <v>8.4990518698444401E-3</v>
      </c>
      <c r="L244">
        <f t="shared" si="8"/>
        <v>1.4383853291908499</v>
      </c>
      <c r="M244">
        <f t="shared" si="9"/>
        <v>9.7353700472195381</v>
      </c>
    </row>
    <row r="245" spans="9:13" x14ac:dyDescent="0.25">
      <c r="I245">
        <v>243</v>
      </c>
      <c r="J245">
        <v>1.18565506143072E-3</v>
      </c>
      <c r="K245">
        <v>7.8504926897188208E-3</v>
      </c>
      <c r="L245">
        <f t="shared" si="8"/>
        <v>1.4135445106663869</v>
      </c>
      <c r="M245">
        <f t="shared" si="9"/>
        <v>9.0242902082187992</v>
      </c>
    </row>
    <row r="246" spans="9:13" x14ac:dyDescent="0.25">
      <c r="I246">
        <v>244</v>
      </c>
      <c r="J246">
        <v>1.24452063690532E-3</v>
      </c>
      <c r="K246">
        <v>8.3868267481149294E-3</v>
      </c>
      <c r="L246">
        <f t="shared" si="8"/>
        <v>1.4832447632783463</v>
      </c>
      <c r="M246">
        <f t="shared" si="9"/>
        <v>9.6126921898472837</v>
      </c>
    </row>
    <row r="247" spans="9:13" x14ac:dyDescent="0.25">
      <c r="I247">
        <v>245</v>
      </c>
      <c r="J247">
        <v>1.36141778645152E-3</v>
      </c>
      <c r="K247">
        <v>8.9907835510902399E-3</v>
      </c>
      <c r="L247">
        <f t="shared" si="8"/>
        <v>1.6215238619815331</v>
      </c>
      <c r="M247">
        <f t="shared" si="9"/>
        <v>10.27110455725092</v>
      </c>
    </row>
    <row r="248" spans="9:13" x14ac:dyDescent="0.25">
      <c r="I248">
        <v>246</v>
      </c>
      <c r="J248">
        <v>1.39809586124953E-3</v>
      </c>
      <c r="K248">
        <v>8.6091085984014003E-3</v>
      </c>
      <c r="L248">
        <f t="shared" si="8"/>
        <v>1.6648741313646909</v>
      </c>
      <c r="M248">
        <f t="shared" si="9"/>
        <v>9.855529294086951</v>
      </c>
    </row>
    <row r="249" spans="9:13" x14ac:dyDescent="0.25">
      <c r="I249">
        <v>247</v>
      </c>
      <c r="J249">
        <v>1.4025507927574901E-3</v>
      </c>
      <c r="K249">
        <v>9.2491774736008503E-3</v>
      </c>
      <c r="L249">
        <f t="shared" si="8"/>
        <v>1.6701382771680873</v>
      </c>
      <c r="M249">
        <f t="shared" si="9"/>
        <v>10.551451264407419</v>
      </c>
    </row>
    <row r="250" spans="9:13" x14ac:dyDescent="0.25">
      <c r="I250">
        <v>248</v>
      </c>
      <c r="J250">
        <v>1.29576723738015E-3</v>
      </c>
      <c r="K250">
        <v>8.6970731229739692E-3</v>
      </c>
      <c r="L250">
        <f t="shared" si="8"/>
        <v>1.5438869249726705</v>
      </c>
      <c r="M250">
        <f t="shared" si="9"/>
        <v>9.9514629614494527</v>
      </c>
    </row>
    <row r="251" spans="9:13" x14ac:dyDescent="0.25">
      <c r="I251">
        <v>249</v>
      </c>
      <c r="J251">
        <v>1.39111371798665E-3</v>
      </c>
      <c r="K251">
        <v>9.0508530330490299E-3</v>
      </c>
      <c r="L251">
        <f t="shared" si="8"/>
        <v>1.6566231996864689</v>
      </c>
      <c r="M251">
        <f t="shared" si="9"/>
        <v>10.336349218567786</v>
      </c>
    </row>
    <row r="252" spans="9:13" x14ac:dyDescent="0.25">
      <c r="I252">
        <v>250</v>
      </c>
      <c r="J252">
        <v>1.36062208828571E-3</v>
      </c>
      <c r="K252">
        <v>8.1591763745171592E-3</v>
      </c>
      <c r="L252">
        <f t="shared" si="8"/>
        <v>1.6205832223852745</v>
      </c>
      <c r="M252">
        <f t="shared" si="9"/>
        <v>9.3633686871522741</v>
      </c>
    </row>
    <row r="253" spans="9:13" x14ac:dyDescent="0.25">
      <c r="I253">
        <v>251</v>
      </c>
      <c r="J253">
        <v>1.39148768441405E-3</v>
      </c>
      <c r="K253">
        <v>8.4731897612027804E-3</v>
      </c>
      <c r="L253">
        <f t="shared" si="8"/>
        <v>1.6570651390208524</v>
      </c>
      <c r="M253">
        <f t="shared" si="9"/>
        <v>9.707112663101892</v>
      </c>
    </row>
    <row r="254" spans="9:13" x14ac:dyDescent="0.25">
      <c r="I254">
        <v>252</v>
      </c>
      <c r="J254">
        <v>1.43281727325214E-3</v>
      </c>
      <c r="K254">
        <v>8.6991457356208994E-3</v>
      </c>
      <c r="L254">
        <f t="shared" si="8"/>
        <v>1.7058956620521593</v>
      </c>
      <c r="M254">
        <f t="shared" si="9"/>
        <v>9.9537222134152614</v>
      </c>
    </row>
    <row r="255" spans="9:13" x14ac:dyDescent="0.25">
      <c r="I255">
        <v>253</v>
      </c>
      <c r="J255">
        <v>1.4224762542384801E-3</v>
      </c>
      <c r="K255">
        <v>9.1893260218691708E-3</v>
      </c>
      <c r="L255">
        <f t="shared" si="8"/>
        <v>1.6936799299560157</v>
      </c>
      <c r="M255">
        <f t="shared" si="9"/>
        <v>10.486586462785707</v>
      </c>
    </row>
    <row r="256" spans="9:13" x14ac:dyDescent="0.25">
      <c r="I256">
        <v>254</v>
      </c>
      <c r="J256">
        <v>1.5412672233023901E-3</v>
      </c>
      <c r="K256">
        <v>8.2882126904616701E-3</v>
      </c>
      <c r="L256">
        <f t="shared" si="8"/>
        <v>1.8339226069310599</v>
      </c>
      <c r="M256">
        <f t="shared" si="9"/>
        <v>9.5047670062693328</v>
      </c>
    </row>
    <row r="257" spans="9:13" x14ac:dyDescent="0.25">
      <c r="I257">
        <v>255</v>
      </c>
      <c r="J257">
        <v>1.5311686106886499E-3</v>
      </c>
      <c r="K257">
        <v>8.2666141877482703E-3</v>
      </c>
      <c r="L257">
        <f t="shared" si="8"/>
        <v>1.8220074865182179</v>
      </c>
      <c r="M257">
        <f t="shared" si="9"/>
        <v>9.4811134121060903</v>
      </c>
    </row>
    <row r="258" spans="9:13" x14ac:dyDescent="0.25">
      <c r="I258">
        <v>256</v>
      </c>
      <c r="J258">
        <v>1.5158725894490301E-3</v>
      </c>
      <c r="K258">
        <v>8.3173145993370792E-3</v>
      </c>
      <c r="L258">
        <f t="shared" si="8"/>
        <v>1.8039575386419204</v>
      </c>
      <c r="M258">
        <f t="shared" si="9"/>
        <v>9.5366289933158104</v>
      </c>
    </row>
    <row r="259" spans="9:13" x14ac:dyDescent="0.25">
      <c r="I259">
        <v>257</v>
      </c>
      <c r="J259">
        <v>1.50604176195655E-3</v>
      </c>
      <c r="K259">
        <v>8.7239494264285799E-3</v>
      </c>
      <c r="L259">
        <f t="shared" ref="L259:L322" si="10">100*(1-(1-J259)^12)</f>
        <v>1.7923551433193352</v>
      </c>
      <c r="M259">
        <f t="shared" ref="M259:M322" si="11">100*(1-(1-K259)^12)</f>
        <v>9.9807554518046011</v>
      </c>
    </row>
    <row r="260" spans="9:13" x14ac:dyDescent="0.25">
      <c r="I260">
        <v>258</v>
      </c>
      <c r="J260">
        <v>1.5438671255995301E-3</v>
      </c>
      <c r="K260">
        <v>8.9972319479204397E-3</v>
      </c>
      <c r="L260">
        <f t="shared" si="10"/>
        <v>1.8369899571971771</v>
      </c>
      <c r="M260">
        <f t="shared" si="11"/>
        <v>10.27811058878263</v>
      </c>
    </row>
    <row r="261" spans="9:13" x14ac:dyDescent="0.25">
      <c r="I261">
        <v>259</v>
      </c>
      <c r="J261">
        <v>1.537928587817E-3</v>
      </c>
      <c r="K261">
        <v>8.4675720721259506E-3</v>
      </c>
      <c r="L261">
        <f t="shared" si="10"/>
        <v>1.8299835745061666</v>
      </c>
      <c r="M261">
        <f t="shared" si="11"/>
        <v>9.7009736076391295</v>
      </c>
    </row>
    <row r="262" spans="9:13" x14ac:dyDescent="0.25">
      <c r="I262">
        <v>260</v>
      </c>
      <c r="J262">
        <v>1.56977691323951E-3</v>
      </c>
      <c r="K262">
        <v>8.7675739276221899E-3</v>
      </c>
      <c r="L262">
        <f t="shared" si="10"/>
        <v>1.8675533803434452</v>
      </c>
      <c r="M262">
        <f t="shared" si="11"/>
        <v>10.02828321263214</v>
      </c>
    </row>
    <row r="263" spans="9:13" x14ac:dyDescent="0.25">
      <c r="I263">
        <v>261</v>
      </c>
      <c r="J263">
        <v>1.62941553756965E-3</v>
      </c>
      <c r="K263">
        <v>8.2797467514575205E-3</v>
      </c>
      <c r="L263">
        <f t="shared" si="10"/>
        <v>1.9378705040873356</v>
      </c>
      <c r="M263">
        <f t="shared" si="11"/>
        <v>9.4954962108074632</v>
      </c>
    </row>
    <row r="264" spans="9:13" x14ac:dyDescent="0.25">
      <c r="I264">
        <v>262</v>
      </c>
      <c r="J264">
        <v>1.57318407523592E-3</v>
      </c>
      <c r="K264">
        <v>9.4547326495079895E-3</v>
      </c>
      <c r="L264">
        <f t="shared" si="10"/>
        <v>1.8715718508541479</v>
      </c>
      <c r="M264">
        <f t="shared" si="11"/>
        <v>10.773896446178366</v>
      </c>
    </row>
    <row r="265" spans="9:13" x14ac:dyDescent="0.25">
      <c r="I265">
        <v>263</v>
      </c>
      <c r="J265">
        <v>1.6265458860818499E-3</v>
      </c>
      <c r="K265">
        <v>9.4953680483506799E-3</v>
      </c>
      <c r="L265">
        <f t="shared" si="10"/>
        <v>1.9344880897144701</v>
      </c>
      <c r="M265">
        <f t="shared" si="11"/>
        <v>10.817810687780938</v>
      </c>
    </row>
    <row r="266" spans="9:13" x14ac:dyDescent="0.25">
      <c r="I266">
        <v>264</v>
      </c>
      <c r="J266">
        <v>1.80941979510212E-3</v>
      </c>
      <c r="K266">
        <v>9.1219534285082293E-3</v>
      </c>
      <c r="L266">
        <f t="shared" si="10"/>
        <v>2.1498251539835311</v>
      </c>
      <c r="M266">
        <f t="shared" si="11"/>
        <v>10.413518940648302</v>
      </c>
    </row>
    <row r="267" spans="9:13" x14ac:dyDescent="0.25">
      <c r="I267">
        <v>265</v>
      </c>
      <c r="J267">
        <v>1.6664010449635399E-3</v>
      </c>
      <c r="K267">
        <v>9.4514026261731006E-3</v>
      </c>
      <c r="L267">
        <f t="shared" si="10"/>
        <v>1.9814551863117091</v>
      </c>
      <c r="M267">
        <f t="shared" si="11"/>
        <v>10.77029684691998</v>
      </c>
    </row>
    <row r="268" spans="9:13" x14ac:dyDescent="0.25">
      <c r="I268">
        <v>266</v>
      </c>
      <c r="J268">
        <v>1.5439387744747199E-3</v>
      </c>
      <c r="K268">
        <v>8.58827728989894E-3</v>
      </c>
      <c r="L268">
        <f t="shared" si="10"/>
        <v>1.8370744868975053</v>
      </c>
      <c r="M268">
        <f t="shared" si="11"/>
        <v>9.8327970580861734</v>
      </c>
    </row>
    <row r="269" spans="9:13" x14ac:dyDescent="0.25">
      <c r="I269">
        <v>267</v>
      </c>
      <c r="J269">
        <v>1.5829669955655799E-3</v>
      </c>
      <c r="K269">
        <v>9.1538920790330703E-3</v>
      </c>
      <c r="L269">
        <f t="shared" si="10"/>
        <v>1.8831091715282966</v>
      </c>
      <c r="M269">
        <f t="shared" si="11"/>
        <v>10.448164141994731</v>
      </c>
    </row>
    <row r="270" spans="9:13" x14ac:dyDescent="0.25">
      <c r="I270">
        <v>268</v>
      </c>
      <c r="J270">
        <v>1.61147016231431E-3</v>
      </c>
      <c r="K270">
        <v>8.9730071111786495E-3</v>
      </c>
      <c r="L270">
        <f t="shared" si="10"/>
        <v>1.9167168076005825</v>
      </c>
      <c r="M270">
        <f t="shared" si="11"/>
        <v>10.25178827644555</v>
      </c>
    </row>
    <row r="271" spans="9:13" x14ac:dyDescent="0.25">
      <c r="I271">
        <v>269</v>
      </c>
      <c r="J271">
        <v>1.7058179611882101E-3</v>
      </c>
      <c r="K271">
        <v>9.6461338006842996E-3</v>
      </c>
      <c r="L271">
        <f t="shared" si="10"/>
        <v>2.0278855565196041</v>
      </c>
      <c r="M271">
        <f t="shared" si="11"/>
        <v>10.980568566903305</v>
      </c>
    </row>
    <row r="272" spans="9:13" x14ac:dyDescent="0.25">
      <c r="I272">
        <v>270</v>
      </c>
      <c r="J272">
        <v>1.69750193767717E-3</v>
      </c>
      <c r="K272">
        <v>9.1566537474861102E-3</v>
      </c>
      <c r="L272">
        <f t="shared" si="10"/>
        <v>2.0180915408742561</v>
      </c>
      <c r="M272">
        <f t="shared" si="11"/>
        <v>10.451159263278054</v>
      </c>
    </row>
    <row r="273" spans="9:13" x14ac:dyDescent="0.25">
      <c r="I273">
        <v>271</v>
      </c>
      <c r="J273">
        <v>1.68418007007432E-3</v>
      </c>
      <c r="K273">
        <v>9.0381661412117092E-3</v>
      </c>
      <c r="L273">
        <f t="shared" si="10"/>
        <v>2.002400130851123</v>
      </c>
      <c r="M273">
        <f t="shared" si="11"/>
        <v>10.322572933714136</v>
      </c>
    </row>
    <row r="274" spans="9:13" x14ac:dyDescent="0.25">
      <c r="I274">
        <v>272</v>
      </c>
      <c r="J274">
        <v>1.7797199298100099E-3</v>
      </c>
      <c r="K274">
        <v>8.6541518390883393E-3</v>
      </c>
      <c r="L274">
        <f t="shared" si="10"/>
        <v>2.1148825765752499</v>
      </c>
      <c r="M274">
        <f t="shared" si="11"/>
        <v>9.9046649231891326</v>
      </c>
    </row>
    <row r="275" spans="9:13" x14ac:dyDescent="0.25">
      <c r="I275">
        <v>273</v>
      </c>
      <c r="J275">
        <v>1.78099845089924E-3</v>
      </c>
      <c r="K275">
        <v>9.3293380046088892E-3</v>
      </c>
      <c r="L275">
        <f t="shared" si="10"/>
        <v>2.1163870217305814</v>
      </c>
      <c r="M275">
        <f t="shared" si="11"/>
        <v>10.638258802033295</v>
      </c>
    </row>
    <row r="276" spans="9:13" x14ac:dyDescent="0.25">
      <c r="I276">
        <v>274</v>
      </c>
      <c r="J276">
        <v>1.70499775436144E-3</v>
      </c>
      <c r="K276">
        <v>9.8135483439238599E-3</v>
      </c>
      <c r="L276">
        <f t="shared" si="10"/>
        <v>2.0269196156776248</v>
      </c>
      <c r="M276">
        <f t="shared" si="11"/>
        <v>11.160980432850632</v>
      </c>
    </row>
    <row r="277" spans="9:13" x14ac:dyDescent="0.25">
      <c r="I277">
        <v>275</v>
      </c>
      <c r="J277">
        <v>1.8511175895680201E-3</v>
      </c>
      <c r="K277">
        <v>8.8210659713944296E-3</v>
      </c>
      <c r="L277">
        <f t="shared" si="10"/>
        <v>2.1988642765469857</v>
      </c>
      <c r="M277">
        <f t="shared" si="11"/>
        <v>10.086530009305028</v>
      </c>
    </row>
    <row r="278" spans="9:13" x14ac:dyDescent="0.25">
      <c r="I278">
        <v>276</v>
      </c>
      <c r="J278">
        <v>1.81449404937023E-3</v>
      </c>
      <c r="K278">
        <v>8.9446275271802093E-3</v>
      </c>
      <c r="L278">
        <f t="shared" si="10"/>
        <v>2.1557939875349819</v>
      </c>
      <c r="M278">
        <f t="shared" si="11"/>
        <v>10.220942479579943</v>
      </c>
    </row>
    <row r="279" spans="9:13" x14ac:dyDescent="0.25">
      <c r="I279">
        <v>277</v>
      </c>
      <c r="J279">
        <v>1.83236693167514E-3</v>
      </c>
      <c r="K279">
        <v>9.2981978574466807E-3</v>
      </c>
      <c r="L279">
        <f t="shared" si="10"/>
        <v>2.1768151595864871</v>
      </c>
      <c r="M279">
        <f t="shared" si="11"/>
        <v>10.604545653733732</v>
      </c>
    </row>
    <row r="280" spans="9:13" x14ac:dyDescent="0.25">
      <c r="I280">
        <v>278</v>
      </c>
      <c r="J280">
        <v>1.8053865084947901E-3</v>
      </c>
      <c r="K280">
        <v>8.9701495814973903E-3</v>
      </c>
      <c r="L280">
        <f t="shared" si="10"/>
        <v>2.1450805701944131</v>
      </c>
      <c r="M280">
        <f t="shared" si="11"/>
        <v>10.248682864611435</v>
      </c>
    </row>
    <row r="281" spans="9:13" x14ac:dyDescent="0.25">
      <c r="I281">
        <v>279</v>
      </c>
      <c r="J281">
        <v>1.7609403057758501E-3</v>
      </c>
      <c r="K281">
        <v>8.8304161196477507E-3</v>
      </c>
      <c r="L281">
        <f t="shared" si="10"/>
        <v>2.0927820126878327</v>
      </c>
      <c r="M281">
        <f t="shared" si="11"/>
        <v>10.096707715407105</v>
      </c>
    </row>
    <row r="282" spans="9:13" x14ac:dyDescent="0.25">
      <c r="I282">
        <v>280</v>
      </c>
      <c r="J282">
        <v>1.8862541786523E-3</v>
      </c>
      <c r="K282">
        <v>8.4370347966703993E-3</v>
      </c>
      <c r="L282">
        <f t="shared" si="10"/>
        <v>2.2401695343498118</v>
      </c>
      <c r="M282">
        <f t="shared" si="11"/>
        <v>9.6675955358625494</v>
      </c>
    </row>
    <row r="283" spans="9:13" x14ac:dyDescent="0.25">
      <c r="I283">
        <v>281</v>
      </c>
      <c r="J283">
        <v>1.8435500841224E-3</v>
      </c>
      <c r="K283">
        <v>8.9973648443645599E-3</v>
      </c>
      <c r="L283">
        <f t="shared" si="10"/>
        <v>2.1899661071158594</v>
      </c>
      <c r="M283">
        <f t="shared" si="11"/>
        <v>10.278254972370405</v>
      </c>
    </row>
    <row r="284" spans="9:13" x14ac:dyDescent="0.25">
      <c r="I284">
        <v>282</v>
      </c>
      <c r="J284">
        <v>1.72642597520723E-3</v>
      </c>
      <c r="K284">
        <v>8.9982814787110399E-3</v>
      </c>
      <c r="L284">
        <f t="shared" si="10"/>
        <v>2.052152329093293</v>
      </c>
      <c r="M284">
        <f t="shared" si="11"/>
        <v>10.279250831858411</v>
      </c>
    </row>
    <row r="285" spans="9:13" x14ac:dyDescent="0.25">
      <c r="I285">
        <v>283</v>
      </c>
      <c r="J285">
        <v>1.8469846451405899E-3</v>
      </c>
      <c r="K285">
        <v>8.9592206398444799E-3</v>
      </c>
      <c r="L285">
        <f t="shared" si="10"/>
        <v>2.1940046905119304</v>
      </c>
      <c r="M285">
        <f t="shared" si="11"/>
        <v>10.236804961188007</v>
      </c>
    </row>
    <row r="286" spans="9:13" x14ac:dyDescent="0.25">
      <c r="I286">
        <v>284</v>
      </c>
      <c r="J286">
        <v>1.70222380499784E-3</v>
      </c>
      <c r="K286">
        <v>8.8714099053949606E-3</v>
      </c>
      <c r="L286">
        <f t="shared" si="10"/>
        <v>2.0236527274310689</v>
      </c>
      <c r="M286">
        <f t="shared" si="11"/>
        <v>10.141317293329156</v>
      </c>
    </row>
    <row r="287" spans="9:13" x14ac:dyDescent="0.25">
      <c r="I287">
        <v>285</v>
      </c>
      <c r="J287">
        <v>1.7144096630662201E-3</v>
      </c>
      <c r="K287">
        <v>9.1679812161724397E-3</v>
      </c>
      <c r="L287">
        <f t="shared" si="10"/>
        <v>2.0380033038340462</v>
      </c>
      <c r="M287">
        <f t="shared" si="11"/>
        <v>10.463443319066833</v>
      </c>
    </row>
    <row r="288" spans="9:13" x14ac:dyDescent="0.25">
      <c r="I288">
        <v>286</v>
      </c>
      <c r="J288">
        <v>1.7406038388043301E-3</v>
      </c>
      <c r="K288">
        <v>7.8577317377381498E-3</v>
      </c>
      <c r="L288">
        <f t="shared" si="10"/>
        <v>2.0688441393167722</v>
      </c>
      <c r="M288">
        <f t="shared" si="11"/>
        <v>9.0322553517660502</v>
      </c>
    </row>
    <row r="289" spans="9:13" x14ac:dyDescent="0.25">
      <c r="I289">
        <v>287</v>
      </c>
      <c r="J289">
        <v>1.74908979859017E-3</v>
      </c>
      <c r="K289">
        <v>9.1389471934572499E-3</v>
      </c>
      <c r="L289">
        <f t="shared" si="10"/>
        <v>2.0788335388671753</v>
      </c>
      <c r="M289">
        <f t="shared" si="11"/>
        <v>10.431954323432125</v>
      </c>
    </row>
    <row r="290" spans="9:13" x14ac:dyDescent="0.25">
      <c r="I290">
        <v>288</v>
      </c>
      <c r="J290">
        <v>1.8090640244472799E-3</v>
      </c>
      <c r="K290">
        <v>8.4393797378848508E-3</v>
      </c>
      <c r="L290">
        <f t="shared" si="10"/>
        <v>2.1494066492645292</v>
      </c>
      <c r="M290">
        <f t="shared" si="11"/>
        <v>9.6701590211540793</v>
      </c>
    </row>
    <row r="291" spans="9:13" x14ac:dyDescent="0.25">
      <c r="I291">
        <v>289</v>
      </c>
      <c r="J291">
        <v>1.8430616972981899E-3</v>
      </c>
      <c r="K291">
        <v>9.0654819747179802E-3</v>
      </c>
      <c r="L291">
        <f t="shared" si="10"/>
        <v>2.1893918172591897</v>
      </c>
      <c r="M291">
        <f t="shared" si="11"/>
        <v>10.352231904278518</v>
      </c>
    </row>
    <row r="292" spans="9:13" x14ac:dyDescent="0.25">
      <c r="I292">
        <v>290</v>
      </c>
      <c r="J292">
        <v>1.8707888996873699E-3</v>
      </c>
      <c r="K292">
        <v>9.5861640030838902E-3</v>
      </c>
      <c r="L292">
        <f t="shared" si="10"/>
        <v>2.2219911024221717</v>
      </c>
      <c r="M292">
        <f t="shared" si="11"/>
        <v>10.915861324921606</v>
      </c>
    </row>
    <row r="293" spans="9:13" x14ac:dyDescent="0.25">
      <c r="I293">
        <v>291</v>
      </c>
      <c r="J293">
        <v>1.8129104070606101E-3</v>
      </c>
      <c r="K293">
        <v>7.64470359017334E-3</v>
      </c>
      <c r="L293">
        <f t="shared" si="10"/>
        <v>2.1539311885796386</v>
      </c>
      <c r="M293">
        <f t="shared" si="11"/>
        <v>8.7975923350068435</v>
      </c>
    </row>
    <row r="294" spans="9:13" x14ac:dyDescent="0.25">
      <c r="I294">
        <v>292</v>
      </c>
      <c r="J294">
        <v>1.8821945727364501E-3</v>
      </c>
      <c r="K294">
        <v>8.6025200942713605E-3</v>
      </c>
      <c r="L294">
        <f t="shared" si="10"/>
        <v>2.235398030912028</v>
      </c>
      <c r="M294">
        <f t="shared" si="11"/>
        <v>9.8483401347144177</v>
      </c>
    </row>
    <row r="295" spans="9:13" x14ac:dyDescent="0.25">
      <c r="I295">
        <v>293</v>
      </c>
      <c r="J295">
        <v>1.89994233220655E-3</v>
      </c>
      <c r="K295">
        <v>8.7003284126814899E-3</v>
      </c>
      <c r="L295">
        <f t="shared" si="10"/>
        <v>2.2562564861405288</v>
      </c>
      <c r="M295">
        <f t="shared" si="11"/>
        <v>9.9550113675751959</v>
      </c>
    </row>
    <row r="296" spans="9:13" x14ac:dyDescent="0.25">
      <c r="I296">
        <v>294</v>
      </c>
      <c r="J296">
        <v>1.82000863159362E-3</v>
      </c>
      <c r="K296">
        <v>8.0963353036876008E-3</v>
      </c>
      <c r="L296">
        <f t="shared" si="10"/>
        <v>2.1622803993836981</v>
      </c>
      <c r="M296">
        <f t="shared" si="11"/>
        <v>9.294433978741667</v>
      </c>
    </row>
    <row r="297" spans="9:13" x14ac:dyDescent="0.25">
      <c r="I297">
        <v>295</v>
      </c>
      <c r="J297">
        <v>1.74891507200381E-3</v>
      </c>
      <c r="K297">
        <v>8.4999539219343303E-3</v>
      </c>
      <c r="L297">
        <f t="shared" si="10"/>
        <v>2.078627865755045</v>
      </c>
      <c r="M297">
        <f t="shared" si="11"/>
        <v>9.7363554985091518</v>
      </c>
    </row>
    <row r="298" spans="9:13" x14ac:dyDescent="0.25">
      <c r="I298">
        <v>296</v>
      </c>
      <c r="J298">
        <v>1.7450809655963099E-3</v>
      </c>
      <c r="K298">
        <v>8.1210075657332601E-3</v>
      </c>
      <c r="L298">
        <f t="shared" si="10"/>
        <v>2.0741145857142818</v>
      </c>
      <c r="M298">
        <f t="shared" si="11"/>
        <v>9.3215044144053909</v>
      </c>
    </row>
    <row r="299" spans="9:13" x14ac:dyDescent="0.25">
      <c r="I299">
        <v>297</v>
      </c>
      <c r="J299">
        <v>1.80907914600051E-3</v>
      </c>
      <c r="K299">
        <v>8.0816917055850507E-3</v>
      </c>
      <c r="L299">
        <f t="shared" si="10"/>
        <v>2.1494244372782023</v>
      </c>
      <c r="M299">
        <f t="shared" si="11"/>
        <v>9.2783635022503859</v>
      </c>
    </row>
    <row r="300" spans="9:13" x14ac:dyDescent="0.25">
      <c r="I300">
        <v>298</v>
      </c>
      <c r="J300">
        <v>1.9849409247107001E-3</v>
      </c>
      <c r="K300">
        <v>7.2014250929367902E-3</v>
      </c>
      <c r="L300">
        <f t="shared" si="10"/>
        <v>2.3560964608042245</v>
      </c>
      <c r="M300">
        <f t="shared" si="11"/>
        <v>8.3075153803486401</v>
      </c>
    </row>
    <row r="301" spans="9:13" x14ac:dyDescent="0.25">
      <c r="I301">
        <v>299</v>
      </c>
      <c r="J301">
        <v>1.7750766238223499E-3</v>
      </c>
      <c r="K301">
        <v>8.6105711400752006E-3</v>
      </c>
      <c r="L301">
        <f t="shared" si="10"/>
        <v>2.1094185860414782</v>
      </c>
      <c r="M301">
        <f t="shared" si="11"/>
        <v>9.8571251002598785</v>
      </c>
    </row>
    <row r="302" spans="9:13" x14ac:dyDescent="0.25">
      <c r="I302">
        <v>300</v>
      </c>
      <c r="J302">
        <v>1.8791931191068801E-3</v>
      </c>
      <c r="K302">
        <v>7.6078593208494198E-3</v>
      </c>
      <c r="L302">
        <f t="shared" si="10"/>
        <v>2.2318701013905651</v>
      </c>
      <c r="M302">
        <f t="shared" si="11"/>
        <v>8.7569499680581373</v>
      </c>
    </row>
    <row r="303" spans="9:13" x14ac:dyDescent="0.25">
      <c r="I303">
        <v>301</v>
      </c>
      <c r="J303">
        <v>1.8209431857300199E-3</v>
      </c>
      <c r="K303">
        <v>8.0006490420741604E-3</v>
      </c>
      <c r="L303">
        <f t="shared" si="10"/>
        <v>2.1633796100532066</v>
      </c>
      <c r="M303">
        <f t="shared" si="11"/>
        <v>9.1893768050465887</v>
      </c>
    </row>
    <row r="304" spans="9:13" x14ac:dyDescent="0.25">
      <c r="I304">
        <v>302</v>
      </c>
      <c r="J304">
        <v>1.7762905817701299E-3</v>
      </c>
      <c r="K304">
        <v>8.0831299470151795E-3</v>
      </c>
      <c r="L304">
        <f t="shared" si="10"/>
        <v>2.1108471328752265</v>
      </c>
      <c r="M304">
        <f t="shared" si="11"/>
        <v>9.2799420021077772</v>
      </c>
    </row>
    <row r="305" spans="9:13" x14ac:dyDescent="0.25">
      <c r="I305">
        <v>303</v>
      </c>
      <c r="J305">
        <v>1.8730325690045099E-3</v>
      </c>
      <c r="K305">
        <v>8.2896496716424999E-3</v>
      </c>
      <c r="L305">
        <f t="shared" si="10"/>
        <v>2.2246285822644429</v>
      </c>
      <c r="M305">
        <f t="shared" si="11"/>
        <v>9.5063405147675297</v>
      </c>
    </row>
    <row r="306" spans="9:13" x14ac:dyDescent="0.25">
      <c r="I306">
        <v>304</v>
      </c>
      <c r="J306">
        <v>1.9092510962083001E-3</v>
      </c>
      <c r="K306">
        <v>8.2986068286886993E-3</v>
      </c>
      <c r="L306">
        <f t="shared" si="10"/>
        <v>2.2671951902864529</v>
      </c>
      <c r="M306">
        <f t="shared" si="11"/>
        <v>9.51614812427567</v>
      </c>
    </row>
    <row r="307" spans="9:13" x14ac:dyDescent="0.25">
      <c r="I307">
        <v>305</v>
      </c>
      <c r="J307">
        <v>2.0603502580385201E-3</v>
      </c>
      <c r="K307">
        <v>8.7128561912166204E-3</v>
      </c>
      <c r="L307">
        <f t="shared" si="10"/>
        <v>2.4445945536122116</v>
      </c>
      <c r="M307">
        <f t="shared" si="11"/>
        <v>9.968665990521286</v>
      </c>
    </row>
    <row r="308" spans="9:13" x14ac:dyDescent="0.25">
      <c r="I308">
        <v>306</v>
      </c>
      <c r="J308">
        <v>1.8459999039335301E-3</v>
      </c>
      <c r="K308">
        <v>7.78677819816939E-3</v>
      </c>
      <c r="L308">
        <f t="shared" si="10"/>
        <v>2.192846782475788</v>
      </c>
      <c r="M308">
        <f t="shared" si="11"/>
        <v>8.9541574048479173</v>
      </c>
    </row>
    <row r="309" spans="9:13" x14ac:dyDescent="0.25">
      <c r="I309">
        <v>307</v>
      </c>
      <c r="J309">
        <v>2.1316064163957199E-3</v>
      </c>
      <c r="K309">
        <v>1.0411814814440199E-2</v>
      </c>
      <c r="L309">
        <f t="shared" si="10"/>
        <v>2.5281510386728101</v>
      </c>
      <c r="M309">
        <f t="shared" si="11"/>
        <v>11.802958221093295</v>
      </c>
    </row>
    <row r="310" spans="9:13" x14ac:dyDescent="0.25">
      <c r="I310">
        <v>308</v>
      </c>
      <c r="J310">
        <v>1.9565472851693902E-3</v>
      </c>
      <c r="K310">
        <v>8.1828048244908299E-3</v>
      </c>
      <c r="L310">
        <f t="shared" si="10"/>
        <v>2.3227554849576726</v>
      </c>
      <c r="M310">
        <f t="shared" si="11"/>
        <v>9.3892759393081384</v>
      </c>
    </row>
    <row r="311" spans="9:13" x14ac:dyDescent="0.25">
      <c r="I311">
        <v>309</v>
      </c>
      <c r="J311">
        <v>2.02942174314807E-3</v>
      </c>
      <c r="K311">
        <v>8.7384797530139398E-3</v>
      </c>
      <c r="L311">
        <f t="shared" si="10"/>
        <v>2.4083066897835792</v>
      </c>
      <c r="M311">
        <f t="shared" si="11"/>
        <v>9.9965884207313671</v>
      </c>
    </row>
    <row r="312" spans="9:13" x14ac:dyDescent="0.25">
      <c r="I312">
        <v>310</v>
      </c>
      <c r="J312">
        <v>2.0105572732257398E-3</v>
      </c>
      <c r="K312">
        <v>9.4573258577172001E-3</v>
      </c>
      <c r="L312">
        <f t="shared" si="10"/>
        <v>2.3861672758465291</v>
      </c>
      <c r="M312">
        <f t="shared" si="11"/>
        <v>10.776699490605468</v>
      </c>
    </row>
    <row r="313" spans="9:13" x14ac:dyDescent="0.25">
      <c r="I313">
        <v>311</v>
      </c>
      <c r="J313">
        <v>2.2026523430024301E-3</v>
      </c>
      <c r="K313">
        <v>8.8119090955666706E-3</v>
      </c>
      <c r="L313">
        <f t="shared" si="10"/>
        <v>2.6113956843445196</v>
      </c>
      <c r="M313">
        <f t="shared" si="11"/>
        <v>10.076561658037264</v>
      </c>
    </row>
    <row r="314" spans="9:13" x14ac:dyDescent="0.25">
      <c r="I314">
        <v>312</v>
      </c>
      <c r="J314">
        <v>1.86647734924901E-3</v>
      </c>
      <c r="K314">
        <v>8.4975534268502805E-3</v>
      </c>
      <c r="L314">
        <f t="shared" si="10"/>
        <v>2.2169226023321054</v>
      </c>
      <c r="M314">
        <f t="shared" si="11"/>
        <v>9.7337330439239427</v>
      </c>
    </row>
    <row r="315" spans="9:13" x14ac:dyDescent="0.25">
      <c r="I315">
        <v>313</v>
      </c>
      <c r="J315">
        <v>2.0025874850432999E-3</v>
      </c>
      <c r="K315">
        <v>7.7800827119919296E-3</v>
      </c>
      <c r="L315">
        <f t="shared" si="10"/>
        <v>2.3768125186778954</v>
      </c>
      <c r="M315">
        <f t="shared" si="11"/>
        <v>8.9467845685374687</v>
      </c>
    </row>
    <row r="316" spans="9:13" x14ac:dyDescent="0.25">
      <c r="I316">
        <v>314</v>
      </c>
      <c r="J316">
        <v>1.9385920851812601E-3</v>
      </c>
      <c r="K316">
        <v>8.3359871665408102E-3</v>
      </c>
      <c r="L316">
        <f t="shared" si="10"/>
        <v>2.3016663670413551</v>
      </c>
      <c r="M316">
        <f t="shared" si="11"/>
        <v>9.5570670847879953</v>
      </c>
    </row>
    <row r="317" spans="9:13" x14ac:dyDescent="0.25">
      <c r="I317">
        <v>315</v>
      </c>
      <c r="J317">
        <v>1.94965806315168E-3</v>
      </c>
      <c r="K317">
        <v>7.2511570811335602E-3</v>
      </c>
      <c r="L317">
        <f t="shared" si="10"/>
        <v>2.3146643049228421</v>
      </c>
      <c r="M317">
        <f t="shared" si="11"/>
        <v>8.3626177168978248</v>
      </c>
    </row>
    <row r="318" spans="9:13" x14ac:dyDescent="0.25">
      <c r="I318">
        <v>316</v>
      </c>
      <c r="J318">
        <v>1.7454218140476501E-3</v>
      </c>
      <c r="K318">
        <v>7.0400949328395697E-3</v>
      </c>
      <c r="L318">
        <f t="shared" si="10"/>
        <v>2.0745158197847058</v>
      </c>
      <c r="M318">
        <f t="shared" si="11"/>
        <v>8.1285547110741536</v>
      </c>
    </row>
    <row r="319" spans="9:13" x14ac:dyDescent="0.25">
      <c r="I319">
        <v>317</v>
      </c>
      <c r="J319">
        <v>1.8336262949555501E-3</v>
      </c>
      <c r="K319">
        <v>8.2704567601430794E-3</v>
      </c>
      <c r="L319">
        <f t="shared" si="10"/>
        <v>2.1782962022651953</v>
      </c>
      <c r="M319">
        <f t="shared" si="11"/>
        <v>9.4853220185836644</v>
      </c>
    </row>
    <row r="320" spans="9:13" x14ac:dyDescent="0.25">
      <c r="I320">
        <v>318</v>
      </c>
      <c r="J320">
        <v>2.0091653182197199E-3</v>
      </c>
      <c r="K320">
        <v>6.3924953033000203E-3</v>
      </c>
      <c r="L320">
        <f t="shared" si="10"/>
        <v>2.3845334897608095</v>
      </c>
      <c r="M320">
        <f t="shared" si="11"/>
        <v>7.4069570736880141</v>
      </c>
    </row>
    <row r="321" spans="9:13" x14ac:dyDescent="0.25">
      <c r="I321">
        <v>319</v>
      </c>
      <c r="J321">
        <v>2.1283873946224201E-3</v>
      </c>
      <c r="K321">
        <v>7.63918436596787E-3</v>
      </c>
      <c r="L321">
        <f t="shared" si="10"/>
        <v>2.5243777606760887</v>
      </c>
      <c r="M321">
        <f t="shared" si="11"/>
        <v>8.7915052175900463</v>
      </c>
    </row>
    <row r="322" spans="9:13" x14ac:dyDescent="0.25">
      <c r="I322">
        <v>320</v>
      </c>
      <c r="J322">
        <v>2.34992721116615E-3</v>
      </c>
      <c r="K322">
        <v>8.9958854642982894E-3</v>
      </c>
      <c r="L322">
        <f t="shared" si="10"/>
        <v>2.7837503941900099</v>
      </c>
      <c r="M322">
        <f t="shared" si="11"/>
        <v>10.276647707410348</v>
      </c>
    </row>
    <row r="323" spans="9:13" x14ac:dyDescent="0.25">
      <c r="I323">
        <v>321</v>
      </c>
      <c r="J323">
        <v>2.4646297670060098E-3</v>
      </c>
      <c r="K323">
        <v>9.3629178387933509E-3</v>
      </c>
      <c r="L323">
        <f t="shared" ref="L323:L362" si="12">100*(1-(1-J323)^12)</f>
        <v>2.9177922270871792</v>
      </c>
      <c r="M323">
        <f t="shared" ref="M323:M362" si="13">100*(1-(1-K323)^12)</f>
        <v>10.674600159921777</v>
      </c>
    </row>
    <row r="324" spans="9:13" x14ac:dyDescent="0.25">
      <c r="I324">
        <v>322</v>
      </c>
      <c r="J324">
        <v>2.4117513764444201E-3</v>
      </c>
      <c r="K324">
        <v>8.87105733825873E-3</v>
      </c>
      <c r="L324">
        <f t="shared" si="12"/>
        <v>2.856019405765442</v>
      </c>
      <c r="M324">
        <f t="shared" si="13"/>
        <v>10.140933715084454</v>
      </c>
    </row>
    <row r="325" spans="9:13" x14ac:dyDescent="0.25">
      <c r="I325">
        <v>323</v>
      </c>
      <c r="J325">
        <v>2.5615667894525402E-3</v>
      </c>
      <c r="K325">
        <v>8.9014475623012297E-3</v>
      </c>
      <c r="L325">
        <f t="shared" si="12"/>
        <v>3.030941080544669</v>
      </c>
      <c r="M325">
        <f t="shared" si="13"/>
        <v>10.173991492553613</v>
      </c>
    </row>
    <row r="326" spans="9:13" x14ac:dyDescent="0.25">
      <c r="I326">
        <v>324</v>
      </c>
      <c r="J326">
        <v>2.6277843668244699E-3</v>
      </c>
      <c r="K326">
        <v>9.2827122871721908E-3</v>
      </c>
      <c r="L326">
        <f t="shared" si="12"/>
        <v>3.1081634365365041</v>
      </c>
      <c r="M326">
        <f t="shared" si="13"/>
        <v>10.587776224966527</v>
      </c>
    </row>
    <row r="327" spans="9:13" x14ac:dyDescent="0.25">
      <c r="I327">
        <v>325</v>
      </c>
      <c r="J327">
        <v>2.7138368837651599E-3</v>
      </c>
      <c r="K327">
        <v>9.8520044181222306E-3</v>
      </c>
      <c r="L327">
        <f t="shared" si="12"/>
        <v>3.2084328946508922</v>
      </c>
      <c r="M327">
        <f t="shared" si="13"/>
        <v>11.202374700664786</v>
      </c>
    </row>
    <row r="328" spans="9:13" x14ac:dyDescent="0.25">
      <c r="I328">
        <v>326</v>
      </c>
      <c r="J328">
        <v>2.8463512236370299E-3</v>
      </c>
      <c r="K328">
        <v>9.8764540491014293E-3</v>
      </c>
      <c r="L328">
        <f t="shared" si="12"/>
        <v>3.3626542403377702</v>
      </c>
      <c r="M328">
        <f t="shared" si="13"/>
        <v>11.228683184034761</v>
      </c>
    </row>
    <row r="329" spans="9:13" x14ac:dyDescent="0.25">
      <c r="I329">
        <v>327</v>
      </c>
      <c r="J329">
        <v>2.9386301856185E-3</v>
      </c>
      <c r="K329">
        <v>1.0757458769054099E-2</v>
      </c>
      <c r="L329">
        <f t="shared" si="12"/>
        <v>3.4699162230271918</v>
      </c>
      <c r="M329">
        <f t="shared" si="13"/>
        <v>12.171915090047758</v>
      </c>
    </row>
    <row r="330" spans="9:13" x14ac:dyDescent="0.25">
      <c r="I330">
        <v>328</v>
      </c>
      <c r="J330">
        <v>2.96333687543264E-3</v>
      </c>
      <c r="K330">
        <v>1.03714585501712E-2</v>
      </c>
      <c r="L330">
        <f t="shared" si="12"/>
        <v>3.4986159267741623</v>
      </c>
      <c r="M330">
        <f t="shared" si="13"/>
        <v>11.759787516907338</v>
      </c>
    </row>
    <row r="331" spans="9:13" x14ac:dyDescent="0.25">
      <c r="I331">
        <v>329</v>
      </c>
      <c r="J331">
        <v>3.06063846873198E-3</v>
      </c>
      <c r="K331">
        <v>1.14397872064331E-2</v>
      </c>
      <c r="L331">
        <f t="shared" si="12"/>
        <v>3.6115670405253986</v>
      </c>
      <c r="M331">
        <f t="shared" si="13"/>
        <v>12.896114994838525</v>
      </c>
    </row>
    <row r="332" spans="9:13" x14ac:dyDescent="0.25">
      <c r="I332">
        <v>330</v>
      </c>
      <c r="J332">
        <v>3.3432133245487401E-3</v>
      </c>
      <c r="K332">
        <v>1.20946586795256E-2</v>
      </c>
      <c r="L332">
        <f t="shared" si="12"/>
        <v>3.9389032229585452</v>
      </c>
      <c r="M332">
        <f t="shared" si="13"/>
        <v>13.586021100882139</v>
      </c>
    </row>
    <row r="333" spans="9:13" x14ac:dyDescent="0.25">
      <c r="I333">
        <v>331</v>
      </c>
      <c r="J333">
        <v>3.6085276901154698E-3</v>
      </c>
      <c r="K333">
        <v>1.13819704642698E-2</v>
      </c>
      <c r="L333">
        <f t="shared" si="12"/>
        <v>4.2453169109779365</v>
      </c>
      <c r="M333">
        <f t="shared" si="13"/>
        <v>12.834963234067176</v>
      </c>
    </row>
    <row r="334" spans="9:13" x14ac:dyDescent="0.25">
      <c r="I334">
        <v>332</v>
      </c>
      <c r="J334">
        <v>3.5533295762013098E-3</v>
      </c>
      <c r="K334">
        <v>1.3910840167194301E-2</v>
      </c>
      <c r="L334">
        <f t="shared" si="12"/>
        <v>4.1816420750103056</v>
      </c>
      <c r="M334">
        <f t="shared" si="13"/>
        <v>15.473241412947591</v>
      </c>
    </row>
    <row r="335" spans="9:13" x14ac:dyDescent="0.25">
      <c r="I335">
        <v>333</v>
      </c>
      <c r="J335">
        <v>3.6001077085859399E-3</v>
      </c>
      <c r="K335">
        <v>1.30528201495584E-2</v>
      </c>
      <c r="L335">
        <f t="shared" si="12"/>
        <v>4.2356063886485824</v>
      </c>
      <c r="M335">
        <f t="shared" si="13"/>
        <v>14.586420050774629</v>
      </c>
    </row>
    <row r="336" spans="9:13" x14ac:dyDescent="0.25">
      <c r="I336">
        <v>334</v>
      </c>
      <c r="J336">
        <v>3.6085003427899702E-3</v>
      </c>
      <c r="K336">
        <v>1.25063832308701E-2</v>
      </c>
      <c r="L336">
        <f t="shared" si="12"/>
        <v>4.245285373555685</v>
      </c>
      <c r="M336">
        <f t="shared" si="13"/>
        <v>14.017203901117249</v>
      </c>
    </row>
    <row r="337" spans="9:13" x14ac:dyDescent="0.25">
      <c r="I337">
        <v>335</v>
      </c>
      <c r="J337">
        <v>3.9261074523665599E-3</v>
      </c>
      <c r="K337">
        <v>1.25026293512391E-2</v>
      </c>
      <c r="L337">
        <f t="shared" si="12"/>
        <v>4.610914146982692</v>
      </c>
      <c r="M337">
        <f t="shared" si="13"/>
        <v>14.013281536740818</v>
      </c>
    </row>
    <row r="338" spans="9:13" x14ac:dyDescent="0.25">
      <c r="I338">
        <v>336</v>
      </c>
      <c r="J338">
        <v>3.8561100089833E-3</v>
      </c>
      <c r="K338">
        <v>1.3763075857475099E-2</v>
      </c>
      <c r="L338">
        <f t="shared" si="12"/>
        <v>4.5304433288508417</v>
      </c>
      <c r="M338">
        <f t="shared" si="13"/>
        <v>15.321121247529113</v>
      </c>
    </row>
    <row r="339" spans="9:13" x14ac:dyDescent="0.25">
      <c r="I339">
        <v>337</v>
      </c>
      <c r="J339">
        <v>4.0347726802381903E-3</v>
      </c>
      <c r="K339">
        <v>1.3582621541267799E-2</v>
      </c>
      <c r="L339">
        <f t="shared" si="12"/>
        <v>4.7357152444098993</v>
      </c>
      <c r="M339">
        <f t="shared" si="13"/>
        <v>15.135007069160045</v>
      </c>
    </row>
    <row r="340" spans="9:13" x14ac:dyDescent="0.25">
      <c r="I340">
        <v>338</v>
      </c>
      <c r="J340">
        <v>4.2251346793948296E-3</v>
      </c>
      <c r="K340">
        <v>1.41789273595119E-2</v>
      </c>
      <c r="L340">
        <f t="shared" si="12"/>
        <v>4.9539836845429841</v>
      </c>
      <c r="M340">
        <f t="shared" si="13"/>
        <v>15.748592029952368</v>
      </c>
    </row>
    <row r="341" spans="9:13" x14ac:dyDescent="0.25">
      <c r="I341">
        <v>339</v>
      </c>
      <c r="J341">
        <v>4.3421006624316597E-3</v>
      </c>
      <c r="K341">
        <v>1.4683845371425299E-2</v>
      </c>
      <c r="L341">
        <f t="shared" si="12"/>
        <v>5.0878690248332799</v>
      </c>
      <c r="M341">
        <f t="shared" si="13"/>
        <v>16.264958628296345</v>
      </c>
    </row>
    <row r="342" spans="9:13" x14ac:dyDescent="0.25">
      <c r="I342">
        <v>340</v>
      </c>
      <c r="J342">
        <v>4.6481049773025801E-3</v>
      </c>
      <c r="K342">
        <v>1.6028779882931801E-2</v>
      </c>
      <c r="L342">
        <f t="shared" si="12"/>
        <v>5.4373201097963513</v>
      </c>
      <c r="M342">
        <f t="shared" si="13"/>
        <v>17.626266037017313</v>
      </c>
    </row>
    <row r="343" spans="9:13" x14ac:dyDescent="0.25">
      <c r="I343">
        <v>341</v>
      </c>
      <c r="J343">
        <v>4.5172455829116699E-3</v>
      </c>
      <c r="K343">
        <v>1.4912538731446301E-2</v>
      </c>
      <c r="L343">
        <f t="shared" si="12"/>
        <v>5.2880257732688012</v>
      </c>
      <c r="M343">
        <f t="shared" si="13"/>
        <v>16.497881486218947</v>
      </c>
    </row>
    <row r="344" spans="9:13" x14ac:dyDescent="0.25">
      <c r="I344">
        <v>342</v>
      </c>
      <c r="J344">
        <v>4.7132088232606298E-3</v>
      </c>
      <c r="K344">
        <v>1.6577985890169102E-2</v>
      </c>
      <c r="L344">
        <f t="shared" si="12"/>
        <v>5.5115151349380831</v>
      </c>
      <c r="M344">
        <f t="shared" si="13"/>
        <v>18.176300753951303</v>
      </c>
    </row>
    <row r="345" spans="9:13" x14ac:dyDescent="0.25">
      <c r="I345">
        <v>343</v>
      </c>
      <c r="J345">
        <v>5.0766539475689196E-3</v>
      </c>
      <c r="K345">
        <v>1.52528126278039E-2</v>
      </c>
      <c r="L345">
        <f t="shared" si="12"/>
        <v>5.9247326107529137</v>
      </c>
      <c r="M345">
        <f t="shared" si="13"/>
        <v>16.843349354526726</v>
      </c>
    </row>
    <row r="346" spans="9:13" x14ac:dyDescent="0.25">
      <c r="I346">
        <v>344</v>
      </c>
      <c r="J346">
        <v>5.4692957537625098E-3</v>
      </c>
      <c r="K346">
        <v>1.6762950703798601E-2</v>
      </c>
      <c r="L346">
        <f t="shared" si="12"/>
        <v>6.3692831937627981</v>
      </c>
      <c r="M346">
        <f t="shared" si="13"/>
        <v>18.360785448022853</v>
      </c>
    </row>
    <row r="347" spans="9:13" x14ac:dyDescent="0.25">
      <c r="I347">
        <v>345</v>
      </c>
      <c r="J347">
        <v>5.9709518541737798E-3</v>
      </c>
      <c r="K347">
        <v>1.7821336752187E-2</v>
      </c>
      <c r="L347">
        <f t="shared" si="12"/>
        <v>6.9344582625886941</v>
      </c>
      <c r="M347">
        <f t="shared" si="13"/>
        <v>19.409111478622453</v>
      </c>
    </row>
    <row r="348" spans="9:13" x14ac:dyDescent="0.25">
      <c r="I348">
        <v>346</v>
      </c>
      <c r="J348">
        <v>6.3433169009675999E-3</v>
      </c>
      <c r="K348">
        <v>1.9683126038858498E-2</v>
      </c>
      <c r="L348">
        <f t="shared" si="12"/>
        <v>7.3519476135238122</v>
      </c>
      <c r="M348">
        <f t="shared" si="13"/>
        <v>21.223308470348854</v>
      </c>
    </row>
    <row r="349" spans="9:13" x14ac:dyDescent="0.25">
      <c r="I349">
        <v>347</v>
      </c>
      <c r="J349">
        <v>6.6272681923951696E-3</v>
      </c>
      <c r="K349">
        <v>2.0824973043389001E-2</v>
      </c>
      <c r="L349">
        <f t="shared" si="12"/>
        <v>7.6691544677078287</v>
      </c>
      <c r="M349">
        <f t="shared" si="13"/>
        <v>22.31736588751253</v>
      </c>
    </row>
    <row r="350" spans="9:13" x14ac:dyDescent="0.25">
      <c r="I350">
        <v>348</v>
      </c>
      <c r="J350">
        <v>6.6852231847614801E-3</v>
      </c>
      <c r="K350">
        <v>2.1328790064952498E-2</v>
      </c>
      <c r="L350">
        <f t="shared" si="12"/>
        <v>7.7337745231164323</v>
      </c>
      <c r="M350">
        <f t="shared" si="13"/>
        <v>22.795653402735528</v>
      </c>
    </row>
    <row r="351" spans="9:13" x14ac:dyDescent="0.25">
      <c r="I351">
        <v>349</v>
      </c>
      <c r="J351">
        <v>7.0499744431091098E-3</v>
      </c>
      <c r="K351">
        <v>2.0935087652499101E-2</v>
      </c>
      <c r="L351">
        <f t="shared" si="12"/>
        <v>8.1395230720189282</v>
      </c>
      <c r="M351">
        <f t="shared" si="13"/>
        <v>22.422132090491729</v>
      </c>
    </row>
    <row r="352" spans="9:13" x14ac:dyDescent="0.25">
      <c r="I352">
        <v>350</v>
      </c>
      <c r="J352">
        <v>7.7697839944574796E-3</v>
      </c>
      <c r="K352">
        <v>2.2140745310412598E-2</v>
      </c>
      <c r="L352">
        <f t="shared" si="12"/>
        <v>8.9354429109368194</v>
      </c>
      <c r="M352">
        <f t="shared" si="13"/>
        <v>23.560787431191589</v>
      </c>
    </row>
    <row r="353" spans="9:13" x14ac:dyDescent="0.25">
      <c r="I353">
        <v>351</v>
      </c>
      <c r="J353">
        <v>8.4415371230855199E-3</v>
      </c>
      <c r="K353">
        <v>2.2590427004306499E-2</v>
      </c>
      <c r="L353">
        <f t="shared" si="12"/>
        <v>9.6725174116684904</v>
      </c>
      <c r="M353">
        <f t="shared" si="13"/>
        <v>23.981541345071054</v>
      </c>
    </row>
    <row r="354" spans="9:13" x14ac:dyDescent="0.25">
      <c r="I354">
        <v>352</v>
      </c>
      <c r="J354">
        <v>9.0465640790102393E-3</v>
      </c>
      <c r="K354">
        <v>2.3085506353726901E-2</v>
      </c>
      <c r="L354">
        <f t="shared" si="12"/>
        <v>10.331692199391362</v>
      </c>
      <c r="M354">
        <f t="shared" si="13"/>
        <v>24.4423164413206</v>
      </c>
    </row>
    <row r="355" spans="9:13" x14ac:dyDescent="0.25">
      <c r="I355">
        <v>353</v>
      </c>
      <c r="J355">
        <v>1.0449042748446701E-2</v>
      </c>
      <c r="K355">
        <v>2.6126325620586699E-2</v>
      </c>
      <c r="L355">
        <f t="shared" si="12"/>
        <v>11.842765257091648</v>
      </c>
      <c r="M355">
        <f t="shared" si="13"/>
        <v>27.216738244475536</v>
      </c>
    </row>
    <row r="356" spans="9:13" x14ac:dyDescent="0.25">
      <c r="I356">
        <v>354</v>
      </c>
      <c r="J356">
        <v>1.1039983782348901E-2</v>
      </c>
      <c r="K356">
        <v>2.73454525140122E-2</v>
      </c>
      <c r="L356">
        <f t="shared" si="12"/>
        <v>12.47244431342267</v>
      </c>
      <c r="M356">
        <f t="shared" si="13"/>
        <v>28.302591357826579</v>
      </c>
    </row>
    <row r="357" spans="9:13" x14ac:dyDescent="0.25">
      <c r="I357">
        <v>355</v>
      </c>
      <c r="J357">
        <v>1.20189371468272E-2</v>
      </c>
      <c r="K357">
        <v>3.2772558316735999E-2</v>
      </c>
      <c r="L357">
        <f t="shared" si="12"/>
        <v>13.506505489312303</v>
      </c>
      <c r="M357">
        <f t="shared" si="13"/>
        <v>32.958562892358209</v>
      </c>
    </row>
    <row r="358" spans="9:13" x14ac:dyDescent="0.25">
      <c r="I358">
        <v>356</v>
      </c>
      <c r="J358">
        <v>1.3662529379634599E-2</v>
      </c>
      <c r="K358">
        <v>4.16900639537406E-2</v>
      </c>
      <c r="L358">
        <f t="shared" si="12"/>
        <v>15.217467387004213</v>
      </c>
      <c r="M358">
        <f t="shared" si="13"/>
        <v>40.010962652048768</v>
      </c>
    </row>
    <row r="359" spans="9:13" x14ac:dyDescent="0.25">
      <c r="I359">
        <v>357</v>
      </c>
      <c r="J359">
        <v>1.38587110720083E-2</v>
      </c>
      <c r="K359">
        <v>5.3661800912380597E-2</v>
      </c>
      <c r="L359">
        <f t="shared" si="12"/>
        <v>15.419604257167885</v>
      </c>
      <c r="M359">
        <f t="shared" si="13"/>
        <v>48.411078387576076</v>
      </c>
    </row>
    <row r="360" spans="9:13" x14ac:dyDescent="0.25">
      <c r="I360">
        <v>358</v>
      </c>
      <c r="J360">
        <v>1.0735163531435299E-2</v>
      </c>
      <c r="K360">
        <v>9.2471428761391403E-2</v>
      </c>
      <c r="L360">
        <f t="shared" si="12"/>
        <v>12.148158843999312</v>
      </c>
      <c r="M360">
        <f t="shared" si="13"/>
        <v>68.787850457608087</v>
      </c>
    </row>
    <row r="361" spans="9:13" x14ac:dyDescent="0.25">
      <c r="I361">
        <v>359</v>
      </c>
      <c r="J361">
        <v>0</v>
      </c>
      <c r="K361">
        <v>0</v>
      </c>
      <c r="L361">
        <f t="shared" si="12"/>
        <v>0</v>
      </c>
      <c r="M361">
        <f t="shared" si="13"/>
        <v>0</v>
      </c>
    </row>
    <row r="362" spans="9:13" x14ac:dyDescent="0.25">
      <c r="I362">
        <v>360</v>
      </c>
      <c r="J362">
        <v>0</v>
      </c>
      <c r="K362">
        <v>0</v>
      </c>
      <c r="L362">
        <f t="shared" si="12"/>
        <v>0</v>
      </c>
      <c r="M362">
        <f t="shared" si="13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29" sqref="P2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Query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2017-07-06T18:27:17Z</dcterms:created>
  <dcterms:modified xsi:type="dcterms:W3CDTF">2017-07-06T18:33:07Z</dcterms:modified>
</cp:coreProperties>
</file>