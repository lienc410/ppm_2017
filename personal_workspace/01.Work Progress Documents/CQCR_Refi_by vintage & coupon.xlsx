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drawings/drawing16.xml" ContentType="application/vnd.openxmlformats-officedocument.drawing+xml"/>
  <Override PartName="/xl/charts/chart20.xml" ContentType="application/vnd.openxmlformats-officedocument.drawingml.chart+xml"/>
  <Override PartName="/xl/drawings/drawing17.xml" ContentType="application/vnd.openxmlformats-officedocument.drawing+xml"/>
  <Override PartName="/xl/charts/chart21.xml" ContentType="application/vnd.openxmlformats-officedocument.drawingml.chart+xml"/>
  <Override PartName="/xl/drawings/drawing18.xml" ContentType="application/vnd.openxmlformats-officedocument.drawing+xml"/>
  <Override PartName="/xl/charts/chart22.xml" ContentType="application/vnd.openxmlformats-officedocument.drawingml.chart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20.xml" ContentType="application/vnd.openxmlformats-officedocument.drawing+xml"/>
  <Override PartName="/xl/queryTables/queryTable1.xml" ContentType="application/vnd.openxmlformats-officedocument.spreadsheetml.queryTable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5" windowWidth="34035" windowHeight="18135" tabRatio="751" firstSheet="1" activeTab="20"/>
  </bookViews>
  <sheets>
    <sheet name="Balance Check" sheetId="1" r:id="rId1"/>
    <sheet name="CQ 3.5 13" sheetId="2" r:id="rId2"/>
    <sheet name="CQ 3.5 12" sheetId="4" r:id="rId3"/>
    <sheet name="CQ 4.0 13" sheetId="5" r:id="rId4"/>
    <sheet name="CQ 4.0 12" sheetId="7" r:id="rId5"/>
    <sheet name="CQ 4.5 14" sheetId="8" r:id="rId6"/>
    <sheet name="CQ 4.5 13" sheetId="9" r:id="rId7"/>
    <sheet name="CQ 4.5 11" sheetId="10" r:id="rId8"/>
    <sheet name="CR 3.5 13" sheetId="11" r:id="rId9"/>
    <sheet name="CR 3.5 12" sheetId="12" r:id="rId10"/>
    <sheet name="CR 4.0 13" sheetId="13" r:id="rId11"/>
    <sheet name="CR 4.0 12" sheetId="14" r:id="rId12"/>
    <sheet name="CR 4.5 12" sheetId="15" r:id="rId13"/>
    <sheet name="CR" sheetId="17" r:id="rId14"/>
    <sheet name="Conv 3.5 13" sheetId="19" r:id="rId15"/>
    <sheet name="Conv 3.5 12 " sheetId="20" r:id="rId16"/>
    <sheet name="Conv 4.0 13" sheetId="21" r:id="rId17"/>
    <sheet name="Conv 4.0 12" sheetId="22" r:id="rId18"/>
    <sheet name="Conv 4.5 11" sheetId="23" r:id="rId19"/>
    <sheet name="Conv" sheetId="16" r:id="rId20"/>
    <sheet name="CLTV Conv" sheetId="24" r:id="rId21"/>
    <sheet name="Sheet25" sheetId="25" r:id="rId22"/>
  </sheets>
  <definedNames>
    <definedName name="temp" localSheetId="20">'CLTV Conv'!$A$2:$X$81</definedName>
    <definedName name="temp" localSheetId="21">Sheet25!$A$1:$L$168</definedName>
  </definedNames>
  <calcPr calcId="145621"/>
</workbook>
</file>

<file path=xl/calcChain.xml><?xml version="1.0" encoding="utf-8"?>
<calcChain xmlns="http://schemas.openxmlformats.org/spreadsheetml/2006/main">
  <c r="E3" i="23" l="1"/>
  <c r="F3" i="23"/>
  <c r="E4" i="23"/>
  <c r="F4" i="23"/>
  <c r="E5" i="23"/>
  <c r="F5" i="23"/>
  <c r="E6" i="23"/>
  <c r="F6" i="23"/>
  <c r="E7" i="23"/>
  <c r="F7" i="23"/>
  <c r="E8" i="23"/>
  <c r="F8" i="23"/>
  <c r="E9" i="23"/>
  <c r="F9" i="23"/>
  <c r="E10" i="23"/>
  <c r="F10" i="23"/>
  <c r="E11" i="23"/>
  <c r="F11" i="23"/>
  <c r="E12" i="23"/>
  <c r="F12" i="23"/>
  <c r="E13" i="23"/>
  <c r="F13" i="23"/>
  <c r="E14" i="23"/>
  <c r="F14" i="23"/>
  <c r="E15" i="23"/>
  <c r="F15" i="23"/>
  <c r="E16" i="23"/>
  <c r="F16" i="23"/>
  <c r="E17" i="23"/>
  <c r="F17" i="23"/>
  <c r="E18" i="23"/>
  <c r="F18" i="23"/>
  <c r="E19" i="23"/>
  <c r="F19" i="23"/>
  <c r="E20" i="23"/>
  <c r="F20" i="23"/>
  <c r="E21" i="23"/>
  <c r="F21" i="23"/>
  <c r="E22" i="23"/>
  <c r="F22" i="23"/>
  <c r="E23" i="23"/>
  <c r="F23" i="23"/>
  <c r="E24" i="23"/>
  <c r="F24" i="23"/>
  <c r="E25" i="23"/>
  <c r="F25" i="23"/>
  <c r="E26" i="23"/>
  <c r="F26" i="23"/>
  <c r="E27" i="23"/>
  <c r="F27" i="23"/>
  <c r="E28" i="23"/>
  <c r="F28" i="23"/>
  <c r="E29" i="23"/>
  <c r="F29" i="23"/>
  <c r="E30" i="23"/>
  <c r="F30" i="23"/>
  <c r="E31" i="23"/>
  <c r="F31" i="23"/>
  <c r="E32" i="23"/>
  <c r="F32" i="23"/>
  <c r="E33" i="23"/>
  <c r="F33" i="23"/>
  <c r="E34" i="23"/>
  <c r="F34" i="23"/>
  <c r="E35" i="23"/>
  <c r="F35" i="23"/>
  <c r="E36" i="23"/>
  <c r="F36" i="23"/>
  <c r="E37" i="23"/>
  <c r="F37" i="23"/>
  <c r="E38" i="23"/>
  <c r="F38" i="23"/>
  <c r="E39" i="23"/>
  <c r="F39" i="23"/>
  <c r="E40" i="23"/>
  <c r="F40" i="23"/>
  <c r="E41" i="23"/>
  <c r="F41" i="23"/>
  <c r="E42" i="23"/>
  <c r="F42" i="23"/>
  <c r="E43" i="23"/>
  <c r="F43" i="23"/>
  <c r="E44" i="23"/>
  <c r="F44" i="23"/>
  <c r="E45" i="23"/>
  <c r="F45" i="23"/>
  <c r="E46" i="23"/>
  <c r="F46" i="23"/>
  <c r="E47" i="23"/>
  <c r="F47" i="23"/>
  <c r="E48" i="23"/>
  <c r="F48" i="23"/>
  <c r="E49" i="23"/>
  <c r="F49" i="23"/>
  <c r="E50" i="23"/>
  <c r="F50" i="23"/>
  <c r="E51" i="23"/>
  <c r="F51" i="23"/>
  <c r="E52" i="23"/>
  <c r="F52" i="23"/>
  <c r="E53" i="23"/>
  <c r="F53" i="23"/>
  <c r="E54" i="23"/>
  <c r="F54" i="23"/>
  <c r="E55" i="23"/>
  <c r="F55" i="23"/>
  <c r="E56" i="23"/>
  <c r="F56" i="23"/>
  <c r="E57" i="23"/>
  <c r="F57" i="23"/>
  <c r="E58" i="23"/>
  <c r="F58" i="23"/>
  <c r="E59" i="23"/>
  <c r="F59" i="23"/>
  <c r="E60" i="23"/>
  <c r="F60" i="23"/>
  <c r="E61" i="23"/>
  <c r="F61" i="23"/>
  <c r="F2" i="23"/>
  <c r="E2" i="23"/>
  <c r="E3" i="22"/>
  <c r="F3" i="22"/>
  <c r="E4" i="22"/>
  <c r="F4" i="22"/>
  <c r="E5" i="22"/>
  <c r="F5" i="22"/>
  <c r="E6" i="22"/>
  <c r="F6" i="22"/>
  <c r="E7" i="22"/>
  <c r="F7" i="22"/>
  <c r="E8" i="22"/>
  <c r="F8" i="22"/>
  <c r="E9" i="22"/>
  <c r="F9" i="22"/>
  <c r="E10" i="22"/>
  <c r="F10" i="22"/>
  <c r="E11" i="22"/>
  <c r="F11" i="22"/>
  <c r="E12" i="22"/>
  <c r="F12" i="22"/>
  <c r="E13" i="22"/>
  <c r="F13" i="22"/>
  <c r="E14" i="22"/>
  <c r="F14" i="22"/>
  <c r="E15" i="22"/>
  <c r="F15" i="22"/>
  <c r="E16" i="22"/>
  <c r="F16" i="22"/>
  <c r="E17" i="22"/>
  <c r="F17" i="22"/>
  <c r="E18" i="22"/>
  <c r="F18" i="22"/>
  <c r="E19" i="22"/>
  <c r="F19" i="22"/>
  <c r="E20" i="22"/>
  <c r="F20" i="22"/>
  <c r="E21" i="22"/>
  <c r="F21" i="22"/>
  <c r="E22" i="22"/>
  <c r="F22" i="22"/>
  <c r="E23" i="22"/>
  <c r="F23" i="22"/>
  <c r="E24" i="22"/>
  <c r="F24" i="22"/>
  <c r="E25" i="22"/>
  <c r="F25" i="22"/>
  <c r="E26" i="22"/>
  <c r="F26" i="22"/>
  <c r="E27" i="22"/>
  <c r="F27" i="22"/>
  <c r="E28" i="22"/>
  <c r="F28" i="22"/>
  <c r="E29" i="22"/>
  <c r="F29" i="22"/>
  <c r="E30" i="22"/>
  <c r="F30" i="22"/>
  <c r="E31" i="22"/>
  <c r="F31" i="22"/>
  <c r="E32" i="22"/>
  <c r="F32" i="22"/>
  <c r="E33" i="22"/>
  <c r="F33" i="22"/>
  <c r="E34" i="22"/>
  <c r="F34" i="22"/>
  <c r="E35" i="22"/>
  <c r="F35" i="22"/>
  <c r="E36" i="22"/>
  <c r="F36" i="22"/>
  <c r="E37" i="22"/>
  <c r="F37" i="22"/>
  <c r="E38" i="22"/>
  <c r="F38" i="22"/>
  <c r="E39" i="22"/>
  <c r="F39" i="22"/>
  <c r="E40" i="22"/>
  <c r="F40" i="22"/>
  <c r="E41" i="22"/>
  <c r="F41" i="22"/>
  <c r="E42" i="22"/>
  <c r="F42" i="22"/>
  <c r="E43" i="22"/>
  <c r="F43" i="22"/>
  <c r="E44" i="22"/>
  <c r="F44" i="22"/>
  <c r="E45" i="22"/>
  <c r="F45" i="22"/>
  <c r="E46" i="22"/>
  <c r="F46" i="22"/>
  <c r="E47" i="22"/>
  <c r="F47" i="22"/>
  <c r="E48" i="22"/>
  <c r="F48" i="22"/>
  <c r="E49" i="22"/>
  <c r="F49" i="22"/>
  <c r="F2" i="22"/>
  <c r="E2" i="22"/>
  <c r="E3" i="21"/>
  <c r="F3" i="21"/>
  <c r="E4" i="21"/>
  <c r="F4" i="21"/>
  <c r="E5" i="21"/>
  <c r="F5" i="21"/>
  <c r="E6" i="21"/>
  <c r="F6" i="21"/>
  <c r="E7" i="21"/>
  <c r="F7" i="21"/>
  <c r="E8" i="21"/>
  <c r="F8" i="21"/>
  <c r="E9" i="21"/>
  <c r="F9" i="21"/>
  <c r="E10" i="21"/>
  <c r="F10" i="21"/>
  <c r="E11" i="21"/>
  <c r="F11" i="21"/>
  <c r="E12" i="21"/>
  <c r="F12" i="21"/>
  <c r="E13" i="21"/>
  <c r="F13" i="21"/>
  <c r="E14" i="21"/>
  <c r="F14" i="21"/>
  <c r="E15" i="21"/>
  <c r="F15" i="21"/>
  <c r="E16" i="21"/>
  <c r="F16" i="21"/>
  <c r="E17" i="21"/>
  <c r="F17" i="21"/>
  <c r="E18" i="21"/>
  <c r="F18" i="21"/>
  <c r="E19" i="21"/>
  <c r="F19" i="21"/>
  <c r="E20" i="21"/>
  <c r="F20" i="21"/>
  <c r="E21" i="21"/>
  <c r="F21" i="21"/>
  <c r="E22" i="21"/>
  <c r="F22" i="21"/>
  <c r="E23" i="21"/>
  <c r="F23" i="21"/>
  <c r="E24" i="21"/>
  <c r="F24" i="21"/>
  <c r="E25" i="21"/>
  <c r="F25" i="21"/>
  <c r="E26" i="21"/>
  <c r="F26" i="21"/>
  <c r="E27" i="21"/>
  <c r="F27" i="21"/>
  <c r="E28" i="21"/>
  <c r="F28" i="21"/>
  <c r="E29" i="21"/>
  <c r="F29" i="21"/>
  <c r="E30" i="21"/>
  <c r="F30" i="21"/>
  <c r="E31" i="21"/>
  <c r="F31" i="21"/>
  <c r="E32" i="21"/>
  <c r="F32" i="21"/>
  <c r="E33" i="21"/>
  <c r="F33" i="21"/>
  <c r="E34" i="21"/>
  <c r="F34" i="21"/>
  <c r="E35" i="21"/>
  <c r="F35" i="21"/>
  <c r="E36" i="21"/>
  <c r="F36" i="21"/>
  <c r="E37" i="21"/>
  <c r="F37" i="21"/>
  <c r="F2" i="21"/>
  <c r="E2" i="21"/>
  <c r="E3" i="20"/>
  <c r="F3" i="20"/>
  <c r="E4" i="20"/>
  <c r="F4" i="20"/>
  <c r="E5" i="20"/>
  <c r="F5" i="20"/>
  <c r="E6" i="20"/>
  <c r="F6" i="20"/>
  <c r="E7" i="20"/>
  <c r="F7" i="20"/>
  <c r="E8" i="20"/>
  <c r="F8" i="20"/>
  <c r="E9" i="20"/>
  <c r="F9" i="20"/>
  <c r="E10" i="20"/>
  <c r="F10" i="20"/>
  <c r="E11" i="20"/>
  <c r="F11" i="20"/>
  <c r="E12" i="20"/>
  <c r="F12" i="20"/>
  <c r="E13" i="20"/>
  <c r="F13" i="20"/>
  <c r="E14" i="20"/>
  <c r="F14" i="20"/>
  <c r="E15" i="20"/>
  <c r="F15" i="20"/>
  <c r="E16" i="20"/>
  <c r="F16" i="20"/>
  <c r="E17" i="20"/>
  <c r="F17" i="20"/>
  <c r="E18" i="20"/>
  <c r="F18" i="20"/>
  <c r="E19" i="20"/>
  <c r="F19" i="20"/>
  <c r="E20" i="20"/>
  <c r="F20" i="20"/>
  <c r="E21" i="20"/>
  <c r="F21" i="20"/>
  <c r="E22" i="20"/>
  <c r="F22" i="20"/>
  <c r="E23" i="20"/>
  <c r="F23" i="20"/>
  <c r="E24" i="20"/>
  <c r="F24" i="20"/>
  <c r="E25" i="20"/>
  <c r="F25" i="20"/>
  <c r="E26" i="20"/>
  <c r="F26" i="20"/>
  <c r="E27" i="20"/>
  <c r="F27" i="20"/>
  <c r="E28" i="20"/>
  <c r="F28" i="20"/>
  <c r="E29" i="20"/>
  <c r="F29" i="20"/>
  <c r="E30" i="20"/>
  <c r="F30" i="20"/>
  <c r="E31" i="20"/>
  <c r="F31" i="20"/>
  <c r="E32" i="20"/>
  <c r="F32" i="20"/>
  <c r="E33" i="20"/>
  <c r="F33" i="20"/>
  <c r="E34" i="20"/>
  <c r="F34" i="20"/>
  <c r="E35" i="20"/>
  <c r="F35" i="20"/>
  <c r="E36" i="20"/>
  <c r="F36" i="20"/>
  <c r="E37" i="20"/>
  <c r="F37" i="20"/>
  <c r="E38" i="20"/>
  <c r="F38" i="20"/>
  <c r="E39" i="20"/>
  <c r="F39" i="20"/>
  <c r="E40" i="20"/>
  <c r="F40" i="20"/>
  <c r="E41" i="20"/>
  <c r="F41" i="20"/>
  <c r="E42" i="20"/>
  <c r="F42" i="20"/>
  <c r="E43" i="20"/>
  <c r="F43" i="20"/>
  <c r="E44" i="20"/>
  <c r="F44" i="20"/>
  <c r="E45" i="20"/>
  <c r="F45" i="20"/>
  <c r="E46" i="20"/>
  <c r="F46" i="20"/>
  <c r="E47" i="20"/>
  <c r="F47" i="20"/>
  <c r="E48" i="20"/>
  <c r="F48" i="20"/>
  <c r="E49" i="20"/>
  <c r="F49" i="20"/>
  <c r="F2" i="20"/>
  <c r="E2" i="20"/>
  <c r="E3" i="19"/>
  <c r="F3" i="19"/>
  <c r="E4" i="19"/>
  <c r="F4" i="19"/>
  <c r="E5" i="19"/>
  <c r="F5" i="19"/>
  <c r="E6" i="19"/>
  <c r="F6" i="19"/>
  <c r="E7" i="19"/>
  <c r="F7" i="19"/>
  <c r="E8" i="19"/>
  <c r="F8" i="19"/>
  <c r="E9" i="19"/>
  <c r="F9" i="19"/>
  <c r="E10" i="19"/>
  <c r="F10" i="19"/>
  <c r="E11" i="19"/>
  <c r="F11" i="19"/>
  <c r="E12" i="19"/>
  <c r="F12" i="19"/>
  <c r="E13" i="19"/>
  <c r="F13" i="19"/>
  <c r="E14" i="19"/>
  <c r="F14" i="19"/>
  <c r="E15" i="19"/>
  <c r="F15" i="19"/>
  <c r="E16" i="19"/>
  <c r="F16" i="19"/>
  <c r="E17" i="19"/>
  <c r="F17" i="19"/>
  <c r="E18" i="19"/>
  <c r="F18" i="19"/>
  <c r="E19" i="19"/>
  <c r="F19" i="19"/>
  <c r="E20" i="19"/>
  <c r="F20" i="19"/>
  <c r="E21" i="19"/>
  <c r="F21" i="19"/>
  <c r="E22" i="19"/>
  <c r="F22" i="19"/>
  <c r="E23" i="19"/>
  <c r="F23" i="19"/>
  <c r="E24" i="19"/>
  <c r="F24" i="19"/>
  <c r="E25" i="19"/>
  <c r="F25" i="19"/>
  <c r="E26" i="19"/>
  <c r="F26" i="19"/>
  <c r="E27" i="19"/>
  <c r="F27" i="19"/>
  <c r="E28" i="19"/>
  <c r="F28" i="19"/>
  <c r="E29" i="19"/>
  <c r="F29" i="19"/>
  <c r="E30" i="19"/>
  <c r="F30" i="19"/>
  <c r="E31" i="19"/>
  <c r="F31" i="19"/>
  <c r="E32" i="19"/>
  <c r="F32" i="19"/>
  <c r="E33" i="19"/>
  <c r="F33" i="19"/>
  <c r="E34" i="19"/>
  <c r="F34" i="19"/>
  <c r="E35" i="19"/>
  <c r="F35" i="19"/>
  <c r="E36" i="19"/>
  <c r="F36" i="19"/>
  <c r="E37" i="19"/>
  <c r="F37" i="19"/>
  <c r="E2" i="19"/>
  <c r="F2" i="19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csv" space="1" consecutive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temp1" type="6" refreshedVersion="4" background="1" saveData="1">
    <textPr codePage="437" sourceFile="C:\Users\lien.chen\Desktop\temp.csv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<sst xmlns="http://schemas.openxmlformats.org/spreadsheetml/2006/main" count="1032" uniqueCount="238">
  <si>
    <t>Coupon</t>
  </si>
  <si>
    <t>FGU6</t>
  </si>
  <si>
    <t>FGU9</t>
  </si>
  <si>
    <t>x_vals</t>
  </si>
  <si>
    <t>y_vals.act</t>
  </si>
  <si>
    <t>y_vals.mdl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</si>
  <si>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</si>
  <si>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</si>
  <si>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</si>
  <si>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</si>
  <si>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</si>
  <si>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</si>
  <si>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</si>
  <si>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</si>
  <si>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</si>
  <si>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</si>
  <si>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</si>
  <si>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</si>
  <si>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</si>
  <si>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</si>
  <si>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</si>
  <si>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</si>
  <si>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</si>
  <si>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</si>
  <si>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</si>
  <si>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</si>
  <si>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</si>
  <si>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</si>
  <si>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</si>
  <si>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</si>
  <si>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</si>
  <si>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</si>
  <si>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</si>
  <si>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</si>
  <si>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</si>
  <si>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</si>
  <si>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</si>
  <si>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</si>
  <si>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</si>
  <si>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</si>
  <si>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</si>
  <si>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</si>
  <si>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</si>
  <si>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</si>
  <si>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</si>
  <si>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</si>
  <si>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</si>
  <si>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</si>
  <si>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</si>
  <si>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</si>
  <si>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</si>
  <si>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</si>
  <si>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</si>
  <si>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</si>
  <si>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</si>
  <si>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</si>
  <si>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</si>
  <si>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</si>
  <si>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</si>
  <si>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</si>
  <si>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</si>
  <si>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</si>
  <si>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</si>
  <si>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</si>
  <si>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</si>
  <si>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</si>
  <si>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CQ Act</t>
  </si>
  <si>
    <t>CQ model</t>
  </si>
  <si>
    <t>Conv Act</t>
  </si>
  <si>
    <t>Conv Model</t>
  </si>
  <si>
    <t>CLTV</t>
  </si>
  <si>
    <t>Model</t>
  </si>
  <si>
    <t>99-100</t>
  </si>
  <si>
    <t>100-101</t>
  </si>
  <si>
    <t>101-102</t>
  </si>
  <si>
    <t>102-103</t>
  </si>
  <si>
    <t>103-104</t>
  </si>
  <si>
    <t>104-105</t>
  </si>
  <si>
    <t>105-106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</si>
  <si>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</si>
  <si>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</si>
  <si>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</si>
  <si>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</si>
  <si>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</si>
  <si>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</si>
  <si>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</si>
  <si>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</si>
  <si>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</si>
  <si>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</si>
  <si>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</si>
  <si>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</si>
  <si>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</si>
  <si>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</si>
  <si>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</si>
  <si>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</si>
  <si>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</si>
  <si>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</si>
  <si>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</si>
  <si>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</si>
  <si>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</si>
  <si>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</si>
  <si>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</si>
  <si>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</si>
  <si>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</si>
  <si>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</si>
  <si>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</si>
  <si>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</si>
  <si>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</si>
  <si>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</si>
  <si>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</si>
  <si>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</si>
  <si>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</si>
  <si>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</si>
  <si>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</si>
  <si>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</si>
  <si>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</si>
  <si>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</si>
  <si>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</si>
  <si>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</si>
  <si>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</si>
  <si>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</si>
  <si>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</si>
  <si>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</si>
  <si>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</si>
  <si>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</si>
  <si>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</si>
  <si>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</si>
  <si>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</si>
  <si>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</si>
  <si>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</si>
  <si>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</si>
  <si>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</si>
  <si>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</si>
  <si>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</si>
  <si>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</si>
  <si>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</si>
  <si>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</si>
  <si>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</si>
  <si>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</si>
  <si>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</si>
  <si>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</si>
  <si>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</si>
  <si>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</si>
  <si>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</si>
  <si>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</si>
  <si>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</si>
  <si>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</si>
  <si>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</si>
  <si>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</si>
  <si>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Actural</t>
  </si>
  <si>
    <t>Scham Balance(mm)</t>
  </si>
  <si>
    <t>Loan Count</t>
  </si>
  <si>
    <t>Model [101] CPR</t>
  </si>
  <si>
    <t>Model CPR Curtail</t>
  </si>
  <si>
    <t>Model CPR Default</t>
  </si>
  <si>
    <t>Model Turnover</t>
  </si>
  <si>
    <t>Model Refinance</t>
  </si>
  <si>
    <t>Model Scham Balance(mm)</t>
  </si>
  <si>
    <t>106-107</t>
  </si>
  <si>
    <t>107-108</t>
  </si>
  <si>
    <t>108-109</t>
  </si>
  <si>
    <t>109-110</t>
  </si>
  <si>
    <t>110-111</t>
  </si>
  <si>
    <t>111-112</t>
  </si>
  <si>
    <t>112-113</t>
  </si>
  <si>
    <t>113-114</t>
  </si>
  <si>
    <t>114-115</t>
  </si>
  <si>
    <t>115-116</t>
  </si>
  <si>
    <t>116-117</t>
  </si>
  <si>
    <t>117-118</t>
  </si>
  <si>
    <t>118-119</t>
  </si>
  <si>
    <t>119-120</t>
  </si>
  <si>
    <t>120-121</t>
  </si>
  <si>
    <t>121-122</t>
  </si>
  <si>
    <t>122-123</t>
  </si>
  <si>
    <t>123-124</t>
  </si>
  <si>
    <t>124-125</t>
  </si>
  <si>
    <t>125-126</t>
  </si>
  <si>
    <t>126-127</t>
  </si>
  <si>
    <t>127-128</t>
  </si>
  <si>
    <t>128-129</t>
  </si>
  <si>
    <t>129-130</t>
  </si>
  <si>
    <t>130-131</t>
  </si>
  <si>
    <t>131-132</t>
  </si>
  <si>
    <t>132-133</t>
  </si>
  <si>
    <t>133-134</t>
  </si>
  <si>
    <t>134-135</t>
  </si>
  <si>
    <t>135-136</t>
  </si>
  <si>
    <t>136-137</t>
  </si>
  <si>
    <t>137-138</t>
  </si>
  <si>
    <t>138-139</t>
  </si>
  <si>
    <t>139-140</t>
  </si>
  <si>
    <t>140-141</t>
  </si>
  <si>
    <t>141-142</t>
  </si>
  <si>
    <t>142-143</t>
  </si>
  <si>
    <t>143-144</t>
  </si>
  <si>
    <t>144-145</t>
  </si>
  <si>
    <t>145-146</t>
  </si>
  <si>
    <t>146-147</t>
  </si>
  <si>
    <t>147-148</t>
  </si>
  <si>
    <t>148-149</t>
  </si>
  <si>
    <t>13-14</t>
  </si>
  <si>
    <t>149-150</t>
  </si>
  <si>
    <t>150-151</t>
  </si>
  <si>
    <t>151-152</t>
  </si>
  <si>
    <t>152-153</t>
  </si>
  <si>
    <t>153-154</t>
  </si>
  <si>
    <t>154-155</t>
  </si>
  <si>
    <t>155-156</t>
  </si>
  <si>
    <t>156-157</t>
  </si>
  <si>
    <t>157-158</t>
  </si>
  <si>
    <t>158-159</t>
  </si>
  <si>
    <t>14-15</t>
  </si>
  <si>
    <t>159-160</t>
  </si>
  <si>
    <t>160-161</t>
  </si>
  <si>
    <t>161-162</t>
  </si>
  <si>
    <t>162-163</t>
  </si>
  <si>
    <t>163-164</t>
  </si>
  <si>
    <t>164-165</t>
  </si>
  <si>
    <t>165-166</t>
  </si>
  <si>
    <t>166-167</t>
  </si>
  <si>
    <t>167-168</t>
  </si>
  <si>
    <t>168-169</t>
  </si>
  <si>
    <t>15-16</t>
  </si>
  <si>
    <t>169-170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</si>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</sst>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rgb="FFF8F8F8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0.14996795556505021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'CQ 3.5 13'!$C$1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'CQ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'CQ 3.5 13'!$C$2:$C$37</c:f>
              <c:numCache>
                <c:formatCode>General</c:formatCode>
                <c:ptCount val="36"/>
                <c:pt idx="0">
                  <c:v>1.63591257460955</c:v>
                </c:pt>
                <c:pt idx="1">
                  <c:v>0.95590703616670303</c:v>
                </c:pt>
                <c:pt idx="2">
                  <c:v>1.2265295605862001</c:v>
                </c:pt>
                <c:pt idx="3">
                  <c:v>1.42442158085054</c:v>
                </c:pt>
                <c:pt idx="4">
                  <c:v>1.5784848852751201</c:v>
                </c:pt>
                <c:pt idx="5">
                  <c:v>2.0023630724777899</c:v>
                </c:pt>
                <c:pt idx="6">
                  <c:v>2.07750130677592</c:v>
                </c:pt>
                <c:pt idx="7">
                  <c:v>2.5548961180571501</c:v>
                </c:pt>
                <c:pt idx="8">
                  <c:v>2.42428918666725</c:v>
                </c:pt>
                <c:pt idx="9">
                  <c:v>2.1136783822058498</c:v>
                </c:pt>
                <c:pt idx="10">
                  <c:v>2.3525004748818699</c:v>
                </c:pt>
                <c:pt idx="11">
                  <c:v>2.71490028426257</c:v>
                </c:pt>
                <c:pt idx="12">
                  <c:v>2.5119789765918101</c:v>
                </c:pt>
                <c:pt idx="13">
                  <c:v>2.6554733120072598</c:v>
                </c:pt>
                <c:pt idx="14">
                  <c:v>3.7246295888100902</c:v>
                </c:pt>
                <c:pt idx="15">
                  <c:v>3.4378742748523301</c:v>
                </c:pt>
                <c:pt idx="16">
                  <c:v>4.8477085388448202</c:v>
                </c:pt>
                <c:pt idx="17">
                  <c:v>4.1301038617508601</c:v>
                </c:pt>
                <c:pt idx="18">
                  <c:v>4.2878366001645603</c:v>
                </c:pt>
                <c:pt idx="19">
                  <c:v>5.58944049402057</c:v>
                </c:pt>
                <c:pt idx="20">
                  <c:v>4.5064936600708503</c:v>
                </c:pt>
                <c:pt idx="21">
                  <c:v>4.9147315424106504</c:v>
                </c:pt>
                <c:pt idx="22">
                  <c:v>4.5130393725936901</c:v>
                </c:pt>
                <c:pt idx="23">
                  <c:v>4.9544657957726699</c:v>
                </c:pt>
                <c:pt idx="24">
                  <c:v>5.3713136783491899</c:v>
                </c:pt>
                <c:pt idx="25">
                  <c:v>4.4358918836477903</c:v>
                </c:pt>
                <c:pt idx="26">
                  <c:v>5.8537207278367198</c:v>
                </c:pt>
                <c:pt idx="27">
                  <c:v>6.9172939016973096</c:v>
                </c:pt>
                <c:pt idx="28">
                  <c:v>8.0727753361373793</c:v>
                </c:pt>
                <c:pt idx="29">
                  <c:v>7.5433424805368396</c:v>
                </c:pt>
                <c:pt idx="30">
                  <c:v>8.9808157708045595</c:v>
                </c:pt>
                <c:pt idx="31">
                  <c:v>6.8599345244405701</c:v>
                </c:pt>
                <c:pt idx="32">
                  <c:v>7.6042556882299399</c:v>
                </c:pt>
                <c:pt idx="33">
                  <c:v>8.0788975321340004</c:v>
                </c:pt>
                <c:pt idx="34">
                  <c:v>6.1740086593389103</c:v>
                </c:pt>
                <c:pt idx="35">
                  <c:v>7.5161087210162698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'CQ 3.5 13'!$D$1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'CQ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'CQ 3.5 13'!$D$2:$D$37</c:f>
              <c:numCache>
                <c:formatCode>General</c:formatCode>
                <c:ptCount val="36"/>
                <c:pt idx="0">
                  <c:v>0.61725090720328202</c:v>
                </c:pt>
                <c:pt idx="1">
                  <c:v>0.63208547579000096</c:v>
                </c:pt>
                <c:pt idx="2">
                  <c:v>0.803502883955864</c:v>
                </c:pt>
                <c:pt idx="3">
                  <c:v>1.0537971166656801</c:v>
                </c:pt>
                <c:pt idx="4">
                  <c:v>1.4386392601014899</c:v>
                </c:pt>
                <c:pt idx="5">
                  <c:v>1.5176833669379599</c:v>
                </c:pt>
                <c:pt idx="6">
                  <c:v>1.1946897004563299</c:v>
                </c:pt>
                <c:pt idx="7">
                  <c:v>1.22437411255366</c:v>
                </c:pt>
                <c:pt idx="8">
                  <c:v>1.3173639569206099</c:v>
                </c:pt>
                <c:pt idx="9">
                  <c:v>1.50395020453964</c:v>
                </c:pt>
                <c:pt idx="10">
                  <c:v>1.8128627419144201</c:v>
                </c:pt>
                <c:pt idx="11">
                  <c:v>1.9821842485499499</c:v>
                </c:pt>
                <c:pt idx="12">
                  <c:v>2.0008934550434501</c:v>
                </c:pt>
                <c:pt idx="13">
                  <c:v>2.1988809463200001</c:v>
                </c:pt>
                <c:pt idx="14">
                  <c:v>2.6162524980675701</c:v>
                </c:pt>
                <c:pt idx="15">
                  <c:v>2.83932342177259</c:v>
                </c:pt>
                <c:pt idx="16">
                  <c:v>3.57407297004674</c:v>
                </c:pt>
                <c:pt idx="17">
                  <c:v>4.9525464739651097</c:v>
                </c:pt>
                <c:pt idx="18">
                  <c:v>5.8449875550036303</c:v>
                </c:pt>
                <c:pt idx="19">
                  <c:v>6.9032821272948004</c:v>
                </c:pt>
                <c:pt idx="20">
                  <c:v>6.9698761596488099</c:v>
                </c:pt>
                <c:pt idx="21">
                  <c:v>7.16429129590108</c:v>
                </c:pt>
                <c:pt idx="22">
                  <c:v>8.0136428715270096</c:v>
                </c:pt>
                <c:pt idx="23">
                  <c:v>10.024436704536701</c:v>
                </c:pt>
                <c:pt idx="24">
                  <c:v>11.2780146348603</c:v>
                </c:pt>
                <c:pt idx="25">
                  <c:v>15.0723191015982</c:v>
                </c:pt>
                <c:pt idx="26">
                  <c:v>17.518676942132199</c:v>
                </c:pt>
                <c:pt idx="27">
                  <c:v>20.830436445535099</c:v>
                </c:pt>
                <c:pt idx="28">
                  <c:v>26.2231949323753</c:v>
                </c:pt>
                <c:pt idx="29">
                  <c:v>24.637467397025699</c:v>
                </c:pt>
                <c:pt idx="30">
                  <c:v>22.8283113104495</c:v>
                </c:pt>
                <c:pt idx="31">
                  <c:v>23.2051879662944</c:v>
                </c:pt>
                <c:pt idx="32">
                  <c:v>25.0418347015686</c:v>
                </c:pt>
                <c:pt idx="33">
                  <c:v>25.042481130128898</c:v>
                </c:pt>
                <c:pt idx="34">
                  <c:v>26.221578981985299</c:v>
                </c:pt>
                <c:pt idx="35">
                  <c:v>23.261525631932201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174400"/>
        <c:axId val="361642240"/>
      </c:lineChart>
      <c:dateAx>
        <c:axId val="3491744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1642240"/>
        <c:crosses val="autoZero"/>
        <c:auto val="1"/>
        <c:lblOffset val="100"/>
        <c:baseTimeUnit val="months"/>
      </c:dateAx>
      <c:valAx>
        <c:axId val="361642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9174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'CQ 3.5 12'!$C$1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'CQ 3.5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'CQ 3.5 12'!$C$2:$C$49</c:f>
              <c:numCache>
                <c:formatCode>General</c:formatCode>
                <c:ptCount val="48"/>
                <c:pt idx="0">
                  <c:v>0.13311837705238799</c:v>
                </c:pt>
                <c:pt idx="1">
                  <c:v>0.54729849315739998</c:v>
                </c:pt>
                <c:pt idx="2">
                  <c:v>0.33825682333601398</c:v>
                </c:pt>
                <c:pt idx="3">
                  <c:v>0.78772790599405096</c:v>
                </c:pt>
                <c:pt idx="4">
                  <c:v>1.2948442357188099</c:v>
                </c:pt>
                <c:pt idx="5">
                  <c:v>1.41842721177453</c:v>
                </c:pt>
                <c:pt idx="6">
                  <c:v>0.58652886375567503</c:v>
                </c:pt>
                <c:pt idx="7">
                  <c:v>1.06980451742803</c:v>
                </c:pt>
                <c:pt idx="8">
                  <c:v>1.0675935184327401</c:v>
                </c:pt>
                <c:pt idx="9">
                  <c:v>1.3423221370849601</c:v>
                </c:pt>
                <c:pt idx="10">
                  <c:v>1.1031994253394499</c:v>
                </c:pt>
                <c:pt idx="11">
                  <c:v>1.35857240419748</c:v>
                </c:pt>
                <c:pt idx="12">
                  <c:v>1.4466949656239001</c:v>
                </c:pt>
                <c:pt idx="13">
                  <c:v>1.3656706730686801</c:v>
                </c:pt>
                <c:pt idx="14">
                  <c:v>2.2748843429445502</c:v>
                </c:pt>
                <c:pt idx="15">
                  <c:v>3.3496616471722098</c:v>
                </c:pt>
                <c:pt idx="16">
                  <c:v>4.2790616466754896</c:v>
                </c:pt>
                <c:pt idx="17">
                  <c:v>4.3984499911280297</c:v>
                </c:pt>
                <c:pt idx="18">
                  <c:v>5.7545837663813302</c:v>
                </c:pt>
                <c:pt idx="19">
                  <c:v>3.93870260082732</c:v>
                </c:pt>
                <c:pt idx="20">
                  <c:v>4.1332623613683204</c:v>
                </c:pt>
                <c:pt idx="21">
                  <c:v>4.1553160267561102</c:v>
                </c:pt>
                <c:pt idx="22">
                  <c:v>3.8641205400352199</c:v>
                </c:pt>
                <c:pt idx="23">
                  <c:v>4.45358156580689</c:v>
                </c:pt>
                <c:pt idx="24">
                  <c:v>3.4997990854065999</c:v>
                </c:pt>
                <c:pt idx="25">
                  <c:v>4.0902696323400898</c:v>
                </c:pt>
                <c:pt idx="26">
                  <c:v>5.27324323405323</c:v>
                </c:pt>
                <c:pt idx="27">
                  <c:v>5.5666589266716002</c:v>
                </c:pt>
                <c:pt idx="28">
                  <c:v>6.4817268078958001</c:v>
                </c:pt>
                <c:pt idx="29">
                  <c:v>6.8912317100115601</c:v>
                </c:pt>
                <c:pt idx="30">
                  <c:v>8.1821234681233808</c:v>
                </c:pt>
                <c:pt idx="31">
                  <c:v>7.3251746696421298</c:v>
                </c:pt>
                <c:pt idx="32">
                  <c:v>5.8497140689206599</c:v>
                </c:pt>
                <c:pt idx="33">
                  <c:v>7.5166707320653803</c:v>
                </c:pt>
                <c:pt idx="34">
                  <c:v>6.1483109067524504</c:v>
                </c:pt>
                <c:pt idx="35">
                  <c:v>6.69755459870363</c:v>
                </c:pt>
                <c:pt idx="36">
                  <c:v>4.3234793926000803</c:v>
                </c:pt>
                <c:pt idx="37">
                  <c:v>7.4188254022990998</c:v>
                </c:pt>
                <c:pt idx="38">
                  <c:v>9.2793438789049105</c:v>
                </c:pt>
                <c:pt idx="39">
                  <c:v>10.3371536094182</c:v>
                </c:pt>
                <c:pt idx="40">
                  <c:v>9.8347237086167798</c:v>
                </c:pt>
                <c:pt idx="41">
                  <c:v>11.3211637995181</c:v>
                </c:pt>
                <c:pt idx="42">
                  <c:v>11.184780948608999</c:v>
                </c:pt>
                <c:pt idx="43">
                  <c:v>9.4689376650899906</c:v>
                </c:pt>
                <c:pt idx="44">
                  <c:v>11.337494148533199</c:v>
                </c:pt>
                <c:pt idx="45">
                  <c:v>9.2770014758118098</c:v>
                </c:pt>
                <c:pt idx="46">
                  <c:v>8.2135104279118796</c:v>
                </c:pt>
                <c:pt idx="47">
                  <c:v>9.11931377444383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'CQ 3.5 12'!$D$1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'CQ 3.5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'CQ 3.5 12'!$D$2:$D$49</c:f>
              <c:numCache>
                <c:formatCode>General</c:formatCode>
                <c:ptCount val="48"/>
                <c:pt idx="0">
                  <c:v>0.373263083214459</c:v>
                </c:pt>
                <c:pt idx="1">
                  <c:v>0.53704906713456502</c:v>
                </c:pt>
                <c:pt idx="2">
                  <c:v>0.531495280645922</c:v>
                </c:pt>
                <c:pt idx="3">
                  <c:v>0.497014121997574</c:v>
                </c:pt>
                <c:pt idx="4">
                  <c:v>0.68194846865355896</c:v>
                </c:pt>
                <c:pt idx="5">
                  <c:v>0.92264305145088898</c:v>
                </c:pt>
                <c:pt idx="6">
                  <c:v>1.14951816633205</c:v>
                </c:pt>
                <c:pt idx="7">
                  <c:v>1.23396813072456</c:v>
                </c:pt>
                <c:pt idx="8">
                  <c:v>1.1914870045592001</c:v>
                </c:pt>
                <c:pt idx="9">
                  <c:v>1.4024738463069599</c:v>
                </c:pt>
                <c:pt idx="10">
                  <c:v>1.58302129074646</c:v>
                </c:pt>
                <c:pt idx="11">
                  <c:v>1.6836865744192999</c:v>
                </c:pt>
                <c:pt idx="12">
                  <c:v>1.77880510023812</c:v>
                </c:pt>
                <c:pt idx="13">
                  <c:v>1.9915727285264599</c:v>
                </c:pt>
                <c:pt idx="14">
                  <c:v>2.19803254737888</c:v>
                </c:pt>
                <c:pt idx="15">
                  <c:v>2.5947097788212599</c:v>
                </c:pt>
                <c:pt idx="16">
                  <c:v>4.0459463862056797</c:v>
                </c:pt>
                <c:pt idx="17">
                  <c:v>4.4773016715364902</c:v>
                </c:pt>
                <c:pt idx="18">
                  <c:v>3.5361988183428101</c:v>
                </c:pt>
                <c:pt idx="19">
                  <c:v>3.4200041763276601</c:v>
                </c:pt>
                <c:pt idx="20">
                  <c:v>3.1297848493627898</c:v>
                </c:pt>
                <c:pt idx="21">
                  <c:v>3.4447710916027399</c:v>
                </c:pt>
                <c:pt idx="22">
                  <c:v>4.1934838329662298</c:v>
                </c:pt>
                <c:pt idx="23">
                  <c:v>4.3263193708624401</c:v>
                </c:pt>
                <c:pt idx="24">
                  <c:v>3.8378028191054399</c:v>
                </c:pt>
                <c:pt idx="25">
                  <c:v>4.22598904378874</c:v>
                </c:pt>
                <c:pt idx="26">
                  <c:v>6.34208900047157</c:v>
                </c:pt>
                <c:pt idx="27">
                  <c:v>9.3203649056777707</c:v>
                </c:pt>
                <c:pt idx="28">
                  <c:v>12.517299745292799</c:v>
                </c:pt>
                <c:pt idx="29">
                  <c:v>16.4343921825667</c:v>
                </c:pt>
                <c:pt idx="30">
                  <c:v>17.196688982112601</c:v>
                </c:pt>
                <c:pt idx="31">
                  <c:v>18.783840430915099</c:v>
                </c:pt>
                <c:pt idx="32">
                  <c:v>18.206570044698999</c:v>
                </c:pt>
                <c:pt idx="33">
                  <c:v>17.7993232446475</c:v>
                </c:pt>
                <c:pt idx="34">
                  <c:v>20.357324870127002</c:v>
                </c:pt>
                <c:pt idx="35">
                  <c:v>26.175521505152901</c:v>
                </c:pt>
                <c:pt idx="36">
                  <c:v>27.885398086076201</c:v>
                </c:pt>
                <c:pt idx="37">
                  <c:v>32.743682034624001</c:v>
                </c:pt>
                <c:pt idx="38">
                  <c:v>34.299777896700299</c:v>
                </c:pt>
                <c:pt idx="39">
                  <c:v>35.275276927718203</c:v>
                </c:pt>
                <c:pt idx="40">
                  <c:v>38.983300882522897</c:v>
                </c:pt>
                <c:pt idx="41">
                  <c:v>35.289776411218497</c:v>
                </c:pt>
                <c:pt idx="42">
                  <c:v>32.2519342591509</c:v>
                </c:pt>
                <c:pt idx="43">
                  <c:v>31.519639553807799</c:v>
                </c:pt>
                <c:pt idx="44">
                  <c:v>33.805217360950898</c:v>
                </c:pt>
                <c:pt idx="45">
                  <c:v>33.220936048582601</c:v>
                </c:pt>
                <c:pt idx="46">
                  <c:v>33.903323321467902</c:v>
                </c:pt>
                <c:pt idx="47">
                  <c:v>30.594085546638699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30656"/>
        <c:axId val="347032192"/>
      </c:lineChart>
      <c:dateAx>
        <c:axId val="347030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7032192"/>
        <c:crosses val="autoZero"/>
        <c:auto val="1"/>
        <c:lblOffset val="100"/>
        <c:baseTimeUnit val="months"/>
      </c:dateAx>
      <c:valAx>
        <c:axId val="34703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7030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'CQ 4.0 13'!$C$1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'CQ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'CQ 4.0 13'!$C$2:$C$37</c:f>
              <c:numCache>
                <c:formatCode>General</c:formatCode>
                <c:ptCount val="36"/>
                <c:pt idx="0">
                  <c:v>0.175713761323326</c:v>
                </c:pt>
                <c:pt idx="1">
                  <c:v>1.4076125545573901</c:v>
                </c:pt>
                <c:pt idx="2">
                  <c:v>0.53866158869957403</c:v>
                </c:pt>
                <c:pt idx="3">
                  <c:v>1.3040200021236601</c:v>
                </c:pt>
                <c:pt idx="4">
                  <c:v>1.5086563747561099</c:v>
                </c:pt>
                <c:pt idx="5">
                  <c:v>2.1320347136088502</c:v>
                </c:pt>
                <c:pt idx="6">
                  <c:v>1.41269049886298</c:v>
                </c:pt>
                <c:pt idx="7">
                  <c:v>2.0477129698812502</c:v>
                </c:pt>
                <c:pt idx="8">
                  <c:v>1.65974117522664</c:v>
                </c:pt>
                <c:pt idx="9">
                  <c:v>1.69430246666377</c:v>
                </c:pt>
                <c:pt idx="10">
                  <c:v>2.0164125801628701</c:v>
                </c:pt>
                <c:pt idx="11">
                  <c:v>2.8231379577377398</c:v>
                </c:pt>
                <c:pt idx="12">
                  <c:v>2.5745762925061402</c:v>
                </c:pt>
                <c:pt idx="13">
                  <c:v>2.7788697047950301</c:v>
                </c:pt>
                <c:pt idx="14">
                  <c:v>2.8632699861647799</c:v>
                </c:pt>
                <c:pt idx="15">
                  <c:v>3.7319759732134501</c:v>
                </c:pt>
                <c:pt idx="16">
                  <c:v>4.0770416632663098</c:v>
                </c:pt>
                <c:pt idx="17">
                  <c:v>3.80131706157306</c:v>
                </c:pt>
                <c:pt idx="18">
                  <c:v>4.7985799521396801</c:v>
                </c:pt>
                <c:pt idx="19">
                  <c:v>5.3028714396974204</c:v>
                </c:pt>
                <c:pt idx="20">
                  <c:v>4.7853513794234699</c:v>
                </c:pt>
                <c:pt idx="21">
                  <c:v>6.2622696888914096</c:v>
                </c:pt>
                <c:pt idx="22">
                  <c:v>4.68878404674685</c:v>
                </c:pt>
                <c:pt idx="23">
                  <c:v>5.4054088355828398</c:v>
                </c:pt>
                <c:pt idx="24">
                  <c:v>4.2527869743063302</c:v>
                </c:pt>
                <c:pt idx="25">
                  <c:v>5.9995883368899703</c:v>
                </c:pt>
                <c:pt idx="26">
                  <c:v>7.7433577860941503</c:v>
                </c:pt>
                <c:pt idx="27">
                  <c:v>8.1890206957123599</c:v>
                </c:pt>
                <c:pt idx="28">
                  <c:v>7.0850204039629396</c:v>
                </c:pt>
                <c:pt idx="29">
                  <c:v>10.2431171149502</c:v>
                </c:pt>
                <c:pt idx="30">
                  <c:v>8.2418808611601708</c:v>
                </c:pt>
                <c:pt idx="31">
                  <c:v>9.6253119190808807</c:v>
                </c:pt>
                <c:pt idx="32">
                  <c:v>8.0498299614579008</c:v>
                </c:pt>
                <c:pt idx="33">
                  <c:v>8.4787487228178708</c:v>
                </c:pt>
                <c:pt idx="34">
                  <c:v>6.1517215668283303</c:v>
                </c:pt>
                <c:pt idx="35">
                  <c:v>8.0462497584834995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'CQ 4.0 13'!$D$1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'CQ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'CQ 4.0 13'!$D$2:$D$37</c:f>
              <c:numCache>
                <c:formatCode>General</c:formatCode>
                <c:ptCount val="36"/>
                <c:pt idx="0">
                  <c:v>0.64200687726686501</c:v>
                </c:pt>
                <c:pt idx="1">
                  <c:v>0.73733747177738795</c:v>
                </c:pt>
                <c:pt idx="2">
                  <c:v>1.2470513303453501</c:v>
                </c:pt>
                <c:pt idx="3">
                  <c:v>1.2518293465070101</c:v>
                </c:pt>
                <c:pt idx="4">
                  <c:v>1.52205980744838</c:v>
                </c:pt>
                <c:pt idx="5">
                  <c:v>1.67058384275824</c:v>
                </c:pt>
                <c:pt idx="6">
                  <c:v>1.3348314759519699</c:v>
                </c:pt>
                <c:pt idx="7">
                  <c:v>1.4490923812052201</c:v>
                </c:pt>
                <c:pt idx="8">
                  <c:v>1.3862923582272999</c:v>
                </c:pt>
                <c:pt idx="9">
                  <c:v>1.4978004481843701</c:v>
                </c:pt>
                <c:pt idx="10">
                  <c:v>1.85841224258528</c:v>
                </c:pt>
                <c:pt idx="11">
                  <c:v>2.0320932644390099</c:v>
                </c:pt>
                <c:pt idx="12">
                  <c:v>1.9956772394520801</c:v>
                </c:pt>
                <c:pt idx="13">
                  <c:v>2.2407143510201699</c:v>
                </c:pt>
                <c:pt idx="14">
                  <c:v>2.8729938366198202</c:v>
                </c:pt>
                <c:pt idx="15">
                  <c:v>3.1264536950577502</c:v>
                </c:pt>
                <c:pt idx="16">
                  <c:v>3.6659837083518898</c:v>
                </c:pt>
                <c:pt idx="17">
                  <c:v>4.7336771096664902</c:v>
                </c:pt>
                <c:pt idx="18">
                  <c:v>5.30461675252646</c:v>
                </c:pt>
                <c:pt idx="19">
                  <c:v>6.1353882537736704</c:v>
                </c:pt>
                <c:pt idx="20">
                  <c:v>6.1947212954730499</c:v>
                </c:pt>
                <c:pt idx="21">
                  <c:v>6.2978752377116098</c:v>
                </c:pt>
                <c:pt idx="22">
                  <c:v>7.1210887843699204</c:v>
                </c:pt>
                <c:pt idx="23">
                  <c:v>8.3791474787495801</c:v>
                </c:pt>
                <c:pt idx="24">
                  <c:v>9.0549516055823194</c:v>
                </c:pt>
                <c:pt idx="25">
                  <c:v>11.6051495175612</c:v>
                </c:pt>
                <c:pt idx="26">
                  <c:v>14.213496281669901</c:v>
                </c:pt>
                <c:pt idx="27">
                  <c:v>16.5395852746672</c:v>
                </c:pt>
                <c:pt idx="28">
                  <c:v>20.7420271458586</c:v>
                </c:pt>
                <c:pt idx="29">
                  <c:v>19.828354951830299</c:v>
                </c:pt>
                <c:pt idx="30">
                  <c:v>18.8675908014899</c:v>
                </c:pt>
                <c:pt idx="31">
                  <c:v>20.161734617424099</c:v>
                </c:pt>
                <c:pt idx="32">
                  <c:v>21.579427648150499</c:v>
                </c:pt>
                <c:pt idx="33">
                  <c:v>21.599301980236199</c:v>
                </c:pt>
                <c:pt idx="34">
                  <c:v>22.451902842815201</c:v>
                </c:pt>
                <c:pt idx="35">
                  <c:v>20.403947839167301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202688"/>
        <c:axId val="347204224"/>
      </c:lineChart>
      <c:dateAx>
        <c:axId val="347202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7204224"/>
        <c:crosses val="autoZero"/>
        <c:auto val="1"/>
        <c:lblOffset val="100"/>
        <c:baseTimeUnit val="months"/>
      </c:dateAx>
      <c:valAx>
        <c:axId val="347204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7202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'CQ 4.0 12'!$C$1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'CQ 4.0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'CQ 4.0 12'!$C$2:$C$49</c:f>
              <c:numCache>
                <c:formatCode>General</c:formatCode>
                <c:ptCount val="48"/>
                <c:pt idx="0">
                  <c:v>0.12540459520398201</c:v>
                </c:pt>
                <c:pt idx="1">
                  <c:v>0.31423326613383401</c:v>
                </c:pt>
                <c:pt idx="2">
                  <c:v>1.1951987384510101</c:v>
                </c:pt>
                <c:pt idx="3">
                  <c:v>0.39291227150214397</c:v>
                </c:pt>
                <c:pt idx="4">
                  <c:v>0.53899236838785802</c:v>
                </c:pt>
                <c:pt idx="5">
                  <c:v>1.4569256192883699</c:v>
                </c:pt>
                <c:pt idx="6">
                  <c:v>1.7580832627662699</c:v>
                </c:pt>
                <c:pt idx="7">
                  <c:v>1.2960484917414301</c:v>
                </c:pt>
                <c:pt idx="8">
                  <c:v>2.00171456935783</c:v>
                </c:pt>
                <c:pt idx="9">
                  <c:v>2.1382843976134902</c:v>
                </c:pt>
                <c:pt idx="10">
                  <c:v>2.2255092631320501</c:v>
                </c:pt>
                <c:pt idx="11">
                  <c:v>2.4386549753815698</c:v>
                </c:pt>
                <c:pt idx="12">
                  <c:v>2.6262662800135801</c:v>
                </c:pt>
                <c:pt idx="13">
                  <c:v>1.94960175051674</c:v>
                </c:pt>
                <c:pt idx="14">
                  <c:v>3.8727081574342601</c:v>
                </c:pt>
                <c:pt idx="15">
                  <c:v>5.3998692764919003</c:v>
                </c:pt>
                <c:pt idx="16">
                  <c:v>6.0442301158851004</c:v>
                </c:pt>
                <c:pt idx="17">
                  <c:v>6.7670445457719399</c:v>
                </c:pt>
                <c:pt idx="18">
                  <c:v>6.7586678773875999</c:v>
                </c:pt>
                <c:pt idx="19">
                  <c:v>6.6347115007403801</c:v>
                </c:pt>
                <c:pt idx="20">
                  <c:v>5.3873755103521903</c:v>
                </c:pt>
                <c:pt idx="21">
                  <c:v>4.9047370499185403</c:v>
                </c:pt>
                <c:pt idx="22">
                  <c:v>5.20779336098646</c:v>
                </c:pt>
                <c:pt idx="23">
                  <c:v>6.79406329282385</c:v>
                </c:pt>
                <c:pt idx="24">
                  <c:v>4.2945316412783798</c:v>
                </c:pt>
                <c:pt idx="25">
                  <c:v>4.5393599946464702</c:v>
                </c:pt>
                <c:pt idx="26">
                  <c:v>5.6932789559095296</c:v>
                </c:pt>
                <c:pt idx="27">
                  <c:v>6.5874330088369399</c:v>
                </c:pt>
                <c:pt idx="28">
                  <c:v>8.0029608411080009</c:v>
                </c:pt>
                <c:pt idx="29">
                  <c:v>8.2669902242722593</c:v>
                </c:pt>
                <c:pt idx="30">
                  <c:v>9.4285903132018003</c:v>
                </c:pt>
                <c:pt idx="31">
                  <c:v>8.4587131404471094</c:v>
                </c:pt>
                <c:pt idx="32">
                  <c:v>8.3735987803018599</c:v>
                </c:pt>
                <c:pt idx="33">
                  <c:v>7.8046404615444098</c:v>
                </c:pt>
                <c:pt idx="34">
                  <c:v>6.7496379489589504</c:v>
                </c:pt>
                <c:pt idx="35">
                  <c:v>9.2289204190448793</c:v>
                </c:pt>
                <c:pt idx="36">
                  <c:v>7.7192869375627904</c:v>
                </c:pt>
                <c:pt idx="37">
                  <c:v>8.8854933407198704</c:v>
                </c:pt>
                <c:pt idx="38">
                  <c:v>12.064877689741101</c:v>
                </c:pt>
                <c:pt idx="39">
                  <c:v>11.2023588260596</c:v>
                </c:pt>
                <c:pt idx="40">
                  <c:v>12.8825895517364</c:v>
                </c:pt>
                <c:pt idx="41">
                  <c:v>14.615612204499699</c:v>
                </c:pt>
                <c:pt idx="42">
                  <c:v>12.8104660224268</c:v>
                </c:pt>
                <c:pt idx="43">
                  <c:v>12.550061482833801</c:v>
                </c:pt>
                <c:pt idx="44">
                  <c:v>11.2969864535073</c:v>
                </c:pt>
                <c:pt idx="45">
                  <c:v>11.228623036382899</c:v>
                </c:pt>
                <c:pt idx="46">
                  <c:v>9.7594552377018999</c:v>
                </c:pt>
                <c:pt idx="47">
                  <c:v>11.6415817836049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'CQ 4.0 12'!$D$1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'CQ 4.0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'CQ 4.0 12'!$D$2:$D$49</c:f>
              <c:numCache>
                <c:formatCode>General</c:formatCode>
                <c:ptCount val="48"/>
                <c:pt idx="0">
                  <c:v>0.45851787333046601</c:v>
                </c:pt>
                <c:pt idx="1">
                  <c:v>0.58578601813401598</c:v>
                </c:pt>
                <c:pt idx="2">
                  <c:v>0.72015187026592797</c:v>
                </c:pt>
                <c:pt idx="3">
                  <c:v>0.79985392045418502</c:v>
                </c:pt>
                <c:pt idx="4">
                  <c:v>1.1064983311193901</c:v>
                </c:pt>
                <c:pt idx="5">
                  <c:v>1.39698615486532</c:v>
                </c:pt>
                <c:pt idx="6">
                  <c:v>1.5412047566542699</c:v>
                </c:pt>
                <c:pt idx="7">
                  <c:v>1.79339399695131</c:v>
                </c:pt>
                <c:pt idx="8">
                  <c:v>1.8482860115745099</c:v>
                </c:pt>
                <c:pt idx="9">
                  <c:v>2.1237492010641299</c:v>
                </c:pt>
                <c:pt idx="10">
                  <c:v>2.3947145907861001</c:v>
                </c:pt>
                <c:pt idx="11">
                  <c:v>2.6454466662352298</c:v>
                </c:pt>
                <c:pt idx="12">
                  <c:v>2.7201476752827598</c:v>
                </c:pt>
                <c:pt idx="13">
                  <c:v>2.9578937690604601</c:v>
                </c:pt>
                <c:pt idx="14">
                  <c:v>3.2537248392575502</c:v>
                </c:pt>
                <c:pt idx="15">
                  <c:v>3.75221462624976</c:v>
                </c:pt>
                <c:pt idx="16">
                  <c:v>6.1077361674003097</c:v>
                </c:pt>
                <c:pt idx="17">
                  <c:v>8.7039476737157404</c:v>
                </c:pt>
                <c:pt idx="18">
                  <c:v>7.1303491489685102</c:v>
                </c:pt>
                <c:pt idx="19">
                  <c:v>7.5401269251179004</c:v>
                </c:pt>
                <c:pt idx="20">
                  <c:v>6.6927369463820501</c:v>
                </c:pt>
                <c:pt idx="21">
                  <c:v>6.8018965378099097</c:v>
                </c:pt>
                <c:pt idx="22">
                  <c:v>8.1701303930194609</c:v>
                </c:pt>
                <c:pt idx="23">
                  <c:v>8.3486647212744405</c:v>
                </c:pt>
                <c:pt idx="24">
                  <c:v>6.8865719375494603</c:v>
                </c:pt>
                <c:pt idx="25">
                  <c:v>7.7475521455645904</c:v>
                </c:pt>
                <c:pt idx="26">
                  <c:v>11.1321089424014</c:v>
                </c:pt>
                <c:pt idx="27">
                  <c:v>14.0071258764518</c:v>
                </c:pt>
                <c:pt idx="28">
                  <c:v>17.382620700014101</c:v>
                </c:pt>
                <c:pt idx="29">
                  <c:v>21.287653355050001</c:v>
                </c:pt>
                <c:pt idx="30">
                  <c:v>21.673522435636698</c:v>
                </c:pt>
                <c:pt idx="31">
                  <c:v>23.025552095922201</c:v>
                </c:pt>
                <c:pt idx="32">
                  <c:v>22.4343904268448</c:v>
                </c:pt>
                <c:pt idx="33">
                  <c:v>21.987227310659001</c:v>
                </c:pt>
                <c:pt idx="34">
                  <c:v>24.363156787723799</c:v>
                </c:pt>
                <c:pt idx="35">
                  <c:v>29.586244945219899</c:v>
                </c:pt>
                <c:pt idx="36">
                  <c:v>30.6056904189752</c:v>
                </c:pt>
                <c:pt idx="37">
                  <c:v>35.627446653858101</c:v>
                </c:pt>
                <c:pt idx="38">
                  <c:v>36.647449773593102</c:v>
                </c:pt>
                <c:pt idx="39">
                  <c:v>37.247215893567997</c:v>
                </c:pt>
                <c:pt idx="40">
                  <c:v>40.3759135408324</c:v>
                </c:pt>
                <c:pt idx="41">
                  <c:v>36.861559455292998</c:v>
                </c:pt>
                <c:pt idx="42">
                  <c:v>34.124130007311798</c:v>
                </c:pt>
                <c:pt idx="43">
                  <c:v>33.419329430397703</c:v>
                </c:pt>
                <c:pt idx="44">
                  <c:v>35.285726281797999</c:v>
                </c:pt>
                <c:pt idx="45">
                  <c:v>34.5370623731093</c:v>
                </c:pt>
                <c:pt idx="46">
                  <c:v>34.900639434726202</c:v>
                </c:pt>
                <c:pt idx="47">
                  <c:v>31.761359391944801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496064"/>
        <c:axId val="349497600"/>
      </c:lineChart>
      <c:dateAx>
        <c:axId val="349496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9497600"/>
        <c:crosses val="autoZero"/>
        <c:auto val="1"/>
        <c:lblOffset val="100"/>
        <c:baseTimeUnit val="months"/>
      </c:dateAx>
      <c:valAx>
        <c:axId val="3494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9496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'CQ 4.5 14'!$C$1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'CQ 4.5 14'!$B$2:$B$25</c:f>
              <c:numCache>
                <c:formatCode>m/d/yyyy</c:formatCode>
                <c:ptCount val="24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  <c:pt idx="23">
                  <c:v>42370</c:v>
                </c:pt>
              </c:numCache>
            </c:numRef>
          </c:cat>
          <c:val>
            <c:numRef>
              <c:f>'CQ 4.5 14'!$C$2:$C$25</c:f>
              <c:numCache>
                <c:formatCode>General</c:formatCode>
                <c:ptCount val="24"/>
                <c:pt idx="0">
                  <c:v>3.2808841933767399</c:v>
                </c:pt>
                <c:pt idx="1">
                  <c:v>0.16329171972138101</c:v>
                </c:pt>
                <c:pt idx="2">
                  <c:v>0.238234472947152</c:v>
                </c:pt>
                <c:pt idx="3">
                  <c:v>1.48669417683497</c:v>
                </c:pt>
                <c:pt idx="4">
                  <c:v>1.3121529992222001</c:v>
                </c:pt>
                <c:pt idx="5">
                  <c:v>1.40872854331036</c:v>
                </c:pt>
                <c:pt idx="6">
                  <c:v>0.77291474849562303</c:v>
                </c:pt>
                <c:pt idx="7">
                  <c:v>1.3317191245738</c:v>
                </c:pt>
                <c:pt idx="8">
                  <c:v>2.2223980400409502</c:v>
                </c:pt>
                <c:pt idx="9">
                  <c:v>1.96808299259116</c:v>
                </c:pt>
                <c:pt idx="10">
                  <c:v>2.5140996883070099</c:v>
                </c:pt>
                <c:pt idx="11">
                  <c:v>1.59830651525411</c:v>
                </c:pt>
                <c:pt idx="12">
                  <c:v>2.7773918908590201</c:v>
                </c:pt>
                <c:pt idx="13">
                  <c:v>2.9526501691626601</c:v>
                </c:pt>
                <c:pt idx="14">
                  <c:v>3.6775621157982301</c:v>
                </c:pt>
                <c:pt idx="15">
                  <c:v>4.6263819582847798</c:v>
                </c:pt>
                <c:pt idx="16">
                  <c:v>2.3570003312412999</c:v>
                </c:pt>
                <c:pt idx="17">
                  <c:v>7.0825932272999799</c:v>
                </c:pt>
                <c:pt idx="18">
                  <c:v>7.99852887111087</c:v>
                </c:pt>
                <c:pt idx="19">
                  <c:v>6.0021306431970602</c:v>
                </c:pt>
                <c:pt idx="20">
                  <c:v>7.0701753496692801</c:v>
                </c:pt>
                <c:pt idx="21">
                  <c:v>6.7420035335057502</c:v>
                </c:pt>
                <c:pt idx="22">
                  <c:v>6.9566591289007196</c:v>
                </c:pt>
                <c:pt idx="23">
                  <c:v>7.95097748805662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'CQ 4.5 14'!$D$1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'CQ 4.5 14'!$B$2:$B$25</c:f>
              <c:numCache>
                <c:formatCode>m/d/yyyy</c:formatCode>
                <c:ptCount val="24"/>
                <c:pt idx="0">
                  <c:v>41671</c:v>
                </c:pt>
                <c:pt idx="1">
                  <c:v>41699</c:v>
                </c:pt>
                <c:pt idx="2">
                  <c:v>41730</c:v>
                </c:pt>
                <c:pt idx="3">
                  <c:v>41760</c:v>
                </c:pt>
                <c:pt idx="4">
                  <c:v>41791</c:v>
                </c:pt>
                <c:pt idx="5">
                  <c:v>41821</c:v>
                </c:pt>
                <c:pt idx="6">
                  <c:v>41852</c:v>
                </c:pt>
                <c:pt idx="7">
                  <c:v>41883</c:v>
                </c:pt>
                <c:pt idx="8">
                  <c:v>41913</c:v>
                </c:pt>
                <c:pt idx="9">
                  <c:v>41944</c:v>
                </c:pt>
                <c:pt idx="10">
                  <c:v>41974</c:v>
                </c:pt>
                <c:pt idx="11">
                  <c:v>42005</c:v>
                </c:pt>
                <c:pt idx="12">
                  <c:v>42036</c:v>
                </c:pt>
                <c:pt idx="13">
                  <c:v>42064</c:v>
                </c:pt>
                <c:pt idx="14">
                  <c:v>42095</c:v>
                </c:pt>
                <c:pt idx="15">
                  <c:v>42125</c:v>
                </c:pt>
                <c:pt idx="16">
                  <c:v>42156</c:v>
                </c:pt>
                <c:pt idx="17">
                  <c:v>42186</c:v>
                </c:pt>
                <c:pt idx="18">
                  <c:v>42217</c:v>
                </c:pt>
                <c:pt idx="19">
                  <c:v>42248</c:v>
                </c:pt>
                <c:pt idx="20">
                  <c:v>42278</c:v>
                </c:pt>
                <c:pt idx="21">
                  <c:v>42309</c:v>
                </c:pt>
                <c:pt idx="22">
                  <c:v>42339</c:v>
                </c:pt>
                <c:pt idx="23">
                  <c:v>42370</c:v>
                </c:pt>
              </c:numCache>
            </c:numRef>
          </c:cat>
          <c:val>
            <c:numRef>
              <c:f>'CQ 4.5 14'!$D$2:$D$25</c:f>
              <c:numCache>
                <c:formatCode>General</c:formatCode>
                <c:ptCount val="24"/>
                <c:pt idx="0">
                  <c:v>0.44031337636006901</c:v>
                </c:pt>
                <c:pt idx="1">
                  <c:v>0.62721796933160601</c:v>
                </c:pt>
                <c:pt idx="2">
                  <c:v>0.98619328652309601</c:v>
                </c:pt>
                <c:pt idx="3">
                  <c:v>1.2488103379121001</c:v>
                </c:pt>
                <c:pt idx="4">
                  <c:v>1.53167720103714</c:v>
                </c:pt>
                <c:pt idx="5">
                  <c:v>1.95465432898587</c:v>
                </c:pt>
                <c:pt idx="6">
                  <c:v>2.2212941570389799</c:v>
                </c:pt>
                <c:pt idx="7">
                  <c:v>2.5831197847020899</c:v>
                </c:pt>
                <c:pt idx="8">
                  <c:v>2.7695620323409398</c:v>
                </c:pt>
                <c:pt idx="9">
                  <c:v>3.0061311661465</c:v>
                </c:pt>
                <c:pt idx="10">
                  <c:v>3.3264961403064301</c:v>
                </c:pt>
                <c:pt idx="11">
                  <c:v>3.6675175584599402</c:v>
                </c:pt>
                <c:pt idx="12">
                  <c:v>3.8939439639860201</c:v>
                </c:pt>
                <c:pt idx="13">
                  <c:v>4.40341628690335</c:v>
                </c:pt>
                <c:pt idx="14">
                  <c:v>5.06630280567214</c:v>
                </c:pt>
                <c:pt idx="15">
                  <c:v>5.6004535255743999</c:v>
                </c:pt>
                <c:pt idx="16">
                  <c:v>6.3269995337632903</c:v>
                </c:pt>
                <c:pt idx="17">
                  <c:v>6.5975676297925299</c:v>
                </c:pt>
                <c:pt idx="18">
                  <c:v>6.5637262104326197</c:v>
                </c:pt>
                <c:pt idx="19">
                  <c:v>6.92433792538601</c:v>
                </c:pt>
                <c:pt idx="20">
                  <c:v>7.0895789079169198</c:v>
                </c:pt>
                <c:pt idx="21">
                  <c:v>7.2399240954939099</c:v>
                </c:pt>
                <c:pt idx="22">
                  <c:v>7.3419001360709304</c:v>
                </c:pt>
                <c:pt idx="23">
                  <c:v>7.4316745936514401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590720"/>
        <c:axId val="358596608"/>
      </c:lineChart>
      <c:dateAx>
        <c:axId val="3585907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8596608"/>
        <c:crosses val="autoZero"/>
        <c:auto val="1"/>
        <c:lblOffset val="100"/>
        <c:baseTimeUnit val="months"/>
      </c:dateAx>
      <c:valAx>
        <c:axId val="358596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8590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'CQ 4.5 13'!$C$1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'CQ 4.5 13'!$B$2:$B$36</c:f>
              <c:numCache>
                <c:formatCode>m/d/yyyy</c:formatCode>
                <c:ptCount val="35"/>
                <c:pt idx="0">
                  <c:v>41334</c:v>
                </c:pt>
                <c:pt idx="1">
                  <c:v>41365</c:v>
                </c:pt>
                <c:pt idx="2">
                  <c:v>41395</c:v>
                </c:pt>
                <c:pt idx="3">
                  <c:v>41426</c:v>
                </c:pt>
                <c:pt idx="4">
                  <c:v>41456</c:v>
                </c:pt>
                <c:pt idx="5">
                  <c:v>41487</c:v>
                </c:pt>
                <c:pt idx="6">
                  <c:v>41518</c:v>
                </c:pt>
                <c:pt idx="7">
                  <c:v>41548</c:v>
                </c:pt>
                <c:pt idx="8">
                  <c:v>41579</c:v>
                </c:pt>
                <c:pt idx="9">
                  <c:v>41609</c:v>
                </c:pt>
                <c:pt idx="10">
                  <c:v>41640</c:v>
                </c:pt>
                <c:pt idx="11">
                  <c:v>41671</c:v>
                </c:pt>
                <c:pt idx="12">
                  <c:v>41699</c:v>
                </c:pt>
                <c:pt idx="13">
                  <c:v>41730</c:v>
                </c:pt>
                <c:pt idx="14">
                  <c:v>41760</c:v>
                </c:pt>
                <c:pt idx="15">
                  <c:v>41791</c:v>
                </c:pt>
                <c:pt idx="16">
                  <c:v>41821</c:v>
                </c:pt>
                <c:pt idx="17">
                  <c:v>41852</c:v>
                </c:pt>
                <c:pt idx="18">
                  <c:v>41883</c:v>
                </c:pt>
                <c:pt idx="19">
                  <c:v>41913</c:v>
                </c:pt>
                <c:pt idx="20">
                  <c:v>41944</c:v>
                </c:pt>
                <c:pt idx="21">
                  <c:v>41974</c:v>
                </c:pt>
                <c:pt idx="22">
                  <c:v>42005</c:v>
                </c:pt>
                <c:pt idx="23">
                  <c:v>42036</c:v>
                </c:pt>
                <c:pt idx="24">
                  <c:v>42064</c:v>
                </c:pt>
                <c:pt idx="25">
                  <c:v>42095</c:v>
                </c:pt>
                <c:pt idx="26">
                  <c:v>42125</c:v>
                </c:pt>
                <c:pt idx="27">
                  <c:v>42156</c:v>
                </c:pt>
                <c:pt idx="28">
                  <c:v>42186</c:v>
                </c:pt>
                <c:pt idx="29">
                  <c:v>42217</c:v>
                </c:pt>
                <c:pt idx="30">
                  <c:v>42248</c:v>
                </c:pt>
                <c:pt idx="31">
                  <c:v>42278</c:v>
                </c:pt>
                <c:pt idx="32">
                  <c:v>42309</c:v>
                </c:pt>
                <c:pt idx="33">
                  <c:v>42339</c:v>
                </c:pt>
                <c:pt idx="34">
                  <c:v>42370</c:v>
                </c:pt>
              </c:numCache>
            </c:numRef>
          </c:cat>
          <c:val>
            <c:numRef>
              <c:f>'CQ 4.5 13'!$C$2:$C$36</c:f>
              <c:numCache>
                <c:formatCode>General</c:formatCode>
                <c:ptCount val="35"/>
                <c:pt idx="0">
                  <c:v>0.39647769462927102</c:v>
                </c:pt>
                <c:pt idx="1">
                  <c:v>7.5650825433238804</c:v>
                </c:pt>
                <c:pt idx="2">
                  <c:v>8.0595885546379105</c:v>
                </c:pt>
                <c:pt idx="3">
                  <c:v>2.92530229046324</c:v>
                </c:pt>
                <c:pt idx="4">
                  <c:v>2.13232563207663</c:v>
                </c:pt>
                <c:pt idx="5">
                  <c:v>6.5178947666418496</c:v>
                </c:pt>
                <c:pt idx="6">
                  <c:v>0.226958158116874</c:v>
                </c:pt>
                <c:pt idx="7">
                  <c:v>3.6769311958520601</c:v>
                </c:pt>
                <c:pt idx="8">
                  <c:v>0.53661420184835096</c:v>
                </c:pt>
                <c:pt idx="9">
                  <c:v>0.95811693045088098</c:v>
                </c:pt>
                <c:pt idx="10">
                  <c:v>1.9113399071074699</c:v>
                </c:pt>
                <c:pt idx="11">
                  <c:v>0.44287339160808997</c:v>
                </c:pt>
                <c:pt idx="12">
                  <c:v>1.7616145896482001</c:v>
                </c:pt>
                <c:pt idx="13">
                  <c:v>2.7076285558461901</c:v>
                </c:pt>
                <c:pt idx="14">
                  <c:v>3.7295577705120002</c:v>
                </c:pt>
                <c:pt idx="15">
                  <c:v>3.7414536566800001</c:v>
                </c:pt>
                <c:pt idx="16">
                  <c:v>3.6837383581059302</c:v>
                </c:pt>
                <c:pt idx="17">
                  <c:v>4.0058808977189004</c:v>
                </c:pt>
                <c:pt idx="18">
                  <c:v>6.2113168670322096</c:v>
                </c:pt>
                <c:pt idx="19">
                  <c:v>5.4284467838282398</c:v>
                </c:pt>
                <c:pt idx="20">
                  <c:v>6.3416835270621101</c:v>
                </c:pt>
                <c:pt idx="21">
                  <c:v>5.9820484162408603</c:v>
                </c:pt>
                <c:pt idx="22">
                  <c:v>3.4417120286048499</c:v>
                </c:pt>
                <c:pt idx="23">
                  <c:v>4.8432069421951596</c:v>
                </c:pt>
                <c:pt idx="24">
                  <c:v>5.5167989311596397</c:v>
                </c:pt>
                <c:pt idx="25">
                  <c:v>4.8116185120033501</c:v>
                </c:pt>
                <c:pt idx="26">
                  <c:v>8.9437538523436899</c:v>
                </c:pt>
                <c:pt idx="27">
                  <c:v>7.9014999595905699</c:v>
                </c:pt>
                <c:pt idx="28">
                  <c:v>9.1026504060434998</c:v>
                </c:pt>
                <c:pt idx="29">
                  <c:v>11.3675487210763</c:v>
                </c:pt>
                <c:pt idx="30">
                  <c:v>7.4803760304981104</c:v>
                </c:pt>
                <c:pt idx="31">
                  <c:v>8.3776063542891599</c:v>
                </c:pt>
                <c:pt idx="32">
                  <c:v>7.8088235500392802</c:v>
                </c:pt>
                <c:pt idx="33">
                  <c:v>8.3496541424448605</c:v>
                </c:pt>
                <c:pt idx="34">
                  <c:v>10.4334730039287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'CQ 4.5 13'!$D$1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'CQ 4.5 13'!$B$2:$B$36</c:f>
              <c:numCache>
                <c:formatCode>m/d/yyyy</c:formatCode>
                <c:ptCount val="35"/>
                <c:pt idx="0">
                  <c:v>41334</c:v>
                </c:pt>
                <c:pt idx="1">
                  <c:v>41365</c:v>
                </c:pt>
                <c:pt idx="2">
                  <c:v>41395</c:v>
                </c:pt>
                <c:pt idx="3">
                  <c:v>41426</c:v>
                </c:pt>
                <c:pt idx="4">
                  <c:v>41456</c:v>
                </c:pt>
                <c:pt idx="5">
                  <c:v>41487</c:v>
                </c:pt>
                <c:pt idx="6">
                  <c:v>41518</c:v>
                </c:pt>
                <c:pt idx="7">
                  <c:v>41548</c:v>
                </c:pt>
                <c:pt idx="8">
                  <c:v>41579</c:v>
                </c:pt>
                <c:pt idx="9">
                  <c:v>41609</c:v>
                </c:pt>
                <c:pt idx="10">
                  <c:v>41640</c:v>
                </c:pt>
                <c:pt idx="11">
                  <c:v>41671</c:v>
                </c:pt>
                <c:pt idx="12">
                  <c:v>41699</c:v>
                </c:pt>
                <c:pt idx="13">
                  <c:v>41730</c:v>
                </c:pt>
                <c:pt idx="14">
                  <c:v>41760</c:v>
                </c:pt>
                <c:pt idx="15">
                  <c:v>41791</c:v>
                </c:pt>
                <c:pt idx="16">
                  <c:v>41821</c:v>
                </c:pt>
                <c:pt idx="17">
                  <c:v>41852</c:v>
                </c:pt>
                <c:pt idx="18">
                  <c:v>41883</c:v>
                </c:pt>
                <c:pt idx="19">
                  <c:v>41913</c:v>
                </c:pt>
                <c:pt idx="20">
                  <c:v>41944</c:v>
                </c:pt>
                <c:pt idx="21">
                  <c:v>41974</c:v>
                </c:pt>
                <c:pt idx="22">
                  <c:v>42005</c:v>
                </c:pt>
                <c:pt idx="23">
                  <c:v>42036</c:v>
                </c:pt>
                <c:pt idx="24">
                  <c:v>42064</c:v>
                </c:pt>
                <c:pt idx="25">
                  <c:v>42095</c:v>
                </c:pt>
                <c:pt idx="26">
                  <c:v>42125</c:v>
                </c:pt>
                <c:pt idx="27">
                  <c:v>42156</c:v>
                </c:pt>
                <c:pt idx="28">
                  <c:v>42186</c:v>
                </c:pt>
                <c:pt idx="29">
                  <c:v>42217</c:v>
                </c:pt>
                <c:pt idx="30">
                  <c:v>42248</c:v>
                </c:pt>
                <c:pt idx="31">
                  <c:v>42278</c:v>
                </c:pt>
                <c:pt idx="32">
                  <c:v>42309</c:v>
                </c:pt>
                <c:pt idx="33">
                  <c:v>42339</c:v>
                </c:pt>
                <c:pt idx="34">
                  <c:v>42370</c:v>
                </c:pt>
              </c:numCache>
            </c:numRef>
          </c:cat>
          <c:val>
            <c:numRef>
              <c:f>'CQ 4.5 13'!$D$2:$D$36</c:f>
              <c:numCache>
                <c:formatCode>General</c:formatCode>
                <c:ptCount val="35"/>
                <c:pt idx="0">
                  <c:v>0.51826937506778104</c:v>
                </c:pt>
                <c:pt idx="1">
                  <c:v>4.91363667800871</c:v>
                </c:pt>
                <c:pt idx="2">
                  <c:v>5.1817319425087502</c:v>
                </c:pt>
                <c:pt idx="3">
                  <c:v>10.510493108041601</c:v>
                </c:pt>
                <c:pt idx="4">
                  <c:v>10.701953146760401</c:v>
                </c:pt>
                <c:pt idx="5">
                  <c:v>14.922189176802201</c:v>
                </c:pt>
                <c:pt idx="6">
                  <c:v>10.4922044583349</c:v>
                </c:pt>
                <c:pt idx="7">
                  <c:v>5.2219513109297404</c:v>
                </c:pt>
                <c:pt idx="8">
                  <c:v>2.52269003486452</c:v>
                </c:pt>
                <c:pt idx="9">
                  <c:v>2.4649323388732598</c:v>
                </c:pt>
                <c:pt idx="10">
                  <c:v>2.10775434806457</c:v>
                </c:pt>
                <c:pt idx="11">
                  <c:v>1.9316768405953799</c:v>
                </c:pt>
                <c:pt idx="12">
                  <c:v>2.3091377412384899</c:v>
                </c:pt>
                <c:pt idx="13">
                  <c:v>3.3069188768718201</c:v>
                </c:pt>
                <c:pt idx="14">
                  <c:v>3.84900035289315</c:v>
                </c:pt>
                <c:pt idx="15">
                  <c:v>4.4471773294361796</c:v>
                </c:pt>
                <c:pt idx="16">
                  <c:v>5.2005879875827903</c:v>
                </c:pt>
                <c:pt idx="17">
                  <c:v>5.5330208795609996</c:v>
                </c:pt>
                <c:pt idx="18">
                  <c:v>6.1095726577470497</c:v>
                </c:pt>
                <c:pt idx="19">
                  <c:v>6.1348520112299303</c:v>
                </c:pt>
                <c:pt idx="20">
                  <c:v>6.2578674659373901</c:v>
                </c:pt>
                <c:pt idx="21">
                  <c:v>6.7437248404961201</c:v>
                </c:pt>
                <c:pt idx="22">
                  <c:v>7.3465459900250698</c:v>
                </c:pt>
                <c:pt idx="23">
                  <c:v>7.4295398891793196</c:v>
                </c:pt>
                <c:pt idx="24">
                  <c:v>8.1591602076557699</c:v>
                </c:pt>
                <c:pt idx="25">
                  <c:v>8.9478551240324293</c:v>
                </c:pt>
                <c:pt idx="26">
                  <c:v>9.4353019466242305</c:v>
                </c:pt>
                <c:pt idx="27">
                  <c:v>10.572637507526499</c:v>
                </c:pt>
                <c:pt idx="28">
                  <c:v>10.469531935208201</c:v>
                </c:pt>
                <c:pt idx="29">
                  <c:v>10.662072423358101</c:v>
                </c:pt>
                <c:pt idx="30">
                  <c:v>11.300566476557201</c:v>
                </c:pt>
                <c:pt idx="31">
                  <c:v>12.514787247247</c:v>
                </c:pt>
                <c:pt idx="32">
                  <c:v>12.7896930316363</c:v>
                </c:pt>
                <c:pt idx="33">
                  <c:v>12.727998113595101</c:v>
                </c:pt>
                <c:pt idx="34">
                  <c:v>12.3109889137696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085376"/>
        <c:axId val="360086912"/>
      </c:lineChart>
      <c:dateAx>
        <c:axId val="360085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0086912"/>
        <c:crosses val="autoZero"/>
        <c:auto val="1"/>
        <c:lblOffset val="100"/>
        <c:baseTimeUnit val="months"/>
      </c:dateAx>
      <c:valAx>
        <c:axId val="360086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0085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'CQ 4.5 11'!$C$1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'CQ 4.5 11'!$B$2:$B$61</c:f>
              <c:numCache>
                <c:formatCode>m/d/yyyy</c:formatCode>
                <c:ptCount val="60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  <c:pt idx="59">
                  <c:v>42370</c:v>
                </c:pt>
              </c:numCache>
            </c:numRef>
          </c:cat>
          <c:val>
            <c:numRef>
              <c:f>'CQ 4.5 11'!$C$2:$C$61</c:f>
              <c:numCache>
                <c:formatCode>General</c:formatCode>
                <c:ptCount val="60"/>
                <c:pt idx="0">
                  <c:v>3.84180915669052E-4</c:v>
                </c:pt>
                <c:pt idx="1">
                  <c:v>0.66103423768583103</c:v>
                </c:pt>
                <c:pt idx="2">
                  <c:v>0.47993977059824799</c:v>
                </c:pt>
                <c:pt idx="3">
                  <c:v>0.55697093609403703</c:v>
                </c:pt>
                <c:pt idx="4">
                  <c:v>0.83668065851615303</c:v>
                </c:pt>
                <c:pt idx="5">
                  <c:v>1.87206161946376</c:v>
                </c:pt>
                <c:pt idx="6">
                  <c:v>2.3766644262138299</c:v>
                </c:pt>
                <c:pt idx="7">
                  <c:v>2.5561561116157998</c:v>
                </c:pt>
                <c:pt idx="8">
                  <c:v>1.4087073623353701</c:v>
                </c:pt>
                <c:pt idx="9">
                  <c:v>1.57606643121009</c:v>
                </c:pt>
                <c:pt idx="10">
                  <c:v>1.9168118385633699</c:v>
                </c:pt>
                <c:pt idx="11">
                  <c:v>2.0990023160189901</c:v>
                </c:pt>
                <c:pt idx="12">
                  <c:v>2.42531908034477</c:v>
                </c:pt>
                <c:pt idx="13">
                  <c:v>2.9166715505796201</c:v>
                </c:pt>
                <c:pt idx="14">
                  <c:v>3.19584009766296</c:v>
                </c:pt>
                <c:pt idx="15">
                  <c:v>2.8100974273251902</c:v>
                </c:pt>
                <c:pt idx="16">
                  <c:v>3.51845168559288</c:v>
                </c:pt>
                <c:pt idx="17">
                  <c:v>4.5493717824431004</c:v>
                </c:pt>
                <c:pt idx="18">
                  <c:v>5.0643506238546001</c:v>
                </c:pt>
                <c:pt idx="19">
                  <c:v>4.4271321078488199</c:v>
                </c:pt>
                <c:pt idx="20">
                  <c:v>5.15187167396207</c:v>
                </c:pt>
                <c:pt idx="21">
                  <c:v>4.5223282703610002</c:v>
                </c:pt>
                <c:pt idx="22">
                  <c:v>6.4933161037349798</c:v>
                </c:pt>
                <c:pt idx="23">
                  <c:v>8.0893010703661492</c:v>
                </c:pt>
                <c:pt idx="24">
                  <c:v>5.7636245601949501</c:v>
                </c:pt>
                <c:pt idx="25">
                  <c:v>6.9251543418215</c:v>
                </c:pt>
                <c:pt idx="26">
                  <c:v>6.4197899150290301</c:v>
                </c:pt>
                <c:pt idx="27">
                  <c:v>11.302532473498699</c:v>
                </c:pt>
                <c:pt idx="28">
                  <c:v>9.8511317636026803</c:v>
                </c:pt>
                <c:pt idx="29">
                  <c:v>11.0024589013839</c:v>
                </c:pt>
                <c:pt idx="30">
                  <c:v>12.369009453023001</c:v>
                </c:pt>
                <c:pt idx="31">
                  <c:v>8.6542923872700506</c:v>
                </c:pt>
                <c:pt idx="32">
                  <c:v>6.6405887891105797</c:v>
                </c:pt>
                <c:pt idx="33">
                  <c:v>9.6645209396892007</c:v>
                </c:pt>
                <c:pt idx="34">
                  <c:v>9.3465203415798594</c:v>
                </c:pt>
                <c:pt idx="35">
                  <c:v>8.3763372109381606</c:v>
                </c:pt>
                <c:pt idx="36">
                  <c:v>7.2599095097340696</c:v>
                </c:pt>
                <c:pt idx="37">
                  <c:v>7.0177039889456596</c:v>
                </c:pt>
                <c:pt idx="38">
                  <c:v>8.5794244611068802</c:v>
                </c:pt>
                <c:pt idx="39">
                  <c:v>10.099635039961001</c:v>
                </c:pt>
                <c:pt idx="40">
                  <c:v>9.2262413123982405</c:v>
                </c:pt>
                <c:pt idx="41">
                  <c:v>10.9888398305027</c:v>
                </c:pt>
                <c:pt idx="42">
                  <c:v>14.272961736684101</c:v>
                </c:pt>
                <c:pt idx="43">
                  <c:v>10.949699352272599</c:v>
                </c:pt>
                <c:pt idx="44">
                  <c:v>14.395756079211701</c:v>
                </c:pt>
                <c:pt idx="45">
                  <c:v>13.851082145824501</c:v>
                </c:pt>
                <c:pt idx="46">
                  <c:v>12.7903398172717</c:v>
                </c:pt>
                <c:pt idx="47">
                  <c:v>14.752051112873</c:v>
                </c:pt>
                <c:pt idx="48">
                  <c:v>10.7375639877597</c:v>
                </c:pt>
                <c:pt idx="49">
                  <c:v>12.9347143365899</c:v>
                </c:pt>
                <c:pt idx="50">
                  <c:v>19.537929578902499</c:v>
                </c:pt>
                <c:pt idx="51">
                  <c:v>19.348204397514799</c:v>
                </c:pt>
                <c:pt idx="52">
                  <c:v>19.284333041492101</c:v>
                </c:pt>
                <c:pt idx="53">
                  <c:v>21.238750219158799</c:v>
                </c:pt>
                <c:pt idx="54">
                  <c:v>20.4708761160162</c:v>
                </c:pt>
                <c:pt idx="55">
                  <c:v>16.846554062904701</c:v>
                </c:pt>
                <c:pt idx="56">
                  <c:v>18.1147379828388</c:v>
                </c:pt>
                <c:pt idx="57">
                  <c:v>15.398180404442</c:v>
                </c:pt>
                <c:pt idx="58">
                  <c:v>14.158721406397101</c:v>
                </c:pt>
                <c:pt idx="59">
                  <c:v>18.541873422104601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'CQ 4.5 11'!$D$1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'CQ 4.5 11'!$B$2:$B$61</c:f>
              <c:numCache>
                <c:formatCode>m/d/yyyy</c:formatCode>
                <c:ptCount val="60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  <c:pt idx="59">
                  <c:v>42370</c:v>
                </c:pt>
              </c:numCache>
            </c:numRef>
          </c:cat>
          <c:val>
            <c:numRef>
              <c:f>'CQ 4.5 11'!$D$2:$D$61</c:f>
              <c:numCache>
                <c:formatCode>General</c:formatCode>
                <c:ptCount val="60"/>
                <c:pt idx="0">
                  <c:v>0.33457090236264098</c:v>
                </c:pt>
                <c:pt idx="1">
                  <c:v>0.30494514314940402</c:v>
                </c:pt>
                <c:pt idx="2">
                  <c:v>0.42100331316498002</c:v>
                </c:pt>
                <c:pt idx="3">
                  <c:v>0.63901271277911897</c:v>
                </c:pt>
                <c:pt idx="4">
                  <c:v>0.85639800632283403</c:v>
                </c:pt>
                <c:pt idx="5">
                  <c:v>1.12908383574716</c:v>
                </c:pt>
                <c:pt idx="6">
                  <c:v>1.3472104363233799</c:v>
                </c:pt>
                <c:pt idx="7">
                  <c:v>1.49168509538896</c:v>
                </c:pt>
                <c:pt idx="8">
                  <c:v>1.69913279526822</c:v>
                </c:pt>
                <c:pt idx="9">
                  <c:v>1.6590756656742101</c:v>
                </c:pt>
                <c:pt idx="10">
                  <c:v>1.6640121250557001</c:v>
                </c:pt>
                <c:pt idx="11">
                  <c:v>1.7457808044440499</c:v>
                </c:pt>
                <c:pt idx="12">
                  <c:v>1.8614509151237</c:v>
                </c:pt>
                <c:pt idx="13">
                  <c:v>2.0746181988038299</c:v>
                </c:pt>
                <c:pt idx="14">
                  <c:v>2.52960815813708</c:v>
                </c:pt>
                <c:pt idx="15">
                  <c:v>2.9102688579268601</c:v>
                </c:pt>
                <c:pt idx="16">
                  <c:v>3.4522980752214498</c:v>
                </c:pt>
                <c:pt idx="17">
                  <c:v>3.9043645740811601</c:v>
                </c:pt>
                <c:pt idx="18">
                  <c:v>4.1340849980095502</c:v>
                </c:pt>
                <c:pt idx="19">
                  <c:v>4.5073898525482203</c:v>
                </c:pt>
                <c:pt idx="20">
                  <c:v>4.4447617492703104</c:v>
                </c:pt>
                <c:pt idx="21">
                  <c:v>4.7947396565802203</c:v>
                </c:pt>
                <c:pt idx="22">
                  <c:v>4.9902483211178001</c:v>
                </c:pt>
                <c:pt idx="23">
                  <c:v>5.3119100223903404</c:v>
                </c:pt>
                <c:pt idx="24">
                  <c:v>5.02572965776963</c:v>
                </c:pt>
                <c:pt idx="25">
                  <c:v>5.1972684779243901</c:v>
                </c:pt>
                <c:pt idx="26">
                  <c:v>6.0237869545620004</c:v>
                </c:pt>
                <c:pt idx="27">
                  <c:v>8.92346916200243</c:v>
                </c:pt>
                <c:pt idx="28">
                  <c:v>22.211789194571601</c:v>
                </c:pt>
                <c:pt idx="29">
                  <c:v>22.976092589029498</c:v>
                </c:pt>
                <c:pt idx="30">
                  <c:v>22.0926565739429</c:v>
                </c:pt>
                <c:pt idx="31">
                  <c:v>20.733490032150399</c:v>
                </c:pt>
                <c:pt idx="32">
                  <c:v>18.486491222094699</c:v>
                </c:pt>
                <c:pt idx="33">
                  <c:v>18.274478949366902</c:v>
                </c:pt>
                <c:pt idx="34">
                  <c:v>20.851914272102398</c:v>
                </c:pt>
                <c:pt idx="35">
                  <c:v>21.021544807426999</c:v>
                </c:pt>
                <c:pt idx="36">
                  <c:v>17.7488164893408</c:v>
                </c:pt>
                <c:pt idx="37">
                  <c:v>18.6813847917172</c:v>
                </c:pt>
                <c:pt idx="38">
                  <c:v>22.749666398975101</c:v>
                </c:pt>
                <c:pt idx="39">
                  <c:v>25.2950457660131</c:v>
                </c:pt>
                <c:pt idx="40">
                  <c:v>27.815992259918499</c:v>
                </c:pt>
                <c:pt idx="41">
                  <c:v>30.3940297980742</c:v>
                </c:pt>
                <c:pt idx="42">
                  <c:v>30.7800662900632</c:v>
                </c:pt>
                <c:pt idx="43">
                  <c:v>31.363591206940299</c:v>
                </c:pt>
                <c:pt idx="44">
                  <c:v>30.9344269444993</c:v>
                </c:pt>
                <c:pt idx="45">
                  <c:v>30.051524078933099</c:v>
                </c:pt>
                <c:pt idx="46">
                  <c:v>32.309026195903598</c:v>
                </c:pt>
                <c:pt idx="47">
                  <c:v>36.329621744502198</c:v>
                </c:pt>
                <c:pt idx="48">
                  <c:v>36.967974207945304</c:v>
                </c:pt>
                <c:pt idx="49">
                  <c:v>40.919501613528404</c:v>
                </c:pt>
                <c:pt idx="50">
                  <c:v>41.307599565917002</c:v>
                </c:pt>
                <c:pt idx="51">
                  <c:v>41.204791958194001</c:v>
                </c:pt>
                <c:pt idx="52">
                  <c:v>43.752562221006102</c:v>
                </c:pt>
                <c:pt idx="53">
                  <c:v>40.565818701754402</c:v>
                </c:pt>
                <c:pt idx="54">
                  <c:v>38.423458822534798</c:v>
                </c:pt>
                <c:pt idx="55">
                  <c:v>37.430817333464297</c:v>
                </c:pt>
                <c:pt idx="56">
                  <c:v>38.637750236271401</c:v>
                </c:pt>
                <c:pt idx="57">
                  <c:v>37.7039763553692</c:v>
                </c:pt>
                <c:pt idx="58">
                  <c:v>37.714988007792499</c:v>
                </c:pt>
                <c:pt idx="59">
                  <c:v>34.962167148281601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511168"/>
        <c:axId val="383648128"/>
      </c:lineChart>
      <c:dateAx>
        <c:axId val="3835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3648128"/>
        <c:crosses val="autoZero"/>
        <c:auto val="1"/>
        <c:lblOffset val="100"/>
        <c:baseTimeUnit val="months"/>
      </c:dateAx>
      <c:valAx>
        <c:axId val="383648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3511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3.5 13'!$C$1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'CR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'CR 3.5 13'!$C$2:$C$37</c:f>
              <c:numCache>
                <c:formatCode>General</c:formatCode>
                <c:ptCount val="36"/>
                <c:pt idx="0">
                  <c:v>7.7502005819452005E-2</c:v>
                </c:pt>
                <c:pt idx="1">
                  <c:v>0.230877607401758</c:v>
                </c:pt>
                <c:pt idx="2">
                  <c:v>0.57756399129653702</c:v>
                </c:pt>
                <c:pt idx="3">
                  <c:v>0.36775326515734502</c:v>
                </c:pt>
                <c:pt idx="4">
                  <c:v>1.00503298625693</c:v>
                </c:pt>
                <c:pt idx="5">
                  <c:v>0.996954321988197</c:v>
                </c:pt>
                <c:pt idx="6">
                  <c:v>1.2342357006012401</c:v>
                </c:pt>
                <c:pt idx="7">
                  <c:v>1.7376653869566701</c:v>
                </c:pt>
                <c:pt idx="8">
                  <c:v>1.49353930136887</c:v>
                </c:pt>
                <c:pt idx="9">
                  <c:v>1.5232102167241499</c:v>
                </c:pt>
                <c:pt idx="10">
                  <c:v>1.8612880442548401</c:v>
                </c:pt>
                <c:pt idx="11">
                  <c:v>2.21172342839581</c:v>
                </c:pt>
                <c:pt idx="12">
                  <c:v>1.8789736944979401</c:v>
                </c:pt>
                <c:pt idx="13">
                  <c:v>1.94690412891412</c:v>
                </c:pt>
                <c:pt idx="14">
                  <c:v>2.9255306551479201</c:v>
                </c:pt>
                <c:pt idx="15">
                  <c:v>2.6372859243429501</c:v>
                </c:pt>
                <c:pt idx="16">
                  <c:v>2.50043754715719</c:v>
                </c:pt>
                <c:pt idx="17">
                  <c:v>3.8987794442372898</c:v>
                </c:pt>
                <c:pt idx="18">
                  <c:v>4.3095691223740697</c:v>
                </c:pt>
                <c:pt idx="19">
                  <c:v>3.3559222794944299</c:v>
                </c:pt>
                <c:pt idx="20">
                  <c:v>3.0479671004005899</c:v>
                </c:pt>
                <c:pt idx="21">
                  <c:v>4.8505469460868298</c:v>
                </c:pt>
                <c:pt idx="22">
                  <c:v>3.9205470952832302</c:v>
                </c:pt>
                <c:pt idx="23">
                  <c:v>4.9052463598626801</c:v>
                </c:pt>
                <c:pt idx="24">
                  <c:v>2.9999690550458298</c:v>
                </c:pt>
                <c:pt idx="25">
                  <c:v>3.8902476985847501</c:v>
                </c:pt>
                <c:pt idx="26">
                  <c:v>4.1797348340884897</c:v>
                </c:pt>
                <c:pt idx="27">
                  <c:v>4.8286255937438298</c:v>
                </c:pt>
                <c:pt idx="28">
                  <c:v>4.7707455445167399</c:v>
                </c:pt>
                <c:pt idx="29">
                  <c:v>5.6756890411341896</c:v>
                </c:pt>
                <c:pt idx="30">
                  <c:v>6.78692528452844</c:v>
                </c:pt>
                <c:pt idx="31">
                  <c:v>6.3668267301056902</c:v>
                </c:pt>
                <c:pt idx="32">
                  <c:v>5.1614237830669296</c:v>
                </c:pt>
                <c:pt idx="33">
                  <c:v>5.2079455040818496</c:v>
                </c:pt>
                <c:pt idx="34">
                  <c:v>4.49964490779531</c:v>
                </c:pt>
                <c:pt idx="35">
                  <c:v>5.0458174222475698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3.5 13'!$D$1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'CR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'CR 3.5 13'!$D$2:$D$37</c:f>
              <c:numCache>
                <c:formatCode>General</c:formatCode>
                <c:ptCount val="36"/>
                <c:pt idx="0">
                  <c:v>0.30119784820242801</c:v>
                </c:pt>
                <c:pt idx="1">
                  <c:v>0.34225367104750998</c:v>
                </c:pt>
                <c:pt idx="2">
                  <c:v>0.43781945655934101</c:v>
                </c:pt>
                <c:pt idx="3">
                  <c:v>0.57096090416640699</c:v>
                </c:pt>
                <c:pt idx="4">
                  <c:v>0.72358014294912099</c:v>
                </c:pt>
                <c:pt idx="5">
                  <c:v>0.84234198147691297</c:v>
                </c:pt>
                <c:pt idx="6">
                  <c:v>0.95240338940256697</c:v>
                </c:pt>
                <c:pt idx="7">
                  <c:v>1.0917547509760399</c:v>
                </c:pt>
                <c:pt idx="8">
                  <c:v>1.2469591946177601</c:v>
                </c:pt>
                <c:pt idx="9">
                  <c:v>1.4298166115834601</c:v>
                </c:pt>
                <c:pt idx="10">
                  <c:v>1.61285679848109</c:v>
                </c:pt>
                <c:pt idx="11">
                  <c:v>1.79552520012826</c:v>
                </c:pt>
                <c:pt idx="12">
                  <c:v>1.97935095682392</c:v>
                </c:pt>
                <c:pt idx="13">
                  <c:v>2.1619176410033099</c:v>
                </c:pt>
                <c:pt idx="14">
                  <c:v>2.3507653682893901</c:v>
                </c:pt>
                <c:pt idx="15">
                  <c:v>2.5356966189843</c:v>
                </c:pt>
                <c:pt idx="16">
                  <c:v>2.7238112731204498</c:v>
                </c:pt>
                <c:pt idx="17">
                  <c:v>2.9163542899144601</c:v>
                </c:pt>
                <c:pt idx="18">
                  <c:v>3.0976221041373502</c:v>
                </c:pt>
                <c:pt idx="19">
                  <c:v>3.2833442552213898</c:v>
                </c:pt>
                <c:pt idx="20">
                  <c:v>3.4572289812272698</c:v>
                </c:pt>
                <c:pt idx="21">
                  <c:v>3.6173022300904201</c:v>
                </c:pt>
                <c:pt idx="22">
                  <c:v>3.7969591302413499</c:v>
                </c:pt>
                <c:pt idx="23">
                  <c:v>3.95267899552519</c:v>
                </c:pt>
                <c:pt idx="24">
                  <c:v>4.1179423603651202</c:v>
                </c:pt>
                <c:pt idx="25">
                  <c:v>4.3143708690393199</c:v>
                </c:pt>
                <c:pt idx="26">
                  <c:v>4.4937013974609696</c:v>
                </c:pt>
                <c:pt idx="27">
                  <c:v>4.6725980043521798</c:v>
                </c:pt>
                <c:pt idx="28">
                  <c:v>4.9471376948930699</c:v>
                </c:pt>
                <c:pt idx="29">
                  <c:v>5.0406894007702903</c:v>
                </c:pt>
                <c:pt idx="30">
                  <c:v>5.1119694496382504</c:v>
                </c:pt>
                <c:pt idx="31">
                  <c:v>5.2999838035282298</c:v>
                </c:pt>
                <c:pt idx="32">
                  <c:v>5.4630067042325399</c:v>
                </c:pt>
                <c:pt idx="33">
                  <c:v>5.58986360981232</c:v>
                </c:pt>
                <c:pt idx="34">
                  <c:v>5.73838552774109</c:v>
                </c:pt>
                <c:pt idx="35">
                  <c:v>5.7496090411014702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2960"/>
        <c:axId val="392154496"/>
      </c:lineChart>
      <c:dateAx>
        <c:axId val="392152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2154496"/>
        <c:crosses val="autoZero"/>
        <c:auto val="1"/>
        <c:lblOffset val="100"/>
        <c:baseTimeUnit val="months"/>
      </c:dateAx>
      <c:valAx>
        <c:axId val="392154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2152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3.5 12'!$C$1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'CR 3.5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3.5 12'!$C$2:$C$44</c:f>
              <c:numCache>
                <c:formatCode>General</c:formatCode>
                <c:ptCount val="43"/>
                <c:pt idx="0">
                  <c:v>9.26637213846115E-2</c:v>
                </c:pt>
                <c:pt idx="1">
                  <c:v>2.2078434093766899</c:v>
                </c:pt>
                <c:pt idx="2">
                  <c:v>0.21101313586263701</c:v>
                </c:pt>
                <c:pt idx="3">
                  <c:v>0.34670011027004799</c:v>
                </c:pt>
                <c:pt idx="4">
                  <c:v>0.68419672655404296</c:v>
                </c:pt>
                <c:pt idx="5">
                  <c:v>0.73222196016878804</c:v>
                </c:pt>
                <c:pt idx="6">
                  <c:v>1.2131545097560901</c:v>
                </c:pt>
                <c:pt idx="7">
                  <c:v>0.60881457834305297</c:v>
                </c:pt>
                <c:pt idx="8">
                  <c:v>1.40396511056574</c:v>
                </c:pt>
                <c:pt idx="9">
                  <c:v>1.7549047203862</c:v>
                </c:pt>
                <c:pt idx="10">
                  <c:v>2.4164663061865599</c:v>
                </c:pt>
                <c:pt idx="11">
                  <c:v>2.2242920027181499</c:v>
                </c:pt>
                <c:pt idx="12">
                  <c:v>3.6474450434452499</c:v>
                </c:pt>
                <c:pt idx="13">
                  <c:v>3.29840664884455</c:v>
                </c:pt>
                <c:pt idx="14">
                  <c:v>3.6711049776826998</c:v>
                </c:pt>
                <c:pt idx="15">
                  <c:v>4.3083575682517203</c:v>
                </c:pt>
                <c:pt idx="16">
                  <c:v>3.6951284720694</c:v>
                </c:pt>
                <c:pt idx="17">
                  <c:v>2.8777199627600298</c:v>
                </c:pt>
                <c:pt idx="18">
                  <c:v>4.1426467719775202</c:v>
                </c:pt>
                <c:pt idx="19">
                  <c:v>2.9702003826689101</c:v>
                </c:pt>
                <c:pt idx="20">
                  <c:v>3.1994341560480599</c:v>
                </c:pt>
                <c:pt idx="21">
                  <c:v>3.9521915457612602</c:v>
                </c:pt>
                <c:pt idx="22">
                  <c:v>4.7131816593816396</c:v>
                </c:pt>
                <c:pt idx="23">
                  <c:v>5.3157630222910504</c:v>
                </c:pt>
                <c:pt idx="24">
                  <c:v>3.8429448922954399</c:v>
                </c:pt>
                <c:pt idx="25">
                  <c:v>5.78129009259714</c:v>
                </c:pt>
                <c:pt idx="26">
                  <c:v>4.8482589418826096</c:v>
                </c:pt>
                <c:pt idx="27">
                  <c:v>4.41017182000473</c:v>
                </c:pt>
                <c:pt idx="28">
                  <c:v>5.4830965450218603</c:v>
                </c:pt>
                <c:pt idx="29">
                  <c:v>3.1872260507513599</c:v>
                </c:pt>
                <c:pt idx="30">
                  <c:v>4.7457701336998399</c:v>
                </c:pt>
                <c:pt idx="31">
                  <c:v>3.6664748498256698</c:v>
                </c:pt>
                <c:pt idx="32">
                  <c:v>5.74416981304784</c:v>
                </c:pt>
                <c:pt idx="33">
                  <c:v>5.8468887019074502</c:v>
                </c:pt>
                <c:pt idx="34">
                  <c:v>6.0001670848639996</c:v>
                </c:pt>
                <c:pt idx="35">
                  <c:v>6.6376729902013301</c:v>
                </c:pt>
                <c:pt idx="36">
                  <c:v>7.9884973620694701</c:v>
                </c:pt>
                <c:pt idx="37">
                  <c:v>7.7134447783961599</c:v>
                </c:pt>
                <c:pt idx="38">
                  <c:v>7.3213085920938399</c:v>
                </c:pt>
                <c:pt idx="39">
                  <c:v>7.5051690154329904</c:v>
                </c:pt>
                <c:pt idx="40">
                  <c:v>5.8674636938424998</c:v>
                </c:pt>
                <c:pt idx="41">
                  <c:v>7.15530762300149</c:v>
                </c:pt>
                <c:pt idx="42">
                  <c:v>5.6462056443999797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3.5 12'!$D$1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'CR 3.5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3.5 12'!$D$2:$D$44</c:f>
              <c:numCache>
                <c:formatCode>General</c:formatCode>
                <c:ptCount val="43"/>
                <c:pt idx="0">
                  <c:v>0.291218951634997</c:v>
                </c:pt>
                <c:pt idx="1">
                  <c:v>0.41685273148136498</c:v>
                </c:pt>
                <c:pt idx="2">
                  <c:v>0.452726032299056</c:v>
                </c:pt>
                <c:pt idx="3">
                  <c:v>0.53581081687856802</c:v>
                </c:pt>
                <c:pt idx="4">
                  <c:v>0.60922774573859395</c:v>
                </c:pt>
                <c:pt idx="5">
                  <c:v>0.69731038274323298</c:v>
                </c:pt>
                <c:pt idx="6">
                  <c:v>0.76882036879748505</c:v>
                </c:pt>
                <c:pt idx="7">
                  <c:v>0.87641193316961896</c:v>
                </c:pt>
                <c:pt idx="8">
                  <c:v>1.0467188829044201</c:v>
                </c:pt>
                <c:pt idx="9">
                  <c:v>1.20378436661118</c:v>
                </c:pt>
                <c:pt idx="10">
                  <c:v>1.36274153864578</c:v>
                </c:pt>
                <c:pt idx="11">
                  <c:v>1.5404819352068599</c:v>
                </c:pt>
                <c:pt idx="12">
                  <c:v>1.6807261185122699</c:v>
                </c:pt>
                <c:pt idx="13">
                  <c:v>1.7879137301461201</c:v>
                </c:pt>
                <c:pt idx="14">
                  <c:v>1.92225611728375</c:v>
                </c:pt>
                <c:pt idx="15">
                  <c:v>2.0665758481472198</c:v>
                </c:pt>
                <c:pt idx="16">
                  <c:v>2.2160257081338499</c:v>
                </c:pt>
                <c:pt idx="17">
                  <c:v>2.3769036613732299</c:v>
                </c:pt>
                <c:pt idx="18">
                  <c:v>2.5238381925436602</c:v>
                </c:pt>
                <c:pt idx="19">
                  <c:v>2.6532900551515102</c:v>
                </c:pt>
                <c:pt idx="20">
                  <c:v>2.7963475170707301</c:v>
                </c:pt>
                <c:pt idx="21">
                  <c:v>2.9589074759685099</c:v>
                </c:pt>
                <c:pt idx="22">
                  <c:v>3.1063462501162298</c:v>
                </c:pt>
                <c:pt idx="23">
                  <c:v>3.2637458017568499</c:v>
                </c:pt>
                <c:pt idx="24">
                  <c:v>3.4743316376768099</c:v>
                </c:pt>
                <c:pt idx="25">
                  <c:v>3.62051456242629</c:v>
                </c:pt>
                <c:pt idx="26">
                  <c:v>3.7904151042538698</c:v>
                </c:pt>
                <c:pt idx="27">
                  <c:v>3.8908246036507799</c:v>
                </c:pt>
                <c:pt idx="28">
                  <c:v>3.99512294027913</c:v>
                </c:pt>
                <c:pt idx="29">
                  <c:v>4.17120288043711</c:v>
                </c:pt>
                <c:pt idx="30">
                  <c:v>4.3152585982517397</c:v>
                </c:pt>
                <c:pt idx="31">
                  <c:v>4.4557600503938302</c:v>
                </c:pt>
                <c:pt idx="32">
                  <c:v>4.7535650120887496</c:v>
                </c:pt>
                <c:pt idx="33">
                  <c:v>5.0569510103326403</c:v>
                </c:pt>
                <c:pt idx="34">
                  <c:v>5.3135675894221697</c:v>
                </c:pt>
                <c:pt idx="35">
                  <c:v>5.7831625761250098</c:v>
                </c:pt>
                <c:pt idx="36">
                  <c:v>5.79673812124972</c:v>
                </c:pt>
                <c:pt idx="37">
                  <c:v>5.6913020864608503</c:v>
                </c:pt>
                <c:pt idx="38">
                  <c:v>5.8717466600710102</c:v>
                </c:pt>
                <c:pt idx="39">
                  <c:v>5.9918212644368403</c:v>
                </c:pt>
                <c:pt idx="40">
                  <c:v>6.1021664861025</c:v>
                </c:pt>
                <c:pt idx="41">
                  <c:v>6.2236127119820104</c:v>
                </c:pt>
                <c:pt idx="42">
                  <c:v>6.0339632062012498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29536"/>
        <c:axId val="393941760"/>
      </c:lineChart>
      <c:dateAx>
        <c:axId val="392129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3941760"/>
        <c:crosses val="autoZero"/>
        <c:auto val="1"/>
        <c:lblOffset val="100"/>
        <c:baseTimeUnit val="months"/>
      </c:dateAx>
      <c:valAx>
        <c:axId val="39394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2129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4.0 13'!$C$1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'CR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'CR 4.0 13'!$C$2:$C$37</c:f>
              <c:numCache>
                <c:formatCode>General</c:formatCode>
                <c:ptCount val="36"/>
                <c:pt idx="0">
                  <c:v>0.19673471939711801</c:v>
                </c:pt>
                <c:pt idx="1">
                  <c:v>0.30532765035369303</c:v>
                </c:pt>
                <c:pt idx="2">
                  <c:v>0.37154478120550199</c:v>
                </c:pt>
                <c:pt idx="3">
                  <c:v>0.422850294004051</c:v>
                </c:pt>
                <c:pt idx="4">
                  <c:v>0.66685957450675104</c:v>
                </c:pt>
                <c:pt idx="5">
                  <c:v>0.98407926243923005</c:v>
                </c:pt>
                <c:pt idx="6">
                  <c:v>1.38547660482691</c:v>
                </c:pt>
                <c:pt idx="7">
                  <c:v>1.90903174771486</c:v>
                </c:pt>
                <c:pt idx="8">
                  <c:v>1.8565645811998699</c:v>
                </c:pt>
                <c:pt idx="9">
                  <c:v>1.67089343696272</c:v>
                </c:pt>
                <c:pt idx="10">
                  <c:v>1.62151391164738</c:v>
                </c:pt>
                <c:pt idx="11">
                  <c:v>3.3182989366207298</c:v>
                </c:pt>
                <c:pt idx="12">
                  <c:v>2.5967819680427402</c:v>
                </c:pt>
                <c:pt idx="13">
                  <c:v>2.1124859331924402</c:v>
                </c:pt>
                <c:pt idx="14">
                  <c:v>2.56977284986458</c:v>
                </c:pt>
                <c:pt idx="15">
                  <c:v>2.45197032307588</c:v>
                </c:pt>
                <c:pt idx="16">
                  <c:v>2.9833791674393701</c:v>
                </c:pt>
                <c:pt idx="17">
                  <c:v>3.0944452407278402</c:v>
                </c:pt>
                <c:pt idx="18">
                  <c:v>3.2985886951994798</c:v>
                </c:pt>
                <c:pt idx="19">
                  <c:v>3.37362670081141</c:v>
                </c:pt>
                <c:pt idx="20">
                  <c:v>3.5539616955943898</c:v>
                </c:pt>
                <c:pt idx="21">
                  <c:v>4.2199943885976596</c:v>
                </c:pt>
                <c:pt idx="22">
                  <c:v>4.1430531470959</c:v>
                </c:pt>
                <c:pt idx="23">
                  <c:v>4.5937442337519299</c:v>
                </c:pt>
                <c:pt idx="24">
                  <c:v>3.6615532391488501</c:v>
                </c:pt>
                <c:pt idx="25">
                  <c:v>4.4090613889951502</c:v>
                </c:pt>
                <c:pt idx="26">
                  <c:v>5.19776276414186</c:v>
                </c:pt>
                <c:pt idx="27">
                  <c:v>5.4517924932980799</c:v>
                </c:pt>
                <c:pt idx="28">
                  <c:v>5.5661119156567196</c:v>
                </c:pt>
                <c:pt idx="29">
                  <c:v>4.1275015769071697</c:v>
                </c:pt>
                <c:pt idx="30">
                  <c:v>5.3912506310199104</c:v>
                </c:pt>
                <c:pt idx="31">
                  <c:v>7.2572824519269501</c:v>
                </c:pt>
                <c:pt idx="32">
                  <c:v>6.9298293721254103</c:v>
                </c:pt>
                <c:pt idx="33">
                  <c:v>5.5174221452594798</c:v>
                </c:pt>
                <c:pt idx="34">
                  <c:v>5.9668064656131099</c:v>
                </c:pt>
                <c:pt idx="35">
                  <c:v>6.9956604685657204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4.0 13'!$D$1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'CR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'CR 4.0 13'!$D$2:$D$37</c:f>
              <c:numCache>
                <c:formatCode>General</c:formatCode>
                <c:ptCount val="36"/>
                <c:pt idx="0">
                  <c:v>0.29377027325904198</c:v>
                </c:pt>
                <c:pt idx="1">
                  <c:v>0.38637856135910198</c:v>
                </c:pt>
                <c:pt idx="2">
                  <c:v>0.44665760322167802</c:v>
                </c:pt>
                <c:pt idx="3">
                  <c:v>0.55866785897833404</c:v>
                </c:pt>
                <c:pt idx="4">
                  <c:v>0.65151939221907995</c:v>
                </c:pt>
                <c:pt idx="5">
                  <c:v>0.77417982942723496</c:v>
                </c:pt>
                <c:pt idx="6">
                  <c:v>0.86432997687817503</c:v>
                </c:pt>
                <c:pt idx="7">
                  <c:v>0.99165200199234904</c:v>
                </c:pt>
                <c:pt idx="8">
                  <c:v>1.0999913135603401</c:v>
                </c:pt>
                <c:pt idx="9">
                  <c:v>1.25527297740499</c:v>
                </c:pt>
                <c:pt idx="10">
                  <c:v>1.43820949848725</c:v>
                </c:pt>
                <c:pt idx="11">
                  <c:v>1.6125147492334599</c:v>
                </c:pt>
                <c:pt idx="12">
                  <c:v>1.7871630987353999</c:v>
                </c:pt>
                <c:pt idx="13">
                  <c:v>1.9753233761962801</c:v>
                </c:pt>
                <c:pt idx="14">
                  <c:v>2.1730450675587401</c:v>
                </c:pt>
                <c:pt idx="15">
                  <c:v>2.3602456340001798</c:v>
                </c:pt>
                <c:pt idx="16">
                  <c:v>2.5515982246185702</c:v>
                </c:pt>
                <c:pt idx="17">
                  <c:v>2.75247117437543</c:v>
                </c:pt>
                <c:pt idx="18">
                  <c:v>2.9422535066811801</c:v>
                </c:pt>
                <c:pt idx="19">
                  <c:v>3.1317265254283502</c:v>
                </c:pt>
                <c:pt idx="20">
                  <c:v>3.3121327275578598</c:v>
                </c:pt>
                <c:pt idx="21">
                  <c:v>3.4813787003033299</c:v>
                </c:pt>
                <c:pt idx="22">
                  <c:v>3.6663719398753098</c:v>
                </c:pt>
                <c:pt idx="23">
                  <c:v>3.8342563155465799</c:v>
                </c:pt>
                <c:pt idx="24">
                  <c:v>4.0072007037593798</c:v>
                </c:pt>
                <c:pt idx="25">
                  <c:v>4.1996553986871099</c:v>
                </c:pt>
                <c:pt idx="26">
                  <c:v>4.3753282360368599</c:v>
                </c:pt>
                <c:pt idx="27">
                  <c:v>4.5512457288119901</c:v>
                </c:pt>
                <c:pt idx="28">
                  <c:v>4.7900623505634696</c:v>
                </c:pt>
                <c:pt idx="29">
                  <c:v>4.9018886934731896</c:v>
                </c:pt>
                <c:pt idx="30">
                  <c:v>4.9967285260607097</c:v>
                </c:pt>
                <c:pt idx="31">
                  <c:v>5.1747263578948797</c:v>
                </c:pt>
                <c:pt idx="32">
                  <c:v>5.3254150383238299</c:v>
                </c:pt>
                <c:pt idx="33">
                  <c:v>5.4504442367757999</c:v>
                </c:pt>
                <c:pt idx="34">
                  <c:v>5.5960321409624099</c:v>
                </c:pt>
                <c:pt idx="35">
                  <c:v>5.6387499169979103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491392"/>
        <c:axId val="396493184"/>
      </c:lineChart>
      <c:dateAx>
        <c:axId val="3964913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6493184"/>
        <c:crosses val="autoZero"/>
        <c:auto val="1"/>
        <c:lblOffset val="100"/>
        <c:baseTimeUnit val="months"/>
      </c:dateAx>
      <c:valAx>
        <c:axId val="396493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6491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4.0 12'!$C$1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'CR 4.0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4.0 12'!$C$2:$C$44</c:f>
              <c:numCache>
                <c:formatCode>General</c:formatCode>
                <c:ptCount val="43"/>
                <c:pt idx="0">
                  <c:v>0.52140875882563698</c:v>
                </c:pt>
                <c:pt idx="1">
                  <c:v>0.32732081332033103</c:v>
                </c:pt>
                <c:pt idx="2">
                  <c:v>0.62248767411803296</c:v>
                </c:pt>
                <c:pt idx="3">
                  <c:v>0.57002511545923795</c:v>
                </c:pt>
                <c:pt idx="4">
                  <c:v>1.2825531233193399</c:v>
                </c:pt>
                <c:pt idx="5">
                  <c:v>1.3177031351200199</c:v>
                </c:pt>
                <c:pt idx="6">
                  <c:v>1.91331509396092</c:v>
                </c:pt>
                <c:pt idx="7">
                  <c:v>2.2697747604632701</c:v>
                </c:pt>
                <c:pt idx="8">
                  <c:v>1.88833244830348</c:v>
                </c:pt>
                <c:pt idx="9">
                  <c:v>3.0447553220887298</c:v>
                </c:pt>
                <c:pt idx="10">
                  <c:v>2.7502579971919201</c:v>
                </c:pt>
                <c:pt idx="11">
                  <c:v>3.6917917359366199</c:v>
                </c:pt>
                <c:pt idx="12">
                  <c:v>3.8919395728517201</c:v>
                </c:pt>
                <c:pt idx="13">
                  <c:v>5.2013182326036898</c:v>
                </c:pt>
                <c:pt idx="14">
                  <c:v>5.1402037781962404</c:v>
                </c:pt>
                <c:pt idx="15">
                  <c:v>4.7304749137959501</c:v>
                </c:pt>
                <c:pt idx="16">
                  <c:v>4.0689852700485298</c:v>
                </c:pt>
                <c:pt idx="17">
                  <c:v>3.7740213263006002</c:v>
                </c:pt>
                <c:pt idx="18">
                  <c:v>4.5552165894022396</c:v>
                </c:pt>
                <c:pt idx="19">
                  <c:v>3.98216475867242</c:v>
                </c:pt>
                <c:pt idx="20">
                  <c:v>4.5520670900144404</c:v>
                </c:pt>
                <c:pt idx="21">
                  <c:v>4.0422637441030096</c:v>
                </c:pt>
                <c:pt idx="22">
                  <c:v>4.3713222818506603</c:v>
                </c:pt>
                <c:pt idx="23">
                  <c:v>4.8752480382477197</c:v>
                </c:pt>
                <c:pt idx="24">
                  <c:v>5.1820046536243902</c:v>
                </c:pt>
                <c:pt idx="25">
                  <c:v>5.2759386062433604</c:v>
                </c:pt>
                <c:pt idx="26">
                  <c:v>6.0685492589974004</c:v>
                </c:pt>
                <c:pt idx="27">
                  <c:v>5.8945269041152297</c:v>
                </c:pt>
                <c:pt idx="28">
                  <c:v>6.4177262625407296</c:v>
                </c:pt>
                <c:pt idx="29">
                  <c:v>4.7682631528552504</c:v>
                </c:pt>
                <c:pt idx="30">
                  <c:v>5.6378410819006399</c:v>
                </c:pt>
                <c:pt idx="31">
                  <c:v>5.3828303621526397</c:v>
                </c:pt>
                <c:pt idx="32">
                  <c:v>6.4431073225083297</c:v>
                </c:pt>
                <c:pt idx="33">
                  <c:v>7.1455135504972498</c:v>
                </c:pt>
                <c:pt idx="34">
                  <c:v>7.9491353672197098</c:v>
                </c:pt>
                <c:pt idx="35">
                  <c:v>8.5602136022188304</c:v>
                </c:pt>
                <c:pt idx="36">
                  <c:v>9.2651800493013496</c:v>
                </c:pt>
                <c:pt idx="37">
                  <c:v>8.5295553537065594</c:v>
                </c:pt>
                <c:pt idx="38">
                  <c:v>8.3278848061241195</c:v>
                </c:pt>
                <c:pt idx="39">
                  <c:v>9.0632101020385001</c:v>
                </c:pt>
                <c:pt idx="40">
                  <c:v>9.1865966127629299</c:v>
                </c:pt>
                <c:pt idx="41">
                  <c:v>7.8578093553170802</c:v>
                </c:pt>
                <c:pt idx="42">
                  <c:v>9.1605828167148804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4.0 12'!$D$1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'CR 4.0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4.0 12'!$D$2:$D$44</c:f>
              <c:numCache>
                <c:formatCode>General</c:formatCode>
                <c:ptCount val="43"/>
                <c:pt idx="0">
                  <c:v>0.37092074361585498</c:v>
                </c:pt>
                <c:pt idx="1">
                  <c:v>0.49197366661186698</c:v>
                </c:pt>
                <c:pt idx="2">
                  <c:v>0.60727149450331397</c:v>
                </c:pt>
                <c:pt idx="3">
                  <c:v>0.72458723353066001</c:v>
                </c:pt>
                <c:pt idx="4">
                  <c:v>0.845604161536473</c:v>
                </c:pt>
                <c:pt idx="5">
                  <c:v>0.971654573713432</c:v>
                </c:pt>
                <c:pt idx="6">
                  <c:v>1.08226490740824</c:v>
                </c:pt>
                <c:pt idx="7">
                  <c:v>1.2241567789160701</c:v>
                </c:pt>
                <c:pt idx="8">
                  <c:v>1.38681342616008</c:v>
                </c:pt>
                <c:pt idx="9">
                  <c:v>1.54361535295959</c:v>
                </c:pt>
                <c:pt idx="10">
                  <c:v>1.71054631207851</c:v>
                </c:pt>
                <c:pt idx="11">
                  <c:v>1.8933528088392799</c:v>
                </c:pt>
                <c:pt idx="12">
                  <c:v>2.0509910124377599</c:v>
                </c:pt>
                <c:pt idx="13">
                  <c:v>2.1764311606997699</c:v>
                </c:pt>
                <c:pt idx="14">
                  <c:v>2.31687073726874</c:v>
                </c:pt>
                <c:pt idx="15">
                  <c:v>2.4635634238816202</c:v>
                </c:pt>
                <c:pt idx="16">
                  <c:v>2.6163567908686201</c:v>
                </c:pt>
                <c:pt idx="17">
                  <c:v>2.79389018449764</c:v>
                </c:pt>
                <c:pt idx="18">
                  <c:v>2.9390234167226499</c:v>
                </c:pt>
                <c:pt idx="19">
                  <c:v>3.0584045351809301</c:v>
                </c:pt>
                <c:pt idx="20">
                  <c:v>3.1970458247462501</c:v>
                </c:pt>
                <c:pt idx="21">
                  <c:v>3.3682308853640301</c:v>
                </c:pt>
                <c:pt idx="22">
                  <c:v>3.5187671818238599</c:v>
                </c:pt>
                <c:pt idx="23">
                  <c:v>3.6866256880365502</c:v>
                </c:pt>
                <c:pt idx="24">
                  <c:v>3.8993677346251898</c:v>
                </c:pt>
                <c:pt idx="25">
                  <c:v>4.0473530061704501</c:v>
                </c:pt>
                <c:pt idx="26">
                  <c:v>4.2187579476569299</c:v>
                </c:pt>
                <c:pt idx="27">
                  <c:v>4.3161212449460304</c:v>
                </c:pt>
                <c:pt idx="28">
                  <c:v>4.4226811852927304</c:v>
                </c:pt>
                <c:pt idx="29">
                  <c:v>4.5909641899223299</c:v>
                </c:pt>
                <c:pt idx="30">
                  <c:v>4.7442277560876498</c:v>
                </c:pt>
                <c:pt idx="31">
                  <c:v>4.8776858388394402</c:v>
                </c:pt>
                <c:pt idx="32">
                  <c:v>5.1447012758612702</c:v>
                </c:pt>
                <c:pt idx="33">
                  <c:v>5.4714704201946498</c:v>
                </c:pt>
                <c:pt idx="34">
                  <c:v>5.7819669621593102</c:v>
                </c:pt>
                <c:pt idx="35">
                  <c:v>6.2577435957190097</c:v>
                </c:pt>
                <c:pt idx="36">
                  <c:v>6.3527412239352401</c:v>
                </c:pt>
                <c:pt idx="37">
                  <c:v>6.2855574133368801</c:v>
                </c:pt>
                <c:pt idx="38">
                  <c:v>6.7227866146130699</c:v>
                </c:pt>
                <c:pt idx="39">
                  <c:v>6.8073844740840297</c:v>
                </c:pt>
                <c:pt idx="40">
                  <c:v>6.8523603641843103</c:v>
                </c:pt>
                <c:pt idx="41">
                  <c:v>6.9141298529959103</c:v>
                </c:pt>
                <c:pt idx="42">
                  <c:v>6.7307550964190401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447040"/>
        <c:axId val="383448576"/>
      </c:lineChart>
      <c:dateAx>
        <c:axId val="383447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3448576"/>
        <c:crosses val="autoZero"/>
        <c:auto val="1"/>
        <c:lblOffset val="100"/>
        <c:baseTimeUnit val="months"/>
      </c:dateAx>
      <c:valAx>
        <c:axId val="38344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3447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4.5 12'!$C$1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'CR 4.5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4.5 12'!$C$2:$C$44</c:f>
              <c:numCache>
                <c:formatCode>General</c:formatCode>
                <c:ptCount val="43"/>
                <c:pt idx="0">
                  <c:v>0.167237802879106</c:v>
                </c:pt>
                <c:pt idx="1">
                  <c:v>0.33187124146827301</c:v>
                </c:pt>
                <c:pt idx="2">
                  <c:v>0.47178078149383601</c:v>
                </c:pt>
                <c:pt idx="3">
                  <c:v>0.84079717741557503</c:v>
                </c:pt>
                <c:pt idx="4">
                  <c:v>2.3169928722324999</c:v>
                </c:pt>
                <c:pt idx="5">
                  <c:v>3.0382727782905601</c:v>
                </c:pt>
                <c:pt idx="6">
                  <c:v>2.3588806924293801</c:v>
                </c:pt>
                <c:pt idx="7">
                  <c:v>2.1848400358492999</c:v>
                </c:pt>
                <c:pt idx="8">
                  <c:v>3.2176805070134198</c:v>
                </c:pt>
                <c:pt idx="9">
                  <c:v>3.59894544775804</c:v>
                </c:pt>
                <c:pt idx="10">
                  <c:v>4.0839118446447902</c:v>
                </c:pt>
                <c:pt idx="11">
                  <c:v>4.5002020750706997</c:v>
                </c:pt>
                <c:pt idx="12">
                  <c:v>6.1793678067709301</c:v>
                </c:pt>
                <c:pt idx="13">
                  <c:v>4.0833298689691002</c:v>
                </c:pt>
                <c:pt idx="14">
                  <c:v>5.8271556779637104</c:v>
                </c:pt>
                <c:pt idx="15">
                  <c:v>5.41958188569438</c:v>
                </c:pt>
                <c:pt idx="16">
                  <c:v>4.7096233359281499</c:v>
                </c:pt>
                <c:pt idx="17">
                  <c:v>4.6707581499990498</c:v>
                </c:pt>
                <c:pt idx="18">
                  <c:v>6.4209642261331998</c:v>
                </c:pt>
                <c:pt idx="19">
                  <c:v>4.9953649579628596</c:v>
                </c:pt>
                <c:pt idx="20">
                  <c:v>5.07385450049519</c:v>
                </c:pt>
                <c:pt idx="21">
                  <c:v>5.5739400563725399</c:v>
                </c:pt>
                <c:pt idx="22">
                  <c:v>8.1671428960815504</c:v>
                </c:pt>
                <c:pt idx="23">
                  <c:v>5.32191078199945</c:v>
                </c:pt>
                <c:pt idx="24">
                  <c:v>7.6307690317221404</c:v>
                </c:pt>
                <c:pt idx="25">
                  <c:v>6.1882397810668301</c:v>
                </c:pt>
                <c:pt idx="26">
                  <c:v>7.5539739220229798</c:v>
                </c:pt>
                <c:pt idx="27">
                  <c:v>6.6189469977171198</c:v>
                </c:pt>
                <c:pt idx="28">
                  <c:v>7.6587449854527696</c:v>
                </c:pt>
                <c:pt idx="29">
                  <c:v>5.6377018582593399</c:v>
                </c:pt>
                <c:pt idx="30">
                  <c:v>7.76487564680777</c:v>
                </c:pt>
                <c:pt idx="31">
                  <c:v>5.6896768552284902</c:v>
                </c:pt>
                <c:pt idx="32">
                  <c:v>6.7277785441123896</c:v>
                </c:pt>
                <c:pt idx="33">
                  <c:v>9.1339125325822703</c:v>
                </c:pt>
                <c:pt idx="34">
                  <c:v>9.1239334050506997</c:v>
                </c:pt>
                <c:pt idx="35">
                  <c:v>11.0709453588993</c:v>
                </c:pt>
                <c:pt idx="36">
                  <c:v>12.0379788651694</c:v>
                </c:pt>
                <c:pt idx="37">
                  <c:v>11.699816302125299</c:v>
                </c:pt>
                <c:pt idx="38">
                  <c:v>10.4893396652802</c:v>
                </c:pt>
                <c:pt idx="39">
                  <c:v>10.7425522888519</c:v>
                </c:pt>
                <c:pt idx="40">
                  <c:v>13.3457809731957</c:v>
                </c:pt>
                <c:pt idx="41">
                  <c:v>7.6738486359561904</c:v>
                </c:pt>
                <c:pt idx="42">
                  <c:v>10.2788340889888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4.5 12'!$D$1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'CR 4.5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4.5 12'!$D$2:$D$44</c:f>
              <c:numCache>
                <c:formatCode>General</c:formatCode>
                <c:ptCount val="43"/>
                <c:pt idx="0">
                  <c:v>0.45212314687356198</c:v>
                </c:pt>
                <c:pt idx="1">
                  <c:v>0.56520219029988505</c:v>
                </c:pt>
                <c:pt idx="2">
                  <c:v>0.69055285623449403</c:v>
                </c:pt>
                <c:pt idx="3">
                  <c:v>0.82057592374669097</c:v>
                </c:pt>
                <c:pt idx="4">
                  <c:v>0.97186711297676498</c:v>
                </c:pt>
                <c:pt idx="5">
                  <c:v>1.1283523711293499</c:v>
                </c:pt>
                <c:pt idx="6">
                  <c:v>1.2871676919946999</c:v>
                </c:pt>
                <c:pt idx="7">
                  <c:v>1.4378472899379999</c:v>
                </c:pt>
                <c:pt idx="8">
                  <c:v>1.5889800383364301</c:v>
                </c:pt>
                <c:pt idx="9">
                  <c:v>1.73785536677226</c:v>
                </c:pt>
                <c:pt idx="10">
                  <c:v>1.8976492770297899</c:v>
                </c:pt>
                <c:pt idx="11">
                  <c:v>2.0977223264160498</c:v>
                </c:pt>
                <c:pt idx="12">
                  <c:v>2.2707364650230399</c:v>
                </c:pt>
                <c:pt idx="13">
                  <c:v>2.4107124372336899</c:v>
                </c:pt>
                <c:pt idx="14">
                  <c:v>2.5470618822428701</c:v>
                </c:pt>
                <c:pt idx="15">
                  <c:v>2.67063232514991</c:v>
                </c:pt>
                <c:pt idx="16">
                  <c:v>2.8231095029384501</c:v>
                </c:pt>
                <c:pt idx="17">
                  <c:v>3.0045234886159502</c:v>
                </c:pt>
                <c:pt idx="18">
                  <c:v>3.1343348012085599</c:v>
                </c:pt>
                <c:pt idx="19">
                  <c:v>3.2215142001961201</c:v>
                </c:pt>
                <c:pt idx="20">
                  <c:v>3.3560435798783201</c:v>
                </c:pt>
                <c:pt idx="21">
                  <c:v>3.5739345574288301</c:v>
                </c:pt>
                <c:pt idx="22">
                  <c:v>3.7344488263633502</c:v>
                </c:pt>
                <c:pt idx="23">
                  <c:v>3.9235845364263402</c:v>
                </c:pt>
                <c:pt idx="24">
                  <c:v>4.1638021482041196</c:v>
                </c:pt>
                <c:pt idx="25">
                  <c:v>4.2905630481223502</c:v>
                </c:pt>
                <c:pt idx="26">
                  <c:v>4.4548738208899401</c:v>
                </c:pt>
                <c:pt idx="27">
                  <c:v>4.51165593845215</c:v>
                </c:pt>
                <c:pt idx="28">
                  <c:v>4.60127238278801</c:v>
                </c:pt>
                <c:pt idx="29">
                  <c:v>4.7484214838679302</c:v>
                </c:pt>
                <c:pt idx="30">
                  <c:v>4.8930370742229101</c:v>
                </c:pt>
                <c:pt idx="31">
                  <c:v>4.9501835105355303</c:v>
                </c:pt>
                <c:pt idx="32">
                  <c:v>5.1838907536302301</c:v>
                </c:pt>
                <c:pt idx="33">
                  <c:v>5.54052464314793</c:v>
                </c:pt>
                <c:pt idx="34">
                  <c:v>6.3555217629299898</c:v>
                </c:pt>
                <c:pt idx="35">
                  <c:v>7.5904520759444196</c:v>
                </c:pt>
                <c:pt idx="36">
                  <c:v>7.7244352543180996</c:v>
                </c:pt>
                <c:pt idx="37">
                  <c:v>8.6460244092237701</c:v>
                </c:pt>
                <c:pt idx="38">
                  <c:v>8.8342159518476109</c:v>
                </c:pt>
                <c:pt idx="39">
                  <c:v>8.8823266941937202</c:v>
                </c:pt>
                <c:pt idx="40">
                  <c:v>8.9759996520903105</c:v>
                </c:pt>
                <c:pt idx="41">
                  <c:v>9.1754263608351501</c:v>
                </c:pt>
                <c:pt idx="42">
                  <c:v>8.8888912429113098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289664"/>
        <c:axId val="386291200"/>
      </c:lineChart>
      <c:dateAx>
        <c:axId val="386289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6291200"/>
        <c:crosses val="autoZero"/>
        <c:auto val="1"/>
        <c:lblOffset val="100"/>
        <c:baseTimeUnit val="months"/>
      </c:dateAx>
      <c:valAx>
        <c:axId val="386291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6289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3.5 13'!$C$1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'CR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'CR 3.5 13'!$C$2:$C$37</c:f>
              <c:numCache>
                <c:formatCode>General</c:formatCode>
                <c:ptCount val="36"/>
                <c:pt idx="0">
                  <c:v>7.7502005819452005E-2</c:v>
                </c:pt>
                <c:pt idx="1">
                  <c:v>0.230877607401758</c:v>
                </c:pt>
                <c:pt idx="2">
                  <c:v>0.57756399129653702</c:v>
                </c:pt>
                <c:pt idx="3">
                  <c:v>0.36775326515734502</c:v>
                </c:pt>
                <c:pt idx="4">
                  <c:v>1.00503298625693</c:v>
                </c:pt>
                <c:pt idx="5">
                  <c:v>0.996954321988197</c:v>
                </c:pt>
                <c:pt idx="6">
                  <c:v>1.2342357006012401</c:v>
                </c:pt>
                <c:pt idx="7">
                  <c:v>1.7376653869566701</c:v>
                </c:pt>
                <c:pt idx="8">
                  <c:v>1.49353930136887</c:v>
                </c:pt>
                <c:pt idx="9">
                  <c:v>1.5232102167241499</c:v>
                </c:pt>
                <c:pt idx="10">
                  <c:v>1.8612880442548401</c:v>
                </c:pt>
                <c:pt idx="11">
                  <c:v>2.21172342839581</c:v>
                </c:pt>
                <c:pt idx="12">
                  <c:v>1.8789736944979401</c:v>
                </c:pt>
                <c:pt idx="13">
                  <c:v>1.94690412891412</c:v>
                </c:pt>
                <c:pt idx="14">
                  <c:v>2.9255306551479201</c:v>
                </c:pt>
                <c:pt idx="15">
                  <c:v>2.6372859243429501</c:v>
                </c:pt>
                <c:pt idx="16">
                  <c:v>2.50043754715719</c:v>
                </c:pt>
                <c:pt idx="17">
                  <c:v>3.8987794442372898</c:v>
                </c:pt>
                <c:pt idx="18">
                  <c:v>4.3095691223740697</c:v>
                </c:pt>
                <c:pt idx="19">
                  <c:v>3.3559222794944299</c:v>
                </c:pt>
                <c:pt idx="20">
                  <c:v>3.0479671004005899</c:v>
                </c:pt>
                <c:pt idx="21">
                  <c:v>4.8505469460868298</c:v>
                </c:pt>
                <c:pt idx="22">
                  <c:v>3.9205470952832302</c:v>
                </c:pt>
                <c:pt idx="23">
                  <c:v>4.9052463598626801</c:v>
                </c:pt>
                <c:pt idx="24">
                  <c:v>2.9999690550458298</c:v>
                </c:pt>
                <c:pt idx="25">
                  <c:v>3.8902476985847501</c:v>
                </c:pt>
                <c:pt idx="26">
                  <c:v>4.1797348340884897</c:v>
                </c:pt>
                <c:pt idx="27">
                  <c:v>4.8286255937438298</c:v>
                </c:pt>
                <c:pt idx="28">
                  <c:v>4.7707455445167399</c:v>
                </c:pt>
                <c:pt idx="29">
                  <c:v>5.6756890411341896</c:v>
                </c:pt>
                <c:pt idx="30">
                  <c:v>6.78692528452844</c:v>
                </c:pt>
                <c:pt idx="31">
                  <c:v>6.3668267301056902</c:v>
                </c:pt>
                <c:pt idx="32">
                  <c:v>5.1614237830669296</c:v>
                </c:pt>
                <c:pt idx="33">
                  <c:v>5.2079455040818496</c:v>
                </c:pt>
                <c:pt idx="34">
                  <c:v>4.49964490779531</c:v>
                </c:pt>
                <c:pt idx="35">
                  <c:v>5.0458174222475698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3.5 13'!$D$1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'CR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'CR 3.5 13'!$D$2:$D$37</c:f>
              <c:numCache>
                <c:formatCode>General</c:formatCode>
                <c:ptCount val="36"/>
                <c:pt idx="0">
                  <c:v>0.30119784820242801</c:v>
                </c:pt>
                <c:pt idx="1">
                  <c:v>0.34225367104750998</c:v>
                </c:pt>
                <c:pt idx="2">
                  <c:v>0.43781945655934101</c:v>
                </c:pt>
                <c:pt idx="3">
                  <c:v>0.57096090416640699</c:v>
                </c:pt>
                <c:pt idx="4">
                  <c:v>0.72358014294912099</c:v>
                </c:pt>
                <c:pt idx="5">
                  <c:v>0.84234198147691297</c:v>
                </c:pt>
                <c:pt idx="6">
                  <c:v>0.95240338940256697</c:v>
                </c:pt>
                <c:pt idx="7">
                  <c:v>1.0917547509760399</c:v>
                </c:pt>
                <c:pt idx="8">
                  <c:v>1.2469591946177601</c:v>
                </c:pt>
                <c:pt idx="9">
                  <c:v>1.4298166115834601</c:v>
                </c:pt>
                <c:pt idx="10">
                  <c:v>1.61285679848109</c:v>
                </c:pt>
                <c:pt idx="11">
                  <c:v>1.79552520012826</c:v>
                </c:pt>
                <c:pt idx="12">
                  <c:v>1.97935095682392</c:v>
                </c:pt>
                <c:pt idx="13">
                  <c:v>2.1619176410033099</c:v>
                </c:pt>
                <c:pt idx="14">
                  <c:v>2.3507653682893901</c:v>
                </c:pt>
                <c:pt idx="15">
                  <c:v>2.5356966189843</c:v>
                </c:pt>
                <c:pt idx="16">
                  <c:v>2.7238112731204498</c:v>
                </c:pt>
                <c:pt idx="17">
                  <c:v>2.9163542899144601</c:v>
                </c:pt>
                <c:pt idx="18">
                  <c:v>3.0976221041373502</c:v>
                </c:pt>
                <c:pt idx="19">
                  <c:v>3.2833442552213898</c:v>
                </c:pt>
                <c:pt idx="20">
                  <c:v>3.4572289812272698</c:v>
                </c:pt>
                <c:pt idx="21">
                  <c:v>3.6173022300904201</c:v>
                </c:pt>
                <c:pt idx="22">
                  <c:v>3.7969591302413499</c:v>
                </c:pt>
                <c:pt idx="23">
                  <c:v>3.95267899552519</c:v>
                </c:pt>
                <c:pt idx="24">
                  <c:v>4.1179423603651202</c:v>
                </c:pt>
                <c:pt idx="25">
                  <c:v>4.3143708690393199</c:v>
                </c:pt>
                <c:pt idx="26">
                  <c:v>4.4937013974609696</c:v>
                </c:pt>
                <c:pt idx="27">
                  <c:v>4.6725980043521798</c:v>
                </c:pt>
                <c:pt idx="28">
                  <c:v>4.9471376948930699</c:v>
                </c:pt>
                <c:pt idx="29">
                  <c:v>5.0406894007702903</c:v>
                </c:pt>
                <c:pt idx="30">
                  <c:v>5.1119694496382504</c:v>
                </c:pt>
                <c:pt idx="31">
                  <c:v>5.2999838035282298</c:v>
                </c:pt>
                <c:pt idx="32">
                  <c:v>5.4630067042325399</c:v>
                </c:pt>
                <c:pt idx="33">
                  <c:v>5.58986360981232</c:v>
                </c:pt>
                <c:pt idx="34">
                  <c:v>5.73838552774109</c:v>
                </c:pt>
                <c:pt idx="35">
                  <c:v>5.7496090411014702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251200"/>
        <c:axId val="383252736"/>
      </c:lineChart>
      <c:dateAx>
        <c:axId val="383251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83252736"/>
        <c:crosses val="autoZero"/>
        <c:auto val="1"/>
        <c:lblOffset val="100"/>
        <c:baseTimeUnit val="months"/>
      </c:dateAx>
      <c:valAx>
        <c:axId val="383252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3251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3.5 12'!$C$1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'CR 3.5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3.5 12'!$C$2:$C$44</c:f>
              <c:numCache>
                <c:formatCode>General</c:formatCode>
                <c:ptCount val="43"/>
                <c:pt idx="0">
                  <c:v>9.26637213846115E-2</c:v>
                </c:pt>
                <c:pt idx="1">
                  <c:v>2.2078434093766899</c:v>
                </c:pt>
                <c:pt idx="2">
                  <c:v>0.21101313586263701</c:v>
                </c:pt>
                <c:pt idx="3">
                  <c:v>0.34670011027004799</c:v>
                </c:pt>
                <c:pt idx="4">
                  <c:v>0.68419672655404296</c:v>
                </c:pt>
                <c:pt idx="5">
                  <c:v>0.73222196016878804</c:v>
                </c:pt>
                <c:pt idx="6">
                  <c:v>1.2131545097560901</c:v>
                </c:pt>
                <c:pt idx="7">
                  <c:v>0.60881457834305297</c:v>
                </c:pt>
                <c:pt idx="8">
                  <c:v>1.40396511056574</c:v>
                </c:pt>
                <c:pt idx="9">
                  <c:v>1.7549047203862</c:v>
                </c:pt>
                <c:pt idx="10">
                  <c:v>2.4164663061865599</c:v>
                </c:pt>
                <c:pt idx="11">
                  <c:v>2.2242920027181499</c:v>
                </c:pt>
                <c:pt idx="12">
                  <c:v>3.6474450434452499</c:v>
                </c:pt>
                <c:pt idx="13">
                  <c:v>3.29840664884455</c:v>
                </c:pt>
                <c:pt idx="14">
                  <c:v>3.6711049776826998</c:v>
                </c:pt>
                <c:pt idx="15">
                  <c:v>4.3083575682517203</c:v>
                </c:pt>
                <c:pt idx="16">
                  <c:v>3.6951284720694</c:v>
                </c:pt>
                <c:pt idx="17">
                  <c:v>2.8777199627600298</c:v>
                </c:pt>
                <c:pt idx="18">
                  <c:v>4.1426467719775202</c:v>
                </c:pt>
                <c:pt idx="19">
                  <c:v>2.9702003826689101</c:v>
                </c:pt>
                <c:pt idx="20">
                  <c:v>3.1994341560480599</c:v>
                </c:pt>
                <c:pt idx="21">
                  <c:v>3.9521915457612602</c:v>
                </c:pt>
                <c:pt idx="22">
                  <c:v>4.7131816593816396</c:v>
                </c:pt>
                <c:pt idx="23">
                  <c:v>5.3157630222910504</c:v>
                </c:pt>
                <c:pt idx="24">
                  <c:v>3.8429448922954399</c:v>
                </c:pt>
                <c:pt idx="25">
                  <c:v>5.78129009259714</c:v>
                </c:pt>
                <c:pt idx="26">
                  <c:v>4.8482589418826096</c:v>
                </c:pt>
                <c:pt idx="27">
                  <c:v>4.41017182000473</c:v>
                </c:pt>
                <c:pt idx="28">
                  <c:v>5.4830965450218603</c:v>
                </c:pt>
                <c:pt idx="29">
                  <c:v>3.1872260507513599</c:v>
                </c:pt>
                <c:pt idx="30">
                  <c:v>4.7457701336998399</c:v>
                </c:pt>
                <c:pt idx="31">
                  <c:v>3.6664748498256698</c:v>
                </c:pt>
                <c:pt idx="32">
                  <c:v>5.74416981304784</c:v>
                </c:pt>
                <c:pt idx="33">
                  <c:v>5.8468887019074502</c:v>
                </c:pt>
                <c:pt idx="34">
                  <c:v>6.0001670848639996</c:v>
                </c:pt>
                <c:pt idx="35">
                  <c:v>6.6376729902013301</c:v>
                </c:pt>
                <c:pt idx="36">
                  <c:v>7.9884973620694701</c:v>
                </c:pt>
                <c:pt idx="37">
                  <c:v>7.7134447783961599</c:v>
                </c:pt>
                <c:pt idx="38">
                  <c:v>7.3213085920938399</c:v>
                </c:pt>
                <c:pt idx="39">
                  <c:v>7.5051690154329904</c:v>
                </c:pt>
                <c:pt idx="40">
                  <c:v>5.8674636938424998</c:v>
                </c:pt>
                <c:pt idx="41">
                  <c:v>7.15530762300149</c:v>
                </c:pt>
                <c:pt idx="42">
                  <c:v>5.6462056443999797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3.5 12'!$D$1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'CR 3.5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3.5 12'!$D$2:$D$44</c:f>
              <c:numCache>
                <c:formatCode>General</c:formatCode>
                <c:ptCount val="43"/>
                <c:pt idx="0">
                  <c:v>0.291218951634997</c:v>
                </c:pt>
                <c:pt idx="1">
                  <c:v>0.41685273148136498</c:v>
                </c:pt>
                <c:pt idx="2">
                  <c:v>0.452726032299056</c:v>
                </c:pt>
                <c:pt idx="3">
                  <c:v>0.53581081687856802</c:v>
                </c:pt>
                <c:pt idx="4">
                  <c:v>0.60922774573859395</c:v>
                </c:pt>
                <c:pt idx="5">
                  <c:v>0.69731038274323298</c:v>
                </c:pt>
                <c:pt idx="6">
                  <c:v>0.76882036879748505</c:v>
                </c:pt>
                <c:pt idx="7">
                  <c:v>0.87641193316961896</c:v>
                </c:pt>
                <c:pt idx="8">
                  <c:v>1.0467188829044201</c:v>
                </c:pt>
                <c:pt idx="9">
                  <c:v>1.20378436661118</c:v>
                </c:pt>
                <c:pt idx="10">
                  <c:v>1.36274153864578</c:v>
                </c:pt>
                <c:pt idx="11">
                  <c:v>1.5404819352068599</c:v>
                </c:pt>
                <c:pt idx="12">
                  <c:v>1.6807261185122699</c:v>
                </c:pt>
                <c:pt idx="13">
                  <c:v>1.7879137301461201</c:v>
                </c:pt>
                <c:pt idx="14">
                  <c:v>1.92225611728375</c:v>
                </c:pt>
                <c:pt idx="15">
                  <c:v>2.0665758481472198</c:v>
                </c:pt>
                <c:pt idx="16">
                  <c:v>2.2160257081338499</c:v>
                </c:pt>
                <c:pt idx="17">
                  <c:v>2.3769036613732299</c:v>
                </c:pt>
                <c:pt idx="18">
                  <c:v>2.5238381925436602</c:v>
                </c:pt>
                <c:pt idx="19">
                  <c:v>2.6532900551515102</c:v>
                </c:pt>
                <c:pt idx="20">
                  <c:v>2.7963475170707301</c:v>
                </c:pt>
                <c:pt idx="21">
                  <c:v>2.9589074759685099</c:v>
                </c:pt>
                <c:pt idx="22">
                  <c:v>3.1063462501162298</c:v>
                </c:pt>
                <c:pt idx="23">
                  <c:v>3.2637458017568499</c:v>
                </c:pt>
                <c:pt idx="24">
                  <c:v>3.4743316376768099</c:v>
                </c:pt>
                <c:pt idx="25">
                  <c:v>3.62051456242629</c:v>
                </c:pt>
                <c:pt idx="26">
                  <c:v>3.7904151042538698</c:v>
                </c:pt>
                <c:pt idx="27">
                  <c:v>3.8908246036507799</c:v>
                </c:pt>
                <c:pt idx="28">
                  <c:v>3.99512294027913</c:v>
                </c:pt>
                <c:pt idx="29">
                  <c:v>4.17120288043711</c:v>
                </c:pt>
                <c:pt idx="30">
                  <c:v>4.3152585982517397</c:v>
                </c:pt>
                <c:pt idx="31">
                  <c:v>4.4557600503938302</c:v>
                </c:pt>
                <c:pt idx="32">
                  <c:v>4.7535650120887496</c:v>
                </c:pt>
                <c:pt idx="33">
                  <c:v>5.0569510103326403</c:v>
                </c:pt>
                <c:pt idx="34">
                  <c:v>5.3135675894221697</c:v>
                </c:pt>
                <c:pt idx="35">
                  <c:v>5.7831625761250098</c:v>
                </c:pt>
                <c:pt idx="36">
                  <c:v>5.79673812124972</c:v>
                </c:pt>
                <c:pt idx="37">
                  <c:v>5.6913020864608503</c:v>
                </c:pt>
                <c:pt idx="38">
                  <c:v>5.8717466600710102</c:v>
                </c:pt>
                <c:pt idx="39">
                  <c:v>5.9918212644368403</c:v>
                </c:pt>
                <c:pt idx="40">
                  <c:v>6.1021664861025</c:v>
                </c:pt>
                <c:pt idx="41">
                  <c:v>6.2236127119820104</c:v>
                </c:pt>
                <c:pt idx="42">
                  <c:v>6.0339632062012498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803648"/>
        <c:axId val="393805184"/>
      </c:lineChart>
      <c:dateAx>
        <c:axId val="3938036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3805184"/>
        <c:crosses val="autoZero"/>
        <c:auto val="1"/>
        <c:lblOffset val="100"/>
        <c:baseTimeUnit val="months"/>
      </c:dateAx>
      <c:valAx>
        <c:axId val="393805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3803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4.0 13'!$C$1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'CR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'CR 4.0 13'!$C$2:$C$37</c:f>
              <c:numCache>
                <c:formatCode>General</c:formatCode>
                <c:ptCount val="36"/>
                <c:pt idx="0">
                  <c:v>0.19673471939711801</c:v>
                </c:pt>
                <c:pt idx="1">
                  <c:v>0.30532765035369303</c:v>
                </c:pt>
                <c:pt idx="2">
                  <c:v>0.37154478120550199</c:v>
                </c:pt>
                <c:pt idx="3">
                  <c:v>0.422850294004051</c:v>
                </c:pt>
                <c:pt idx="4">
                  <c:v>0.66685957450675104</c:v>
                </c:pt>
                <c:pt idx="5">
                  <c:v>0.98407926243923005</c:v>
                </c:pt>
                <c:pt idx="6">
                  <c:v>1.38547660482691</c:v>
                </c:pt>
                <c:pt idx="7">
                  <c:v>1.90903174771486</c:v>
                </c:pt>
                <c:pt idx="8">
                  <c:v>1.8565645811998699</c:v>
                </c:pt>
                <c:pt idx="9">
                  <c:v>1.67089343696272</c:v>
                </c:pt>
                <c:pt idx="10">
                  <c:v>1.62151391164738</c:v>
                </c:pt>
                <c:pt idx="11">
                  <c:v>3.3182989366207298</c:v>
                </c:pt>
                <c:pt idx="12">
                  <c:v>2.5967819680427402</c:v>
                </c:pt>
                <c:pt idx="13">
                  <c:v>2.1124859331924402</c:v>
                </c:pt>
                <c:pt idx="14">
                  <c:v>2.56977284986458</c:v>
                </c:pt>
                <c:pt idx="15">
                  <c:v>2.45197032307588</c:v>
                </c:pt>
                <c:pt idx="16">
                  <c:v>2.9833791674393701</c:v>
                </c:pt>
                <c:pt idx="17">
                  <c:v>3.0944452407278402</c:v>
                </c:pt>
                <c:pt idx="18">
                  <c:v>3.2985886951994798</c:v>
                </c:pt>
                <c:pt idx="19">
                  <c:v>3.37362670081141</c:v>
                </c:pt>
                <c:pt idx="20">
                  <c:v>3.5539616955943898</c:v>
                </c:pt>
                <c:pt idx="21">
                  <c:v>4.2199943885976596</c:v>
                </c:pt>
                <c:pt idx="22">
                  <c:v>4.1430531470959</c:v>
                </c:pt>
                <c:pt idx="23">
                  <c:v>4.5937442337519299</c:v>
                </c:pt>
                <c:pt idx="24">
                  <c:v>3.6615532391488501</c:v>
                </c:pt>
                <c:pt idx="25">
                  <c:v>4.4090613889951502</c:v>
                </c:pt>
                <c:pt idx="26">
                  <c:v>5.19776276414186</c:v>
                </c:pt>
                <c:pt idx="27">
                  <c:v>5.4517924932980799</c:v>
                </c:pt>
                <c:pt idx="28">
                  <c:v>5.5661119156567196</c:v>
                </c:pt>
                <c:pt idx="29">
                  <c:v>4.1275015769071697</c:v>
                </c:pt>
                <c:pt idx="30">
                  <c:v>5.3912506310199104</c:v>
                </c:pt>
                <c:pt idx="31">
                  <c:v>7.2572824519269501</c:v>
                </c:pt>
                <c:pt idx="32">
                  <c:v>6.9298293721254103</c:v>
                </c:pt>
                <c:pt idx="33">
                  <c:v>5.5174221452594798</c:v>
                </c:pt>
                <c:pt idx="34">
                  <c:v>5.9668064656131099</c:v>
                </c:pt>
                <c:pt idx="35">
                  <c:v>6.9956604685657204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4.0 13'!$D$1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'CR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'CR 4.0 13'!$D$2:$D$37</c:f>
              <c:numCache>
                <c:formatCode>General</c:formatCode>
                <c:ptCount val="36"/>
                <c:pt idx="0">
                  <c:v>0.29377027325904198</c:v>
                </c:pt>
                <c:pt idx="1">
                  <c:v>0.38637856135910198</c:v>
                </c:pt>
                <c:pt idx="2">
                  <c:v>0.44665760322167802</c:v>
                </c:pt>
                <c:pt idx="3">
                  <c:v>0.55866785897833404</c:v>
                </c:pt>
                <c:pt idx="4">
                  <c:v>0.65151939221907995</c:v>
                </c:pt>
                <c:pt idx="5">
                  <c:v>0.77417982942723496</c:v>
                </c:pt>
                <c:pt idx="6">
                  <c:v>0.86432997687817503</c:v>
                </c:pt>
                <c:pt idx="7">
                  <c:v>0.99165200199234904</c:v>
                </c:pt>
                <c:pt idx="8">
                  <c:v>1.0999913135603401</c:v>
                </c:pt>
                <c:pt idx="9">
                  <c:v>1.25527297740499</c:v>
                </c:pt>
                <c:pt idx="10">
                  <c:v>1.43820949848725</c:v>
                </c:pt>
                <c:pt idx="11">
                  <c:v>1.6125147492334599</c:v>
                </c:pt>
                <c:pt idx="12">
                  <c:v>1.7871630987353999</c:v>
                </c:pt>
                <c:pt idx="13">
                  <c:v>1.9753233761962801</c:v>
                </c:pt>
                <c:pt idx="14">
                  <c:v>2.1730450675587401</c:v>
                </c:pt>
                <c:pt idx="15">
                  <c:v>2.3602456340001798</c:v>
                </c:pt>
                <c:pt idx="16">
                  <c:v>2.5515982246185702</c:v>
                </c:pt>
                <c:pt idx="17">
                  <c:v>2.75247117437543</c:v>
                </c:pt>
                <c:pt idx="18">
                  <c:v>2.9422535066811801</c:v>
                </c:pt>
                <c:pt idx="19">
                  <c:v>3.1317265254283502</c:v>
                </c:pt>
                <c:pt idx="20">
                  <c:v>3.3121327275578598</c:v>
                </c:pt>
                <c:pt idx="21">
                  <c:v>3.4813787003033299</c:v>
                </c:pt>
                <c:pt idx="22">
                  <c:v>3.6663719398753098</c:v>
                </c:pt>
                <c:pt idx="23">
                  <c:v>3.8342563155465799</c:v>
                </c:pt>
                <c:pt idx="24">
                  <c:v>4.0072007037593798</c:v>
                </c:pt>
                <c:pt idx="25">
                  <c:v>4.1996553986871099</c:v>
                </c:pt>
                <c:pt idx="26">
                  <c:v>4.3753282360368599</c:v>
                </c:pt>
                <c:pt idx="27">
                  <c:v>4.5512457288119901</c:v>
                </c:pt>
                <c:pt idx="28">
                  <c:v>4.7900623505634696</c:v>
                </c:pt>
                <c:pt idx="29">
                  <c:v>4.9018886934731896</c:v>
                </c:pt>
                <c:pt idx="30">
                  <c:v>4.9967285260607097</c:v>
                </c:pt>
                <c:pt idx="31">
                  <c:v>5.1747263578948797</c:v>
                </c:pt>
                <c:pt idx="32">
                  <c:v>5.3254150383238299</c:v>
                </c:pt>
                <c:pt idx="33">
                  <c:v>5.4504442367757999</c:v>
                </c:pt>
                <c:pt idx="34">
                  <c:v>5.5960321409624099</c:v>
                </c:pt>
                <c:pt idx="35">
                  <c:v>5.6387499169979103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933568"/>
        <c:axId val="393935104"/>
      </c:lineChart>
      <c:dateAx>
        <c:axId val="393933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3935104"/>
        <c:crosses val="autoZero"/>
        <c:auto val="1"/>
        <c:lblOffset val="100"/>
        <c:baseTimeUnit val="months"/>
      </c:dateAx>
      <c:valAx>
        <c:axId val="39393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3933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4.0 12'!$C$1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'CR 4.0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4.0 12'!$C$2:$C$44</c:f>
              <c:numCache>
                <c:formatCode>General</c:formatCode>
                <c:ptCount val="43"/>
                <c:pt idx="0">
                  <c:v>0.52140875882563698</c:v>
                </c:pt>
                <c:pt idx="1">
                  <c:v>0.32732081332033103</c:v>
                </c:pt>
                <c:pt idx="2">
                  <c:v>0.62248767411803296</c:v>
                </c:pt>
                <c:pt idx="3">
                  <c:v>0.57002511545923795</c:v>
                </c:pt>
                <c:pt idx="4">
                  <c:v>1.2825531233193399</c:v>
                </c:pt>
                <c:pt idx="5">
                  <c:v>1.3177031351200199</c:v>
                </c:pt>
                <c:pt idx="6">
                  <c:v>1.91331509396092</c:v>
                </c:pt>
                <c:pt idx="7">
                  <c:v>2.2697747604632701</c:v>
                </c:pt>
                <c:pt idx="8">
                  <c:v>1.88833244830348</c:v>
                </c:pt>
                <c:pt idx="9">
                  <c:v>3.0447553220887298</c:v>
                </c:pt>
                <c:pt idx="10">
                  <c:v>2.7502579971919201</c:v>
                </c:pt>
                <c:pt idx="11">
                  <c:v>3.6917917359366199</c:v>
                </c:pt>
                <c:pt idx="12">
                  <c:v>3.8919395728517201</c:v>
                </c:pt>
                <c:pt idx="13">
                  <c:v>5.2013182326036898</c:v>
                </c:pt>
                <c:pt idx="14">
                  <c:v>5.1402037781962404</c:v>
                </c:pt>
                <c:pt idx="15">
                  <c:v>4.7304749137959501</c:v>
                </c:pt>
                <c:pt idx="16">
                  <c:v>4.0689852700485298</c:v>
                </c:pt>
                <c:pt idx="17">
                  <c:v>3.7740213263006002</c:v>
                </c:pt>
                <c:pt idx="18">
                  <c:v>4.5552165894022396</c:v>
                </c:pt>
                <c:pt idx="19">
                  <c:v>3.98216475867242</c:v>
                </c:pt>
                <c:pt idx="20">
                  <c:v>4.5520670900144404</c:v>
                </c:pt>
                <c:pt idx="21">
                  <c:v>4.0422637441030096</c:v>
                </c:pt>
                <c:pt idx="22">
                  <c:v>4.3713222818506603</c:v>
                </c:pt>
                <c:pt idx="23">
                  <c:v>4.8752480382477197</c:v>
                </c:pt>
                <c:pt idx="24">
                  <c:v>5.1820046536243902</c:v>
                </c:pt>
                <c:pt idx="25">
                  <c:v>5.2759386062433604</c:v>
                </c:pt>
                <c:pt idx="26">
                  <c:v>6.0685492589974004</c:v>
                </c:pt>
                <c:pt idx="27">
                  <c:v>5.8945269041152297</c:v>
                </c:pt>
                <c:pt idx="28">
                  <c:v>6.4177262625407296</c:v>
                </c:pt>
                <c:pt idx="29">
                  <c:v>4.7682631528552504</c:v>
                </c:pt>
                <c:pt idx="30">
                  <c:v>5.6378410819006399</c:v>
                </c:pt>
                <c:pt idx="31">
                  <c:v>5.3828303621526397</c:v>
                </c:pt>
                <c:pt idx="32">
                  <c:v>6.4431073225083297</c:v>
                </c:pt>
                <c:pt idx="33">
                  <c:v>7.1455135504972498</c:v>
                </c:pt>
                <c:pt idx="34">
                  <c:v>7.9491353672197098</c:v>
                </c:pt>
                <c:pt idx="35">
                  <c:v>8.5602136022188304</c:v>
                </c:pt>
                <c:pt idx="36">
                  <c:v>9.2651800493013496</c:v>
                </c:pt>
                <c:pt idx="37">
                  <c:v>8.5295553537065594</c:v>
                </c:pt>
                <c:pt idx="38">
                  <c:v>8.3278848061241195</c:v>
                </c:pt>
                <c:pt idx="39">
                  <c:v>9.0632101020385001</c:v>
                </c:pt>
                <c:pt idx="40">
                  <c:v>9.1865966127629299</c:v>
                </c:pt>
                <c:pt idx="41">
                  <c:v>7.8578093553170802</c:v>
                </c:pt>
                <c:pt idx="42">
                  <c:v>9.1605828167148804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4.0 12'!$D$1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'CR 4.0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4.0 12'!$D$2:$D$44</c:f>
              <c:numCache>
                <c:formatCode>General</c:formatCode>
                <c:ptCount val="43"/>
                <c:pt idx="0">
                  <c:v>0.37092074361585498</c:v>
                </c:pt>
                <c:pt idx="1">
                  <c:v>0.49197366661186698</c:v>
                </c:pt>
                <c:pt idx="2">
                  <c:v>0.60727149450331397</c:v>
                </c:pt>
                <c:pt idx="3">
                  <c:v>0.72458723353066001</c:v>
                </c:pt>
                <c:pt idx="4">
                  <c:v>0.845604161536473</c:v>
                </c:pt>
                <c:pt idx="5">
                  <c:v>0.971654573713432</c:v>
                </c:pt>
                <c:pt idx="6">
                  <c:v>1.08226490740824</c:v>
                </c:pt>
                <c:pt idx="7">
                  <c:v>1.2241567789160701</c:v>
                </c:pt>
                <c:pt idx="8">
                  <c:v>1.38681342616008</c:v>
                </c:pt>
                <c:pt idx="9">
                  <c:v>1.54361535295959</c:v>
                </c:pt>
                <c:pt idx="10">
                  <c:v>1.71054631207851</c:v>
                </c:pt>
                <c:pt idx="11">
                  <c:v>1.8933528088392799</c:v>
                </c:pt>
                <c:pt idx="12">
                  <c:v>2.0509910124377599</c:v>
                </c:pt>
                <c:pt idx="13">
                  <c:v>2.1764311606997699</c:v>
                </c:pt>
                <c:pt idx="14">
                  <c:v>2.31687073726874</c:v>
                </c:pt>
                <c:pt idx="15">
                  <c:v>2.4635634238816202</c:v>
                </c:pt>
                <c:pt idx="16">
                  <c:v>2.6163567908686201</c:v>
                </c:pt>
                <c:pt idx="17">
                  <c:v>2.79389018449764</c:v>
                </c:pt>
                <c:pt idx="18">
                  <c:v>2.9390234167226499</c:v>
                </c:pt>
                <c:pt idx="19">
                  <c:v>3.0584045351809301</c:v>
                </c:pt>
                <c:pt idx="20">
                  <c:v>3.1970458247462501</c:v>
                </c:pt>
                <c:pt idx="21">
                  <c:v>3.3682308853640301</c:v>
                </c:pt>
                <c:pt idx="22">
                  <c:v>3.5187671818238599</c:v>
                </c:pt>
                <c:pt idx="23">
                  <c:v>3.6866256880365502</c:v>
                </c:pt>
                <c:pt idx="24">
                  <c:v>3.8993677346251898</c:v>
                </c:pt>
                <c:pt idx="25">
                  <c:v>4.0473530061704501</c:v>
                </c:pt>
                <c:pt idx="26">
                  <c:v>4.2187579476569299</c:v>
                </c:pt>
                <c:pt idx="27">
                  <c:v>4.3161212449460304</c:v>
                </c:pt>
                <c:pt idx="28">
                  <c:v>4.4226811852927304</c:v>
                </c:pt>
                <c:pt idx="29">
                  <c:v>4.5909641899223299</c:v>
                </c:pt>
                <c:pt idx="30">
                  <c:v>4.7442277560876498</c:v>
                </c:pt>
                <c:pt idx="31">
                  <c:v>4.8776858388394402</c:v>
                </c:pt>
                <c:pt idx="32">
                  <c:v>5.1447012758612702</c:v>
                </c:pt>
                <c:pt idx="33">
                  <c:v>5.4714704201946498</c:v>
                </c:pt>
                <c:pt idx="34">
                  <c:v>5.7819669621593102</c:v>
                </c:pt>
                <c:pt idx="35">
                  <c:v>6.2577435957190097</c:v>
                </c:pt>
                <c:pt idx="36">
                  <c:v>6.3527412239352401</c:v>
                </c:pt>
                <c:pt idx="37">
                  <c:v>6.2855574133368801</c:v>
                </c:pt>
                <c:pt idx="38">
                  <c:v>6.7227866146130699</c:v>
                </c:pt>
                <c:pt idx="39">
                  <c:v>6.8073844740840297</c:v>
                </c:pt>
                <c:pt idx="40">
                  <c:v>6.8523603641843103</c:v>
                </c:pt>
                <c:pt idx="41">
                  <c:v>6.9141298529959103</c:v>
                </c:pt>
                <c:pt idx="42">
                  <c:v>6.7307550964190401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725696"/>
        <c:axId val="399733120"/>
      </c:lineChart>
      <c:dateAx>
        <c:axId val="399725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9733120"/>
        <c:crosses val="autoZero"/>
        <c:auto val="1"/>
        <c:lblOffset val="100"/>
        <c:baseTimeUnit val="months"/>
      </c:dateAx>
      <c:valAx>
        <c:axId val="399733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97256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 4.5 12'!$C$1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'CR 4.5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4.5 12'!$C$2:$C$44</c:f>
              <c:numCache>
                <c:formatCode>General</c:formatCode>
                <c:ptCount val="43"/>
                <c:pt idx="0">
                  <c:v>0.167237802879106</c:v>
                </c:pt>
                <c:pt idx="1">
                  <c:v>0.33187124146827301</c:v>
                </c:pt>
                <c:pt idx="2">
                  <c:v>0.47178078149383601</c:v>
                </c:pt>
                <c:pt idx="3">
                  <c:v>0.84079717741557503</c:v>
                </c:pt>
                <c:pt idx="4">
                  <c:v>2.3169928722324999</c:v>
                </c:pt>
                <c:pt idx="5">
                  <c:v>3.0382727782905601</c:v>
                </c:pt>
                <c:pt idx="6">
                  <c:v>2.3588806924293801</c:v>
                </c:pt>
                <c:pt idx="7">
                  <c:v>2.1848400358492999</c:v>
                </c:pt>
                <c:pt idx="8">
                  <c:v>3.2176805070134198</c:v>
                </c:pt>
                <c:pt idx="9">
                  <c:v>3.59894544775804</c:v>
                </c:pt>
                <c:pt idx="10">
                  <c:v>4.0839118446447902</c:v>
                </c:pt>
                <c:pt idx="11">
                  <c:v>4.5002020750706997</c:v>
                </c:pt>
                <c:pt idx="12">
                  <c:v>6.1793678067709301</c:v>
                </c:pt>
                <c:pt idx="13">
                  <c:v>4.0833298689691002</c:v>
                </c:pt>
                <c:pt idx="14">
                  <c:v>5.8271556779637104</c:v>
                </c:pt>
                <c:pt idx="15">
                  <c:v>5.41958188569438</c:v>
                </c:pt>
                <c:pt idx="16">
                  <c:v>4.7096233359281499</c:v>
                </c:pt>
                <c:pt idx="17">
                  <c:v>4.6707581499990498</c:v>
                </c:pt>
                <c:pt idx="18">
                  <c:v>6.4209642261331998</c:v>
                </c:pt>
                <c:pt idx="19">
                  <c:v>4.9953649579628596</c:v>
                </c:pt>
                <c:pt idx="20">
                  <c:v>5.07385450049519</c:v>
                </c:pt>
                <c:pt idx="21">
                  <c:v>5.5739400563725399</c:v>
                </c:pt>
                <c:pt idx="22">
                  <c:v>8.1671428960815504</c:v>
                </c:pt>
                <c:pt idx="23">
                  <c:v>5.32191078199945</c:v>
                </c:pt>
                <c:pt idx="24">
                  <c:v>7.6307690317221404</c:v>
                </c:pt>
                <c:pt idx="25">
                  <c:v>6.1882397810668301</c:v>
                </c:pt>
                <c:pt idx="26">
                  <c:v>7.5539739220229798</c:v>
                </c:pt>
                <c:pt idx="27">
                  <c:v>6.6189469977171198</c:v>
                </c:pt>
                <c:pt idx="28">
                  <c:v>7.6587449854527696</c:v>
                </c:pt>
                <c:pt idx="29">
                  <c:v>5.6377018582593399</c:v>
                </c:pt>
                <c:pt idx="30">
                  <c:v>7.76487564680777</c:v>
                </c:pt>
                <c:pt idx="31">
                  <c:v>5.6896768552284902</c:v>
                </c:pt>
                <c:pt idx="32">
                  <c:v>6.7277785441123896</c:v>
                </c:pt>
                <c:pt idx="33">
                  <c:v>9.1339125325822703</c:v>
                </c:pt>
                <c:pt idx="34">
                  <c:v>9.1239334050506997</c:v>
                </c:pt>
                <c:pt idx="35">
                  <c:v>11.0709453588993</c:v>
                </c:pt>
                <c:pt idx="36">
                  <c:v>12.0379788651694</c:v>
                </c:pt>
                <c:pt idx="37">
                  <c:v>11.699816302125299</c:v>
                </c:pt>
                <c:pt idx="38">
                  <c:v>10.4893396652802</c:v>
                </c:pt>
                <c:pt idx="39">
                  <c:v>10.7425522888519</c:v>
                </c:pt>
                <c:pt idx="40">
                  <c:v>13.3457809731957</c:v>
                </c:pt>
                <c:pt idx="41">
                  <c:v>7.6738486359561904</c:v>
                </c:pt>
                <c:pt idx="42">
                  <c:v>10.2788340889888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'CR 4.5 12'!$D$1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'CR 4.5 12'!$B$2:$B$44</c:f>
              <c:numCache>
                <c:formatCode>m/d/yyyy</c:formatCode>
                <c:ptCount val="43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</c:numCache>
            </c:numRef>
          </c:cat>
          <c:val>
            <c:numRef>
              <c:f>'CR 4.5 12'!$D$2:$D$44</c:f>
              <c:numCache>
                <c:formatCode>General</c:formatCode>
                <c:ptCount val="43"/>
                <c:pt idx="0">
                  <c:v>0.45212314687356198</c:v>
                </c:pt>
                <c:pt idx="1">
                  <c:v>0.56520219029988505</c:v>
                </c:pt>
                <c:pt idx="2">
                  <c:v>0.69055285623449403</c:v>
                </c:pt>
                <c:pt idx="3">
                  <c:v>0.82057592374669097</c:v>
                </c:pt>
                <c:pt idx="4">
                  <c:v>0.97186711297676498</c:v>
                </c:pt>
                <c:pt idx="5">
                  <c:v>1.1283523711293499</c:v>
                </c:pt>
                <c:pt idx="6">
                  <c:v>1.2871676919946999</c:v>
                </c:pt>
                <c:pt idx="7">
                  <c:v>1.4378472899379999</c:v>
                </c:pt>
                <c:pt idx="8">
                  <c:v>1.5889800383364301</c:v>
                </c:pt>
                <c:pt idx="9">
                  <c:v>1.73785536677226</c:v>
                </c:pt>
                <c:pt idx="10">
                  <c:v>1.8976492770297899</c:v>
                </c:pt>
                <c:pt idx="11">
                  <c:v>2.0977223264160498</c:v>
                </c:pt>
                <c:pt idx="12">
                  <c:v>2.2707364650230399</c:v>
                </c:pt>
                <c:pt idx="13">
                  <c:v>2.4107124372336899</c:v>
                </c:pt>
                <c:pt idx="14">
                  <c:v>2.5470618822428701</c:v>
                </c:pt>
                <c:pt idx="15">
                  <c:v>2.67063232514991</c:v>
                </c:pt>
                <c:pt idx="16">
                  <c:v>2.8231095029384501</c:v>
                </c:pt>
                <c:pt idx="17">
                  <c:v>3.0045234886159502</c:v>
                </c:pt>
                <c:pt idx="18">
                  <c:v>3.1343348012085599</c:v>
                </c:pt>
                <c:pt idx="19">
                  <c:v>3.2215142001961201</c:v>
                </c:pt>
                <c:pt idx="20">
                  <c:v>3.3560435798783201</c:v>
                </c:pt>
                <c:pt idx="21">
                  <c:v>3.5739345574288301</c:v>
                </c:pt>
                <c:pt idx="22">
                  <c:v>3.7344488263633502</c:v>
                </c:pt>
                <c:pt idx="23">
                  <c:v>3.9235845364263402</c:v>
                </c:pt>
                <c:pt idx="24">
                  <c:v>4.1638021482041196</c:v>
                </c:pt>
                <c:pt idx="25">
                  <c:v>4.2905630481223502</c:v>
                </c:pt>
                <c:pt idx="26">
                  <c:v>4.4548738208899401</c:v>
                </c:pt>
                <c:pt idx="27">
                  <c:v>4.51165593845215</c:v>
                </c:pt>
                <c:pt idx="28">
                  <c:v>4.60127238278801</c:v>
                </c:pt>
                <c:pt idx="29">
                  <c:v>4.7484214838679302</c:v>
                </c:pt>
                <c:pt idx="30">
                  <c:v>4.8930370742229101</c:v>
                </c:pt>
                <c:pt idx="31">
                  <c:v>4.9501835105355303</c:v>
                </c:pt>
                <c:pt idx="32">
                  <c:v>5.1838907536302301</c:v>
                </c:pt>
                <c:pt idx="33">
                  <c:v>5.54052464314793</c:v>
                </c:pt>
                <c:pt idx="34">
                  <c:v>6.3555217629299898</c:v>
                </c:pt>
                <c:pt idx="35">
                  <c:v>7.5904520759444196</c:v>
                </c:pt>
                <c:pt idx="36">
                  <c:v>7.7244352543180996</c:v>
                </c:pt>
                <c:pt idx="37">
                  <c:v>8.6460244092237701</c:v>
                </c:pt>
                <c:pt idx="38">
                  <c:v>8.8342159518476109</c:v>
                </c:pt>
                <c:pt idx="39">
                  <c:v>8.8823266941937202</c:v>
                </c:pt>
                <c:pt idx="40">
                  <c:v>8.9759996520903105</c:v>
                </c:pt>
                <c:pt idx="41">
                  <c:v>9.1754263608351501</c:v>
                </c:pt>
                <c:pt idx="42">
                  <c:v>8.8888912429113098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512512"/>
        <c:axId val="398193024"/>
      </c:lineChart>
      <c:dateAx>
        <c:axId val="402512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8193024"/>
        <c:crosses val="autoZero"/>
        <c:auto val="1"/>
        <c:lblOffset val="100"/>
        <c:baseTimeUnit val="months"/>
      </c:dateAx>
      <c:valAx>
        <c:axId val="39819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2512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 3.5 13'!$C$1</c:f>
              <c:strCache>
                <c:ptCount val="1"/>
                <c:pt idx="0">
                  <c:v>Conv Act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'Conv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3.5 13'!$C$2:$C$37</c:f>
              <c:numCache>
                <c:formatCode>General</c:formatCode>
                <c:ptCount val="36"/>
                <c:pt idx="0">
                  <c:v>3.82099252364887</c:v>
                </c:pt>
                <c:pt idx="1">
                  <c:v>0.18033599702062</c:v>
                </c:pt>
                <c:pt idx="2">
                  <c:v>2.10397783557115</c:v>
                </c:pt>
                <c:pt idx="3">
                  <c:v>1.1282711306303199</c:v>
                </c:pt>
                <c:pt idx="4">
                  <c:v>2.6458889599262001</c:v>
                </c:pt>
                <c:pt idx="5">
                  <c:v>2.9389908902920401</c:v>
                </c:pt>
                <c:pt idx="6">
                  <c:v>3.6492534707926301</c:v>
                </c:pt>
                <c:pt idx="7">
                  <c:v>2.9108702560233501</c:v>
                </c:pt>
                <c:pt idx="8">
                  <c:v>2.8731445901143098</c:v>
                </c:pt>
                <c:pt idx="9">
                  <c:v>3.1514675193794401</c:v>
                </c:pt>
                <c:pt idx="10">
                  <c:v>2.4642824090509001</c:v>
                </c:pt>
                <c:pt idx="11">
                  <c:v>3.28261598049234</c:v>
                </c:pt>
                <c:pt idx="12">
                  <c:v>3.0126577219719799</c:v>
                </c:pt>
                <c:pt idx="13">
                  <c:v>2.4485657564560399</c:v>
                </c:pt>
                <c:pt idx="14">
                  <c:v>4.6294904270215103</c:v>
                </c:pt>
                <c:pt idx="15">
                  <c:v>4.9708478481381002</c:v>
                </c:pt>
                <c:pt idx="16">
                  <c:v>4.5472749509107997</c:v>
                </c:pt>
                <c:pt idx="17">
                  <c:v>8.1807680308378696</c:v>
                </c:pt>
                <c:pt idx="18">
                  <c:v>6.14549851915275</c:v>
                </c:pt>
                <c:pt idx="19">
                  <c:v>6.3203055354868001</c:v>
                </c:pt>
                <c:pt idx="20">
                  <c:v>6.2468125179766902</c:v>
                </c:pt>
                <c:pt idx="21">
                  <c:v>7.9337896479127501</c:v>
                </c:pt>
                <c:pt idx="22">
                  <c:v>7.2617144334220596</c:v>
                </c:pt>
                <c:pt idx="23">
                  <c:v>6.2486597401715001</c:v>
                </c:pt>
                <c:pt idx="24">
                  <c:v>5.72945881258899</c:v>
                </c:pt>
                <c:pt idx="25">
                  <c:v>7.9079676461499897</c:v>
                </c:pt>
                <c:pt idx="26">
                  <c:v>9.6769800546857798</c:v>
                </c:pt>
                <c:pt idx="27">
                  <c:v>10.4283104671388</c:v>
                </c:pt>
                <c:pt idx="28">
                  <c:v>12.8766685473149</c:v>
                </c:pt>
                <c:pt idx="29">
                  <c:v>15.186642426202599</c:v>
                </c:pt>
                <c:pt idx="30">
                  <c:v>12.052722191604399</c:v>
                </c:pt>
                <c:pt idx="31">
                  <c:v>9.5847645563755801</c:v>
                </c:pt>
                <c:pt idx="32">
                  <c:v>10.4413482800807</c:v>
                </c:pt>
                <c:pt idx="33">
                  <c:v>11.168434260082099</c:v>
                </c:pt>
                <c:pt idx="34">
                  <c:v>8.5878947788262696</c:v>
                </c:pt>
                <c:pt idx="35">
                  <c:v>11.592002009748001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 3.5 13'!$D$1</c:f>
              <c:strCache>
                <c:ptCount val="1"/>
                <c:pt idx="0">
                  <c:v>Conv Model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'Conv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3.5 13'!$D$2:$D$37</c:f>
              <c:numCache>
                <c:formatCode>General</c:formatCode>
                <c:ptCount val="36"/>
                <c:pt idx="0">
                  <c:v>6.4327005758847804</c:v>
                </c:pt>
                <c:pt idx="1">
                  <c:v>4.1730555050392102</c:v>
                </c:pt>
                <c:pt idx="2">
                  <c:v>4.8921219421938504</c:v>
                </c:pt>
                <c:pt idx="3">
                  <c:v>6.22936351263946</c:v>
                </c:pt>
                <c:pt idx="4">
                  <c:v>10.691187114170001</c:v>
                </c:pt>
                <c:pt idx="5">
                  <c:v>9.9052097983642007</c:v>
                </c:pt>
                <c:pt idx="6">
                  <c:v>5.84338308313633</c:v>
                </c:pt>
                <c:pt idx="7">
                  <c:v>5.1577461720833799</c:v>
                </c:pt>
                <c:pt idx="8">
                  <c:v>4.7491308693802603</c:v>
                </c:pt>
                <c:pt idx="9">
                  <c:v>5.1316735840536998</c:v>
                </c:pt>
                <c:pt idx="10">
                  <c:v>6.4209890523872204</c:v>
                </c:pt>
                <c:pt idx="11">
                  <c:v>6.7377856075589397</c:v>
                </c:pt>
                <c:pt idx="12">
                  <c:v>5.4040056509786902</c:v>
                </c:pt>
                <c:pt idx="13">
                  <c:v>5.9963664428097196</c:v>
                </c:pt>
                <c:pt idx="14">
                  <c:v>7.9432618027918096</c:v>
                </c:pt>
                <c:pt idx="15">
                  <c:v>9.6540756016290903</c:v>
                </c:pt>
                <c:pt idx="16">
                  <c:v>11.469271602722699</c:v>
                </c:pt>
                <c:pt idx="17">
                  <c:v>14.429427339965599</c:v>
                </c:pt>
                <c:pt idx="18">
                  <c:v>14.936298873731401</c:v>
                </c:pt>
                <c:pt idx="19">
                  <c:v>15.894070855153499</c:v>
                </c:pt>
                <c:pt idx="20">
                  <c:v>15.3314010390819</c:v>
                </c:pt>
                <c:pt idx="21">
                  <c:v>14.9671343552534</c:v>
                </c:pt>
                <c:pt idx="22">
                  <c:v>16.6744014970132</c:v>
                </c:pt>
                <c:pt idx="23">
                  <c:v>21.516681012695901</c:v>
                </c:pt>
                <c:pt idx="24">
                  <c:v>22.814275492276799</c:v>
                </c:pt>
                <c:pt idx="25">
                  <c:v>28.819902642049801</c:v>
                </c:pt>
                <c:pt idx="26">
                  <c:v>30.136506217801699</c:v>
                </c:pt>
                <c:pt idx="27">
                  <c:v>31.189209600316399</c:v>
                </c:pt>
                <c:pt idx="28">
                  <c:v>36.187543985684599</c:v>
                </c:pt>
                <c:pt idx="29">
                  <c:v>31.5560127440807</c:v>
                </c:pt>
                <c:pt idx="30">
                  <c:v>27.976756976199901</c:v>
                </c:pt>
                <c:pt idx="31">
                  <c:v>26.737558900739899</c:v>
                </c:pt>
                <c:pt idx="32">
                  <c:v>29.729754016289299</c:v>
                </c:pt>
                <c:pt idx="33">
                  <c:v>29.349043981466298</c:v>
                </c:pt>
                <c:pt idx="34">
                  <c:v>30.492883466783798</c:v>
                </c:pt>
                <c:pt idx="35">
                  <c:v>26.689553344699299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 3.5 13'!$E$1</c:f>
              <c:strCache>
                <c:ptCount val="1"/>
                <c:pt idx="0">
                  <c:v>CQ Act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'Conv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3.5 13'!$E$2:$E$37</c:f>
              <c:numCache>
                <c:formatCode>General</c:formatCode>
                <c:ptCount val="36"/>
                <c:pt idx="0">
                  <c:v>1.63591257460955</c:v>
                </c:pt>
                <c:pt idx="1">
                  <c:v>0.95590703616670303</c:v>
                </c:pt>
                <c:pt idx="2">
                  <c:v>1.2265295605862001</c:v>
                </c:pt>
                <c:pt idx="3">
                  <c:v>1.42442158085054</c:v>
                </c:pt>
                <c:pt idx="4">
                  <c:v>1.5784848852751201</c:v>
                </c:pt>
                <c:pt idx="5">
                  <c:v>2.0023630724777899</c:v>
                </c:pt>
                <c:pt idx="6">
                  <c:v>2.07750130677592</c:v>
                </c:pt>
                <c:pt idx="7">
                  <c:v>2.5548961180571501</c:v>
                </c:pt>
                <c:pt idx="8">
                  <c:v>2.42428918666725</c:v>
                </c:pt>
                <c:pt idx="9">
                  <c:v>2.1136783822058498</c:v>
                </c:pt>
                <c:pt idx="10">
                  <c:v>2.3525004748818699</c:v>
                </c:pt>
                <c:pt idx="11">
                  <c:v>2.71490028426257</c:v>
                </c:pt>
                <c:pt idx="12">
                  <c:v>2.5119789765918101</c:v>
                </c:pt>
                <c:pt idx="13">
                  <c:v>2.6554733120072598</c:v>
                </c:pt>
                <c:pt idx="14">
                  <c:v>3.7246295888100902</c:v>
                </c:pt>
                <c:pt idx="15">
                  <c:v>3.4378742748523301</c:v>
                </c:pt>
                <c:pt idx="16">
                  <c:v>4.8477085388448202</c:v>
                </c:pt>
                <c:pt idx="17">
                  <c:v>4.1301038617508601</c:v>
                </c:pt>
                <c:pt idx="18">
                  <c:v>4.2878366001645603</c:v>
                </c:pt>
                <c:pt idx="19">
                  <c:v>5.58944049402057</c:v>
                </c:pt>
                <c:pt idx="20">
                  <c:v>4.5064936600708503</c:v>
                </c:pt>
                <c:pt idx="21">
                  <c:v>4.9147315424106504</c:v>
                </c:pt>
                <c:pt idx="22">
                  <c:v>4.5130393725936901</c:v>
                </c:pt>
                <c:pt idx="23">
                  <c:v>4.9544657957726699</c:v>
                </c:pt>
                <c:pt idx="24">
                  <c:v>5.3713136783491899</c:v>
                </c:pt>
                <c:pt idx="25">
                  <c:v>4.4358918836477903</c:v>
                </c:pt>
                <c:pt idx="26">
                  <c:v>5.8537207278367198</c:v>
                </c:pt>
                <c:pt idx="27">
                  <c:v>6.9172939016973096</c:v>
                </c:pt>
                <c:pt idx="28">
                  <c:v>8.0727753361373793</c:v>
                </c:pt>
                <c:pt idx="29">
                  <c:v>7.5433424805368396</c:v>
                </c:pt>
                <c:pt idx="30">
                  <c:v>8.9808157708045595</c:v>
                </c:pt>
                <c:pt idx="31">
                  <c:v>6.8599345244405701</c:v>
                </c:pt>
                <c:pt idx="32">
                  <c:v>7.6042556882299399</c:v>
                </c:pt>
                <c:pt idx="33">
                  <c:v>8.0788975321340004</c:v>
                </c:pt>
                <c:pt idx="34">
                  <c:v>6.1740086593389103</c:v>
                </c:pt>
                <c:pt idx="35">
                  <c:v>7.5161087210162698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'Conv 3.5 13'!$F$1</c:f>
              <c:strCache>
                <c:ptCount val="1"/>
                <c:pt idx="0">
                  <c:v>CQ model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cat>
            <c:numRef>
              <c:f>'Conv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3.5 13'!$F$2:$F$37</c:f>
              <c:numCache>
                <c:formatCode>General</c:formatCode>
                <c:ptCount val="36"/>
                <c:pt idx="0">
                  <c:v>0.61725090720328202</c:v>
                </c:pt>
                <c:pt idx="1">
                  <c:v>0.63208547579000096</c:v>
                </c:pt>
                <c:pt idx="2">
                  <c:v>0.803502883955864</c:v>
                </c:pt>
                <c:pt idx="3">
                  <c:v>1.0537971166656801</c:v>
                </c:pt>
                <c:pt idx="4">
                  <c:v>1.4386392601014899</c:v>
                </c:pt>
                <c:pt idx="5">
                  <c:v>1.5176833669379599</c:v>
                </c:pt>
                <c:pt idx="6">
                  <c:v>1.1946897004563299</c:v>
                </c:pt>
                <c:pt idx="7">
                  <c:v>1.22437411255366</c:v>
                </c:pt>
                <c:pt idx="8">
                  <c:v>1.3173639569206099</c:v>
                </c:pt>
                <c:pt idx="9">
                  <c:v>1.50395020453964</c:v>
                </c:pt>
                <c:pt idx="10">
                  <c:v>1.8128627419144201</c:v>
                </c:pt>
                <c:pt idx="11">
                  <c:v>1.9821842485499499</c:v>
                </c:pt>
                <c:pt idx="12">
                  <c:v>2.0008934550434501</c:v>
                </c:pt>
                <c:pt idx="13">
                  <c:v>2.1988809463200001</c:v>
                </c:pt>
                <c:pt idx="14">
                  <c:v>2.6162524980675701</c:v>
                </c:pt>
                <c:pt idx="15">
                  <c:v>2.83932342177259</c:v>
                </c:pt>
                <c:pt idx="16">
                  <c:v>3.57407297004674</c:v>
                </c:pt>
                <c:pt idx="17">
                  <c:v>4.9525464739651097</c:v>
                </c:pt>
                <c:pt idx="18">
                  <c:v>5.8449875550036303</c:v>
                </c:pt>
                <c:pt idx="19">
                  <c:v>6.9032821272948004</c:v>
                </c:pt>
                <c:pt idx="20">
                  <c:v>6.9698761596488099</c:v>
                </c:pt>
                <c:pt idx="21">
                  <c:v>7.16429129590108</c:v>
                </c:pt>
                <c:pt idx="22">
                  <c:v>8.0136428715270096</c:v>
                </c:pt>
                <c:pt idx="23">
                  <c:v>10.024436704536701</c:v>
                </c:pt>
                <c:pt idx="24">
                  <c:v>11.2780146348603</c:v>
                </c:pt>
                <c:pt idx="25">
                  <c:v>15.0723191015982</c:v>
                </c:pt>
                <c:pt idx="26">
                  <c:v>17.518676942132199</c:v>
                </c:pt>
                <c:pt idx="27">
                  <c:v>20.830436445535099</c:v>
                </c:pt>
                <c:pt idx="28">
                  <c:v>26.2231949323753</c:v>
                </c:pt>
                <c:pt idx="29">
                  <c:v>24.637467397025699</c:v>
                </c:pt>
                <c:pt idx="30">
                  <c:v>22.8283113104495</c:v>
                </c:pt>
                <c:pt idx="31">
                  <c:v>23.2051879662944</c:v>
                </c:pt>
                <c:pt idx="32">
                  <c:v>25.0418347015686</c:v>
                </c:pt>
                <c:pt idx="33">
                  <c:v>25.042481130128898</c:v>
                </c:pt>
                <c:pt idx="34">
                  <c:v>26.221578981985299</c:v>
                </c:pt>
                <c:pt idx="35">
                  <c:v>23.261525631932201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759360"/>
        <c:axId val="394592640"/>
      </c:lineChart>
      <c:dateAx>
        <c:axId val="3937593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4592640"/>
        <c:crosses val="autoZero"/>
        <c:auto val="1"/>
        <c:lblOffset val="100"/>
        <c:baseTimeUnit val="months"/>
      </c:dateAx>
      <c:valAx>
        <c:axId val="394592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3759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 3.5 12 '!$C$1</c:f>
              <c:strCache>
                <c:ptCount val="1"/>
                <c:pt idx="0">
                  <c:v>Conv Act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'Conv 3.5 12 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3.5 12 '!$C$2:$C$49</c:f>
              <c:numCache>
                <c:formatCode>General</c:formatCode>
                <c:ptCount val="48"/>
                <c:pt idx="0">
                  <c:v>3.3899120025493402E-4</c:v>
                </c:pt>
                <c:pt idx="1">
                  <c:v>4.0715338464136802E-2</c:v>
                </c:pt>
                <c:pt idx="2">
                  <c:v>0.17821749015886101</c:v>
                </c:pt>
                <c:pt idx="3">
                  <c:v>2.3298694995772999</c:v>
                </c:pt>
                <c:pt idx="4">
                  <c:v>3.22055815527359</c:v>
                </c:pt>
                <c:pt idx="5">
                  <c:v>3.0183819315808802</c:v>
                </c:pt>
                <c:pt idx="6">
                  <c:v>3.4160930783824801</c:v>
                </c:pt>
                <c:pt idx="7">
                  <c:v>5.2178291103207499</c:v>
                </c:pt>
                <c:pt idx="8">
                  <c:v>2.69336577397398</c:v>
                </c:pt>
                <c:pt idx="9">
                  <c:v>2.7141185180771799</c:v>
                </c:pt>
                <c:pt idx="10">
                  <c:v>4.6664503189171898</c:v>
                </c:pt>
                <c:pt idx="11">
                  <c:v>3.65539006314313</c:v>
                </c:pt>
                <c:pt idx="12">
                  <c:v>3.5218741771973798</c:v>
                </c:pt>
                <c:pt idx="13">
                  <c:v>4.3971394915130597</c:v>
                </c:pt>
                <c:pt idx="14">
                  <c:v>4.46551556485917</c:v>
                </c:pt>
                <c:pt idx="15">
                  <c:v>5.18599693025243</c:v>
                </c:pt>
                <c:pt idx="16">
                  <c:v>7.7185764368173402</c:v>
                </c:pt>
                <c:pt idx="17">
                  <c:v>10.131433949471299</c:v>
                </c:pt>
                <c:pt idx="18">
                  <c:v>7.06494596085202</c:v>
                </c:pt>
                <c:pt idx="19">
                  <c:v>6.9792498884586696</c:v>
                </c:pt>
                <c:pt idx="20">
                  <c:v>4.5283874557230197</c:v>
                </c:pt>
                <c:pt idx="21">
                  <c:v>5.8423314922717502</c:v>
                </c:pt>
                <c:pt idx="22">
                  <c:v>3.61762956828301</c:v>
                </c:pt>
                <c:pt idx="23">
                  <c:v>5.73155690685235</c:v>
                </c:pt>
                <c:pt idx="24">
                  <c:v>2.9087983675579498</c:v>
                </c:pt>
                <c:pt idx="25">
                  <c:v>3.1259869803679599</c:v>
                </c:pt>
                <c:pt idx="26">
                  <c:v>5.6484565215326397</c:v>
                </c:pt>
                <c:pt idx="27">
                  <c:v>5.4380446103488902</c:v>
                </c:pt>
                <c:pt idx="28">
                  <c:v>8.33345008335505</c:v>
                </c:pt>
                <c:pt idx="29">
                  <c:v>9.0622616611190008</c:v>
                </c:pt>
                <c:pt idx="30">
                  <c:v>7.8089863837981897</c:v>
                </c:pt>
                <c:pt idx="31">
                  <c:v>9.1065043512562802</c:v>
                </c:pt>
                <c:pt idx="32">
                  <c:v>6.9228710276632697</c:v>
                </c:pt>
                <c:pt idx="33">
                  <c:v>9.9052148560914208</c:v>
                </c:pt>
                <c:pt idx="34">
                  <c:v>5.2173357872271104</c:v>
                </c:pt>
                <c:pt idx="35">
                  <c:v>7.4221559620292403</c:v>
                </c:pt>
                <c:pt idx="36">
                  <c:v>6.9253204690961603</c:v>
                </c:pt>
                <c:pt idx="37">
                  <c:v>8.7798883018161007</c:v>
                </c:pt>
                <c:pt idx="38">
                  <c:v>12.282544471590301</c:v>
                </c:pt>
                <c:pt idx="39">
                  <c:v>10.534341426052899</c:v>
                </c:pt>
                <c:pt idx="40">
                  <c:v>10.524974227974599</c:v>
                </c:pt>
                <c:pt idx="41">
                  <c:v>14.6916274531175</c:v>
                </c:pt>
                <c:pt idx="42">
                  <c:v>11.900457222695699</c:v>
                </c:pt>
                <c:pt idx="43">
                  <c:v>11.809639458601501</c:v>
                </c:pt>
                <c:pt idx="44">
                  <c:v>11.472088769313499</c:v>
                </c:pt>
                <c:pt idx="45">
                  <c:v>9.9014300051103206</c:v>
                </c:pt>
                <c:pt idx="46">
                  <c:v>7.7025754603598102</c:v>
                </c:pt>
                <c:pt idx="47">
                  <c:v>11.3805573345097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 3.5 12 '!$D$1</c:f>
              <c:strCache>
                <c:ptCount val="1"/>
                <c:pt idx="0">
                  <c:v>Conv Model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'Conv 3.5 12 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3.5 12 '!$D$2:$D$49</c:f>
              <c:numCache>
                <c:formatCode>General</c:formatCode>
                <c:ptCount val="48"/>
                <c:pt idx="0">
                  <c:v>0.54221489259419497</c:v>
                </c:pt>
                <c:pt idx="1">
                  <c:v>1.38565564074999</c:v>
                </c:pt>
                <c:pt idx="2">
                  <c:v>2.54474917686177</c:v>
                </c:pt>
                <c:pt idx="3">
                  <c:v>4.2146841094880498</c:v>
                </c:pt>
                <c:pt idx="4">
                  <c:v>5.9087265737653496</c:v>
                </c:pt>
                <c:pt idx="5">
                  <c:v>8.8150102511646296</c:v>
                </c:pt>
                <c:pt idx="6">
                  <c:v>10.791018756521201</c:v>
                </c:pt>
                <c:pt idx="7">
                  <c:v>12.209940081416599</c:v>
                </c:pt>
                <c:pt idx="8">
                  <c:v>10.297705796279301</c:v>
                </c:pt>
                <c:pt idx="9">
                  <c:v>13.3466167681356</c:v>
                </c:pt>
                <c:pt idx="10">
                  <c:v>15.676483759007199</c:v>
                </c:pt>
                <c:pt idx="11">
                  <c:v>16.1418274607143</c:v>
                </c:pt>
                <c:pt idx="12">
                  <c:v>16.2579378739749</c:v>
                </c:pt>
                <c:pt idx="13">
                  <c:v>16.420370715926801</c:v>
                </c:pt>
                <c:pt idx="14">
                  <c:v>14.5581525802979</c:v>
                </c:pt>
                <c:pt idx="15">
                  <c:v>16.293562717412801</c:v>
                </c:pt>
                <c:pt idx="16">
                  <c:v>23.605603034558001</c:v>
                </c:pt>
                <c:pt idx="17">
                  <c:v>22.393716849100599</c:v>
                </c:pt>
                <c:pt idx="18">
                  <c:v>14.490252471592401</c:v>
                </c:pt>
                <c:pt idx="19">
                  <c:v>12.117012964993201</c:v>
                </c:pt>
                <c:pt idx="20">
                  <c:v>10.329755611754701</c:v>
                </c:pt>
                <c:pt idx="21">
                  <c:v>10.313631380558</c:v>
                </c:pt>
                <c:pt idx="22">
                  <c:v>12.272457593769801</c:v>
                </c:pt>
                <c:pt idx="23">
                  <c:v>12.2482023388506</c:v>
                </c:pt>
                <c:pt idx="24">
                  <c:v>9.2909029842372508</c:v>
                </c:pt>
                <c:pt idx="25">
                  <c:v>9.97317822676718</c:v>
                </c:pt>
                <c:pt idx="26">
                  <c:v>12.804288454186899</c:v>
                </c:pt>
                <c:pt idx="27">
                  <c:v>15.212891744186599</c:v>
                </c:pt>
                <c:pt idx="28">
                  <c:v>17.468929814276201</c:v>
                </c:pt>
                <c:pt idx="29">
                  <c:v>20.326380600925901</c:v>
                </c:pt>
                <c:pt idx="30">
                  <c:v>20.687774379859601</c:v>
                </c:pt>
                <c:pt idx="31">
                  <c:v>21.594027823093001</c:v>
                </c:pt>
                <c:pt idx="32">
                  <c:v>21.539506067088801</c:v>
                </c:pt>
                <c:pt idx="33">
                  <c:v>20.8539858623718</c:v>
                </c:pt>
                <c:pt idx="34">
                  <c:v>23.362654270134399</c:v>
                </c:pt>
                <c:pt idx="35">
                  <c:v>27.1788364064532</c:v>
                </c:pt>
                <c:pt idx="36">
                  <c:v>28.657884705752899</c:v>
                </c:pt>
                <c:pt idx="37">
                  <c:v>33.924499584986798</c:v>
                </c:pt>
                <c:pt idx="38">
                  <c:v>34.759760083069501</c:v>
                </c:pt>
                <c:pt idx="39">
                  <c:v>34.377847771672698</c:v>
                </c:pt>
                <c:pt idx="40">
                  <c:v>37.294598935862197</c:v>
                </c:pt>
                <c:pt idx="41">
                  <c:v>33.0407611443948</c:v>
                </c:pt>
                <c:pt idx="42">
                  <c:v>29.7636752056586</c:v>
                </c:pt>
                <c:pt idx="43">
                  <c:v>28.185515431122901</c:v>
                </c:pt>
                <c:pt idx="44">
                  <c:v>31.160622293288501</c:v>
                </c:pt>
                <c:pt idx="45">
                  <c:v>30.736408980241499</c:v>
                </c:pt>
                <c:pt idx="46">
                  <c:v>31.5607222963997</c:v>
                </c:pt>
                <c:pt idx="47">
                  <c:v>27.884135946644701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 3.5 12 '!$E$1</c:f>
              <c:strCache>
                <c:ptCount val="1"/>
                <c:pt idx="0">
                  <c:v>CQ Act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'Conv 3.5 12 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3.5 12 '!$E$2:$E$49</c:f>
              <c:numCache>
                <c:formatCode>General</c:formatCode>
                <c:ptCount val="48"/>
                <c:pt idx="0">
                  <c:v>0.13311837705238799</c:v>
                </c:pt>
                <c:pt idx="1">
                  <c:v>0.54729849315739998</c:v>
                </c:pt>
                <c:pt idx="2">
                  <c:v>0.33825682333601398</c:v>
                </c:pt>
                <c:pt idx="3">
                  <c:v>0.78772790599405096</c:v>
                </c:pt>
                <c:pt idx="4">
                  <c:v>1.2948442357188099</c:v>
                </c:pt>
                <c:pt idx="5">
                  <c:v>1.41842721177453</c:v>
                </c:pt>
                <c:pt idx="6">
                  <c:v>0.58652886375567503</c:v>
                </c:pt>
                <c:pt idx="7">
                  <c:v>1.06980451742803</c:v>
                </c:pt>
                <c:pt idx="8">
                  <c:v>1.0675935184327401</c:v>
                </c:pt>
                <c:pt idx="9">
                  <c:v>1.3423221370849601</c:v>
                </c:pt>
                <c:pt idx="10">
                  <c:v>1.1031994253394499</c:v>
                </c:pt>
                <c:pt idx="11">
                  <c:v>1.35857240419748</c:v>
                </c:pt>
                <c:pt idx="12">
                  <c:v>1.4466949656239001</c:v>
                </c:pt>
                <c:pt idx="13">
                  <c:v>1.3656706730686801</c:v>
                </c:pt>
                <c:pt idx="14">
                  <c:v>2.2748843429445502</c:v>
                </c:pt>
                <c:pt idx="15">
                  <c:v>3.3496616471722098</c:v>
                </c:pt>
                <c:pt idx="16">
                  <c:v>4.2790616466754896</c:v>
                </c:pt>
                <c:pt idx="17">
                  <c:v>4.3984499911280297</c:v>
                </c:pt>
                <c:pt idx="18">
                  <c:v>5.7545837663813302</c:v>
                </c:pt>
                <c:pt idx="19">
                  <c:v>3.93870260082732</c:v>
                </c:pt>
                <c:pt idx="20">
                  <c:v>4.1332623613683204</c:v>
                </c:pt>
                <c:pt idx="21">
                  <c:v>4.1553160267561102</c:v>
                </c:pt>
                <c:pt idx="22">
                  <c:v>3.8641205400352199</c:v>
                </c:pt>
                <c:pt idx="23">
                  <c:v>4.45358156580689</c:v>
                </c:pt>
                <c:pt idx="24">
                  <c:v>3.4997990854065999</c:v>
                </c:pt>
                <c:pt idx="25">
                  <c:v>4.0902696323400898</c:v>
                </c:pt>
                <c:pt idx="26">
                  <c:v>5.27324323405323</c:v>
                </c:pt>
                <c:pt idx="27">
                  <c:v>5.5666589266716002</c:v>
                </c:pt>
                <c:pt idx="28">
                  <c:v>6.4817268078958001</c:v>
                </c:pt>
                <c:pt idx="29">
                  <c:v>6.8912317100115601</c:v>
                </c:pt>
                <c:pt idx="30">
                  <c:v>8.1821234681233808</c:v>
                </c:pt>
                <c:pt idx="31">
                  <c:v>7.3251746696421298</c:v>
                </c:pt>
                <c:pt idx="32">
                  <c:v>5.8497140689206599</c:v>
                </c:pt>
                <c:pt idx="33">
                  <c:v>7.5166707320653803</c:v>
                </c:pt>
                <c:pt idx="34">
                  <c:v>6.1483109067524504</c:v>
                </c:pt>
                <c:pt idx="35">
                  <c:v>6.69755459870363</c:v>
                </c:pt>
                <c:pt idx="36">
                  <c:v>4.3234793926000803</c:v>
                </c:pt>
                <c:pt idx="37">
                  <c:v>7.4188254022990998</c:v>
                </c:pt>
                <c:pt idx="38">
                  <c:v>9.2793438789049105</c:v>
                </c:pt>
                <c:pt idx="39">
                  <c:v>10.3371536094182</c:v>
                </c:pt>
                <c:pt idx="40">
                  <c:v>9.8347237086167798</c:v>
                </c:pt>
                <c:pt idx="41">
                  <c:v>11.3211637995181</c:v>
                </c:pt>
                <c:pt idx="42">
                  <c:v>11.184780948608999</c:v>
                </c:pt>
                <c:pt idx="43">
                  <c:v>9.4689376650899906</c:v>
                </c:pt>
                <c:pt idx="44">
                  <c:v>11.337494148533199</c:v>
                </c:pt>
                <c:pt idx="45">
                  <c:v>9.2770014758118098</c:v>
                </c:pt>
                <c:pt idx="46">
                  <c:v>8.2135104279118796</c:v>
                </c:pt>
                <c:pt idx="47">
                  <c:v>9.11931377444383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'Conv 3.5 12 '!$F$1</c:f>
              <c:strCache>
                <c:ptCount val="1"/>
                <c:pt idx="0">
                  <c:v>CQ model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cat>
            <c:numRef>
              <c:f>'Conv 3.5 12 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3.5 12 '!$F$2:$F$49</c:f>
              <c:numCache>
                <c:formatCode>General</c:formatCode>
                <c:ptCount val="48"/>
                <c:pt idx="0">
                  <c:v>0.373263083214459</c:v>
                </c:pt>
                <c:pt idx="1">
                  <c:v>0.53704906713456502</c:v>
                </c:pt>
                <c:pt idx="2">
                  <c:v>0.531495280645922</c:v>
                </c:pt>
                <c:pt idx="3">
                  <c:v>0.497014121997574</c:v>
                </c:pt>
                <c:pt idx="4">
                  <c:v>0.68194846865355896</c:v>
                </c:pt>
                <c:pt idx="5">
                  <c:v>0.92264305145088898</c:v>
                </c:pt>
                <c:pt idx="6">
                  <c:v>1.14951816633205</c:v>
                </c:pt>
                <c:pt idx="7">
                  <c:v>1.23396813072456</c:v>
                </c:pt>
                <c:pt idx="8">
                  <c:v>1.1914870045592001</c:v>
                </c:pt>
                <c:pt idx="9">
                  <c:v>1.4024738463069599</c:v>
                </c:pt>
                <c:pt idx="10">
                  <c:v>1.58302129074646</c:v>
                </c:pt>
                <c:pt idx="11">
                  <c:v>1.6836865744192999</c:v>
                </c:pt>
                <c:pt idx="12">
                  <c:v>1.77880510023812</c:v>
                </c:pt>
                <c:pt idx="13">
                  <c:v>1.9915727285264599</c:v>
                </c:pt>
                <c:pt idx="14">
                  <c:v>2.19803254737888</c:v>
                </c:pt>
                <c:pt idx="15">
                  <c:v>2.5947097788212599</c:v>
                </c:pt>
                <c:pt idx="16">
                  <c:v>4.0459463862056797</c:v>
                </c:pt>
                <c:pt idx="17">
                  <c:v>4.4773016715364902</c:v>
                </c:pt>
                <c:pt idx="18">
                  <c:v>3.5361988183428101</c:v>
                </c:pt>
                <c:pt idx="19">
                  <c:v>3.4200041763276601</c:v>
                </c:pt>
                <c:pt idx="20">
                  <c:v>3.1297848493627898</c:v>
                </c:pt>
                <c:pt idx="21">
                  <c:v>3.4447710916027399</c:v>
                </c:pt>
                <c:pt idx="22">
                  <c:v>4.1934838329662298</c:v>
                </c:pt>
                <c:pt idx="23">
                  <c:v>4.3263193708624401</c:v>
                </c:pt>
                <c:pt idx="24">
                  <c:v>3.8378028191054399</c:v>
                </c:pt>
                <c:pt idx="25">
                  <c:v>4.22598904378874</c:v>
                </c:pt>
                <c:pt idx="26">
                  <c:v>6.34208900047157</c:v>
                </c:pt>
                <c:pt idx="27">
                  <c:v>9.3203649056777707</c:v>
                </c:pt>
                <c:pt idx="28">
                  <c:v>12.517299745292799</c:v>
                </c:pt>
                <c:pt idx="29">
                  <c:v>16.4343921825667</c:v>
                </c:pt>
                <c:pt idx="30">
                  <c:v>17.196688982112601</c:v>
                </c:pt>
                <c:pt idx="31">
                  <c:v>18.783840430915099</c:v>
                </c:pt>
                <c:pt idx="32">
                  <c:v>18.206570044698999</c:v>
                </c:pt>
                <c:pt idx="33">
                  <c:v>17.7993232446475</c:v>
                </c:pt>
                <c:pt idx="34">
                  <c:v>20.357324870127002</c:v>
                </c:pt>
                <c:pt idx="35">
                  <c:v>26.175521505152901</c:v>
                </c:pt>
                <c:pt idx="36">
                  <c:v>27.885398086076201</c:v>
                </c:pt>
                <c:pt idx="37">
                  <c:v>32.743682034624001</c:v>
                </c:pt>
                <c:pt idx="38">
                  <c:v>34.299777896700299</c:v>
                </c:pt>
                <c:pt idx="39">
                  <c:v>35.275276927718203</c:v>
                </c:pt>
                <c:pt idx="40">
                  <c:v>38.983300882522897</c:v>
                </c:pt>
                <c:pt idx="41">
                  <c:v>35.289776411218497</c:v>
                </c:pt>
                <c:pt idx="42">
                  <c:v>32.2519342591509</c:v>
                </c:pt>
                <c:pt idx="43">
                  <c:v>31.519639553807799</c:v>
                </c:pt>
                <c:pt idx="44">
                  <c:v>33.805217360950898</c:v>
                </c:pt>
                <c:pt idx="45">
                  <c:v>33.220936048582601</c:v>
                </c:pt>
                <c:pt idx="46">
                  <c:v>33.903323321467902</c:v>
                </c:pt>
                <c:pt idx="47">
                  <c:v>30.594085546638699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068480"/>
        <c:axId val="391556480"/>
      </c:lineChart>
      <c:dateAx>
        <c:axId val="3900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1556480"/>
        <c:crosses val="autoZero"/>
        <c:auto val="1"/>
        <c:lblOffset val="100"/>
        <c:baseTimeUnit val="months"/>
      </c:dateAx>
      <c:valAx>
        <c:axId val="391556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0068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 4.0 13'!$C$1</c:f>
              <c:strCache>
                <c:ptCount val="1"/>
                <c:pt idx="0">
                  <c:v>Conv Act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'Conv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4.0 13'!$C$2:$C$37</c:f>
              <c:numCache>
                <c:formatCode>General</c:formatCode>
                <c:ptCount val="36"/>
                <c:pt idx="0">
                  <c:v>6.8953289138584698E-3</c:v>
                </c:pt>
                <c:pt idx="1">
                  <c:v>0.21802221604684299</c:v>
                </c:pt>
                <c:pt idx="2">
                  <c:v>5.5449263940042899</c:v>
                </c:pt>
                <c:pt idx="3">
                  <c:v>3.6276470660019702</c:v>
                </c:pt>
                <c:pt idx="4">
                  <c:v>0.13888102571574201</c:v>
                </c:pt>
                <c:pt idx="5">
                  <c:v>1.2491519328551499</c:v>
                </c:pt>
                <c:pt idx="6">
                  <c:v>2.9022043690334498</c:v>
                </c:pt>
                <c:pt idx="7">
                  <c:v>2.9179014876479799</c:v>
                </c:pt>
                <c:pt idx="8">
                  <c:v>2.7857773978867901</c:v>
                </c:pt>
                <c:pt idx="9">
                  <c:v>3.4591235602834498</c:v>
                </c:pt>
                <c:pt idx="10">
                  <c:v>1.62461142354142</c:v>
                </c:pt>
                <c:pt idx="11">
                  <c:v>2.4569770639325901</c:v>
                </c:pt>
                <c:pt idx="12">
                  <c:v>1.99215606005435</c:v>
                </c:pt>
                <c:pt idx="13">
                  <c:v>2.5851698841665698</c:v>
                </c:pt>
                <c:pt idx="14">
                  <c:v>5.6707349303542802</c:v>
                </c:pt>
                <c:pt idx="15">
                  <c:v>3.9692678732809101</c:v>
                </c:pt>
                <c:pt idx="16">
                  <c:v>6.0224013831981802</c:v>
                </c:pt>
                <c:pt idx="17">
                  <c:v>5.3801179326838398</c:v>
                </c:pt>
                <c:pt idx="18">
                  <c:v>5.4711114761991997</c:v>
                </c:pt>
                <c:pt idx="19">
                  <c:v>6.7254097665898103</c:v>
                </c:pt>
                <c:pt idx="20">
                  <c:v>5.3180380704133796</c:v>
                </c:pt>
                <c:pt idx="21">
                  <c:v>8.4969753978830607</c:v>
                </c:pt>
                <c:pt idx="22">
                  <c:v>7.0376016072676899</c:v>
                </c:pt>
                <c:pt idx="23">
                  <c:v>8.0052679506098503</c:v>
                </c:pt>
                <c:pt idx="24">
                  <c:v>9.2572489296589495</c:v>
                </c:pt>
                <c:pt idx="25">
                  <c:v>7.4605574984497798</c:v>
                </c:pt>
                <c:pt idx="26">
                  <c:v>10.305370201687699</c:v>
                </c:pt>
                <c:pt idx="27">
                  <c:v>11.630532325331799</c:v>
                </c:pt>
                <c:pt idx="28">
                  <c:v>11.194288604478301</c:v>
                </c:pt>
                <c:pt idx="29">
                  <c:v>12.094187247075601</c:v>
                </c:pt>
                <c:pt idx="30">
                  <c:v>11.6461087456751</c:v>
                </c:pt>
                <c:pt idx="31">
                  <c:v>9.4162644878003405</c:v>
                </c:pt>
                <c:pt idx="32">
                  <c:v>13.5272630410789</c:v>
                </c:pt>
                <c:pt idx="33">
                  <c:v>11.3931091494344</c:v>
                </c:pt>
                <c:pt idx="34">
                  <c:v>10.469594789266701</c:v>
                </c:pt>
                <c:pt idx="35">
                  <c:v>7.8536312077284602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 4.0 13'!$D$1</c:f>
              <c:strCache>
                <c:ptCount val="1"/>
                <c:pt idx="0">
                  <c:v>Conv Model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'Conv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4.0 13'!$D$2:$D$37</c:f>
              <c:numCache>
                <c:formatCode>General</c:formatCode>
                <c:ptCount val="36"/>
                <c:pt idx="0">
                  <c:v>17.495708728259899</c:v>
                </c:pt>
                <c:pt idx="1">
                  <c:v>9.6935200946916407</c:v>
                </c:pt>
                <c:pt idx="2">
                  <c:v>8.0535038396945193</c:v>
                </c:pt>
                <c:pt idx="3">
                  <c:v>6.7423979849863498</c:v>
                </c:pt>
                <c:pt idx="4">
                  <c:v>11.652340064326101</c:v>
                </c:pt>
                <c:pt idx="5">
                  <c:v>13.310434193434</c:v>
                </c:pt>
                <c:pt idx="6">
                  <c:v>7.7859066051416903</c:v>
                </c:pt>
                <c:pt idx="7">
                  <c:v>6.0325514503197004</c:v>
                </c:pt>
                <c:pt idx="8">
                  <c:v>4.6443022200859696</c:v>
                </c:pt>
                <c:pt idx="9">
                  <c:v>4.6077476251073302</c:v>
                </c:pt>
                <c:pt idx="10">
                  <c:v>6.0944795495844497</c:v>
                </c:pt>
                <c:pt idx="11">
                  <c:v>6.1324219818063801</c:v>
                </c:pt>
                <c:pt idx="12">
                  <c:v>4.9400089701921601</c:v>
                </c:pt>
                <c:pt idx="13">
                  <c:v>5.6273150842893598</c:v>
                </c:pt>
                <c:pt idx="14">
                  <c:v>7.8983481899475896</c:v>
                </c:pt>
                <c:pt idx="15">
                  <c:v>9.79370876459196</c:v>
                </c:pt>
                <c:pt idx="16">
                  <c:v>11.9500409183006</c:v>
                </c:pt>
                <c:pt idx="17">
                  <c:v>15.3719232120885</c:v>
                </c:pt>
                <c:pt idx="18">
                  <c:v>16.3384797626215</c:v>
                </c:pt>
                <c:pt idx="19">
                  <c:v>17.646232216371398</c:v>
                </c:pt>
                <c:pt idx="20">
                  <c:v>17.402761577724899</c:v>
                </c:pt>
                <c:pt idx="21">
                  <c:v>17.205566883463401</c:v>
                </c:pt>
                <c:pt idx="22">
                  <c:v>19.795245058425799</c:v>
                </c:pt>
                <c:pt idx="23">
                  <c:v>25.572470146783399</c:v>
                </c:pt>
                <c:pt idx="24">
                  <c:v>27.363843581760701</c:v>
                </c:pt>
                <c:pt idx="25">
                  <c:v>33.229604522870702</c:v>
                </c:pt>
                <c:pt idx="26">
                  <c:v>34.377182763378997</c:v>
                </c:pt>
                <c:pt idx="27">
                  <c:v>35.350278591647999</c:v>
                </c:pt>
                <c:pt idx="28">
                  <c:v>39.056103199933098</c:v>
                </c:pt>
                <c:pt idx="29">
                  <c:v>35.153543784329102</c:v>
                </c:pt>
                <c:pt idx="30">
                  <c:v>32.551367922186898</c:v>
                </c:pt>
                <c:pt idx="31">
                  <c:v>31.640801388772601</c:v>
                </c:pt>
                <c:pt idx="32">
                  <c:v>33.785829964144703</c:v>
                </c:pt>
                <c:pt idx="33">
                  <c:v>33.268933749496298</c:v>
                </c:pt>
                <c:pt idx="34">
                  <c:v>34.1584828161606</c:v>
                </c:pt>
                <c:pt idx="35">
                  <c:v>30.672399758432501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 4.0 13'!$E$1</c:f>
              <c:strCache>
                <c:ptCount val="1"/>
                <c:pt idx="0">
                  <c:v>CQ Act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'Conv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4.0 13'!$E$2:$E$37</c:f>
              <c:numCache>
                <c:formatCode>General</c:formatCode>
                <c:ptCount val="36"/>
                <c:pt idx="0">
                  <c:v>0.175713761323326</c:v>
                </c:pt>
                <c:pt idx="1">
                  <c:v>1.4076125545573901</c:v>
                </c:pt>
                <c:pt idx="2">
                  <c:v>0.53866158869957403</c:v>
                </c:pt>
                <c:pt idx="3">
                  <c:v>1.3040200021236601</c:v>
                </c:pt>
                <c:pt idx="4">
                  <c:v>1.5086563747561099</c:v>
                </c:pt>
                <c:pt idx="5">
                  <c:v>2.1320347136088502</c:v>
                </c:pt>
                <c:pt idx="6">
                  <c:v>1.41269049886298</c:v>
                </c:pt>
                <c:pt idx="7">
                  <c:v>2.0477129698812502</c:v>
                </c:pt>
                <c:pt idx="8">
                  <c:v>1.65974117522664</c:v>
                </c:pt>
                <c:pt idx="9">
                  <c:v>1.69430246666377</c:v>
                </c:pt>
                <c:pt idx="10">
                  <c:v>2.0164125801628701</c:v>
                </c:pt>
                <c:pt idx="11">
                  <c:v>2.8231379577377398</c:v>
                </c:pt>
                <c:pt idx="12">
                  <c:v>2.5745762925061402</c:v>
                </c:pt>
                <c:pt idx="13">
                  <c:v>2.7788697047950301</c:v>
                </c:pt>
                <c:pt idx="14">
                  <c:v>2.8632699861647799</c:v>
                </c:pt>
                <c:pt idx="15">
                  <c:v>3.7319759732134501</c:v>
                </c:pt>
                <c:pt idx="16">
                  <c:v>4.0770416632663098</c:v>
                </c:pt>
                <c:pt idx="17">
                  <c:v>3.80131706157306</c:v>
                </c:pt>
                <c:pt idx="18">
                  <c:v>4.7985799521396801</c:v>
                </c:pt>
                <c:pt idx="19">
                  <c:v>5.3028714396974204</c:v>
                </c:pt>
                <c:pt idx="20">
                  <c:v>4.7853513794234699</c:v>
                </c:pt>
                <c:pt idx="21">
                  <c:v>6.2622696888914096</c:v>
                </c:pt>
                <c:pt idx="22">
                  <c:v>4.68878404674685</c:v>
                </c:pt>
                <c:pt idx="23">
                  <c:v>5.4054088355828398</c:v>
                </c:pt>
                <c:pt idx="24">
                  <c:v>4.2527869743063302</c:v>
                </c:pt>
                <c:pt idx="25">
                  <c:v>5.9995883368899703</c:v>
                </c:pt>
                <c:pt idx="26">
                  <c:v>7.7433577860941503</c:v>
                </c:pt>
                <c:pt idx="27">
                  <c:v>8.1890206957123599</c:v>
                </c:pt>
                <c:pt idx="28">
                  <c:v>7.0850204039629396</c:v>
                </c:pt>
                <c:pt idx="29">
                  <c:v>10.2431171149502</c:v>
                </c:pt>
                <c:pt idx="30">
                  <c:v>8.2418808611601708</c:v>
                </c:pt>
                <c:pt idx="31">
                  <c:v>9.6253119190808807</c:v>
                </c:pt>
                <c:pt idx="32">
                  <c:v>8.0498299614579008</c:v>
                </c:pt>
                <c:pt idx="33">
                  <c:v>8.4787487228178708</c:v>
                </c:pt>
                <c:pt idx="34">
                  <c:v>6.1517215668283303</c:v>
                </c:pt>
                <c:pt idx="35">
                  <c:v>8.0462497584834995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'Conv 4.0 13'!$F$1</c:f>
              <c:strCache>
                <c:ptCount val="1"/>
                <c:pt idx="0">
                  <c:v>CQ model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cat>
            <c:numRef>
              <c:f>'Conv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4.0 13'!$F$2:$F$37</c:f>
              <c:numCache>
                <c:formatCode>General</c:formatCode>
                <c:ptCount val="36"/>
                <c:pt idx="0">
                  <c:v>0.64200687726686501</c:v>
                </c:pt>
                <c:pt idx="1">
                  <c:v>0.73733747177738795</c:v>
                </c:pt>
                <c:pt idx="2">
                  <c:v>1.2470513303453501</c:v>
                </c:pt>
                <c:pt idx="3">
                  <c:v>1.2518293465070101</c:v>
                </c:pt>
                <c:pt idx="4">
                  <c:v>1.52205980744838</c:v>
                </c:pt>
                <c:pt idx="5">
                  <c:v>1.67058384275824</c:v>
                </c:pt>
                <c:pt idx="6">
                  <c:v>1.3348314759519699</c:v>
                </c:pt>
                <c:pt idx="7">
                  <c:v>1.4490923812052201</c:v>
                </c:pt>
                <c:pt idx="8">
                  <c:v>1.3862923582272999</c:v>
                </c:pt>
                <c:pt idx="9">
                  <c:v>1.4978004481843701</c:v>
                </c:pt>
                <c:pt idx="10">
                  <c:v>1.85841224258528</c:v>
                </c:pt>
                <c:pt idx="11">
                  <c:v>2.0320932644390099</c:v>
                </c:pt>
                <c:pt idx="12">
                  <c:v>1.9956772394520801</c:v>
                </c:pt>
                <c:pt idx="13">
                  <c:v>2.2407143510201699</c:v>
                </c:pt>
                <c:pt idx="14">
                  <c:v>2.8729938366198202</c:v>
                </c:pt>
                <c:pt idx="15">
                  <c:v>3.1264536950577502</c:v>
                </c:pt>
                <c:pt idx="16">
                  <c:v>3.6659837083518898</c:v>
                </c:pt>
                <c:pt idx="17">
                  <c:v>4.7336771096664902</c:v>
                </c:pt>
                <c:pt idx="18">
                  <c:v>5.30461675252646</c:v>
                </c:pt>
                <c:pt idx="19">
                  <c:v>6.1353882537736704</c:v>
                </c:pt>
                <c:pt idx="20">
                  <c:v>6.1947212954730499</c:v>
                </c:pt>
                <c:pt idx="21">
                  <c:v>6.2978752377116098</c:v>
                </c:pt>
                <c:pt idx="22">
                  <c:v>7.1210887843699204</c:v>
                </c:pt>
                <c:pt idx="23">
                  <c:v>8.3791474787495801</c:v>
                </c:pt>
                <c:pt idx="24">
                  <c:v>9.0549516055823194</c:v>
                </c:pt>
                <c:pt idx="25">
                  <c:v>11.6051495175612</c:v>
                </c:pt>
                <c:pt idx="26">
                  <c:v>14.213496281669901</c:v>
                </c:pt>
                <c:pt idx="27">
                  <c:v>16.5395852746672</c:v>
                </c:pt>
                <c:pt idx="28">
                  <c:v>20.7420271458586</c:v>
                </c:pt>
                <c:pt idx="29">
                  <c:v>19.828354951830299</c:v>
                </c:pt>
                <c:pt idx="30">
                  <c:v>18.8675908014899</c:v>
                </c:pt>
                <c:pt idx="31">
                  <c:v>20.161734617424099</c:v>
                </c:pt>
                <c:pt idx="32">
                  <c:v>21.579427648150499</c:v>
                </c:pt>
                <c:pt idx="33">
                  <c:v>21.599301980236199</c:v>
                </c:pt>
                <c:pt idx="34">
                  <c:v>22.451902842815201</c:v>
                </c:pt>
                <c:pt idx="35">
                  <c:v>20.403947839167301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725312"/>
        <c:axId val="458031104"/>
      </c:lineChart>
      <c:dateAx>
        <c:axId val="401725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58031104"/>
        <c:crosses val="autoZero"/>
        <c:auto val="1"/>
        <c:lblOffset val="100"/>
        <c:baseTimeUnit val="months"/>
      </c:dateAx>
      <c:valAx>
        <c:axId val="4580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1725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 4.0 12'!$C$1</c:f>
              <c:strCache>
                <c:ptCount val="1"/>
                <c:pt idx="0">
                  <c:v>Conv Act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'Conv 4.0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4.0 12'!$C$2:$C$49</c:f>
              <c:numCache>
                <c:formatCode>General</c:formatCode>
                <c:ptCount val="48"/>
                <c:pt idx="0">
                  <c:v>0.249481081694891</c:v>
                </c:pt>
                <c:pt idx="1">
                  <c:v>0.43304933369572302</c:v>
                </c:pt>
                <c:pt idx="2">
                  <c:v>2.1512571790934101</c:v>
                </c:pt>
                <c:pt idx="3">
                  <c:v>0.22851437365117899</c:v>
                </c:pt>
                <c:pt idx="4">
                  <c:v>1.75486353521155</c:v>
                </c:pt>
                <c:pt idx="5">
                  <c:v>2.0532481326192702</c:v>
                </c:pt>
                <c:pt idx="6">
                  <c:v>4.4879625139470702</c:v>
                </c:pt>
                <c:pt idx="7">
                  <c:v>6.5378071579715602</c:v>
                </c:pt>
                <c:pt idx="8">
                  <c:v>3.85857951274554</c:v>
                </c:pt>
                <c:pt idx="9">
                  <c:v>5.5250530049798803</c:v>
                </c:pt>
                <c:pt idx="10">
                  <c:v>5.4644231635070497</c:v>
                </c:pt>
                <c:pt idx="11">
                  <c:v>5.4604343627018803</c:v>
                </c:pt>
                <c:pt idx="12">
                  <c:v>9.0146654402873008</c:v>
                </c:pt>
                <c:pt idx="13">
                  <c:v>7.6568966437345898</c:v>
                </c:pt>
                <c:pt idx="14">
                  <c:v>7.5361068121126999</c:v>
                </c:pt>
                <c:pt idx="15">
                  <c:v>9.0860634791119406</c:v>
                </c:pt>
                <c:pt idx="16">
                  <c:v>11.651926536561099</c:v>
                </c:pt>
                <c:pt idx="17">
                  <c:v>10.2526808052882</c:v>
                </c:pt>
                <c:pt idx="18">
                  <c:v>8.3605542405336806</c:v>
                </c:pt>
                <c:pt idx="19">
                  <c:v>10.157086621652899</c:v>
                </c:pt>
                <c:pt idx="20">
                  <c:v>6.8697641358597297</c:v>
                </c:pt>
                <c:pt idx="21">
                  <c:v>6.9839822110816003</c:v>
                </c:pt>
                <c:pt idx="22">
                  <c:v>6.1290614988343401</c:v>
                </c:pt>
                <c:pt idx="23">
                  <c:v>6.52938363754597</c:v>
                </c:pt>
                <c:pt idx="24">
                  <c:v>5.82664046527188</c:v>
                </c:pt>
                <c:pt idx="25">
                  <c:v>6.2522302997430597</c:v>
                </c:pt>
                <c:pt idx="26">
                  <c:v>6.7728875949660603</c:v>
                </c:pt>
                <c:pt idx="27">
                  <c:v>7.6916876242326397</c:v>
                </c:pt>
                <c:pt idx="28">
                  <c:v>9.1428201368401396</c:v>
                </c:pt>
                <c:pt idx="29">
                  <c:v>10.8908199855322</c:v>
                </c:pt>
                <c:pt idx="30">
                  <c:v>12.2537504034871</c:v>
                </c:pt>
                <c:pt idx="31">
                  <c:v>10.4456577884705</c:v>
                </c:pt>
                <c:pt idx="32">
                  <c:v>9.5949884053298096</c:v>
                </c:pt>
                <c:pt idx="33">
                  <c:v>11.622118969703701</c:v>
                </c:pt>
                <c:pt idx="34">
                  <c:v>8.2506849970966698</c:v>
                </c:pt>
                <c:pt idx="35">
                  <c:v>11.022473380453601</c:v>
                </c:pt>
                <c:pt idx="36">
                  <c:v>9.6539224543857802</c:v>
                </c:pt>
                <c:pt idx="37">
                  <c:v>13.771631597098599</c:v>
                </c:pt>
                <c:pt idx="38">
                  <c:v>18.895419448138199</c:v>
                </c:pt>
                <c:pt idx="39">
                  <c:v>16.265721500238499</c:v>
                </c:pt>
                <c:pt idx="40">
                  <c:v>16.0983300204398</c:v>
                </c:pt>
                <c:pt idx="41">
                  <c:v>17.078315540363601</c:v>
                </c:pt>
                <c:pt idx="42">
                  <c:v>17.6941253478123</c:v>
                </c:pt>
                <c:pt idx="43">
                  <c:v>15.48750141927</c:v>
                </c:pt>
                <c:pt idx="44">
                  <c:v>11.899059476775401</c:v>
                </c:pt>
                <c:pt idx="45">
                  <c:v>13.777965837757</c:v>
                </c:pt>
                <c:pt idx="46">
                  <c:v>11.905573185414701</c:v>
                </c:pt>
                <c:pt idx="47">
                  <c:v>12.2028626718123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 4.0 12'!$D$1</c:f>
              <c:strCache>
                <c:ptCount val="1"/>
                <c:pt idx="0">
                  <c:v>Conv Model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'Conv 4.0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4.0 12'!$D$2:$D$49</c:f>
              <c:numCache>
                <c:formatCode>General</c:formatCode>
                <c:ptCount val="48"/>
                <c:pt idx="0">
                  <c:v>3.0107373802374799</c:v>
                </c:pt>
                <c:pt idx="1">
                  <c:v>4.0996949490361496</c:v>
                </c:pt>
                <c:pt idx="2">
                  <c:v>8.0439055893621507</c:v>
                </c:pt>
                <c:pt idx="3">
                  <c:v>8.8913316715925603</c:v>
                </c:pt>
                <c:pt idx="4">
                  <c:v>11.2742505103542</c:v>
                </c:pt>
                <c:pt idx="5">
                  <c:v>16.981202895599399</c:v>
                </c:pt>
                <c:pt idx="6">
                  <c:v>18.7559254196251</c:v>
                </c:pt>
                <c:pt idx="7">
                  <c:v>21.678474292339398</c:v>
                </c:pt>
                <c:pt idx="8">
                  <c:v>20.3595398259598</c:v>
                </c:pt>
                <c:pt idx="9">
                  <c:v>23.586374687843801</c:v>
                </c:pt>
                <c:pt idx="10">
                  <c:v>27.555346579001501</c:v>
                </c:pt>
                <c:pt idx="11">
                  <c:v>28.509666714498099</c:v>
                </c:pt>
                <c:pt idx="12">
                  <c:v>28.192952397631</c:v>
                </c:pt>
                <c:pt idx="13">
                  <c:v>27.100709695614299</c:v>
                </c:pt>
                <c:pt idx="14">
                  <c:v>24.1383979940416</c:v>
                </c:pt>
                <c:pt idx="15">
                  <c:v>25.746002503428201</c:v>
                </c:pt>
                <c:pt idx="16">
                  <c:v>32.663978023683399</c:v>
                </c:pt>
                <c:pt idx="17">
                  <c:v>30.130358191109899</c:v>
                </c:pt>
                <c:pt idx="18">
                  <c:v>21.3942159007957</c:v>
                </c:pt>
                <c:pt idx="19">
                  <c:v>18.280235768497</c:v>
                </c:pt>
                <c:pt idx="20">
                  <c:v>15.761921124133</c:v>
                </c:pt>
                <c:pt idx="21">
                  <c:v>15.7619172014769</c:v>
                </c:pt>
                <c:pt idx="22">
                  <c:v>18.588363251953499</c:v>
                </c:pt>
                <c:pt idx="23">
                  <c:v>18.475869899395601</c:v>
                </c:pt>
                <c:pt idx="24">
                  <c:v>14.577426271969101</c:v>
                </c:pt>
                <c:pt idx="25">
                  <c:v>15.6356032582738</c:v>
                </c:pt>
                <c:pt idx="26">
                  <c:v>19.492835118272499</c:v>
                </c:pt>
                <c:pt idx="27">
                  <c:v>21.659380951583501</c:v>
                </c:pt>
                <c:pt idx="28">
                  <c:v>24.374125139613799</c:v>
                </c:pt>
                <c:pt idx="29">
                  <c:v>27.784669397589699</c:v>
                </c:pt>
                <c:pt idx="30">
                  <c:v>28.078602105175101</c:v>
                </c:pt>
                <c:pt idx="31">
                  <c:v>29.1772731393126</c:v>
                </c:pt>
                <c:pt idx="32">
                  <c:v>29.400832655052501</c:v>
                </c:pt>
                <c:pt idx="33">
                  <c:v>28.401988274416201</c:v>
                </c:pt>
                <c:pt idx="34">
                  <c:v>31.056211439893701</c:v>
                </c:pt>
                <c:pt idx="35">
                  <c:v>34.528360186535402</c:v>
                </c:pt>
                <c:pt idx="36">
                  <c:v>35.445627929833499</c:v>
                </c:pt>
                <c:pt idx="37">
                  <c:v>40.081402551832397</c:v>
                </c:pt>
                <c:pt idx="38">
                  <c:v>40.548602565562902</c:v>
                </c:pt>
                <c:pt idx="39">
                  <c:v>40.194874877159798</c:v>
                </c:pt>
                <c:pt idx="40">
                  <c:v>42.910805068497297</c:v>
                </c:pt>
                <c:pt idx="41">
                  <c:v>39.125433963149199</c:v>
                </c:pt>
                <c:pt idx="42">
                  <c:v>36.3776824057177</c:v>
                </c:pt>
                <c:pt idx="43">
                  <c:v>34.676786281530802</c:v>
                </c:pt>
                <c:pt idx="44">
                  <c:v>36.856169927006903</c:v>
                </c:pt>
                <c:pt idx="45">
                  <c:v>36.082077663307501</c:v>
                </c:pt>
                <c:pt idx="46">
                  <c:v>36.362301939424498</c:v>
                </c:pt>
                <c:pt idx="47">
                  <c:v>33.2040862333983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 4.0 12'!$E$1</c:f>
              <c:strCache>
                <c:ptCount val="1"/>
                <c:pt idx="0">
                  <c:v>CQ Act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'Conv 4.0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4.0 12'!$E$2:$E$49</c:f>
              <c:numCache>
                <c:formatCode>General</c:formatCode>
                <c:ptCount val="48"/>
                <c:pt idx="0">
                  <c:v>0.12540459520398201</c:v>
                </c:pt>
                <c:pt idx="1">
                  <c:v>0.31423326613383401</c:v>
                </c:pt>
                <c:pt idx="2">
                  <c:v>1.1951987384510101</c:v>
                </c:pt>
                <c:pt idx="3">
                  <c:v>0.39291227150214397</c:v>
                </c:pt>
                <c:pt idx="4">
                  <c:v>0.53899236838785802</c:v>
                </c:pt>
                <c:pt idx="5">
                  <c:v>1.4569256192883699</c:v>
                </c:pt>
                <c:pt idx="6">
                  <c:v>1.7580832627662699</c:v>
                </c:pt>
                <c:pt idx="7">
                  <c:v>1.2960484917414301</c:v>
                </c:pt>
                <c:pt idx="8">
                  <c:v>2.00171456935783</c:v>
                </c:pt>
                <c:pt idx="9">
                  <c:v>2.1382843976134902</c:v>
                </c:pt>
                <c:pt idx="10">
                  <c:v>2.2255092631320501</c:v>
                </c:pt>
                <c:pt idx="11">
                  <c:v>2.4386549753815698</c:v>
                </c:pt>
                <c:pt idx="12">
                  <c:v>2.6262662800135801</c:v>
                </c:pt>
                <c:pt idx="13">
                  <c:v>1.94960175051674</c:v>
                </c:pt>
                <c:pt idx="14">
                  <c:v>3.8727081574342601</c:v>
                </c:pt>
                <c:pt idx="15">
                  <c:v>5.3998692764919003</c:v>
                </c:pt>
                <c:pt idx="16">
                  <c:v>6.0442301158851004</c:v>
                </c:pt>
                <c:pt idx="17">
                  <c:v>6.7670445457719399</c:v>
                </c:pt>
                <c:pt idx="18">
                  <c:v>6.7586678773875999</c:v>
                </c:pt>
                <c:pt idx="19">
                  <c:v>6.6347115007403801</c:v>
                </c:pt>
                <c:pt idx="20">
                  <c:v>5.3873755103521903</c:v>
                </c:pt>
                <c:pt idx="21">
                  <c:v>4.9047370499185403</c:v>
                </c:pt>
                <c:pt idx="22">
                  <c:v>5.20779336098646</c:v>
                </c:pt>
                <c:pt idx="23">
                  <c:v>6.79406329282385</c:v>
                </c:pt>
                <c:pt idx="24">
                  <c:v>4.2945316412783798</c:v>
                </c:pt>
                <c:pt idx="25">
                  <c:v>4.5393599946464702</c:v>
                </c:pt>
                <c:pt idx="26">
                  <c:v>5.6932789559095296</c:v>
                </c:pt>
                <c:pt idx="27">
                  <c:v>6.5874330088369399</c:v>
                </c:pt>
                <c:pt idx="28">
                  <c:v>8.0029608411080009</c:v>
                </c:pt>
                <c:pt idx="29">
                  <c:v>8.2669902242722593</c:v>
                </c:pt>
                <c:pt idx="30">
                  <c:v>9.4285903132018003</c:v>
                </c:pt>
                <c:pt idx="31">
                  <c:v>8.4587131404471094</c:v>
                </c:pt>
                <c:pt idx="32">
                  <c:v>8.3735987803018599</c:v>
                </c:pt>
                <c:pt idx="33">
                  <c:v>7.8046404615444098</c:v>
                </c:pt>
                <c:pt idx="34">
                  <c:v>6.7496379489589504</c:v>
                </c:pt>
                <c:pt idx="35">
                  <c:v>9.2289204190448793</c:v>
                </c:pt>
                <c:pt idx="36">
                  <c:v>7.7192869375627904</c:v>
                </c:pt>
                <c:pt idx="37">
                  <c:v>8.8854933407198704</c:v>
                </c:pt>
                <c:pt idx="38">
                  <c:v>12.064877689741101</c:v>
                </c:pt>
                <c:pt idx="39">
                  <c:v>11.2023588260596</c:v>
                </c:pt>
                <c:pt idx="40">
                  <c:v>12.8825895517364</c:v>
                </c:pt>
                <c:pt idx="41">
                  <c:v>14.615612204499699</c:v>
                </c:pt>
                <c:pt idx="42">
                  <c:v>12.8104660224268</c:v>
                </c:pt>
                <c:pt idx="43">
                  <c:v>12.550061482833801</c:v>
                </c:pt>
                <c:pt idx="44">
                  <c:v>11.2969864535073</c:v>
                </c:pt>
                <c:pt idx="45">
                  <c:v>11.228623036382899</c:v>
                </c:pt>
                <c:pt idx="46">
                  <c:v>9.7594552377018999</c:v>
                </c:pt>
                <c:pt idx="47">
                  <c:v>11.6415817836049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'Conv 4.0 12'!$F$1</c:f>
              <c:strCache>
                <c:ptCount val="1"/>
                <c:pt idx="0">
                  <c:v>CQ model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cat>
            <c:numRef>
              <c:f>'Conv 4.0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4.0 12'!$F$2:$F$49</c:f>
              <c:numCache>
                <c:formatCode>General</c:formatCode>
                <c:ptCount val="48"/>
                <c:pt idx="0">
                  <c:v>0.45851787333046601</c:v>
                </c:pt>
                <c:pt idx="1">
                  <c:v>0.58578601813401598</c:v>
                </c:pt>
                <c:pt idx="2">
                  <c:v>0.72015187026592797</c:v>
                </c:pt>
                <c:pt idx="3">
                  <c:v>0.79985392045418502</c:v>
                </c:pt>
                <c:pt idx="4">
                  <c:v>1.1064983311193901</c:v>
                </c:pt>
                <c:pt idx="5">
                  <c:v>1.39698615486532</c:v>
                </c:pt>
                <c:pt idx="6">
                  <c:v>1.5412047566542699</c:v>
                </c:pt>
                <c:pt idx="7">
                  <c:v>1.79339399695131</c:v>
                </c:pt>
                <c:pt idx="8">
                  <c:v>1.8482860115745099</c:v>
                </c:pt>
                <c:pt idx="9">
                  <c:v>2.1237492010641299</c:v>
                </c:pt>
                <c:pt idx="10">
                  <c:v>2.3947145907861001</c:v>
                </c:pt>
                <c:pt idx="11">
                  <c:v>2.6454466662352298</c:v>
                </c:pt>
                <c:pt idx="12">
                  <c:v>2.7201476752827598</c:v>
                </c:pt>
                <c:pt idx="13">
                  <c:v>2.9578937690604601</c:v>
                </c:pt>
                <c:pt idx="14">
                  <c:v>3.2537248392575502</c:v>
                </c:pt>
                <c:pt idx="15">
                  <c:v>3.75221462624976</c:v>
                </c:pt>
                <c:pt idx="16">
                  <c:v>6.1077361674003097</c:v>
                </c:pt>
                <c:pt idx="17">
                  <c:v>8.7039476737157404</c:v>
                </c:pt>
                <c:pt idx="18">
                  <c:v>7.1303491489685102</c:v>
                </c:pt>
                <c:pt idx="19">
                  <c:v>7.5401269251179004</c:v>
                </c:pt>
                <c:pt idx="20">
                  <c:v>6.6927369463820501</c:v>
                </c:pt>
                <c:pt idx="21">
                  <c:v>6.8018965378099097</c:v>
                </c:pt>
                <c:pt idx="22">
                  <c:v>8.1701303930194609</c:v>
                </c:pt>
                <c:pt idx="23">
                  <c:v>8.3486647212744405</c:v>
                </c:pt>
                <c:pt idx="24">
                  <c:v>6.8865719375494603</c:v>
                </c:pt>
                <c:pt idx="25">
                  <c:v>7.7475521455645904</c:v>
                </c:pt>
                <c:pt idx="26">
                  <c:v>11.1321089424014</c:v>
                </c:pt>
                <c:pt idx="27">
                  <c:v>14.0071258764518</c:v>
                </c:pt>
                <c:pt idx="28">
                  <c:v>17.382620700014101</c:v>
                </c:pt>
                <c:pt idx="29">
                  <c:v>21.287653355050001</c:v>
                </c:pt>
                <c:pt idx="30">
                  <c:v>21.673522435636698</c:v>
                </c:pt>
                <c:pt idx="31">
                  <c:v>23.025552095922201</c:v>
                </c:pt>
                <c:pt idx="32">
                  <c:v>22.4343904268448</c:v>
                </c:pt>
                <c:pt idx="33">
                  <c:v>21.987227310659001</c:v>
                </c:pt>
                <c:pt idx="34">
                  <c:v>24.363156787723799</c:v>
                </c:pt>
                <c:pt idx="35">
                  <c:v>29.586244945219899</c:v>
                </c:pt>
                <c:pt idx="36">
                  <c:v>30.6056904189752</c:v>
                </c:pt>
                <c:pt idx="37">
                  <c:v>35.627446653858101</c:v>
                </c:pt>
                <c:pt idx="38">
                  <c:v>36.647449773593102</c:v>
                </c:pt>
                <c:pt idx="39">
                  <c:v>37.247215893567997</c:v>
                </c:pt>
                <c:pt idx="40">
                  <c:v>40.3759135408324</c:v>
                </c:pt>
                <c:pt idx="41">
                  <c:v>36.861559455292998</c:v>
                </c:pt>
                <c:pt idx="42">
                  <c:v>34.124130007311798</c:v>
                </c:pt>
                <c:pt idx="43">
                  <c:v>33.419329430397703</c:v>
                </c:pt>
                <c:pt idx="44">
                  <c:v>35.285726281797999</c:v>
                </c:pt>
                <c:pt idx="45">
                  <c:v>34.5370623731093</c:v>
                </c:pt>
                <c:pt idx="46">
                  <c:v>34.900639434726202</c:v>
                </c:pt>
                <c:pt idx="47">
                  <c:v>31.761359391944801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728128"/>
        <c:axId val="391933952"/>
      </c:lineChart>
      <c:dateAx>
        <c:axId val="389728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1933952"/>
        <c:crosses val="autoZero"/>
        <c:auto val="1"/>
        <c:lblOffset val="100"/>
        <c:baseTimeUnit val="months"/>
      </c:dateAx>
      <c:valAx>
        <c:axId val="39193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9728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 4.5 11'!$C$1</c:f>
              <c:strCache>
                <c:ptCount val="1"/>
                <c:pt idx="0">
                  <c:v>Conv Act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'Conv 4.5 11'!$B$2:$B$61</c:f>
              <c:numCache>
                <c:formatCode>m/d/yyyy</c:formatCode>
                <c:ptCount val="60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  <c:pt idx="59">
                  <c:v>42370</c:v>
                </c:pt>
              </c:numCache>
            </c:numRef>
          </c:cat>
          <c:val>
            <c:numRef>
              <c:f>'Conv 4.5 11'!$C$2:$C$61</c:f>
              <c:numCache>
                <c:formatCode>General</c:formatCode>
                <c:ptCount val="60"/>
                <c:pt idx="0">
                  <c:v>3.6454044735412201E-2</c:v>
                </c:pt>
                <c:pt idx="1">
                  <c:v>0.156157471837259</c:v>
                </c:pt>
                <c:pt idx="2">
                  <c:v>0.55283829758833203</c:v>
                </c:pt>
                <c:pt idx="3">
                  <c:v>0.64529818842928899</c:v>
                </c:pt>
                <c:pt idx="4">
                  <c:v>0.92323924447307304</c:v>
                </c:pt>
                <c:pt idx="5">
                  <c:v>2.1540405898058701</c:v>
                </c:pt>
                <c:pt idx="6">
                  <c:v>3.2575318612478301</c:v>
                </c:pt>
                <c:pt idx="7">
                  <c:v>2.7275548948558899</c:v>
                </c:pt>
                <c:pt idx="8">
                  <c:v>4.9550316572997204</c:v>
                </c:pt>
                <c:pt idx="9">
                  <c:v>4.5579837905795602</c:v>
                </c:pt>
                <c:pt idx="10">
                  <c:v>5.7487068542895097</c:v>
                </c:pt>
                <c:pt idx="11">
                  <c:v>5.7765968178662401</c:v>
                </c:pt>
                <c:pt idx="12">
                  <c:v>6.6355764519886602</c:v>
                </c:pt>
                <c:pt idx="13">
                  <c:v>8.0437700244537105</c:v>
                </c:pt>
                <c:pt idx="14">
                  <c:v>8.3558622633599793</c:v>
                </c:pt>
                <c:pt idx="15">
                  <c:v>8.5597220050521905</c:v>
                </c:pt>
                <c:pt idx="16">
                  <c:v>9.2368494676170592</c:v>
                </c:pt>
                <c:pt idx="17">
                  <c:v>9.5611822072212398</c:v>
                </c:pt>
                <c:pt idx="18">
                  <c:v>11.0681764500375</c:v>
                </c:pt>
                <c:pt idx="19">
                  <c:v>13.4931607355461</c:v>
                </c:pt>
                <c:pt idx="20">
                  <c:v>10.628878522095899</c:v>
                </c:pt>
                <c:pt idx="21">
                  <c:v>12.6061337308905</c:v>
                </c:pt>
                <c:pt idx="22">
                  <c:v>15.4172492621798</c:v>
                </c:pt>
                <c:pt idx="23">
                  <c:v>15.909158898835299</c:v>
                </c:pt>
                <c:pt idx="24">
                  <c:v>15.379186119472401</c:v>
                </c:pt>
                <c:pt idx="25">
                  <c:v>15.466370078178301</c:v>
                </c:pt>
                <c:pt idx="26">
                  <c:v>20.380194929174799</c:v>
                </c:pt>
                <c:pt idx="27">
                  <c:v>20.198395060927702</c:v>
                </c:pt>
                <c:pt idx="28">
                  <c:v>18.0537320590837</c:v>
                </c:pt>
                <c:pt idx="29">
                  <c:v>20.462313736887399</c:v>
                </c:pt>
                <c:pt idx="30">
                  <c:v>19.564092830408001</c:v>
                </c:pt>
                <c:pt idx="31">
                  <c:v>16.8976029561749</c:v>
                </c:pt>
                <c:pt idx="32">
                  <c:v>8.3704913491281197</c:v>
                </c:pt>
                <c:pt idx="33">
                  <c:v>8.2845036568864607</c:v>
                </c:pt>
                <c:pt idx="34">
                  <c:v>12.2135183806445</c:v>
                </c:pt>
                <c:pt idx="35">
                  <c:v>12.3170264358815</c:v>
                </c:pt>
                <c:pt idx="36">
                  <c:v>7.56143733054728</c:v>
                </c:pt>
                <c:pt idx="37">
                  <c:v>10.743201514232201</c:v>
                </c:pt>
                <c:pt idx="38">
                  <c:v>11.4342999917556</c:v>
                </c:pt>
                <c:pt idx="39">
                  <c:v>12.808202479366299</c:v>
                </c:pt>
                <c:pt idx="40">
                  <c:v>13.628899791689401</c:v>
                </c:pt>
                <c:pt idx="41">
                  <c:v>12.472336835768999</c:v>
                </c:pt>
                <c:pt idx="42">
                  <c:v>10.4042912940684</c:v>
                </c:pt>
                <c:pt idx="43">
                  <c:v>15.182767417002699</c:v>
                </c:pt>
                <c:pt idx="44">
                  <c:v>18.976997403064601</c:v>
                </c:pt>
                <c:pt idx="45">
                  <c:v>16.242297775408801</c:v>
                </c:pt>
                <c:pt idx="46">
                  <c:v>15.7755453280348</c:v>
                </c:pt>
                <c:pt idx="47">
                  <c:v>14.9760816098978</c:v>
                </c:pt>
                <c:pt idx="48">
                  <c:v>17.0327675648909</c:v>
                </c:pt>
                <c:pt idx="49">
                  <c:v>16.6433111865441</c:v>
                </c:pt>
                <c:pt idx="50">
                  <c:v>22.6151073114384</c:v>
                </c:pt>
                <c:pt idx="51">
                  <c:v>23.003299798929</c:v>
                </c:pt>
                <c:pt idx="52">
                  <c:v>24.999871749104202</c:v>
                </c:pt>
                <c:pt idx="53">
                  <c:v>24.3833811894124</c:v>
                </c:pt>
                <c:pt idx="54">
                  <c:v>19.775302868970599</c:v>
                </c:pt>
                <c:pt idx="55">
                  <c:v>21.195841277074599</c:v>
                </c:pt>
                <c:pt idx="56">
                  <c:v>16.134512688135299</c:v>
                </c:pt>
                <c:pt idx="57">
                  <c:v>21.401286456231201</c:v>
                </c:pt>
                <c:pt idx="58">
                  <c:v>16.897293046693498</c:v>
                </c:pt>
                <c:pt idx="59">
                  <c:v>18.202825863670199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 4.5 11'!$D$1</c:f>
              <c:strCache>
                <c:ptCount val="1"/>
                <c:pt idx="0">
                  <c:v>Conv Model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'Conv 4.5 11'!$B$2:$B$61</c:f>
              <c:numCache>
                <c:formatCode>m/d/yyyy</c:formatCode>
                <c:ptCount val="60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  <c:pt idx="59">
                  <c:v>42370</c:v>
                </c:pt>
              </c:numCache>
            </c:numRef>
          </c:cat>
          <c:val>
            <c:numRef>
              <c:f>'Conv 4.5 11'!$D$2:$D$61</c:f>
              <c:numCache>
                <c:formatCode>General</c:formatCode>
                <c:ptCount val="60"/>
                <c:pt idx="0">
                  <c:v>0.488657690500227</c:v>
                </c:pt>
                <c:pt idx="1">
                  <c:v>0.64391987471761303</c:v>
                </c:pt>
                <c:pt idx="2">
                  <c:v>1.1461459386928901</c:v>
                </c:pt>
                <c:pt idx="3">
                  <c:v>1.8814230771071601</c:v>
                </c:pt>
                <c:pt idx="4">
                  <c:v>2.6080630164038698</c:v>
                </c:pt>
                <c:pt idx="5">
                  <c:v>3.9898342330541499</c:v>
                </c:pt>
                <c:pt idx="6">
                  <c:v>5.1299009369745097</c:v>
                </c:pt>
                <c:pt idx="7">
                  <c:v>6.1115448831093104</c:v>
                </c:pt>
                <c:pt idx="8">
                  <c:v>8.6006735472452007</c:v>
                </c:pt>
                <c:pt idx="9">
                  <c:v>11.415580154538199</c:v>
                </c:pt>
                <c:pt idx="10">
                  <c:v>10.5687785599353</c:v>
                </c:pt>
                <c:pt idx="11">
                  <c:v>13.160591923969401</c:v>
                </c:pt>
                <c:pt idx="12">
                  <c:v>13.5733851277953</c:v>
                </c:pt>
                <c:pt idx="13">
                  <c:v>14.6156051760028</c:v>
                </c:pt>
                <c:pt idx="14">
                  <c:v>19.927224304001601</c:v>
                </c:pt>
                <c:pt idx="15">
                  <c:v>20.356240924684201</c:v>
                </c:pt>
                <c:pt idx="16">
                  <c:v>25.059810106118199</c:v>
                </c:pt>
                <c:pt idx="17">
                  <c:v>29.208714615868502</c:v>
                </c:pt>
                <c:pt idx="18">
                  <c:v>31.752461002838999</c:v>
                </c:pt>
                <c:pt idx="19">
                  <c:v>35.535570830123</c:v>
                </c:pt>
                <c:pt idx="20">
                  <c:v>34.437001546118303</c:v>
                </c:pt>
                <c:pt idx="21">
                  <c:v>38.5186695388524</c:v>
                </c:pt>
                <c:pt idx="22">
                  <c:v>41.448905600168501</c:v>
                </c:pt>
                <c:pt idx="23">
                  <c:v>41.611815309928403</c:v>
                </c:pt>
                <c:pt idx="24">
                  <c:v>40.2333569582078</c:v>
                </c:pt>
                <c:pt idx="25">
                  <c:v>38.014377599789398</c:v>
                </c:pt>
                <c:pt idx="26">
                  <c:v>31.772359008343599</c:v>
                </c:pt>
                <c:pt idx="27">
                  <c:v>32.156578413349699</c:v>
                </c:pt>
                <c:pt idx="28">
                  <c:v>38.3840757363932</c:v>
                </c:pt>
                <c:pt idx="29">
                  <c:v>35.040357560856897</c:v>
                </c:pt>
                <c:pt idx="30">
                  <c:v>27.320172830063399</c:v>
                </c:pt>
                <c:pt idx="31">
                  <c:v>24.294430751165699</c:v>
                </c:pt>
                <c:pt idx="32">
                  <c:v>21.125954827324598</c:v>
                </c:pt>
                <c:pt idx="33">
                  <c:v>20.6861076909105</c:v>
                </c:pt>
                <c:pt idx="34">
                  <c:v>23.607564176972101</c:v>
                </c:pt>
                <c:pt idx="35">
                  <c:v>23.4668944925048</c:v>
                </c:pt>
                <c:pt idx="36">
                  <c:v>19.3165813205798</c:v>
                </c:pt>
                <c:pt idx="37">
                  <c:v>20.409887600115599</c:v>
                </c:pt>
                <c:pt idx="38">
                  <c:v>25.0553282113591</c:v>
                </c:pt>
                <c:pt idx="39">
                  <c:v>27.4624393603725</c:v>
                </c:pt>
                <c:pt idx="40">
                  <c:v>29.0974356183388</c:v>
                </c:pt>
                <c:pt idx="41">
                  <c:v>31.584932263692899</c:v>
                </c:pt>
                <c:pt idx="42">
                  <c:v>31.692947498133002</c:v>
                </c:pt>
                <c:pt idx="43">
                  <c:v>32.504924490518299</c:v>
                </c:pt>
                <c:pt idx="44">
                  <c:v>32.6818057660726</c:v>
                </c:pt>
                <c:pt idx="45">
                  <c:v>31.728859985403901</c:v>
                </c:pt>
                <c:pt idx="46">
                  <c:v>34.042823292388803</c:v>
                </c:pt>
                <c:pt idx="47">
                  <c:v>36.431152132697399</c:v>
                </c:pt>
                <c:pt idx="48">
                  <c:v>36.845822602648298</c:v>
                </c:pt>
                <c:pt idx="49">
                  <c:v>40.888822515110199</c:v>
                </c:pt>
                <c:pt idx="50">
                  <c:v>41.050222557370901</c:v>
                </c:pt>
                <c:pt idx="51">
                  <c:v>40.571173138497997</c:v>
                </c:pt>
                <c:pt idx="52">
                  <c:v>42.604393210670999</c:v>
                </c:pt>
                <c:pt idx="53">
                  <c:v>39.133403166095498</c:v>
                </c:pt>
                <c:pt idx="54">
                  <c:v>36.464335136017503</c:v>
                </c:pt>
                <c:pt idx="55">
                  <c:v>34.843609842380197</c:v>
                </c:pt>
                <c:pt idx="56">
                  <c:v>36.4126649487877</c:v>
                </c:pt>
                <c:pt idx="57">
                  <c:v>35.462867360901903</c:v>
                </c:pt>
                <c:pt idx="58">
                  <c:v>35.532870567457302</c:v>
                </c:pt>
                <c:pt idx="59">
                  <c:v>32.633747338957697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 4.5 11'!$E$1</c:f>
              <c:strCache>
                <c:ptCount val="1"/>
                <c:pt idx="0">
                  <c:v>CQ Act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'Conv 4.5 11'!$B$2:$B$61</c:f>
              <c:numCache>
                <c:formatCode>m/d/yyyy</c:formatCode>
                <c:ptCount val="60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  <c:pt idx="59">
                  <c:v>42370</c:v>
                </c:pt>
              </c:numCache>
            </c:numRef>
          </c:cat>
          <c:val>
            <c:numRef>
              <c:f>'Conv 4.5 11'!$E$2:$E$61</c:f>
              <c:numCache>
                <c:formatCode>General</c:formatCode>
                <c:ptCount val="60"/>
                <c:pt idx="0">
                  <c:v>3.84180915669052E-4</c:v>
                </c:pt>
                <c:pt idx="1">
                  <c:v>0.66103423768583103</c:v>
                </c:pt>
                <c:pt idx="2">
                  <c:v>0.47993977059824799</c:v>
                </c:pt>
                <c:pt idx="3">
                  <c:v>0.55697093609403703</c:v>
                </c:pt>
                <c:pt idx="4">
                  <c:v>0.83668065851615303</c:v>
                </c:pt>
                <c:pt idx="5">
                  <c:v>1.87206161946376</c:v>
                </c:pt>
                <c:pt idx="6">
                  <c:v>2.3766644262138299</c:v>
                </c:pt>
                <c:pt idx="7">
                  <c:v>2.5561561116157998</c:v>
                </c:pt>
                <c:pt idx="8">
                  <c:v>1.4087073623353701</c:v>
                </c:pt>
                <c:pt idx="9">
                  <c:v>1.57606643121009</c:v>
                </c:pt>
                <c:pt idx="10">
                  <c:v>1.9168118385633699</c:v>
                </c:pt>
                <c:pt idx="11">
                  <c:v>2.0990023160189901</c:v>
                </c:pt>
                <c:pt idx="12">
                  <c:v>2.42531908034477</c:v>
                </c:pt>
                <c:pt idx="13">
                  <c:v>2.9166715505796201</c:v>
                </c:pt>
                <c:pt idx="14">
                  <c:v>3.19584009766296</c:v>
                </c:pt>
                <c:pt idx="15">
                  <c:v>2.8100974273251902</c:v>
                </c:pt>
                <c:pt idx="16">
                  <c:v>3.51845168559288</c:v>
                </c:pt>
                <c:pt idx="17">
                  <c:v>4.5493717824431004</c:v>
                </c:pt>
                <c:pt idx="18">
                  <c:v>5.0643506238546001</c:v>
                </c:pt>
                <c:pt idx="19">
                  <c:v>4.4271321078488199</c:v>
                </c:pt>
                <c:pt idx="20">
                  <c:v>5.15187167396207</c:v>
                </c:pt>
                <c:pt idx="21">
                  <c:v>4.5223282703610002</c:v>
                </c:pt>
                <c:pt idx="22">
                  <c:v>6.4933161037349798</c:v>
                </c:pt>
                <c:pt idx="23">
                  <c:v>8.0893010703661492</c:v>
                </c:pt>
                <c:pt idx="24">
                  <c:v>5.7636245601949501</c:v>
                </c:pt>
                <c:pt idx="25">
                  <c:v>6.9251543418215</c:v>
                </c:pt>
                <c:pt idx="26">
                  <c:v>6.4197899150290301</c:v>
                </c:pt>
                <c:pt idx="27">
                  <c:v>11.302532473498699</c:v>
                </c:pt>
                <c:pt idx="28">
                  <c:v>9.8511317636026803</c:v>
                </c:pt>
                <c:pt idx="29">
                  <c:v>11.0024589013839</c:v>
                </c:pt>
                <c:pt idx="30">
                  <c:v>12.369009453023001</c:v>
                </c:pt>
                <c:pt idx="31">
                  <c:v>8.6542923872700506</c:v>
                </c:pt>
                <c:pt idx="32">
                  <c:v>6.6405887891105797</c:v>
                </c:pt>
                <c:pt idx="33">
                  <c:v>9.6645209396892007</c:v>
                </c:pt>
                <c:pt idx="34">
                  <c:v>9.3465203415798594</c:v>
                </c:pt>
                <c:pt idx="35">
                  <c:v>8.3763372109381606</c:v>
                </c:pt>
                <c:pt idx="36">
                  <c:v>7.2599095097340696</c:v>
                </c:pt>
                <c:pt idx="37">
                  <c:v>7.0177039889456596</c:v>
                </c:pt>
                <c:pt idx="38">
                  <c:v>8.5794244611068802</c:v>
                </c:pt>
                <c:pt idx="39">
                  <c:v>10.099635039961001</c:v>
                </c:pt>
                <c:pt idx="40">
                  <c:v>9.2262413123982405</c:v>
                </c:pt>
                <c:pt idx="41">
                  <c:v>10.9888398305027</c:v>
                </c:pt>
                <c:pt idx="42">
                  <c:v>14.272961736684101</c:v>
                </c:pt>
                <c:pt idx="43">
                  <c:v>10.949699352272599</c:v>
                </c:pt>
                <c:pt idx="44">
                  <c:v>14.395756079211701</c:v>
                </c:pt>
                <c:pt idx="45">
                  <c:v>13.851082145824501</c:v>
                </c:pt>
                <c:pt idx="46">
                  <c:v>12.7903398172717</c:v>
                </c:pt>
                <c:pt idx="47">
                  <c:v>14.752051112873</c:v>
                </c:pt>
                <c:pt idx="48">
                  <c:v>10.7375639877597</c:v>
                </c:pt>
                <c:pt idx="49">
                  <c:v>12.9347143365899</c:v>
                </c:pt>
                <c:pt idx="50">
                  <c:v>19.537929578902499</c:v>
                </c:pt>
                <c:pt idx="51">
                  <c:v>19.348204397514799</c:v>
                </c:pt>
                <c:pt idx="52">
                  <c:v>19.284333041492101</c:v>
                </c:pt>
                <c:pt idx="53">
                  <c:v>21.238750219158799</c:v>
                </c:pt>
                <c:pt idx="54">
                  <c:v>20.4708761160162</c:v>
                </c:pt>
                <c:pt idx="55">
                  <c:v>16.846554062904701</c:v>
                </c:pt>
                <c:pt idx="56">
                  <c:v>18.1147379828388</c:v>
                </c:pt>
                <c:pt idx="57">
                  <c:v>15.398180404442</c:v>
                </c:pt>
                <c:pt idx="58">
                  <c:v>14.158721406397101</c:v>
                </c:pt>
                <c:pt idx="59">
                  <c:v>18.541873422104601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'Conv 4.5 11'!$F$1</c:f>
              <c:strCache>
                <c:ptCount val="1"/>
                <c:pt idx="0">
                  <c:v>CQ model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cat>
            <c:numRef>
              <c:f>'Conv 4.5 11'!$B$2:$B$61</c:f>
              <c:numCache>
                <c:formatCode>m/d/yyyy</c:formatCode>
                <c:ptCount val="60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  <c:pt idx="59">
                  <c:v>42370</c:v>
                </c:pt>
              </c:numCache>
            </c:numRef>
          </c:cat>
          <c:val>
            <c:numRef>
              <c:f>'Conv 4.5 11'!$F$2:$F$61</c:f>
              <c:numCache>
                <c:formatCode>General</c:formatCode>
                <c:ptCount val="60"/>
                <c:pt idx="0">
                  <c:v>0.33457090236264098</c:v>
                </c:pt>
                <c:pt idx="1">
                  <c:v>0.30494514314940402</c:v>
                </c:pt>
                <c:pt idx="2">
                  <c:v>0.42100331316498002</c:v>
                </c:pt>
                <c:pt idx="3">
                  <c:v>0.63901271277911897</c:v>
                </c:pt>
                <c:pt idx="4">
                  <c:v>0.85639800632283403</c:v>
                </c:pt>
                <c:pt idx="5">
                  <c:v>1.12908383574716</c:v>
                </c:pt>
                <c:pt idx="6">
                  <c:v>1.3472104363233799</c:v>
                </c:pt>
                <c:pt idx="7">
                  <c:v>1.49168509538896</c:v>
                </c:pt>
                <c:pt idx="8">
                  <c:v>1.69913279526822</c:v>
                </c:pt>
                <c:pt idx="9">
                  <c:v>1.6590756656742101</c:v>
                </c:pt>
                <c:pt idx="10">
                  <c:v>1.6640121250557001</c:v>
                </c:pt>
                <c:pt idx="11">
                  <c:v>1.7457808044440499</c:v>
                </c:pt>
                <c:pt idx="12">
                  <c:v>1.8614509151237</c:v>
                </c:pt>
                <c:pt idx="13">
                  <c:v>2.0746181988038299</c:v>
                </c:pt>
                <c:pt idx="14">
                  <c:v>2.52960815813708</c:v>
                </c:pt>
                <c:pt idx="15">
                  <c:v>2.9102688579268601</c:v>
                </c:pt>
                <c:pt idx="16">
                  <c:v>3.4522980752214498</c:v>
                </c:pt>
                <c:pt idx="17">
                  <c:v>3.9043645740811601</c:v>
                </c:pt>
                <c:pt idx="18">
                  <c:v>4.1340849980095502</c:v>
                </c:pt>
                <c:pt idx="19">
                  <c:v>4.5073898525482203</c:v>
                </c:pt>
                <c:pt idx="20">
                  <c:v>4.4447617492703104</c:v>
                </c:pt>
                <c:pt idx="21">
                  <c:v>4.7947396565802203</c:v>
                </c:pt>
                <c:pt idx="22">
                  <c:v>4.9902483211178001</c:v>
                </c:pt>
                <c:pt idx="23">
                  <c:v>5.3119100223903404</c:v>
                </c:pt>
                <c:pt idx="24">
                  <c:v>5.02572965776963</c:v>
                </c:pt>
                <c:pt idx="25">
                  <c:v>5.1972684779243901</c:v>
                </c:pt>
                <c:pt idx="26">
                  <c:v>6.0237869545620004</c:v>
                </c:pt>
                <c:pt idx="27">
                  <c:v>8.92346916200243</c:v>
                </c:pt>
                <c:pt idx="28">
                  <c:v>22.211789194571601</c:v>
                </c:pt>
                <c:pt idx="29">
                  <c:v>22.976092589029498</c:v>
                </c:pt>
                <c:pt idx="30">
                  <c:v>22.0926565739429</c:v>
                </c:pt>
                <c:pt idx="31">
                  <c:v>20.733490032150399</c:v>
                </c:pt>
                <c:pt idx="32">
                  <c:v>18.486491222094699</c:v>
                </c:pt>
                <c:pt idx="33">
                  <c:v>18.274478949366902</c:v>
                </c:pt>
                <c:pt idx="34">
                  <c:v>20.851914272102398</c:v>
                </c:pt>
                <c:pt idx="35">
                  <c:v>21.021544807426999</c:v>
                </c:pt>
                <c:pt idx="36">
                  <c:v>17.7488164893408</c:v>
                </c:pt>
                <c:pt idx="37">
                  <c:v>18.6813847917172</c:v>
                </c:pt>
                <c:pt idx="38">
                  <c:v>22.749666398975101</c:v>
                </c:pt>
                <c:pt idx="39">
                  <c:v>25.2950457660131</c:v>
                </c:pt>
                <c:pt idx="40">
                  <c:v>27.815992259918499</c:v>
                </c:pt>
                <c:pt idx="41">
                  <c:v>30.3940297980742</c:v>
                </c:pt>
                <c:pt idx="42">
                  <c:v>30.7800662900632</c:v>
                </c:pt>
                <c:pt idx="43">
                  <c:v>31.363591206940299</c:v>
                </c:pt>
                <c:pt idx="44">
                  <c:v>30.9344269444993</c:v>
                </c:pt>
                <c:pt idx="45">
                  <c:v>30.051524078933099</c:v>
                </c:pt>
                <c:pt idx="46">
                  <c:v>32.309026195903598</c:v>
                </c:pt>
                <c:pt idx="47">
                  <c:v>36.329621744502198</c:v>
                </c:pt>
                <c:pt idx="48">
                  <c:v>36.967974207945304</c:v>
                </c:pt>
                <c:pt idx="49">
                  <c:v>40.919501613528404</c:v>
                </c:pt>
                <c:pt idx="50">
                  <c:v>41.307599565917002</c:v>
                </c:pt>
                <c:pt idx="51">
                  <c:v>41.204791958194001</c:v>
                </c:pt>
                <c:pt idx="52">
                  <c:v>43.752562221006102</c:v>
                </c:pt>
                <c:pt idx="53">
                  <c:v>40.565818701754402</c:v>
                </c:pt>
                <c:pt idx="54">
                  <c:v>38.423458822534798</c:v>
                </c:pt>
                <c:pt idx="55">
                  <c:v>37.430817333464297</c:v>
                </c:pt>
                <c:pt idx="56">
                  <c:v>38.637750236271401</c:v>
                </c:pt>
                <c:pt idx="57">
                  <c:v>37.7039763553692</c:v>
                </c:pt>
                <c:pt idx="58">
                  <c:v>37.714988007792499</c:v>
                </c:pt>
                <c:pt idx="59">
                  <c:v>34.962167148281601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157312"/>
        <c:axId val="402244352"/>
      </c:lineChart>
      <c:dateAx>
        <c:axId val="400157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2244352"/>
        <c:crosses val="autoZero"/>
        <c:auto val="1"/>
        <c:lblOffset val="100"/>
        <c:baseTimeUnit val="months"/>
      </c:dateAx>
      <c:valAx>
        <c:axId val="402244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0157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 3.5 13'!$C$1</c:f>
              <c:strCache>
                <c:ptCount val="1"/>
                <c:pt idx="0">
                  <c:v>Conv Act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'Conv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3.5 13'!$C$2:$C$37</c:f>
              <c:numCache>
                <c:formatCode>General</c:formatCode>
                <c:ptCount val="36"/>
                <c:pt idx="0">
                  <c:v>3.82099252364887</c:v>
                </c:pt>
                <c:pt idx="1">
                  <c:v>0.18033599702062</c:v>
                </c:pt>
                <c:pt idx="2">
                  <c:v>2.10397783557115</c:v>
                </c:pt>
                <c:pt idx="3">
                  <c:v>1.1282711306303199</c:v>
                </c:pt>
                <c:pt idx="4">
                  <c:v>2.6458889599262001</c:v>
                </c:pt>
                <c:pt idx="5">
                  <c:v>2.9389908902920401</c:v>
                </c:pt>
                <c:pt idx="6">
                  <c:v>3.6492534707926301</c:v>
                </c:pt>
                <c:pt idx="7">
                  <c:v>2.9108702560233501</c:v>
                </c:pt>
                <c:pt idx="8">
                  <c:v>2.8731445901143098</c:v>
                </c:pt>
                <c:pt idx="9">
                  <c:v>3.1514675193794401</c:v>
                </c:pt>
                <c:pt idx="10">
                  <c:v>2.4642824090509001</c:v>
                </c:pt>
                <c:pt idx="11">
                  <c:v>3.28261598049234</c:v>
                </c:pt>
                <c:pt idx="12">
                  <c:v>3.0126577219719799</c:v>
                </c:pt>
                <c:pt idx="13">
                  <c:v>2.4485657564560399</c:v>
                </c:pt>
                <c:pt idx="14">
                  <c:v>4.6294904270215103</c:v>
                </c:pt>
                <c:pt idx="15">
                  <c:v>4.9708478481381002</c:v>
                </c:pt>
                <c:pt idx="16">
                  <c:v>4.5472749509107997</c:v>
                </c:pt>
                <c:pt idx="17">
                  <c:v>8.1807680308378696</c:v>
                </c:pt>
                <c:pt idx="18">
                  <c:v>6.14549851915275</c:v>
                </c:pt>
                <c:pt idx="19">
                  <c:v>6.3203055354868001</c:v>
                </c:pt>
                <c:pt idx="20">
                  <c:v>6.2468125179766902</c:v>
                </c:pt>
                <c:pt idx="21">
                  <c:v>7.9337896479127501</c:v>
                </c:pt>
                <c:pt idx="22">
                  <c:v>7.2617144334220596</c:v>
                </c:pt>
                <c:pt idx="23">
                  <c:v>6.2486597401715001</c:v>
                </c:pt>
                <c:pt idx="24">
                  <c:v>5.72945881258899</c:v>
                </c:pt>
                <c:pt idx="25">
                  <c:v>7.9079676461499897</c:v>
                </c:pt>
                <c:pt idx="26">
                  <c:v>9.6769800546857798</c:v>
                </c:pt>
                <c:pt idx="27">
                  <c:v>10.4283104671388</c:v>
                </c:pt>
                <c:pt idx="28">
                  <c:v>12.8766685473149</c:v>
                </c:pt>
                <c:pt idx="29">
                  <c:v>15.186642426202599</c:v>
                </c:pt>
                <c:pt idx="30">
                  <c:v>12.052722191604399</c:v>
                </c:pt>
                <c:pt idx="31">
                  <c:v>9.5847645563755801</c:v>
                </c:pt>
                <c:pt idx="32">
                  <c:v>10.4413482800807</c:v>
                </c:pt>
                <c:pt idx="33">
                  <c:v>11.168434260082099</c:v>
                </c:pt>
                <c:pt idx="34">
                  <c:v>8.5878947788262696</c:v>
                </c:pt>
                <c:pt idx="35">
                  <c:v>11.592002009748001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 3.5 13'!$D$1</c:f>
              <c:strCache>
                <c:ptCount val="1"/>
                <c:pt idx="0">
                  <c:v>Conv Model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'Conv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3.5 13'!$D$2:$D$37</c:f>
              <c:numCache>
                <c:formatCode>General</c:formatCode>
                <c:ptCount val="36"/>
                <c:pt idx="0">
                  <c:v>6.4327005758847804</c:v>
                </c:pt>
                <c:pt idx="1">
                  <c:v>4.1730555050392102</c:v>
                </c:pt>
                <c:pt idx="2">
                  <c:v>4.8921219421938504</c:v>
                </c:pt>
                <c:pt idx="3">
                  <c:v>6.22936351263946</c:v>
                </c:pt>
                <c:pt idx="4">
                  <c:v>10.691187114170001</c:v>
                </c:pt>
                <c:pt idx="5">
                  <c:v>9.9052097983642007</c:v>
                </c:pt>
                <c:pt idx="6">
                  <c:v>5.84338308313633</c:v>
                </c:pt>
                <c:pt idx="7">
                  <c:v>5.1577461720833799</c:v>
                </c:pt>
                <c:pt idx="8">
                  <c:v>4.7491308693802603</c:v>
                </c:pt>
                <c:pt idx="9">
                  <c:v>5.1316735840536998</c:v>
                </c:pt>
                <c:pt idx="10">
                  <c:v>6.4209890523872204</c:v>
                </c:pt>
                <c:pt idx="11">
                  <c:v>6.7377856075589397</c:v>
                </c:pt>
                <c:pt idx="12">
                  <c:v>5.4040056509786902</c:v>
                </c:pt>
                <c:pt idx="13">
                  <c:v>5.9963664428097196</c:v>
                </c:pt>
                <c:pt idx="14">
                  <c:v>7.9432618027918096</c:v>
                </c:pt>
                <c:pt idx="15">
                  <c:v>9.6540756016290903</c:v>
                </c:pt>
                <c:pt idx="16">
                  <c:v>11.469271602722699</c:v>
                </c:pt>
                <c:pt idx="17">
                  <c:v>14.429427339965599</c:v>
                </c:pt>
                <c:pt idx="18">
                  <c:v>14.936298873731401</c:v>
                </c:pt>
                <c:pt idx="19">
                  <c:v>15.894070855153499</c:v>
                </c:pt>
                <c:pt idx="20">
                  <c:v>15.3314010390819</c:v>
                </c:pt>
                <c:pt idx="21">
                  <c:v>14.9671343552534</c:v>
                </c:pt>
                <c:pt idx="22">
                  <c:v>16.6744014970132</c:v>
                </c:pt>
                <c:pt idx="23">
                  <c:v>21.516681012695901</c:v>
                </c:pt>
                <c:pt idx="24">
                  <c:v>22.814275492276799</c:v>
                </c:pt>
                <c:pt idx="25">
                  <c:v>28.819902642049801</c:v>
                </c:pt>
                <c:pt idx="26">
                  <c:v>30.136506217801699</c:v>
                </c:pt>
                <c:pt idx="27">
                  <c:v>31.189209600316399</c:v>
                </c:pt>
                <c:pt idx="28">
                  <c:v>36.187543985684599</c:v>
                </c:pt>
                <c:pt idx="29">
                  <c:v>31.5560127440807</c:v>
                </c:pt>
                <c:pt idx="30">
                  <c:v>27.976756976199901</c:v>
                </c:pt>
                <c:pt idx="31">
                  <c:v>26.737558900739899</c:v>
                </c:pt>
                <c:pt idx="32">
                  <c:v>29.729754016289299</c:v>
                </c:pt>
                <c:pt idx="33">
                  <c:v>29.349043981466298</c:v>
                </c:pt>
                <c:pt idx="34">
                  <c:v>30.492883466783798</c:v>
                </c:pt>
                <c:pt idx="35">
                  <c:v>26.689553344699299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 3.5 13'!$E$1</c:f>
              <c:strCache>
                <c:ptCount val="1"/>
                <c:pt idx="0">
                  <c:v>CQ Act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'Conv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3.5 13'!$E$2:$E$37</c:f>
              <c:numCache>
                <c:formatCode>General</c:formatCode>
                <c:ptCount val="36"/>
                <c:pt idx="0">
                  <c:v>1.63591257460955</c:v>
                </c:pt>
                <c:pt idx="1">
                  <c:v>0.95590703616670303</c:v>
                </c:pt>
                <c:pt idx="2">
                  <c:v>1.2265295605862001</c:v>
                </c:pt>
                <c:pt idx="3">
                  <c:v>1.42442158085054</c:v>
                </c:pt>
                <c:pt idx="4">
                  <c:v>1.5784848852751201</c:v>
                </c:pt>
                <c:pt idx="5">
                  <c:v>2.0023630724777899</c:v>
                </c:pt>
                <c:pt idx="6">
                  <c:v>2.07750130677592</c:v>
                </c:pt>
                <c:pt idx="7">
                  <c:v>2.5548961180571501</c:v>
                </c:pt>
                <c:pt idx="8">
                  <c:v>2.42428918666725</c:v>
                </c:pt>
                <c:pt idx="9">
                  <c:v>2.1136783822058498</c:v>
                </c:pt>
                <c:pt idx="10">
                  <c:v>2.3525004748818699</c:v>
                </c:pt>
                <c:pt idx="11">
                  <c:v>2.71490028426257</c:v>
                </c:pt>
                <c:pt idx="12">
                  <c:v>2.5119789765918101</c:v>
                </c:pt>
                <c:pt idx="13">
                  <c:v>2.6554733120072598</c:v>
                </c:pt>
                <c:pt idx="14">
                  <c:v>3.7246295888100902</c:v>
                </c:pt>
                <c:pt idx="15">
                  <c:v>3.4378742748523301</c:v>
                </c:pt>
                <c:pt idx="16">
                  <c:v>4.8477085388448202</c:v>
                </c:pt>
                <c:pt idx="17">
                  <c:v>4.1301038617508601</c:v>
                </c:pt>
                <c:pt idx="18">
                  <c:v>4.2878366001645603</c:v>
                </c:pt>
                <c:pt idx="19">
                  <c:v>5.58944049402057</c:v>
                </c:pt>
                <c:pt idx="20">
                  <c:v>4.5064936600708503</c:v>
                </c:pt>
                <c:pt idx="21">
                  <c:v>4.9147315424106504</c:v>
                </c:pt>
                <c:pt idx="22">
                  <c:v>4.5130393725936901</c:v>
                </c:pt>
                <c:pt idx="23">
                  <c:v>4.9544657957726699</c:v>
                </c:pt>
                <c:pt idx="24">
                  <c:v>5.3713136783491899</c:v>
                </c:pt>
                <c:pt idx="25">
                  <c:v>4.4358918836477903</c:v>
                </c:pt>
                <c:pt idx="26">
                  <c:v>5.8537207278367198</c:v>
                </c:pt>
                <c:pt idx="27">
                  <c:v>6.9172939016973096</c:v>
                </c:pt>
                <c:pt idx="28">
                  <c:v>8.0727753361373793</c:v>
                </c:pt>
                <c:pt idx="29">
                  <c:v>7.5433424805368396</c:v>
                </c:pt>
                <c:pt idx="30">
                  <c:v>8.9808157708045595</c:v>
                </c:pt>
                <c:pt idx="31">
                  <c:v>6.8599345244405701</c:v>
                </c:pt>
                <c:pt idx="32">
                  <c:v>7.6042556882299399</c:v>
                </c:pt>
                <c:pt idx="33">
                  <c:v>8.0788975321340004</c:v>
                </c:pt>
                <c:pt idx="34">
                  <c:v>6.1740086593389103</c:v>
                </c:pt>
                <c:pt idx="35">
                  <c:v>7.5161087210162698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'Conv 3.5 13'!$F$1</c:f>
              <c:strCache>
                <c:ptCount val="1"/>
                <c:pt idx="0">
                  <c:v>CQ model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cat>
            <c:numRef>
              <c:f>'Conv 3.5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3.5 13'!$F$2:$F$37</c:f>
              <c:numCache>
                <c:formatCode>General</c:formatCode>
                <c:ptCount val="36"/>
                <c:pt idx="0">
                  <c:v>0.61725090720328202</c:v>
                </c:pt>
                <c:pt idx="1">
                  <c:v>0.63208547579000096</c:v>
                </c:pt>
                <c:pt idx="2">
                  <c:v>0.803502883955864</c:v>
                </c:pt>
                <c:pt idx="3">
                  <c:v>1.0537971166656801</c:v>
                </c:pt>
                <c:pt idx="4">
                  <c:v>1.4386392601014899</c:v>
                </c:pt>
                <c:pt idx="5">
                  <c:v>1.5176833669379599</c:v>
                </c:pt>
                <c:pt idx="6">
                  <c:v>1.1946897004563299</c:v>
                </c:pt>
                <c:pt idx="7">
                  <c:v>1.22437411255366</c:v>
                </c:pt>
                <c:pt idx="8">
                  <c:v>1.3173639569206099</c:v>
                </c:pt>
                <c:pt idx="9">
                  <c:v>1.50395020453964</c:v>
                </c:pt>
                <c:pt idx="10">
                  <c:v>1.8128627419144201</c:v>
                </c:pt>
                <c:pt idx="11">
                  <c:v>1.9821842485499499</c:v>
                </c:pt>
                <c:pt idx="12">
                  <c:v>2.0008934550434501</c:v>
                </c:pt>
                <c:pt idx="13">
                  <c:v>2.1988809463200001</c:v>
                </c:pt>
                <c:pt idx="14">
                  <c:v>2.6162524980675701</c:v>
                </c:pt>
                <c:pt idx="15">
                  <c:v>2.83932342177259</c:v>
                </c:pt>
                <c:pt idx="16">
                  <c:v>3.57407297004674</c:v>
                </c:pt>
                <c:pt idx="17">
                  <c:v>4.9525464739651097</c:v>
                </c:pt>
                <c:pt idx="18">
                  <c:v>5.8449875550036303</c:v>
                </c:pt>
                <c:pt idx="19">
                  <c:v>6.9032821272948004</c:v>
                </c:pt>
                <c:pt idx="20">
                  <c:v>6.9698761596488099</c:v>
                </c:pt>
                <c:pt idx="21">
                  <c:v>7.16429129590108</c:v>
                </c:pt>
                <c:pt idx="22">
                  <c:v>8.0136428715270096</c:v>
                </c:pt>
                <c:pt idx="23">
                  <c:v>10.024436704536701</c:v>
                </c:pt>
                <c:pt idx="24">
                  <c:v>11.2780146348603</c:v>
                </c:pt>
                <c:pt idx="25">
                  <c:v>15.0723191015982</c:v>
                </c:pt>
                <c:pt idx="26">
                  <c:v>17.518676942132199</c:v>
                </c:pt>
                <c:pt idx="27">
                  <c:v>20.830436445535099</c:v>
                </c:pt>
                <c:pt idx="28">
                  <c:v>26.2231949323753</c:v>
                </c:pt>
                <c:pt idx="29">
                  <c:v>24.637467397025699</c:v>
                </c:pt>
                <c:pt idx="30">
                  <c:v>22.8283113104495</c:v>
                </c:pt>
                <c:pt idx="31">
                  <c:v>23.2051879662944</c:v>
                </c:pt>
                <c:pt idx="32">
                  <c:v>25.0418347015686</c:v>
                </c:pt>
                <c:pt idx="33">
                  <c:v>25.042481130128898</c:v>
                </c:pt>
                <c:pt idx="34">
                  <c:v>26.221578981985299</c:v>
                </c:pt>
                <c:pt idx="35">
                  <c:v>23.261525631932201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457472"/>
        <c:axId val="522459392"/>
      </c:lineChart>
      <c:dateAx>
        <c:axId val="522457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2459392"/>
        <c:crosses val="autoZero"/>
        <c:auto val="1"/>
        <c:lblOffset val="100"/>
        <c:baseTimeUnit val="months"/>
      </c:dateAx>
      <c:valAx>
        <c:axId val="52245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2457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 3.5 12 '!$C$1</c:f>
              <c:strCache>
                <c:ptCount val="1"/>
                <c:pt idx="0">
                  <c:v>Conv Act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'Conv 3.5 12 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3.5 12 '!$C$2:$C$49</c:f>
              <c:numCache>
                <c:formatCode>General</c:formatCode>
                <c:ptCount val="48"/>
                <c:pt idx="0">
                  <c:v>3.3899120025493402E-4</c:v>
                </c:pt>
                <c:pt idx="1">
                  <c:v>4.0715338464136802E-2</c:v>
                </c:pt>
                <c:pt idx="2">
                  <c:v>0.17821749015886101</c:v>
                </c:pt>
                <c:pt idx="3">
                  <c:v>2.3298694995772999</c:v>
                </c:pt>
                <c:pt idx="4">
                  <c:v>3.22055815527359</c:v>
                </c:pt>
                <c:pt idx="5">
                  <c:v>3.0183819315808802</c:v>
                </c:pt>
                <c:pt idx="6">
                  <c:v>3.4160930783824801</c:v>
                </c:pt>
                <c:pt idx="7">
                  <c:v>5.2178291103207499</c:v>
                </c:pt>
                <c:pt idx="8">
                  <c:v>2.69336577397398</c:v>
                </c:pt>
                <c:pt idx="9">
                  <c:v>2.7141185180771799</c:v>
                </c:pt>
                <c:pt idx="10">
                  <c:v>4.6664503189171898</c:v>
                </c:pt>
                <c:pt idx="11">
                  <c:v>3.65539006314313</c:v>
                </c:pt>
                <c:pt idx="12">
                  <c:v>3.5218741771973798</c:v>
                </c:pt>
                <c:pt idx="13">
                  <c:v>4.3971394915130597</c:v>
                </c:pt>
                <c:pt idx="14">
                  <c:v>4.46551556485917</c:v>
                </c:pt>
                <c:pt idx="15">
                  <c:v>5.18599693025243</c:v>
                </c:pt>
                <c:pt idx="16">
                  <c:v>7.7185764368173402</c:v>
                </c:pt>
                <c:pt idx="17">
                  <c:v>10.131433949471299</c:v>
                </c:pt>
                <c:pt idx="18">
                  <c:v>7.06494596085202</c:v>
                </c:pt>
                <c:pt idx="19">
                  <c:v>6.9792498884586696</c:v>
                </c:pt>
                <c:pt idx="20">
                  <c:v>4.5283874557230197</c:v>
                </c:pt>
                <c:pt idx="21">
                  <c:v>5.8423314922717502</c:v>
                </c:pt>
                <c:pt idx="22">
                  <c:v>3.61762956828301</c:v>
                </c:pt>
                <c:pt idx="23">
                  <c:v>5.73155690685235</c:v>
                </c:pt>
                <c:pt idx="24">
                  <c:v>2.9087983675579498</c:v>
                </c:pt>
                <c:pt idx="25">
                  <c:v>3.1259869803679599</c:v>
                </c:pt>
                <c:pt idx="26">
                  <c:v>5.6484565215326397</c:v>
                </c:pt>
                <c:pt idx="27">
                  <c:v>5.4380446103488902</c:v>
                </c:pt>
                <c:pt idx="28">
                  <c:v>8.33345008335505</c:v>
                </c:pt>
                <c:pt idx="29">
                  <c:v>9.0622616611190008</c:v>
                </c:pt>
                <c:pt idx="30">
                  <c:v>7.8089863837981897</c:v>
                </c:pt>
                <c:pt idx="31">
                  <c:v>9.1065043512562802</c:v>
                </c:pt>
                <c:pt idx="32">
                  <c:v>6.9228710276632697</c:v>
                </c:pt>
                <c:pt idx="33">
                  <c:v>9.9052148560914208</c:v>
                </c:pt>
                <c:pt idx="34">
                  <c:v>5.2173357872271104</c:v>
                </c:pt>
                <c:pt idx="35">
                  <c:v>7.4221559620292403</c:v>
                </c:pt>
                <c:pt idx="36">
                  <c:v>6.9253204690961603</c:v>
                </c:pt>
                <c:pt idx="37">
                  <c:v>8.7798883018161007</c:v>
                </c:pt>
                <c:pt idx="38">
                  <c:v>12.282544471590301</c:v>
                </c:pt>
                <c:pt idx="39">
                  <c:v>10.534341426052899</c:v>
                </c:pt>
                <c:pt idx="40">
                  <c:v>10.524974227974599</c:v>
                </c:pt>
                <c:pt idx="41">
                  <c:v>14.6916274531175</c:v>
                </c:pt>
                <c:pt idx="42">
                  <c:v>11.900457222695699</c:v>
                </c:pt>
                <c:pt idx="43">
                  <c:v>11.809639458601501</c:v>
                </c:pt>
                <c:pt idx="44">
                  <c:v>11.472088769313499</c:v>
                </c:pt>
                <c:pt idx="45">
                  <c:v>9.9014300051103206</c:v>
                </c:pt>
                <c:pt idx="46">
                  <c:v>7.7025754603598102</c:v>
                </c:pt>
                <c:pt idx="47">
                  <c:v>11.3805573345097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 3.5 12 '!$D$1</c:f>
              <c:strCache>
                <c:ptCount val="1"/>
                <c:pt idx="0">
                  <c:v>Conv Model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'Conv 3.5 12 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3.5 12 '!$D$2:$D$49</c:f>
              <c:numCache>
                <c:formatCode>General</c:formatCode>
                <c:ptCount val="48"/>
                <c:pt idx="0">
                  <c:v>0.54221489259419497</c:v>
                </c:pt>
                <c:pt idx="1">
                  <c:v>1.38565564074999</c:v>
                </c:pt>
                <c:pt idx="2">
                  <c:v>2.54474917686177</c:v>
                </c:pt>
                <c:pt idx="3">
                  <c:v>4.2146841094880498</c:v>
                </c:pt>
                <c:pt idx="4">
                  <c:v>5.9087265737653496</c:v>
                </c:pt>
                <c:pt idx="5">
                  <c:v>8.8150102511646296</c:v>
                </c:pt>
                <c:pt idx="6">
                  <c:v>10.791018756521201</c:v>
                </c:pt>
                <c:pt idx="7">
                  <c:v>12.209940081416599</c:v>
                </c:pt>
                <c:pt idx="8">
                  <c:v>10.297705796279301</c:v>
                </c:pt>
                <c:pt idx="9">
                  <c:v>13.3466167681356</c:v>
                </c:pt>
                <c:pt idx="10">
                  <c:v>15.676483759007199</c:v>
                </c:pt>
                <c:pt idx="11">
                  <c:v>16.1418274607143</c:v>
                </c:pt>
                <c:pt idx="12">
                  <c:v>16.2579378739749</c:v>
                </c:pt>
                <c:pt idx="13">
                  <c:v>16.420370715926801</c:v>
                </c:pt>
                <c:pt idx="14">
                  <c:v>14.5581525802979</c:v>
                </c:pt>
                <c:pt idx="15">
                  <c:v>16.293562717412801</c:v>
                </c:pt>
                <c:pt idx="16">
                  <c:v>23.605603034558001</c:v>
                </c:pt>
                <c:pt idx="17">
                  <c:v>22.393716849100599</c:v>
                </c:pt>
                <c:pt idx="18">
                  <c:v>14.490252471592401</c:v>
                </c:pt>
                <c:pt idx="19">
                  <c:v>12.117012964993201</c:v>
                </c:pt>
                <c:pt idx="20">
                  <c:v>10.329755611754701</c:v>
                </c:pt>
                <c:pt idx="21">
                  <c:v>10.313631380558</c:v>
                </c:pt>
                <c:pt idx="22">
                  <c:v>12.272457593769801</c:v>
                </c:pt>
                <c:pt idx="23">
                  <c:v>12.2482023388506</c:v>
                </c:pt>
                <c:pt idx="24">
                  <c:v>9.2909029842372508</c:v>
                </c:pt>
                <c:pt idx="25">
                  <c:v>9.97317822676718</c:v>
                </c:pt>
                <c:pt idx="26">
                  <c:v>12.804288454186899</c:v>
                </c:pt>
                <c:pt idx="27">
                  <c:v>15.212891744186599</c:v>
                </c:pt>
                <c:pt idx="28">
                  <c:v>17.468929814276201</c:v>
                </c:pt>
                <c:pt idx="29">
                  <c:v>20.326380600925901</c:v>
                </c:pt>
                <c:pt idx="30">
                  <c:v>20.687774379859601</c:v>
                </c:pt>
                <c:pt idx="31">
                  <c:v>21.594027823093001</c:v>
                </c:pt>
                <c:pt idx="32">
                  <c:v>21.539506067088801</c:v>
                </c:pt>
                <c:pt idx="33">
                  <c:v>20.8539858623718</c:v>
                </c:pt>
                <c:pt idx="34">
                  <c:v>23.362654270134399</c:v>
                </c:pt>
                <c:pt idx="35">
                  <c:v>27.1788364064532</c:v>
                </c:pt>
                <c:pt idx="36">
                  <c:v>28.657884705752899</c:v>
                </c:pt>
                <c:pt idx="37">
                  <c:v>33.924499584986798</c:v>
                </c:pt>
                <c:pt idx="38">
                  <c:v>34.759760083069501</c:v>
                </c:pt>
                <c:pt idx="39">
                  <c:v>34.377847771672698</c:v>
                </c:pt>
                <c:pt idx="40">
                  <c:v>37.294598935862197</c:v>
                </c:pt>
                <c:pt idx="41">
                  <c:v>33.0407611443948</c:v>
                </c:pt>
                <c:pt idx="42">
                  <c:v>29.7636752056586</c:v>
                </c:pt>
                <c:pt idx="43">
                  <c:v>28.185515431122901</c:v>
                </c:pt>
                <c:pt idx="44">
                  <c:v>31.160622293288501</c:v>
                </c:pt>
                <c:pt idx="45">
                  <c:v>30.736408980241499</c:v>
                </c:pt>
                <c:pt idx="46">
                  <c:v>31.5607222963997</c:v>
                </c:pt>
                <c:pt idx="47">
                  <c:v>27.884135946644701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 3.5 12 '!$E$1</c:f>
              <c:strCache>
                <c:ptCount val="1"/>
                <c:pt idx="0">
                  <c:v>CQ Act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'Conv 3.5 12 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3.5 12 '!$E$2:$E$49</c:f>
              <c:numCache>
                <c:formatCode>General</c:formatCode>
                <c:ptCount val="48"/>
                <c:pt idx="0">
                  <c:v>0.13311837705238799</c:v>
                </c:pt>
                <c:pt idx="1">
                  <c:v>0.54729849315739998</c:v>
                </c:pt>
                <c:pt idx="2">
                  <c:v>0.33825682333601398</c:v>
                </c:pt>
                <c:pt idx="3">
                  <c:v>0.78772790599405096</c:v>
                </c:pt>
                <c:pt idx="4">
                  <c:v>1.2948442357188099</c:v>
                </c:pt>
                <c:pt idx="5">
                  <c:v>1.41842721177453</c:v>
                </c:pt>
                <c:pt idx="6">
                  <c:v>0.58652886375567503</c:v>
                </c:pt>
                <c:pt idx="7">
                  <c:v>1.06980451742803</c:v>
                </c:pt>
                <c:pt idx="8">
                  <c:v>1.0675935184327401</c:v>
                </c:pt>
                <c:pt idx="9">
                  <c:v>1.3423221370849601</c:v>
                </c:pt>
                <c:pt idx="10">
                  <c:v>1.1031994253394499</c:v>
                </c:pt>
                <c:pt idx="11">
                  <c:v>1.35857240419748</c:v>
                </c:pt>
                <c:pt idx="12">
                  <c:v>1.4466949656239001</c:v>
                </c:pt>
                <c:pt idx="13">
                  <c:v>1.3656706730686801</c:v>
                </c:pt>
                <c:pt idx="14">
                  <c:v>2.2748843429445502</c:v>
                </c:pt>
                <c:pt idx="15">
                  <c:v>3.3496616471722098</c:v>
                </c:pt>
                <c:pt idx="16">
                  <c:v>4.2790616466754896</c:v>
                </c:pt>
                <c:pt idx="17">
                  <c:v>4.3984499911280297</c:v>
                </c:pt>
                <c:pt idx="18">
                  <c:v>5.7545837663813302</c:v>
                </c:pt>
                <c:pt idx="19">
                  <c:v>3.93870260082732</c:v>
                </c:pt>
                <c:pt idx="20">
                  <c:v>4.1332623613683204</c:v>
                </c:pt>
                <c:pt idx="21">
                  <c:v>4.1553160267561102</c:v>
                </c:pt>
                <c:pt idx="22">
                  <c:v>3.8641205400352199</c:v>
                </c:pt>
                <c:pt idx="23">
                  <c:v>4.45358156580689</c:v>
                </c:pt>
                <c:pt idx="24">
                  <c:v>3.4997990854065999</c:v>
                </c:pt>
                <c:pt idx="25">
                  <c:v>4.0902696323400898</c:v>
                </c:pt>
                <c:pt idx="26">
                  <c:v>5.27324323405323</c:v>
                </c:pt>
                <c:pt idx="27">
                  <c:v>5.5666589266716002</c:v>
                </c:pt>
                <c:pt idx="28">
                  <c:v>6.4817268078958001</c:v>
                </c:pt>
                <c:pt idx="29">
                  <c:v>6.8912317100115601</c:v>
                </c:pt>
                <c:pt idx="30">
                  <c:v>8.1821234681233808</c:v>
                </c:pt>
                <c:pt idx="31">
                  <c:v>7.3251746696421298</c:v>
                </c:pt>
                <c:pt idx="32">
                  <c:v>5.8497140689206599</c:v>
                </c:pt>
                <c:pt idx="33">
                  <c:v>7.5166707320653803</c:v>
                </c:pt>
                <c:pt idx="34">
                  <c:v>6.1483109067524504</c:v>
                </c:pt>
                <c:pt idx="35">
                  <c:v>6.69755459870363</c:v>
                </c:pt>
                <c:pt idx="36">
                  <c:v>4.3234793926000803</c:v>
                </c:pt>
                <c:pt idx="37">
                  <c:v>7.4188254022990998</c:v>
                </c:pt>
                <c:pt idx="38">
                  <c:v>9.2793438789049105</c:v>
                </c:pt>
                <c:pt idx="39">
                  <c:v>10.3371536094182</c:v>
                </c:pt>
                <c:pt idx="40">
                  <c:v>9.8347237086167798</c:v>
                </c:pt>
                <c:pt idx="41">
                  <c:v>11.3211637995181</c:v>
                </c:pt>
                <c:pt idx="42">
                  <c:v>11.184780948608999</c:v>
                </c:pt>
                <c:pt idx="43">
                  <c:v>9.4689376650899906</c:v>
                </c:pt>
                <c:pt idx="44">
                  <c:v>11.337494148533199</c:v>
                </c:pt>
                <c:pt idx="45">
                  <c:v>9.2770014758118098</c:v>
                </c:pt>
                <c:pt idx="46">
                  <c:v>8.2135104279118796</c:v>
                </c:pt>
                <c:pt idx="47">
                  <c:v>9.11931377444383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'Conv 3.5 12 '!$F$1</c:f>
              <c:strCache>
                <c:ptCount val="1"/>
                <c:pt idx="0">
                  <c:v>CQ model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cat>
            <c:numRef>
              <c:f>'Conv 3.5 12 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3.5 12 '!$F$2:$F$49</c:f>
              <c:numCache>
                <c:formatCode>General</c:formatCode>
                <c:ptCount val="48"/>
                <c:pt idx="0">
                  <c:v>0.373263083214459</c:v>
                </c:pt>
                <c:pt idx="1">
                  <c:v>0.53704906713456502</c:v>
                </c:pt>
                <c:pt idx="2">
                  <c:v>0.531495280645922</c:v>
                </c:pt>
                <c:pt idx="3">
                  <c:v>0.497014121997574</c:v>
                </c:pt>
                <c:pt idx="4">
                  <c:v>0.68194846865355896</c:v>
                </c:pt>
                <c:pt idx="5">
                  <c:v>0.92264305145088898</c:v>
                </c:pt>
                <c:pt idx="6">
                  <c:v>1.14951816633205</c:v>
                </c:pt>
                <c:pt idx="7">
                  <c:v>1.23396813072456</c:v>
                </c:pt>
                <c:pt idx="8">
                  <c:v>1.1914870045592001</c:v>
                </c:pt>
                <c:pt idx="9">
                  <c:v>1.4024738463069599</c:v>
                </c:pt>
                <c:pt idx="10">
                  <c:v>1.58302129074646</c:v>
                </c:pt>
                <c:pt idx="11">
                  <c:v>1.6836865744192999</c:v>
                </c:pt>
                <c:pt idx="12">
                  <c:v>1.77880510023812</c:v>
                </c:pt>
                <c:pt idx="13">
                  <c:v>1.9915727285264599</c:v>
                </c:pt>
                <c:pt idx="14">
                  <c:v>2.19803254737888</c:v>
                </c:pt>
                <c:pt idx="15">
                  <c:v>2.5947097788212599</c:v>
                </c:pt>
                <c:pt idx="16">
                  <c:v>4.0459463862056797</c:v>
                </c:pt>
                <c:pt idx="17">
                  <c:v>4.4773016715364902</c:v>
                </c:pt>
                <c:pt idx="18">
                  <c:v>3.5361988183428101</c:v>
                </c:pt>
                <c:pt idx="19">
                  <c:v>3.4200041763276601</c:v>
                </c:pt>
                <c:pt idx="20">
                  <c:v>3.1297848493627898</c:v>
                </c:pt>
                <c:pt idx="21">
                  <c:v>3.4447710916027399</c:v>
                </c:pt>
                <c:pt idx="22">
                  <c:v>4.1934838329662298</c:v>
                </c:pt>
                <c:pt idx="23">
                  <c:v>4.3263193708624401</c:v>
                </c:pt>
                <c:pt idx="24">
                  <c:v>3.8378028191054399</c:v>
                </c:pt>
                <c:pt idx="25">
                  <c:v>4.22598904378874</c:v>
                </c:pt>
                <c:pt idx="26">
                  <c:v>6.34208900047157</c:v>
                </c:pt>
                <c:pt idx="27">
                  <c:v>9.3203649056777707</c:v>
                </c:pt>
                <c:pt idx="28">
                  <c:v>12.517299745292799</c:v>
                </c:pt>
                <c:pt idx="29">
                  <c:v>16.4343921825667</c:v>
                </c:pt>
                <c:pt idx="30">
                  <c:v>17.196688982112601</c:v>
                </c:pt>
                <c:pt idx="31">
                  <c:v>18.783840430915099</c:v>
                </c:pt>
                <c:pt idx="32">
                  <c:v>18.206570044698999</c:v>
                </c:pt>
                <c:pt idx="33">
                  <c:v>17.7993232446475</c:v>
                </c:pt>
                <c:pt idx="34">
                  <c:v>20.357324870127002</c:v>
                </c:pt>
                <c:pt idx="35">
                  <c:v>26.175521505152901</c:v>
                </c:pt>
                <c:pt idx="36">
                  <c:v>27.885398086076201</c:v>
                </c:pt>
                <c:pt idx="37">
                  <c:v>32.743682034624001</c:v>
                </c:pt>
                <c:pt idx="38">
                  <c:v>34.299777896700299</c:v>
                </c:pt>
                <c:pt idx="39">
                  <c:v>35.275276927718203</c:v>
                </c:pt>
                <c:pt idx="40">
                  <c:v>38.983300882522897</c:v>
                </c:pt>
                <c:pt idx="41">
                  <c:v>35.289776411218497</c:v>
                </c:pt>
                <c:pt idx="42">
                  <c:v>32.2519342591509</c:v>
                </c:pt>
                <c:pt idx="43">
                  <c:v>31.519639553807799</c:v>
                </c:pt>
                <c:pt idx="44">
                  <c:v>33.805217360950898</c:v>
                </c:pt>
                <c:pt idx="45">
                  <c:v>33.220936048582601</c:v>
                </c:pt>
                <c:pt idx="46">
                  <c:v>33.903323321467902</c:v>
                </c:pt>
                <c:pt idx="47">
                  <c:v>30.594085546638699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579904"/>
        <c:axId val="497581440"/>
      </c:lineChart>
      <c:dateAx>
        <c:axId val="497579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7581440"/>
        <c:crosses val="autoZero"/>
        <c:auto val="1"/>
        <c:lblOffset val="100"/>
        <c:baseTimeUnit val="months"/>
      </c:dateAx>
      <c:valAx>
        <c:axId val="497581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7579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 4.0 13'!$C$1</c:f>
              <c:strCache>
                <c:ptCount val="1"/>
                <c:pt idx="0">
                  <c:v>Conv Act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'Conv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4.0 13'!$C$2:$C$37</c:f>
              <c:numCache>
                <c:formatCode>General</c:formatCode>
                <c:ptCount val="36"/>
                <c:pt idx="0">
                  <c:v>6.8953289138584698E-3</c:v>
                </c:pt>
                <c:pt idx="1">
                  <c:v>0.21802221604684299</c:v>
                </c:pt>
                <c:pt idx="2">
                  <c:v>5.5449263940042899</c:v>
                </c:pt>
                <c:pt idx="3">
                  <c:v>3.6276470660019702</c:v>
                </c:pt>
                <c:pt idx="4">
                  <c:v>0.13888102571574201</c:v>
                </c:pt>
                <c:pt idx="5">
                  <c:v>1.2491519328551499</c:v>
                </c:pt>
                <c:pt idx="6">
                  <c:v>2.9022043690334498</c:v>
                </c:pt>
                <c:pt idx="7">
                  <c:v>2.9179014876479799</c:v>
                </c:pt>
                <c:pt idx="8">
                  <c:v>2.7857773978867901</c:v>
                </c:pt>
                <c:pt idx="9">
                  <c:v>3.4591235602834498</c:v>
                </c:pt>
                <c:pt idx="10">
                  <c:v>1.62461142354142</c:v>
                </c:pt>
                <c:pt idx="11">
                  <c:v>2.4569770639325901</c:v>
                </c:pt>
                <c:pt idx="12">
                  <c:v>1.99215606005435</c:v>
                </c:pt>
                <c:pt idx="13">
                  <c:v>2.5851698841665698</c:v>
                </c:pt>
                <c:pt idx="14">
                  <c:v>5.6707349303542802</c:v>
                </c:pt>
                <c:pt idx="15">
                  <c:v>3.9692678732809101</c:v>
                </c:pt>
                <c:pt idx="16">
                  <c:v>6.0224013831981802</c:v>
                </c:pt>
                <c:pt idx="17">
                  <c:v>5.3801179326838398</c:v>
                </c:pt>
                <c:pt idx="18">
                  <c:v>5.4711114761991997</c:v>
                </c:pt>
                <c:pt idx="19">
                  <c:v>6.7254097665898103</c:v>
                </c:pt>
                <c:pt idx="20">
                  <c:v>5.3180380704133796</c:v>
                </c:pt>
                <c:pt idx="21">
                  <c:v>8.4969753978830607</c:v>
                </c:pt>
                <c:pt idx="22">
                  <c:v>7.0376016072676899</c:v>
                </c:pt>
                <c:pt idx="23">
                  <c:v>8.0052679506098503</c:v>
                </c:pt>
                <c:pt idx="24">
                  <c:v>9.2572489296589495</c:v>
                </c:pt>
                <c:pt idx="25">
                  <c:v>7.4605574984497798</c:v>
                </c:pt>
                <c:pt idx="26">
                  <c:v>10.305370201687699</c:v>
                </c:pt>
                <c:pt idx="27">
                  <c:v>11.630532325331799</c:v>
                </c:pt>
                <c:pt idx="28">
                  <c:v>11.194288604478301</c:v>
                </c:pt>
                <c:pt idx="29">
                  <c:v>12.094187247075601</c:v>
                </c:pt>
                <c:pt idx="30">
                  <c:v>11.6461087456751</c:v>
                </c:pt>
                <c:pt idx="31">
                  <c:v>9.4162644878003405</c:v>
                </c:pt>
                <c:pt idx="32">
                  <c:v>13.5272630410789</c:v>
                </c:pt>
                <c:pt idx="33">
                  <c:v>11.3931091494344</c:v>
                </c:pt>
                <c:pt idx="34">
                  <c:v>10.469594789266701</c:v>
                </c:pt>
                <c:pt idx="35">
                  <c:v>7.8536312077284602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 4.0 13'!$D$1</c:f>
              <c:strCache>
                <c:ptCount val="1"/>
                <c:pt idx="0">
                  <c:v>Conv Model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'Conv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4.0 13'!$D$2:$D$37</c:f>
              <c:numCache>
                <c:formatCode>General</c:formatCode>
                <c:ptCount val="36"/>
                <c:pt idx="0">
                  <c:v>17.495708728259899</c:v>
                </c:pt>
                <c:pt idx="1">
                  <c:v>9.6935200946916407</c:v>
                </c:pt>
                <c:pt idx="2">
                  <c:v>8.0535038396945193</c:v>
                </c:pt>
                <c:pt idx="3">
                  <c:v>6.7423979849863498</c:v>
                </c:pt>
                <c:pt idx="4">
                  <c:v>11.652340064326101</c:v>
                </c:pt>
                <c:pt idx="5">
                  <c:v>13.310434193434</c:v>
                </c:pt>
                <c:pt idx="6">
                  <c:v>7.7859066051416903</c:v>
                </c:pt>
                <c:pt idx="7">
                  <c:v>6.0325514503197004</c:v>
                </c:pt>
                <c:pt idx="8">
                  <c:v>4.6443022200859696</c:v>
                </c:pt>
                <c:pt idx="9">
                  <c:v>4.6077476251073302</c:v>
                </c:pt>
                <c:pt idx="10">
                  <c:v>6.0944795495844497</c:v>
                </c:pt>
                <c:pt idx="11">
                  <c:v>6.1324219818063801</c:v>
                </c:pt>
                <c:pt idx="12">
                  <c:v>4.9400089701921601</c:v>
                </c:pt>
                <c:pt idx="13">
                  <c:v>5.6273150842893598</c:v>
                </c:pt>
                <c:pt idx="14">
                  <c:v>7.8983481899475896</c:v>
                </c:pt>
                <c:pt idx="15">
                  <c:v>9.79370876459196</c:v>
                </c:pt>
                <c:pt idx="16">
                  <c:v>11.9500409183006</c:v>
                </c:pt>
                <c:pt idx="17">
                  <c:v>15.3719232120885</c:v>
                </c:pt>
                <c:pt idx="18">
                  <c:v>16.3384797626215</c:v>
                </c:pt>
                <c:pt idx="19">
                  <c:v>17.646232216371398</c:v>
                </c:pt>
                <c:pt idx="20">
                  <c:v>17.402761577724899</c:v>
                </c:pt>
                <c:pt idx="21">
                  <c:v>17.205566883463401</c:v>
                </c:pt>
                <c:pt idx="22">
                  <c:v>19.795245058425799</c:v>
                </c:pt>
                <c:pt idx="23">
                  <c:v>25.572470146783399</c:v>
                </c:pt>
                <c:pt idx="24">
                  <c:v>27.363843581760701</c:v>
                </c:pt>
                <c:pt idx="25">
                  <c:v>33.229604522870702</c:v>
                </c:pt>
                <c:pt idx="26">
                  <c:v>34.377182763378997</c:v>
                </c:pt>
                <c:pt idx="27">
                  <c:v>35.350278591647999</c:v>
                </c:pt>
                <c:pt idx="28">
                  <c:v>39.056103199933098</c:v>
                </c:pt>
                <c:pt idx="29">
                  <c:v>35.153543784329102</c:v>
                </c:pt>
                <c:pt idx="30">
                  <c:v>32.551367922186898</c:v>
                </c:pt>
                <c:pt idx="31">
                  <c:v>31.640801388772601</c:v>
                </c:pt>
                <c:pt idx="32">
                  <c:v>33.785829964144703</c:v>
                </c:pt>
                <c:pt idx="33">
                  <c:v>33.268933749496298</c:v>
                </c:pt>
                <c:pt idx="34">
                  <c:v>34.1584828161606</c:v>
                </c:pt>
                <c:pt idx="35">
                  <c:v>30.672399758432501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 4.0 13'!$E$1</c:f>
              <c:strCache>
                <c:ptCount val="1"/>
                <c:pt idx="0">
                  <c:v>CQ Act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'Conv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4.0 13'!$E$2:$E$37</c:f>
              <c:numCache>
                <c:formatCode>General</c:formatCode>
                <c:ptCount val="36"/>
                <c:pt idx="0">
                  <c:v>0.175713761323326</c:v>
                </c:pt>
                <c:pt idx="1">
                  <c:v>1.4076125545573901</c:v>
                </c:pt>
                <c:pt idx="2">
                  <c:v>0.53866158869957403</c:v>
                </c:pt>
                <c:pt idx="3">
                  <c:v>1.3040200021236601</c:v>
                </c:pt>
                <c:pt idx="4">
                  <c:v>1.5086563747561099</c:v>
                </c:pt>
                <c:pt idx="5">
                  <c:v>2.1320347136088502</c:v>
                </c:pt>
                <c:pt idx="6">
                  <c:v>1.41269049886298</c:v>
                </c:pt>
                <c:pt idx="7">
                  <c:v>2.0477129698812502</c:v>
                </c:pt>
                <c:pt idx="8">
                  <c:v>1.65974117522664</c:v>
                </c:pt>
                <c:pt idx="9">
                  <c:v>1.69430246666377</c:v>
                </c:pt>
                <c:pt idx="10">
                  <c:v>2.0164125801628701</c:v>
                </c:pt>
                <c:pt idx="11">
                  <c:v>2.8231379577377398</c:v>
                </c:pt>
                <c:pt idx="12">
                  <c:v>2.5745762925061402</c:v>
                </c:pt>
                <c:pt idx="13">
                  <c:v>2.7788697047950301</c:v>
                </c:pt>
                <c:pt idx="14">
                  <c:v>2.8632699861647799</c:v>
                </c:pt>
                <c:pt idx="15">
                  <c:v>3.7319759732134501</c:v>
                </c:pt>
                <c:pt idx="16">
                  <c:v>4.0770416632663098</c:v>
                </c:pt>
                <c:pt idx="17">
                  <c:v>3.80131706157306</c:v>
                </c:pt>
                <c:pt idx="18">
                  <c:v>4.7985799521396801</c:v>
                </c:pt>
                <c:pt idx="19">
                  <c:v>5.3028714396974204</c:v>
                </c:pt>
                <c:pt idx="20">
                  <c:v>4.7853513794234699</c:v>
                </c:pt>
                <c:pt idx="21">
                  <c:v>6.2622696888914096</c:v>
                </c:pt>
                <c:pt idx="22">
                  <c:v>4.68878404674685</c:v>
                </c:pt>
                <c:pt idx="23">
                  <c:v>5.4054088355828398</c:v>
                </c:pt>
                <c:pt idx="24">
                  <c:v>4.2527869743063302</c:v>
                </c:pt>
                <c:pt idx="25">
                  <c:v>5.9995883368899703</c:v>
                </c:pt>
                <c:pt idx="26">
                  <c:v>7.7433577860941503</c:v>
                </c:pt>
                <c:pt idx="27">
                  <c:v>8.1890206957123599</c:v>
                </c:pt>
                <c:pt idx="28">
                  <c:v>7.0850204039629396</c:v>
                </c:pt>
                <c:pt idx="29">
                  <c:v>10.2431171149502</c:v>
                </c:pt>
                <c:pt idx="30">
                  <c:v>8.2418808611601708</c:v>
                </c:pt>
                <c:pt idx="31">
                  <c:v>9.6253119190808807</c:v>
                </c:pt>
                <c:pt idx="32">
                  <c:v>8.0498299614579008</c:v>
                </c:pt>
                <c:pt idx="33">
                  <c:v>8.4787487228178708</c:v>
                </c:pt>
                <c:pt idx="34">
                  <c:v>6.1517215668283303</c:v>
                </c:pt>
                <c:pt idx="35">
                  <c:v>8.0462497584834995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'Conv 4.0 13'!$F$1</c:f>
              <c:strCache>
                <c:ptCount val="1"/>
                <c:pt idx="0">
                  <c:v>CQ model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cat>
            <c:numRef>
              <c:f>'Conv 4.0 13'!$B$2:$B$37</c:f>
              <c:numCache>
                <c:formatCode>m/d/yyyy</c:formatCode>
                <c:ptCount val="36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</c:numCache>
            </c:numRef>
          </c:cat>
          <c:val>
            <c:numRef>
              <c:f>'Conv 4.0 13'!$F$2:$F$37</c:f>
              <c:numCache>
                <c:formatCode>General</c:formatCode>
                <c:ptCount val="36"/>
                <c:pt idx="0">
                  <c:v>0.64200687726686501</c:v>
                </c:pt>
                <c:pt idx="1">
                  <c:v>0.73733747177738795</c:v>
                </c:pt>
                <c:pt idx="2">
                  <c:v>1.2470513303453501</c:v>
                </c:pt>
                <c:pt idx="3">
                  <c:v>1.2518293465070101</c:v>
                </c:pt>
                <c:pt idx="4">
                  <c:v>1.52205980744838</c:v>
                </c:pt>
                <c:pt idx="5">
                  <c:v>1.67058384275824</c:v>
                </c:pt>
                <c:pt idx="6">
                  <c:v>1.3348314759519699</c:v>
                </c:pt>
                <c:pt idx="7">
                  <c:v>1.4490923812052201</c:v>
                </c:pt>
                <c:pt idx="8">
                  <c:v>1.3862923582272999</c:v>
                </c:pt>
                <c:pt idx="9">
                  <c:v>1.4978004481843701</c:v>
                </c:pt>
                <c:pt idx="10">
                  <c:v>1.85841224258528</c:v>
                </c:pt>
                <c:pt idx="11">
                  <c:v>2.0320932644390099</c:v>
                </c:pt>
                <c:pt idx="12">
                  <c:v>1.9956772394520801</c:v>
                </c:pt>
                <c:pt idx="13">
                  <c:v>2.2407143510201699</c:v>
                </c:pt>
                <c:pt idx="14">
                  <c:v>2.8729938366198202</c:v>
                </c:pt>
                <c:pt idx="15">
                  <c:v>3.1264536950577502</c:v>
                </c:pt>
                <c:pt idx="16">
                  <c:v>3.6659837083518898</c:v>
                </c:pt>
                <c:pt idx="17">
                  <c:v>4.7336771096664902</c:v>
                </c:pt>
                <c:pt idx="18">
                  <c:v>5.30461675252646</c:v>
                </c:pt>
                <c:pt idx="19">
                  <c:v>6.1353882537736704</c:v>
                </c:pt>
                <c:pt idx="20">
                  <c:v>6.1947212954730499</c:v>
                </c:pt>
                <c:pt idx="21">
                  <c:v>6.2978752377116098</c:v>
                </c:pt>
                <c:pt idx="22">
                  <c:v>7.1210887843699204</c:v>
                </c:pt>
                <c:pt idx="23">
                  <c:v>8.3791474787495801</c:v>
                </c:pt>
                <c:pt idx="24">
                  <c:v>9.0549516055823194</c:v>
                </c:pt>
                <c:pt idx="25">
                  <c:v>11.6051495175612</c:v>
                </c:pt>
                <c:pt idx="26">
                  <c:v>14.213496281669901</c:v>
                </c:pt>
                <c:pt idx="27">
                  <c:v>16.5395852746672</c:v>
                </c:pt>
                <c:pt idx="28">
                  <c:v>20.7420271458586</c:v>
                </c:pt>
                <c:pt idx="29">
                  <c:v>19.828354951830299</c:v>
                </c:pt>
                <c:pt idx="30">
                  <c:v>18.8675908014899</c:v>
                </c:pt>
                <c:pt idx="31">
                  <c:v>20.161734617424099</c:v>
                </c:pt>
                <c:pt idx="32">
                  <c:v>21.579427648150499</c:v>
                </c:pt>
                <c:pt idx="33">
                  <c:v>21.599301980236199</c:v>
                </c:pt>
                <c:pt idx="34">
                  <c:v>22.451902842815201</c:v>
                </c:pt>
                <c:pt idx="35">
                  <c:v>20.403947839167301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358272"/>
        <c:axId val="497964160"/>
      </c:lineChart>
      <c:dateAx>
        <c:axId val="530358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97964160"/>
        <c:crosses val="autoZero"/>
        <c:auto val="1"/>
        <c:lblOffset val="100"/>
        <c:baseTimeUnit val="months"/>
      </c:dateAx>
      <c:valAx>
        <c:axId val="497964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0358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 4.0 12'!$C$1</c:f>
              <c:strCache>
                <c:ptCount val="1"/>
                <c:pt idx="0">
                  <c:v>Conv Act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'Conv 4.0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4.0 12'!$C$2:$C$49</c:f>
              <c:numCache>
                <c:formatCode>General</c:formatCode>
                <c:ptCount val="48"/>
                <c:pt idx="0">
                  <c:v>0.249481081694891</c:v>
                </c:pt>
                <c:pt idx="1">
                  <c:v>0.43304933369572302</c:v>
                </c:pt>
                <c:pt idx="2">
                  <c:v>2.1512571790934101</c:v>
                </c:pt>
                <c:pt idx="3">
                  <c:v>0.22851437365117899</c:v>
                </c:pt>
                <c:pt idx="4">
                  <c:v>1.75486353521155</c:v>
                </c:pt>
                <c:pt idx="5">
                  <c:v>2.0532481326192702</c:v>
                </c:pt>
                <c:pt idx="6">
                  <c:v>4.4879625139470702</c:v>
                </c:pt>
                <c:pt idx="7">
                  <c:v>6.5378071579715602</c:v>
                </c:pt>
                <c:pt idx="8">
                  <c:v>3.85857951274554</c:v>
                </c:pt>
                <c:pt idx="9">
                  <c:v>5.5250530049798803</c:v>
                </c:pt>
                <c:pt idx="10">
                  <c:v>5.4644231635070497</c:v>
                </c:pt>
                <c:pt idx="11">
                  <c:v>5.4604343627018803</c:v>
                </c:pt>
                <c:pt idx="12">
                  <c:v>9.0146654402873008</c:v>
                </c:pt>
                <c:pt idx="13">
                  <c:v>7.6568966437345898</c:v>
                </c:pt>
                <c:pt idx="14">
                  <c:v>7.5361068121126999</c:v>
                </c:pt>
                <c:pt idx="15">
                  <c:v>9.0860634791119406</c:v>
                </c:pt>
                <c:pt idx="16">
                  <c:v>11.651926536561099</c:v>
                </c:pt>
                <c:pt idx="17">
                  <c:v>10.2526808052882</c:v>
                </c:pt>
                <c:pt idx="18">
                  <c:v>8.3605542405336806</c:v>
                </c:pt>
                <c:pt idx="19">
                  <c:v>10.157086621652899</c:v>
                </c:pt>
                <c:pt idx="20">
                  <c:v>6.8697641358597297</c:v>
                </c:pt>
                <c:pt idx="21">
                  <c:v>6.9839822110816003</c:v>
                </c:pt>
                <c:pt idx="22">
                  <c:v>6.1290614988343401</c:v>
                </c:pt>
                <c:pt idx="23">
                  <c:v>6.52938363754597</c:v>
                </c:pt>
                <c:pt idx="24">
                  <c:v>5.82664046527188</c:v>
                </c:pt>
                <c:pt idx="25">
                  <c:v>6.2522302997430597</c:v>
                </c:pt>
                <c:pt idx="26">
                  <c:v>6.7728875949660603</c:v>
                </c:pt>
                <c:pt idx="27">
                  <c:v>7.6916876242326397</c:v>
                </c:pt>
                <c:pt idx="28">
                  <c:v>9.1428201368401396</c:v>
                </c:pt>
                <c:pt idx="29">
                  <c:v>10.8908199855322</c:v>
                </c:pt>
                <c:pt idx="30">
                  <c:v>12.2537504034871</c:v>
                </c:pt>
                <c:pt idx="31">
                  <c:v>10.4456577884705</c:v>
                </c:pt>
                <c:pt idx="32">
                  <c:v>9.5949884053298096</c:v>
                </c:pt>
                <c:pt idx="33">
                  <c:v>11.622118969703701</c:v>
                </c:pt>
                <c:pt idx="34">
                  <c:v>8.2506849970966698</c:v>
                </c:pt>
                <c:pt idx="35">
                  <c:v>11.022473380453601</c:v>
                </c:pt>
                <c:pt idx="36">
                  <c:v>9.6539224543857802</c:v>
                </c:pt>
                <c:pt idx="37">
                  <c:v>13.771631597098599</c:v>
                </c:pt>
                <c:pt idx="38">
                  <c:v>18.895419448138199</c:v>
                </c:pt>
                <c:pt idx="39">
                  <c:v>16.265721500238499</c:v>
                </c:pt>
                <c:pt idx="40">
                  <c:v>16.0983300204398</c:v>
                </c:pt>
                <c:pt idx="41">
                  <c:v>17.078315540363601</c:v>
                </c:pt>
                <c:pt idx="42">
                  <c:v>17.6941253478123</c:v>
                </c:pt>
                <c:pt idx="43">
                  <c:v>15.48750141927</c:v>
                </c:pt>
                <c:pt idx="44">
                  <c:v>11.899059476775401</c:v>
                </c:pt>
                <c:pt idx="45">
                  <c:v>13.777965837757</c:v>
                </c:pt>
                <c:pt idx="46">
                  <c:v>11.905573185414701</c:v>
                </c:pt>
                <c:pt idx="47">
                  <c:v>12.2028626718123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 4.0 12'!$D$1</c:f>
              <c:strCache>
                <c:ptCount val="1"/>
                <c:pt idx="0">
                  <c:v>Conv Model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'Conv 4.0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4.0 12'!$D$2:$D$49</c:f>
              <c:numCache>
                <c:formatCode>General</c:formatCode>
                <c:ptCount val="48"/>
                <c:pt idx="0">
                  <c:v>3.0107373802374799</c:v>
                </c:pt>
                <c:pt idx="1">
                  <c:v>4.0996949490361496</c:v>
                </c:pt>
                <c:pt idx="2">
                  <c:v>8.0439055893621507</c:v>
                </c:pt>
                <c:pt idx="3">
                  <c:v>8.8913316715925603</c:v>
                </c:pt>
                <c:pt idx="4">
                  <c:v>11.2742505103542</c:v>
                </c:pt>
                <c:pt idx="5">
                  <c:v>16.981202895599399</c:v>
                </c:pt>
                <c:pt idx="6">
                  <c:v>18.7559254196251</c:v>
                </c:pt>
                <c:pt idx="7">
                  <c:v>21.678474292339398</c:v>
                </c:pt>
                <c:pt idx="8">
                  <c:v>20.3595398259598</c:v>
                </c:pt>
                <c:pt idx="9">
                  <c:v>23.586374687843801</c:v>
                </c:pt>
                <c:pt idx="10">
                  <c:v>27.555346579001501</c:v>
                </c:pt>
                <c:pt idx="11">
                  <c:v>28.509666714498099</c:v>
                </c:pt>
                <c:pt idx="12">
                  <c:v>28.192952397631</c:v>
                </c:pt>
                <c:pt idx="13">
                  <c:v>27.100709695614299</c:v>
                </c:pt>
                <c:pt idx="14">
                  <c:v>24.1383979940416</c:v>
                </c:pt>
                <c:pt idx="15">
                  <c:v>25.746002503428201</c:v>
                </c:pt>
                <c:pt idx="16">
                  <c:v>32.663978023683399</c:v>
                </c:pt>
                <c:pt idx="17">
                  <c:v>30.130358191109899</c:v>
                </c:pt>
                <c:pt idx="18">
                  <c:v>21.3942159007957</c:v>
                </c:pt>
                <c:pt idx="19">
                  <c:v>18.280235768497</c:v>
                </c:pt>
                <c:pt idx="20">
                  <c:v>15.761921124133</c:v>
                </c:pt>
                <c:pt idx="21">
                  <c:v>15.7619172014769</c:v>
                </c:pt>
                <c:pt idx="22">
                  <c:v>18.588363251953499</c:v>
                </c:pt>
                <c:pt idx="23">
                  <c:v>18.475869899395601</c:v>
                </c:pt>
                <c:pt idx="24">
                  <c:v>14.577426271969101</c:v>
                </c:pt>
                <c:pt idx="25">
                  <c:v>15.6356032582738</c:v>
                </c:pt>
                <c:pt idx="26">
                  <c:v>19.492835118272499</c:v>
                </c:pt>
                <c:pt idx="27">
                  <c:v>21.659380951583501</c:v>
                </c:pt>
                <c:pt idx="28">
                  <c:v>24.374125139613799</c:v>
                </c:pt>
                <c:pt idx="29">
                  <c:v>27.784669397589699</c:v>
                </c:pt>
                <c:pt idx="30">
                  <c:v>28.078602105175101</c:v>
                </c:pt>
                <c:pt idx="31">
                  <c:v>29.1772731393126</c:v>
                </c:pt>
                <c:pt idx="32">
                  <c:v>29.400832655052501</c:v>
                </c:pt>
                <c:pt idx="33">
                  <c:v>28.401988274416201</c:v>
                </c:pt>
                <c:pt idx="34">
                  <c:v>31.056211439893701</c:v>
                </c:pt>
                <c:pt idx="35">
                  <c:v>34.528360186535402</c:v>
                </c:pt>
                <c:pt idx="36">
                  <c:v>35.445627929833499</c:v>
                </c:pt>
                <c:pt idx="37">
                  <c:v>40.081402551832397</c:v>
                </c:pt>
                <c:pt idx="38">
                  <c:v>40.548602565562902</c:v>
                </c:pt>
                <c:pt idx="39">
                  <c:v>40.194874877159798</c:v>
                </c:pt>
                <c:pt idx="40">
                  <c:v>42.910805068497297</c:v>
                </c:pt>
                <c:pt idx="41">
                  <c:v>39.125433963149199</c:v>
                </c:pt>
                <c:pt idx="42">
                  <c:v>36.3776824057177</c:v>
                </c:pt>
                <c:pt idx="43">
                  <c:v>34.676786281530802</c:v>
                </c:pt>
                <c:pt idx="44">
                  <c:v>36.856169927006903</c:v>
                </c:pt>
                <c:pt idx="45">
                  <c:v>36.082077663307501</c:v>
                </c:pt>
                <c:pt idx="46">
                  <c:v>36.362301939424498</c:v>
                </c:pt>
                <c:pt idx="47">
                  <c:v>33.2040862333983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 4.0 12'!$E$1</c:f>
              <c:strCache>
                <c:ptCount val="1"/>
                <c:pt idx="0">
                  <c:v>CQ Act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'Conv 4.0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4.0 12'!$E$2:$E$49</c:f>
              <c:numCache>
                <c:formatCode>General</c:formatCode>
                <c:ptCount val="48"/>
                <c:pt idx="0">
                  <c:v>0.12540459520398201</c:v>
                </c:pt>
                <c:pt idx="1">
                  <c:v>0.31423326613383401</c:v>
                </c:pt>
                <c:pt idx="2">
                  <c:v>1.1951987384510101</c:v>
                </c:pt>
                <c:pt idx="3">
                  <c:v>0.39291227150214397</c:v>
                </c:pt>
                <c:pt idx="4">
                  <c:v>0.53899236838785802</c:v>
                </c:pt>
                <c:pt idx="5">
                  <c:v>1.4569256192883699</c:v>
                </c:pt>
                <c:pt idx="6">
                  <c:v>1.7580832627662699</c:v>
                </c:pt>
                <c:pt idx="7">
                  <c:v>1.2960484917414301</c:v>
                </c:pt>
                <c:pt idx="8">
                  <c:v>2.00171456935783</c:v>
                </c:pt>
                <c:pt idx="9">
                  <c:v>2.1382843976134902</c:v>
                </c:pt>
                <c:pt idx="10">
                  <c:v>2.2255092631320501</c:v>
                </c:pt>
                <c:pt idx="11">
                  <c:v>2.4386549753815698</c:v>
                </c:pt>
                <c:pt idx="12">
                  <c:v>2.6262662800135801</c:v>
                </c:pt>
                <c:pt idx="13">
                  <c:v>1.94960175051674</c:v>
                </c:pt>
                <c:pt idx="14">
                  <c:v>3.8727081574342601</c:v>
                </c:pt>
                <c:pt idx="15">
                  <c:v>5.3998692764919003</c:v>
                </c:pt>
                <c:pt idx="16">
                  <c:v>6.0442301158851004</c:v>
                </c:pt>
                <c:pt idx="17">
                  <c:v>6.7670445457719399</c:v>
                </c:pt>
                <c:pt idx="18">
                  <c:v>6.7586678773875999</c:v>
                </c:pt>
                <c:pt idx="19">
                  <c:v>6.6347115007403801</c:v>
                </c:pt>
                <c:pt idx="20">
                  <c:v>5.3873755103521903</c:v>
                </c:pt>
                <c:pt idx="21">
                  <c:v>4.9047370499185403</c:v>
                </c:pt>
                <c:pt idx="22">
                  <c:v>5.20779336098646</c:v>
                </c:pt>
                <c:pt idx="23">
                  <c:v>6.79406329282385</c:v>
                </c:pt>
                <c:pt idx="24">
                  <c:v>4.2945316412783798</c:v>
                </c:pt>
                <c:pt idx="25">
                  <c:v>4.5393599946464702</c:v>
                </c:pt>
                <c:pt idx="26">
                  <c:v>5.6932789559095296</c:v>
                </c:pt>
                <c:pt idx="27">
                  <c:v>6.5874330088369399</c:v>
                </c:pt>
                <c:pt idx="28">
                  <c:v>8.0029608411080009</c:v>
                </c:pt>
                <c:pt idx="29">
                  <c:v>8.2669902242722593</c:v>
                </c:pt>
                <c:pt idx="30">
                  <c:v>9.4285903132018003</c:v>
                </c:pt>
                <c:pt idx="31">
                  <c:v>8.4587131404471094</c:v>
                </c:pt>
                <c:pt idx="32">
                  <c:v>8.3735987803018599</c:v>
                </c:pt>
                <c:pt idx="33">
                  <c:v>7.8046404615444098</c:v>
                </c:pt>
                <c:pt idx="34">
                  <c:v>6.7496379489589504</c:v>
                </c:pt>
                <c:pt idx="35">
                  <c:v>9.2289204190448793</c:v>
                </c:pt>
                <c:pt idx="36">
                  <c:v>7.7192869375627904</c:v>
                </c:pt>
                <c:pt idx="37">
                  <c:v>8.8854933407198704</c:v>
                </c:pt>
                <c:pt idx="38">
                  <c:v>12.064877689741101</c:v>
                </c:pt>
                <c:pt idx="39">
                  <c:v>11.2023588260596</c:v>
                </c:pt>
                <c:pt idx="40">
                  <c:v>12.8825895517364</c:v>
                </c:pt>
                <c:pt idx="41">
                  <c:v>14.615612204499699</c:v>
                </c:pt>
                <c:pt idx="42">
                  <c:v>12.8104660224268</c:v>
                </c:pt>
                <c:pt idx="43">
                  <c:v>12.550061482833801</c:v>
                </c:pt>
                <c:pt idx="44">
                  <c:v>11.2969864535073</c:v>
                </c:pt>
                <c:pt idx="45">
                  <c:v>11.228623036382899</c:v>
                </c:pt>
                <c:pt idx="46">
                  <c:v>9.7594552377018999</c:v>
                </c:pt>
                <c:pt idx="47">
                  <c:v>11.6415817836049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'Conv 4.0 12'!$F$1</c:f>
              <c:strCache>
                <c:ptCount val="1"/>
                <c:pt idx="0">
                  <c:v>CQ model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cat>
            <c:numRef>
              <c:f>'Conv 4.0 12'!$B$2:$B$49</c:f>
              <c:numCache>
                <c:formatCode>m/d/yyyy</c:formatCode>
                <c:ptCount val="48"/>
                <c:pt idx="0">
                  <c:v>40940</c:v>
                </c:pt>
                <c:pt idx="1">
                  <c:v>40969</c:v>
                </c:pt>
                <c:pt idx="2">
                  <c:v>41000</c:v>
                </c:pt>
                <c:pt idx="3">
                  <c:v>41030</c:v>
                </c:pt>
                <c:pt idx="4">
                  <c:v>41061</c:v>
                </c:pt>
                <c:pt idx="5">
                  <c:v>41091</c:v>
                </c:pt>
                <c:pt idx="6">
                  <c:v>41122</c:v>
                </c:pt>
                <c:pt idx="7">
                  <c:v>41153</c:v>
                </c:pt>
                <c:pt idx="8">
                  <c:v>41183</c:v>
                </c:pt>
                <c:pt idx="9">
                  <c:v>41214</c:v>
                </c:pt>
                <c:pt idx="10">
                  <c:v>41244</c:v>
                </c:pt>
                <c:pt idx="11">
                  <c:v>41275</c:v>
                </c:pt>
                <c:pt idx="12">
                  <c:v>41306</c:v>
                </c:pt>
                <c:pt idx="13">
                  <c:v>41334</c:v>
                </c:pt>
                <c:pt idx="14">
                  <c:v>41365</c:v>
                </c:pt>
                <c:pt idx="15">
                  <c:v>41395</c:v>
                </c:pt>
                <c:pt idx="16">
                  <c:v>41426</c:v>
                </c:pt>
                <c:pt idx="17">
                  <c:v>41456</c:v>
                </c:pt>
                <c:pt idx="18">
                  <c:v>41487</c:v>
                </c:pt>
                <c:pt idx="19">
                  <c:v>41518</c:v>
                </c:pt>
                <c:pt idx="20">
                  <c:v>41548</c:v>
                </c:pt>
                <c:pt idx="21">
                  <c:v>41579</c:v>
                </c:pt>
                <c:pt idx="22">
                  <c:v>41609</c:v>
                </c:pt>
                <c:pt idx="23">
                  <c:v>41640</c:v>
                </c:pt>
                <c:pt idx="24">
                  <c:v>41671</c:v>
                </c:pt>
                <c:pt idx="25">
                  <c:v>41699</c:v>
                </c:pt>
                <c:pt idx="26">
                  <c:v>41730</c:v>
                </c:pt>
                <c:pt idx="27">
                  <c:v>41760</c:v>
                </c:pt>
                <c:pt idx="28">
                  <c:v>41791</c:v>
                </c:pt>
                <c:pt idx="29">
                  <c:v>41821</c:v>
                </c:pt>
                <c:pt idx="30">
                  <c:v>41852</c:v>
                </c:pt>
                <c:pt idx="31">
                  <c:v>41883</c:v>
                </c:pt>
                <c:pt idx="32">
                  <c:v>41913</c:v>
                </c:pt>
                <c:pt idx="33">
                  <c:v>41944</c:v>
                </c:pt>
                <c:pt idx="34">
                  <c:v>41974</c:v>
                </c:pt>
                <c:pt idx="35">
                  <c:v>42005</c:v>
                </c:pt>
                <c:pt idx="36">
                  <c:v>42036</c:v>
                </c:pt>
                <c:pt idx="37">
                  <c:v>42064</c:v>
                </c:pt>
                <c:pt idx="38">
                  <c:v>42095</c:v>
                </c:pt>
                <c:pt idx="39">
                  <c:v>42125</c:v>
                </c:pt>
                <c:pt idx="40">
                  <c:v>42156</c:v>
                </c:pt>
                <c:pt idx="41">
                  <c:v>42186</c:v>
                </c:pt>
                <c:pt idx="42">
                  <c:v>42217</c:v>
                </c:pt>
                <c:pt idx="43">
                  <c:v>42248</c:v>
                </c:pt>
                <c:pt idx="44">
                  <c:v>42278</c:v>
                </c:pt>
                <c:pt idx="45">
                  <c:v>42309</c:v>
                </c:pt>
                <c:pt idx="46">
                  <c:v>42339</c:v>
                </c:pt>
                <c:pt idx="47">
                  <c:v>42370</c:v>
                </c:pt>
              </c:numCache>
            </c:numRef>
          </c:cat>
          <c:val>
            <c:numRef>
              <c:f>'Conv 4.0 12'!$F$2:$F$49</c:f>
              <c:numCache>
                <c:formatCode>General</c:formatCode>
                <c:ptCount val="48"/>
                <c:pt idx="0">
                  <c:v>0.45851787333046601</c:v>
                </c:pt>
                <c:pt idx="1">
                  <c:v>0.58578601813401598</c:v>
                </c:pt>
                <c:pt idx="2">
                  <c:v>0.72015187026592797</c:v>
                </c:pt>
                <c:pt idx="3">
                  <c:v>0.79985392045418502</c:v>
                </c:pt>
                <c:pt idx="4">
                  <c:v>1.1064983311193901</c:v>
                </c:pt>
                <c:pt idx="5">
                  <c:v>1.39698615486532</c:v>
                </c:pt>
                <c:pt idx="6">
                  <c:v>1.5412047566542699</c:v>
                </c:pt>
                <c:pt idx="7">
                  <c:v>1.79339399695131</c:v>
                </c:pt>
                <c:pt idx="8">
                  <c:v>1.8482860115745099</c:v>
                </c:pt>
                <c:pt idx="9">
                  <c:v>2.1237492010641299</c:v>
                </c:pt>
                <c:pt idx="10">
                  <c:v>2.3947145907861001</c:v>
                </c:pt>
                <c:pt idx="11">
                  <c:v>2.6454466662352298</c:v>
                </c:pt>
                <c:pt idx="12">
                  <c:v>2.7201476752827598</c:v>
                </c:pt>
                <c:pt idx="13">
                  <c:v>2.9578937690604601</c:v>
                </c:pt>
                <c:pt idx="14">
                  <c:v>3.2537248392575502</c:v>
                </c:pt>
                <c:pt idx="15">
                  <c:v>3.75221462624976</c:v>
                </c:pt>
                <c:pt idx="16">
                  <c:v>6.1077361674003097</c:v>
                </c:pt>
                <c:pt idx="17">
                  <c:v>8.7039476737157404</c:v>
                </c:pt>
                <c:pt idx="18">
                  <c:v>7.1303491489685102</c:v>
                </c:pt>
                <c:pt idx="19">
                  <c:v>7.5401269251179004</c:v>
                </c:pt>
                <c:pt idx="20">
                  <c:v>6.6927369463820501</c:v>
                </c:pt>
                <c:pt idx="21">
                  <c:v>6.8018965378099097</c:v>
                </c:pt>
                <c:pt idx="22">
                  <c:v>8.1701303930194609</c:v>
                </c:pt>
                <c:pt idx="23">
                  <c:v>8.3486647212744405</c:v>
                </c:pt>
                <c:pt idx="24">
                  <c:v>6.8865719375494603</c:v>
                </c:pt>
                <c:pt idx="25">
                  <c:v>7.7475521455645904</c:v>
                </c:pt>
                <c:pt idx="26">
                  <c:v>11.1321089424014</c:v>
                </c:pt>
                <c:pt idx="27">
                  <c:v>14.0071258764518</c:v>
                </c:pt>
                <c:pt idx="28">
                  <c:v>17.382620700014101</c:v>
                </c:pt>
                <c:pt idx="29">
                  <c:v>21.287653355050001</c:v>
                </c:pt>
                <c:pt idx="30">
                  <c:v>21.673522435636698</c:v>
                </c:pt>
                <c:pt idx="31">
                  <c:v>23.025552095922201</c:v>
                </c:pt>
                <c:pt idx="32">
                  <c:v>22.4343904268448</c:v>
                </c:pt>
                <c:pt idx="33">
                  <c:v>21.987227310659001</c:v>
                </c:pt>
                <c:pt idx="34">
                  <c:v>24.363156787723799</c:v>
                </c:pt>
                <c:pt idx="35">
                  <c:v>29.586244945219899</c:v>
                </c:pt>
                <c:pt idx="36">
                  <c:v>30.6056904189752</c:v>
                </c:pt>
                <c:pt idx="37">
                  <c:v>35.627446653858101</c:v>
                </c:pt>
                <c:pt idx="38">
                  <c:v>36.647449773593102</c:v>
                </c:pt>
                <c:pt idx="39">
                  <c:v>37.247215893567997</c:v>
                </c:pt>
                <c:pt idx="40">
                  <c:v>40.3759135408324</c:v>
                </c:pt>
                <c:pt idx="41">
                  <c:v>36.861559455292998</c:v>
                </c:pt>
                <c:pt idx="42">
                  <c:v>34.124130007311798</c:v>
                </c:pt>
                <c:pt idx="43">
                  <c:v>33.419329430397703</c:v>
                </c:pt>
                <c:pt idx="44">
                  <c:v>35.285726281797999</c:v>
                </c:pt>
                <c:pt idx="45">
                  <c:v>34.5370623731093</c:v>
                </c:pt>
                <c:pt idx="46">
                  <c:v>34.900639434726202</c:v>
                </c:pt>
                <c:pt idx="47">
                  <c:v>31.761359391944801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007424"/>
        <c:axId val="521950336"/>
      </c:lineChart>
      <c:dateAx>
        <c:axId val="498007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1950336"/>
        <c:crosses val="autoZero"/>
        <c:auto val="1"/>
        <c:lblOffset val="100"/>
        <c:baseTimeUnit val="months"/>
      </c:dateAx>
      <c:valAx>
        <c:axId val="52195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8007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'Conv 4.5 11'!$C$1</c:f>
              <c:strCache>
                <c:ptCount val="1"/>
                <c:pt idx="0">
                  <c:v>Conv Act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'Conv 4.5 11'!$B$2:$B$61</c:f>
              <c:numCache>
                <c:formatCode>m/d/yyyy</c:formatCode>
                <c:ptCount val="60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  <c:pt idx="59">
                  <c:v>42370</c:v>
                </c:pt>
              </c:numCache>
            </c:numRef>
          </c:cat>
          <c:val>
            <c:numRef>
              <c:f>'Conv 4.5 11'!$C$2:$C$61</c:f>
              <c:numCache>
                <c:formatCode>General</c:formatCode>
                <c:ptCount val="60"/>
                <c:pt idx="0">
                  <c:v>3.6454044735412201E-2</c:v>
                </c:pt>
                <c:pt idx="1">
                  <c:v>0.156157471837259</c:v>
                </c:pt>
                <c:pt idx="2">
                  <c:v>0.55283829758833203</c:v>
                </c:pt>
                <c:pt idx="3">
                  <c:v>0.64529818842928899</c:v>
                </c:pt>
                <c:pt idx="4">
                  <c:v>0.92323924447307304</c:v>
                </c:pt>
                <c:pt idx="5">
                  <c:v>2.1540405898058701</c:v>
                </c:pt>
                <c:pt idx="6">
                  <c:v>3.2575318612478301</c:v>
                </c:pt>
                <c:pt idx="7">
                  <c:v>2.7275548948558899</c:v>
                </c:pt>
                <c:pt idx="8">
                  <c:v>4.9550316572997204</c:v>
                </c:pt>
                <c:pt idx="9">
                  <c:v>4.5579837905795602</c:v>
                </c:pt>
                <c:pt idx="10">
                  <c:v>5.7487068542895097</c:v>
                </c:pt>
                <c:pt idx="11">
                  <c:v>5.7765968178662401</c:v>
                </c:pt>
                <c:pt idx="12">
                  <c:v>6.6355764519886602</c:v>
                </c:pt>
                <c:pt idx="13">
                  <c:v>8.0437700244537105</c:v>
                </c:pt>
                <c:pt idx="14">
                  <c:v>8.3558622633599793</c:v>
                </c:pt>
                <c:pt idx="15">
                  <c:v>8.5597220050521905</c:v>
                </c:pt>
                <c:pt idx="16">
                  <c:v>9.2368494676170592</c:v>
                </c:pt>
                <c:pt idx="17">
                  <c:v>9.5611822072212398</c:v>
                </c:pt>
                <c:pt idx="18">
                  <c:v>11.0681764500375</c:v>
                </c:pt>
                <c:pt idx="19">
                  <c:v>13.4931607355461</c:v>
                </c:pt>
                <c:pt idx="20">
                  <c:v>10.628878522095899</c:v>
                </c:pt>
                <c:pt idx="21">
                  <c:v>12.6061337308905</c:v>
                </c:pt>
                <c:pt idx="22">
                  <c:v>15.4172492621798</c:v>
                </c:pt>
                <c:pt idx="23">
                  <c:v>15.909158898835299</c:v>
                </c:pt>
                <c:pt idx="24">
                  <c:v>15.379186119472401</c:v>
                </c:pt>
                <c:pt idx="25">
                  <c:v>15.466370078178301</c:v>
                </c:pt>
                <c:pt idx="26">
                  <c:v>20.380194929174799</c:v>
                </c:pt>
                <c:pt idx="27">
                  <c:v>20.198395060927702</c:v>
                </c:pt>
                <c:pt idx="28">
                  <c:v>18.0537320590837</c:v>
                </c:pt>
                <c:pt idx="29">
                  <c:v>20.462313736887399</c:v>
                </c:pt>
                <c:pt idx="30">
                  <c:v>19.564092830408001</c:v>
                </c:pt>
                <c:pt idx="31">
                  <c:v>16.8976029561749</c:v>
                </c:pt>
                <c:pt idx="32">
                  <c:v>8.3704913491281197</c:v>
                </c:pt>
                <c:pt idx="33">
                  <c:v>8.2845036568864607</c:v>
                </c:pt>
                <c:pt idx="34">
                  <c:v>12.2135183806445</c:v>
                </c:pt>
                <c:pt idx="35">
                  <c:v>12.3170264358815</c:v>
                </c:pt>
                <c:pt idx="36">
                  <c:v>7.56143733054728</c:v>
                </c:pt>
                <c:pt idx="37">
                  <c:v>10.743201514232201</c:v>
                </c:pt>
                <c:pt idx="38">
                  <c:v>11.4342999917556</c:v>
                </c:pt>
                <c:pt idx="39">
                  <c:v>12.808202479366299</c:v>
                </c:pt>
                <c:pt idx="40">
                  <c:v>13.628899791689401</c:v>
                </c:pt>
                <c:pt idx="41">
                  <c:v>12.472336835768999</c:v>
                </c:pt>
                <c:pt idx="42">
                  <c:v>10.4042912940684</c:v>
                </c:pt>
                <c:pt idx="43">
                  <c:v>15.182767417002699</c:v>
                </c:pt>
                <c:pt idx="44">
                  <c:v>18.976997403064601</c:v>
                </c:pt>
                <c:pt idx="45">
                  <c:v>16.242297775408801</c:v>
                </c:pt>
                <c:pt idx="46">
                  <c:v>15.7755453280348</c:v>
                </c:pt>
                <c:pt idx="47">
                  <c:v>14.9760816098978</c:v>
                </c:pt>
                <c:pt idx="48">
                  <c:v>17.0327675648909</c:v>
                </c:pt>
                <c:pt idx="49">
                  <c:v>16.6433111865441</c:v>
                </c:pt>
                <c:pt idx="50">
                  <c:v>22.6151073114384</c:v>
                </c:pt>
                <c:pt idx="51">
                  <c:v>23.003299798929</c:v>
                </c:pt>
                <c:pt idx="52">
                  <c:v>24.999871749104202</c:v>
                </c:pt>
                <c:pt idx="53">
                  <c:v>24.3833811894124</c:v>
                </c:pt>
                <c:pt idx="54">
                  <c:v>19.775302868970599</c:v>
                </c:pt>
                <c:pt idx="55">
                  <c:v>21.195841277074599</c:v>
                </c:pt>
                <c:pt idx="56">
                  <c:v>16.134512688135299</c:v>
                </c:pt>
                <c:pt idx="57">
                  <c:v>21.401286456231201</c:v>
                </c:pt>
                <c:pt idx="58">
                  <c:v>16.897293046693498</c:v>
                </c:pt>
                <c:pt idx="59">
                  <c:v>18.202825863670199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'Conv 4.5 11'!$D$1</c:f>
              <c:strCache>
                <c:ptCount val="1"/>
                <c:pt idx="0">
                  <c:v>Conv Model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marker>
            <c:symbol val="none"/>
          </c:marker>
          <c:cat>
            <c:numRef>
              <c:f>'Conv 4.5 11'!$B$2:$B$61</c:f>
              <c:numCache>
                <c:formatCode>m/d/yyyy</c:formatCode>
                <c:ptCount val="60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  <c:pt idx="59">
                  <c:v>42370</c:v>
                </c:pt>
              </c:numCache>
            </c:numRef>
          </c:cat>
          <c:val>
            <c:numRef>
              <c:f>'Conv 4.5 11'!$D$2:$D$61</c:f>
              <c:numCache>
                <c:formatCode>General</c:formatCode>
                <c:ptCount val="60"/>
                <c:pt idx="0">
                  <c:v>0.488657690500227</c:v>
                </c:pt>
                <c:pt idx="1">
                  <c:v>0.64391987471761303</c:v>
                </c:pt>
                <c:pt idx="2">
                  <c:v>1.1461459386928901</c:v>
                </c:pt>
                <c:pt idx="3">
                  <c:v>1.8814230771071601</c:v>
                </c:pt>
                <c:pt idx="4">
                  <c:v>2.6080630164038698</c:v>
                </c:pt>
                <c:pt idx="5">
                  <c:v>3.9898342330541499</c:v>
                </c:pt>
                <c:pt idx="6">
                  <c:v>5.1299009369745097</c:v>
                </c:pt>
                <c:pt idx="7">
                  <c:v>6.1115448831093104</c:v>
                </c:pt>
                <c:pt idx="8">
                  <c:v>8.6006735472452007</c:v>
                </c:pt>
                <c:pt idx="9">
                  <c:v>11.415580154538199</c:v>
                </c:pt>
                <c:pt idx="10">
                  <c:v>10.5687785599353</c:v>
                </c:pt>
                <c:pt idx="11">
                  <c:v>13.160591923969401</c:v>
                </c:pt>
                <c:pt idx="12">
                  <c:v>13.5733851277953</c:v>
                </c:pt>
                <c:pt idx="13">
                  <c:v>14.6156051760028</c:v>
                </c:pt>
                <c:pt idx="14">
                  <c:v>19.927224304001601</c:v>
                </c:pt>
                <c:pt idx="15">
                  <c:v>20.356240924684201</c:v>
                </c:pt>
                <c:pt idx="16">
                  <c:v>25.059810106118199</c:v>
                </c:pt>
                <c:pt idx="17">
                  <c:v>29.208714615868502</c:v>
                </c:pt>
                <c:pt idx="18">
                  <c:v>31.752461002838999</c:v>
                </c:pt>
                <c:pt idx="19">
                  <c:v>35.535570830123</c:v>
                </c:pt>
                <c:pt idx="20">
                  <c:v>34.437001546118303</c:v>
                </c:pt>
                <c:pt idx="21">
                  <c:v>38.5186695388524</c:v>
                </c:pt>
                <c:pt idx="22">
                  <c:v>41.448905600168501</c:v>
                </c:pt>
                <c:pt idx="23">
                  <c:v>41.611815309928403</c:v>
                </c:pt>
                <c:pt idx="24">
                  <c:v>40.2333569582078</c:v>
                </c:pt>
                <c:pt idx="25">
                  <c:v>38.014377599789398</c:v>
                </c:pt>
                <c:pt idx="26">
                  <c:v>31.772359008343599</c:v>
                </c:pt>
                <c:pt idx="27">
                  <c:v>32.156578413349699</c:v>
                </c:pt>
                <c:pt idx="28">
                  <c:v>38.3840757363932</c:v>
                </c:pt>
                <c:pt idx="29">
                  <c:v>35.040357560856897</c:v>
                </c:pt>
                <c:pt idx="30">
                  <c:v>27.320172830063399</c:v>
                </c:pt>
                <c:pt idx="31">
                  <c:v>24.294430751165699</c:v>
                </c:pt>
                <c:pt idx="32">
                  <c:v>21.125954827324598</c:v>
                </c:pt>
                <c:pt idx="33">
                  <c:v>20.6861076909105</c:v>
                </c:pt>
                <c:pt idx="34">
                  <c:v>23.607564176972101</c:v>
                </c:pt>
                <c:pt idx="35">
                  <c:v>23.4668944925048</c:v>
                </c:pt>
                <c:pt idx="36">
                  <c:v>19.3165813205798</c:v>
                </c:pt>
                <c:pt idx="37">
                  <c:v>20.409887600115599</c:v>
                </c:pt>
                <c:pt idx="38">
                  <c:v>25.0553282113591</c:v>
                </c:pt>
                <c:pt idx="39">
                  <c:v>27.4624393603725</c:v>
                </c:pt>
                <c:pt idx="40">
                  <c:v>29.0974356183388</c:v>
                </c:pt>
                <c:pt idx="41">
                  <c:v>31.584932263692899</c:v>
                </c:pt>
                <c:pt idx="42">
                  <c:v>31.692947498133002</c:v>
                </c:pt>
                <c:pt idx="43">
                  <c:v>32.504924490518299</c:v>
                </c:pt>
                <c:pt idx="44">
                  <c:v>32.6818057660726</c:v>
                </c:pt>
                <c:pt idx="45">
                  <c:v>31.728859985403901</c:v>
                </c:pt>
                <c:pt idx="46">
                  <c:v>34.042823292388803</c:v>
                </c:pt>
                <c:pt idx="47">
                  <c:v>36.431152132697399</c:v>
                </c:pt>
                <c:pt idx="48">
                  <c:v>36.845822602648298</c:v>
                </c:pt>
                <c:pt idx="49">
                  <c:v>40.888822515110199</c:v>
                </c:pt>
                <c:pt idx="50">
                  <c:v>41.050222557370901</c:v>
                </c:pt>
                <c:pt idx="51">
                  <c:v>40.571173138497997</c:v>
                </c:pt>
                <c:pt idx="52">
                  <c:v>42.604393210670999</c:v>
                </c:pt>
                <c:pt idx="53">
                  <c:v>39.133403166095498</c:v>
                </c:pt>
                <c:pt idx="54">
                  <c:v>36.464335136017503</c:v>
                </c:pt>
                <c:pt idx="55">
                  <c:v>34.843609842380197</c:v>
                </c:pt>
                <c:pt idx="56">
                  <c:v>36.4126649487877</c:v>
                </c:pt>
                <c:pt idx="57">
                  <c:v>35.462867360901903</c:v>
                </c:pt>
                <c:pt idx="58">
                  <c:v>35.532870567457302</c:v>
                </c:pt>
                <c:pt idx="59">
                  <c:v>32.633747338957697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'Conv 4.5 11'!$E$1</c:f>
              <c:strCache>
                <c:ptCount val="1"/>
                <c:pt idx="0">
                  <c:v>CQ Act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'Conv 4.5 11'!$B$2:$B$61</c:f>
              <c:numCache>
                <c:formatCode>m/d/yyyy</c:formatCode>
                <c:ptCount val="60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  <c:pt idx="59">
                  <c:v>42370</c:v>
                </c:pt>
              </c:numCache>
            </c:numRef>
          </c:cat>
          <c:val>
            <c:numRef>
              <c:f>'Conv 4.5 11'!$E$2:$E$61</c:f>
              <c:numCache>
                <c:formatCode>General</c:formatCode>
                <c:ptCount val="60"/>
                <c:pt idx="0">
                  <c:v>3.84180915669052E-4</c:v>
                </c:pt>
                <c:pt idx="1">
                  <c:v>0.66103423768583103</c:v>
                </c:pt>
                <c:pt idx="2">
                  <c:v>0.47993977059824799</c:v>
                </c:pt>
                <c:pt idx="3">
                  <c:v>0.55697093609403703</c:v>
                </c:pt>
                <c:pt idx="4">
                  <c:v>0.83668065851615303</c:v>
                </c:pt>
                <c:pt idx="5">
                  <c:v>1.87206161946376</c:v>
                </c:pt>
                <c:pt idx="6">
                  <c:v>2.3766644262138299</c:v>
                </c:pt>
                <c:pt idx="7">
                  <c:v>2.5561561116157998</c:v>
                </c:pt>
                <c:pt idx="8">
                  <c:v>1.4087073623353701</c:v>
                </c:pt>
                <c:pt idx="9">
                  <c:v>1.57606643121009</c:v>
                </c:pt>
                <c:pt idx="10">
                  <c:v>1.9168118385633699</c:v>
                </c:pt>
                <c:pt idx="11">
                  <c:v>2.0990023160189901</c:v>
                </c:pt>
                <c:pt idx="12">
                  <c:v>2.42531908034477</c:v>
                </c:pt>
                <c:pt idx="13">
                  <c:v>2.9166715505796201</c:v>
                </c:pt>
                <c:pt idx="14">
                  <c:v>3.19584009766296</c:v>
                </c:pt>
                <c:pt idx="15">
                  <c:v>2.8100974273251902</c:v>
                </c:pt>
                <c:pt idx="16">
                  <c:v>3.51845168559288</c:v>
                </c:pt>
                <c:pt idx="17">
                  <c:v>4.5493717824431004</c:v>
                </c:pt>
                <c:pt idx="18">
                  <c:v>5.0643506238546001</c:v>
                </c:pt>
                <c:pt idx="19">
                  <c:v>4.4271321078488199</c:v>
                </c:pt>
                <c:pt idx="20">
                  <c:v>5.15187167396207</c:v>
                </c:pt>
                <c:pt idx="21">
                  <c:v>4.5223282703610002</c:v>
                </c:pt>
                <c:pt idx="22">
                  <c:v>6.4933161037349798</c:v>
                </c:pt>
                <c:pt idx="23">
                  <c:v>8.0893010703661492</c:v>
                </c:pt>
                <c:pt idx="24">
                  <c:v>5.7636245601949501</c:v>
                </c:pt>
                <c:pt idx="25">
                  <c:v>6.9251543418215</c:v>
                </c:pt>
                <c:pt idx="26">
                  <c:v>6.4197899150290301</c:v>
                </c:pt>
                <c:pt idx="27">
                  <c:v>11.302532473498699</c:v>
                </c:pt>
                <c:pt idx="28">
                  <c:v>9.8511317636026803</c:v>
                </c:pt>
                <c:pt idx="29">
                  <c:v>11.0024589013839</c:v>
                </c:pt>
                <c:pt idx="30">
                  <c:v>12.369009453023001</c:v>
                </c:pt>
                <c:pt idx="31">
                  <c:v>8.6542923872700506</c:v>
                </c:pt>
                <c:pt idx="32">
                  <c:v>6.6405887891105797</c:v>
                </c:pt>
                <c:pt idx="33">
                  <c:v>9.6645209396892007</c:v>
                </c:pt>
                <c:pt idx="34">
                  <c:v>9.3465203415798594</c:v>
                </c:pt>
                <c:pt idx="35">
                  <c:v>8.3763372109381606</c:v>
                </c:pt>
                <c:pt idx="36">
                  <c:v>7.2599095097340696</c:v>
                </c:pt>
                <c:pt idx="37">
                  <c:v>7.0177039889456596</c:v>
                </c:pt>
                <c:pt idx="38">
                  <c:v>8.5794244611068802</c:v>
                </c:pt>
                <c:pt idx="39">
                  <c:v>10.099635039961001</c:v>
                </c:pt>
                <c:pt idx="40">
                  <c:v>9.2262413123982405</c:v>
                </c:pt>
                <c:pt idx="41">
                  <c:v>10.9888398305027</c:v>
                </c:pt>
                <c:pt idx="42">
                  <c:v>14.272961736684101</c:v>
                </c:pt>
                <c:pt idx="43">
                  <c:v>10.949699352272599</c:v>
                </c:pt>
                <c:pt idx="44">
                  <c:v>14.395756079211701</c:v>
                </c:pt>
                <c:pt idx="45">
                  <c:v>13.851082145824501</c:v>
                </c:pt>
                <c:pt idx="46">
                  <c:v>12.7903398172717</c:v>
                </c:pt>
                <c:pt idx="47">
                  <c:v>14.752051112873</c:v>
                </c:pt>
                <c:pt idx="48">
                  <c:v>10.7375639877597</c:v>
                </c:pt>
                <c:pt idx="49">
                  <c:v>12.9347143365899</c:v>
                </c:pt>
                <c:pt idx="50">
                  <c:v>19.537929578902499</c:v>
                </c:pt>
                <c:pt idx="51">
                  <c:v>19.348204397514799</c:v>
                </c:pt>
                <c:pt idx="52">
                  <c:v>19.284333041492101</c:v>
                </c:pt>
                <c:pt idx="53">
                  <c:v>21.238750219158799</c:v>
                </c:pt>
                <c:pt idx="54">
                  <c:v>20.4708761160162</c:v>
                </c:pt>
                <c:pt idx="55">
                  <c:v>16.846554062904701</c:v>
                </c:pt>
                <c:pt idx="56">
                  <c:v>18.1147379828388</c:v>
                </c:pt>
                <c:pt idx="57">
                  <c:v>15.398180404442</c:v>
                </c:pt>
                <c:pt idx="58">
                  <c:v>14.158721406397101</c:v>
                </c:pt>
                <c:pt idx="59">
                  <c:v>18.541873422104601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'Conv 4.5 11'!$F$1</c:f>
              <c:strCache>
                <c:ptCount val="1"/>
                <c:pt idx="0">
                  <c:v>CQ model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cat>
            <c:numRef>
              <c:f>'Conv 4.5 11'!$B$2:$B$61</c:f>
              <c:numCache>
                <c:formatCode>m/d/yyyy</c:formatCode>
                <c:ptCount val="60"/>
                <c:pt idx="0">
                  <c:v>40575</c:v>
                </c:pt>
                <c:pt idx="1">
                  <c:v>40603</c:v>
                </c:pt>
                <c:pt idx="2">
                  <c:v>40634</c:v>
                </c:pt>
                <c:pt idx="3">
                  <c:v>40664</c:v>
                </c:pt>
                <c:pt idx="4">
                  <c:v>40695</c:v>
                </c:pt>
                <c:pt idx="5">
                  <c:v>40725</c:v>
                </c:pt>
                <c:pt idx="6">
                  <c:v>40756</c:v>
                </c:pt>
                <c:pt idx="7">
                  <c:v>40787</c:v>
                </c:pt>
                <c:pt idx="8">
                  <c:v>40817</c:v>
                </c:pt>
                <c:pt idx="9">
                  <c:v>40848</c:v>
                </c:pt>
                <c:pt idx="10">
                  <c:v>40878</c:v>
                </c:pt>
                <c:pt idx="11">
                  <c:v>40909</c:v>
                </c:pt>
                <c:pt idx="12">
                  <c:v>40940</c:v>
                </c:pt>
                <c:pt idx="13">
                  <c:v>40969</c:v>
                </c:pt>
                <c:pt idx="14">
                  <c:v>41000</c:v>
                </c:pt>
                <c:pt idx="15">
                  <c:v>41030</c:v>
                </c:pt>
                <c:pt idx="16">
                  <c:v>41061</c:v>
                </c:pt>
                <c:pt idx="17">
                  <c:v>41091</c:v>
                </c:pt>
                <c:pt idx="18">
                  <c:v>41122</c:v>
                </c:pt>
                <c:pt idx="19">
                  <c:v>41153</c:v>
                </c:pt>
                <c:pt idx="20">
                  <c:v>41183</c:v>
                </c:pt>
                <c:pt idx="21">
                  <c:v>41214</c:v>
                </c:pt>
                <c:pt idx="22">
                  <c:v>41244</c:v>
                </c:pt>
                <c:pt idx="23">
                  <c:v>41275</c:v>
                </c:pt>
                <c:pt idx="24">
                  <c:v>41306</c:v>
                </c:pt>
                <c:pt idx="25">
                  <c:v>41334</c:v>
                </c:pt>
                <c:pt idx="26">
                  <c:v>41365</c:v>
                </c:pt>
                <c:pt idx="27">
                  <c:v>41395</c:v>
                </c:pt>
                <c:pt idx="28">
                  <c:v>41426</c:v>
                </c:pt>
                <c:pt idx="29">
                  <c:v>41456</c:v>
                </c:pt>
                <c:pt idx="30">
                  <c:v>41487</c:v>
                </c:pt>
                <c:pt idx="31">
                  <c:v>41518</c:v>
                </c:pt>
                <c:pt idx="32">
                  <c:v>41548</c:v>
                </c:pt>
                <c:pt idx="33">
                  <c:v>41579</c:v>
                </c:pt>
                <c:pt idx="34">
                  <c:v>41609</c:v>
                </c:pt>
                <c:pt idx="35">
                  <c:v>41640</c:v>
                </c:pt>
                <c:pt idx="36">
                  <c:v>41671</c:v>
                </c:pt>
                <c:pt idx="37">
                  <c:v>41699</c:v>
                </c:pt>
                <c:pt idx="38">
                  <c:v>41730</c:v>
                </c:pt>
                <c:pt idx="39">
                  <c:v>41760</c:v>
                </c:pt>
                <c:pt idx="40">
                  <c:v>41791</c:v>
                </c:pt>
                <c:pt idx="41">
                  <c:v>41821</c:v>
                </c:pt>
                <c:pt idx="42">
                  <c:v>41852</c:v>
                </c:pt>
                <c:pt idx="43">
                  <c:v>41883</c:v>
                </c:pt>
                <c:pt idx="44">
                  <c:v>41913</c:v>
                </c:pt>
                <c:pt idx="45">
                  <c:v>41944</c:v>
                </c:pt>
                <c:pt idx="46">
                  <c:v>41974</c:v>
                </c:pt>
                <c:pt idx="47">
                  <c:v>42005</c:v>
                </c:pt>
                <c:pt idx="48">
                  <c:v>42036</c:v>
                </c:pt>
                <c:pt idx="49">
                  <c:v>42064</c:v>
                </c:pt>
                <c:pt idx="50">
                  <c:v>42095</c:v>
                </c:pt>
                <c:pt idx="51">
                  <c:v>42125</c:v>
                </c:pt>
                <c:pt idx="52">
                  <c:v>42156</c:v>
                </c:pt>
                <c:pt idx="53">
                  <c:v>42186</c:v>
                </c:pt>
                <c:pt idx="54">
                  <c:v>42217</c:v>
                </c:pt>
                <c:pt idx="55">
                  <c:v>42248</c:v>
                </c:pt>
                <c:pt idx="56">
                  <c:v>42278</c:v>
                </c:pt>
                <c:pt idx="57">
                  <c:v>42309</c:v>
                </c:pt>
                <c:pt idx="58">
                  <c:v>42339</c:v>
                </c:pt>
                <c:pt idx="59">
                  <c:v>42370</c:v>
                </c:pt>
              </c:numCache>
            </c:numRef>
          </c:cat>
          <c:val>
            <c:numRef>
              <c:f>'Conv 4.5 11'!$F$2:$F$61</c:f>
              <c:numCache>
                <c:formatCode>General</c:formatCode>
                <c:ptCount val="60"/>
                <c:pt idx="0">
                  <c:v>0.33457090236264098</c:v>
                </c:pt>
                <c:pt idx="1">
                  <c:v>0.30494514314940402</c:v>
                </c:pt>
                <c:pt idx="2">
                  <c:v>0.42100331316498002</c:v>
                </c:pt>
                <c:pt idx="3">
                  <c:v>0.63901271277911897</c:v>
                </c:pt>
                <c:pt idx="4">
                  <c:v>0.85639800632283403</c:v>
                </c:pt>
                <c:pt idx="5">
                  <c:v>1.12908383574716</c:v>
                </c:pt>
                <c:pt idx="6">
                  <c:v>1.3472104363233799</c:v>
                </c:pt>
                <c:pt idx="7">
                  <c:v>1.49168509538896</c:v>
                </c:pt>
                <c:pt idx="8">
                  <c:v>1.69913279526822</c:v>
                </c:pt>
                <c:pt idx="9">
                  <c:v>1.6590756656742101</c:v>
                </c:pt>
                <c:pt idx="10">
                  <c:v>1.6640121250557001</c:v>
                </c:pt>
                <c:pt idx="11">
                  <c:v>1.7457808044440499</c:v>
                </c:pt>
                <c:pt idx="12">
                  <c:v>1.8614509151237</c:v>
                </c:pt>
                <c:pt idx="13">
                  <c:v>2.0746181988038299</c:v>
                </c:pt>
                <c:pt idx="14">
                  <c:v>2.52960815813708</c:v>
                </c:pt>
                <c:pt idx="15">
                  <c:v>2.9102688579268601</c:v>
                </c:pt>
                <c:pt idx="16">
                  <c:v>3.4522980752214498</c:v>
                </c:pt>
                <c:pt idx="17">
                  <c:v>3.9043645740811601</c:v>
                </c:pt>
                <c:pt idx="18">
                  <c:v>4.1340849980095502</c:v>
                </c:pt>
                <c:pt idx="19">
                  <c:v>4.5073898525482203</c:v>
                </c:pt>
                <c:pt idx="20">
                  <c:v>4.4447617492703104</c:v>
                </c:pt>
                <c:pt idx="21">
                  <c:v>4.7947396565802203</c:v>
                </c:pt>
                <c:pt idx="22">
                  <c:v>4.9902483211178001</c:v>
                </c:pt>
                <c:pt idx="23">
                  <c:v>5.3119100223903404</c:v>
                </c:pt>
                <c:pt idx="24">
                  <c:v>5.02572965776963</c:v>
                </c:pt>
                <c:pt idx="25">
                  <c:v>5.1972684779243901</c:v>
                </c:pt>
                <c:pt idx="26">
                  <c:v>6.0237869545620004</c:v>
                </c:pt>
                <c:pt idx="27">
                  <c:v>8.92346916200243</c:v>
                </c:pt>
                <c:pt idx="28">
                  <c:v>22.211789194571601</c:v>
                </c:pt>
                <c:pt idx="29">
                  <c:v>22.976092589029498</c:v>
                </c:pt>
                <c:pt idx="30">
                  <c:v>22.0926565739429</c:v>
                </c:pt>
                <c:pt idx="31">
                  <c:v>20.733490032150399</c:v>
                </c:pt>
                <c:pt idx="32">
                  <c:v>18.486491222094699</c:v>
                </c:pt>
                <c:pt idx="33">
                  <c:v>18.274478949366902</c:v>
                </c:pt>
                <c:pt idx="34">
                  <c:v>20.851914272102398</c:v>
                </c:pt>
                <c:pt idx="35">
                  <c:v>21.021544807426999</c:v>
                </c:pt>
                <c:pt idx="36">
                  <c:v>17.7488164893408</c:v>
                </c:pt>
                <c:pt idx="37">
                  <c:v>18.6813847917172</c:v>
                </c:pt>
                <c:pt idx="38">
                  <c:v>22.749666398975101</c:v>
                </c:pt>
                <c:pt idx="39">
                  <c:v>25.2950457660131</c:v>
                </c:pt>
                <c:pt idx="40">
                  <c:v>27.815992259918499</c:v>
                </c:pt>
                <c:pt idx="41">
                  <c:v>30.3940297980742</c:v>
                </c:pt>
                <c:pt idx="42">
                  <c:v>30.7800662900632</c:v>
                </c:pt>
                <c:pt idx="43">
                  <c:v>31.363591206940299</c:v>
                </c:pt>
                <c:pt idx="44">
                  <c:v>30.9344269444993</c:v>
                </c:pt>
                <c:pt idx="45">
                  <c:v>30.051524078933099</c:v>
                </c:pt>
                <c:pt idx="46">
                  <c:v>32.309026195903598</c:v>
                </c:pt>
                <c:pt idx="47">
                  <c:v>36.329621744502198</c:v>
                </c:pt>
                <c:pt idx="48">
                  <c:v>36.967974207945304</c:v>
                </c:pt>
                <c:pt idx="49">
                  <c:v>40.919501613528404</c:v>
                </c:pt>
                <c:pt idx="50">
                  <c:v>41.307599565917002</c:v>
                </c:pt>
                <c:pt idx="51">
                  <c:v>41.204791958194001</c:v>
                </c:pt>
                <c:pt idx="52">
                  <c:v>43.752562221006102</c:v>
                </c:pt>
                <c:pt idx="53">
                  <c:v>40.565818701754402</c:v>
                </c:pt>
                <c:pt idx="54">
                  <c:v>38.423458822534798</c:v>
                </c:pt>
                <c:pt idx="55">
                  <c:v>37.430817333464297</c:v>
                </c:pt>
                <c:pt idx="56">
                  <c:v>38.637750236271401</c:v>
                </c:pt>
                <c:pt idx="57">
                  <c:v>37.7039763553692</c:v>
                </c:pt>
                <c:pt idx="58">
                  <c:v>37.714988007792499</c:v>
                </c:pt>
                <c:pt idx="59">
                  <c:v>34.962167148281601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426688"/>
        <c:axId val="522204288"/>
      </c:lineChart>
      <c:dateAx>
        <c:axId val="531426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22204288"/>
        <c:crosses val="autoZero"/>
        <c:auto val="1"/>
        <c:lblOffset val="100"/>
        <c:baseTimeUnit val="months"/>
      </c:dateAx>
      <c:valAx>
        <c:axId val="522204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1426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'CLTV Conv'!$L$1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'CLTV Conv'!$K$2:$K$78</c:f>
              <c:numCache>
                <c:formatCode>General</c:formatCode>
                <c:ptCount val="77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</c:numCache>
            </c:numRef>
          </c:cat>
          <c:val>
            <c:numRef>
              <c:f>'CLTV Conv'!$L$2:$L$78</c:f>
              <c:numCache>
                <c:formatCode>General</c:formatCode>
                <c:ptCount val="77"/>
                <c:pt idx="0">
                  <c:v>10.5</c:v>
                </c:pt>
                <c:pt idx="1">
                  <c:v>15.5</c:v>
                </c:pt>
                <c:pt idx="2">
                  <c:v>13.8</c:v>
                </c:pt>
                <c:pt idx="3">
                  <c:v>11.1</c:v>
                </c:pt>
                <c:pt idx="4">
                  <c:v>13.1</c:v>
                </c:pt>
                <c:pt idx="5">
                  <c:v>10.1</c:v>
                </c:pt>
                <c:pt idx="6">
                  <c:v>14.5</c:v>
                </c:pt>
                <c:pt idx="7">
                  <c:v>12.8</c:v>
                </c:pt>
                <c:pt idx="8">
                  <c:v>11.4</c:v>
                </c:pt>
                <c:pt idx="9">
                  <c:v>12.1</c:v>
                </c:pt>
                <c:pt idx="10">
                  <c:v>11.2</c:v>
                </c:pt>
                <c:pt idx="11">
                  <c:v>11.7</c:v>
                </c:pt>
                <c:pt idx="12">
                  <c:v>12</c:v>
                </c:pt>
                <c:pt idx="13">
                  <c:v>13.1</c:v>
                </c:pt>
                <c:pt idx="14">
                  <c:v>12.2</c:v>
                </c:pt>
                <c:pt idx="15">
                  <c:v>12.2</c:v>
                </c:pt>
                <c:pt idx="16">
                  <c:v>11.5</c:v>
                </c:pt>
                <c:pt idx="17">
                  <c:v>11.2</c:v>
                </c:pt>
                <c:pt idx="18">
                  <c:v>11.7</c:v>
                </c:pt>
                <c:pt idx="19">
                  <c:v>11.4</c:v>
                </c:pt>
                <c:pt idx="20">
                  <c:v>11</c:v>
                </c:pt>
                <c:pt idx="21">
                  <c:v>11.3</c:v>
                </c:pt>
                <c:pt idx="22">
                  <c:v>11.7</c:v>
                </c:pt>
                <c:pt idx="23">
                  <c:v>11.1</c:v>
                </c:pt>
                <c:pt idx="24">
                  <c:v>10.199999999999999</c:v>
                </c:pt>
                <c:pt idx="25">
                  <c:v>10.199999999999999</c:v>
                </c:pt>
                <c:pt idx="26">
                  <c:v>10.6</c:v>
                </c:pt>
                <c:pt idx="27">
                  <c:v>10.3</c:v>
                </c:pt>
                <c:pt idx="28">
                  <c:v>9.5</c:v>
                </c:pt>
                <c:pt idx="29">
                  <c:v>9.3000000000000007</c:v>
                </c:pt>
                <c:pt idx="30">
                  <c:v>10.199999999999999</c:v>
                </c:pt>
                <c:pt idx="31">
                  <c:v>10.6</c:v>
                </c:pt>
                <c:pt idx="32">
                  <c:v>10.3</c:v>
                </c:pt>
                <c:pt idx="33">
                  <c:v>10.5</c:v>
                </c:pt>
                <c:pt idx="34">
                  <c:v>11.5</c:v>
                </c:pt>
                <c:pt idx="35">
                  <c:v>12.2</c:v>
                </c:pt>
                <c:pt idx="36">
                  <c:v>11</c:v>
                </c:pt>
                <c:pt idx="37">
                  <c:v>11.5</c:v>
                </c:pt>
                <c:pt idx="38">
                  <c:v>11.8</c:v>
                </c:pt>
                <c:pt idx="39">
                  <c:v>12.2</c:v>
                </c:pt>
                <c:pt idx="40">
                  <c:v>12</c:v>
                </c:pt>
                <c:pt idx="41">
                  <c:v>10.9</c:v>
                </c:pt>
                <c:pt idx="42">
                  <c:v>11.4</c:v>
                </c:pt>
                <c:pt idx="43">
                  <c:v>12.4</c:v>
                </c:pt>
                <c:pt idx="44">
                  <c:v>11.2</c:v>
                </c:pt>
                <c:pt idx="45">
                  <c:v>10.5</c:v>
                </c:pt>
                <c:pt idx="46">
                  <c:v>9.8000000000000007</c:v>
                </c:pt>
                <c:pt idx="47">
                  <c:v>8.9</c:v>
                </c:pt>
                <c:pt idx="48">
                  <c:v>8.8000000000000007</c:v>
                </c:pt>
                <c:pt idx="49">
                  <c:v>8.6999999999999993</c:v>
                </c:pt>
                <c:pt idx="50">
                  <c:v>9.1</c:v>
                </c:pt>
                <c:pt idx="51">
                  <c:v>9</c:v>
                </c:pt>
                <c:pt idx="52">
                  <c:v>8.6</c:v>
                </c:pt>
                <c:pt idx="53">
                  <c:v>8.1</c:v>
                </c:pt>
                <c:pt idx="54">
                  <c:v>7.7</c:v>
                </c:pt>
                <c:pt idx="55">
                  <c:v>7.3</c:v>
                </c:pt>
                <c:pt idx="56">
                  <c:v>7.2</c:v>
                </c:pt>
                <c:pt idx="57">
                  <c:v>7.3</c:v>
                </c:pt>
                <c:pt idx="58">
                  <c:v>7.5</c:v>
                </c:pt>
                <c:pt idx="59">
                  <c:v>7.2</c:v>
                </c:pt>
                <c:pt idx="60">
                  <c:v>6.9</c:v>
                </c:pt>
                <c:pt idx="61">
                  <c:v>6.1</c:v>
                </c:pt>
                <c:pt idx="62">
                  <c:v>4.8</c:v>
                </c:pt>
                <c:pt idx="63">
                  <c:v>4.5999999999999996</c:v>
                </c:pt>
                <c:pt idx="64">
                  <c:v>4.2</c:v>
                </c:pt>
                <c:pt idx="65">
                  <c:v>4.3</c:v>
                </c:pt>
                <c:pt idx="66">
                  <c:v>4.4000000000000004</c:v>
                </c:pt>
                <c:pt idx="67">
                  <c:v>3.3</c:v>
                </c:pt>
                <c:pt idx="68">
                  <c:v>3.3</c:v>
                </c:pt>
                <c:pt idx="69">
                  <c:v>2.9</c:v>
                </c:pt>
                <c:pt idx="70">
                  <c:v>2.8</c:v>
                </c:pt>
                <c:pt idx="71">
                  <c:v>1.8</c:v>
                </c:pt>
                <c:pt idx="72">
                  <c:v>1.4</c:v>
                </c:pt>
                <c:pt idx="73">
                  <c:v>1.6</c:v>
                </c:pt>
                <c:pt idx="74">
                  <c:v>1.7</c:v>
                </c:pt>
                <c:pt idx="75">
                  <c:v>1.5</c:v>
                </c:pt>
                <c:pt idx="76">
                  <c:v>1.8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'CLTV Conv'!$M$1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'CLTV Conv'!$K$2:$K$78</c:f>
              <c:numCache>
                <c:formatCode>General</c:formatCode>
                <c:ptCount val="77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  <c:pt idx="76">
                  <c:v>106</c:v>
                </c:pt>
              </c:numCache>
            </c:numRef>
          </c:cat>
          <c:val>
            <c:numRef>
              <c:f>'CLTV Conv'!$M$2:$M$78</c:f>
              <c:numCache>
                <c:formatCode>General</c:formatCode>
                <c:ptCount val="77"/>
                <c:pt idx="0">
                  <c:v>14</c:v>
                </c:pt>
                <c:pt idx="1">
                  <c:v>14.7</c:v>
                </c:pt>
                <c:pt idx="2">
                  <c:v>14.2</c:v>
                </c:pt>
                <c:pt idx="3">
                  <c:v>14.6</c:v>
                </c:pt>
                <c:pt idx="4">
                  <c:v>15.4</c:v>
                </c:pt>
                <c:pt idx="5">
                  <c:v>16.2</c:v>
                </c:pt>
                <c:pt idx="6">
                  <c:v>16.399999999999999</c:v>
                </c:pt>
                <c:pt idx="7">
                  <c:v>16.399999999999999</c:v>
                </c:pt>
                <c:pt idx="8">
                  <c:v>17</c:v>
                </c:pt>
                <c:pt idx="9">
                  <c:v>17.399999999999999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17.7</c:v>
                </c:pt>
                <c:pt idx="14">
                  <c:v>17</c:v>
                </c:pt>
                <c:pt idx="15">
                  <c:v>17.8</c:v>
                </c:pt>
                <c:pt idx="16">
                  <c:v>17.399999999999999</c:v>
                </c:pt>
                <c:pt idx="17">
                  <c:v>16.3</c:v>
                </c:pt>
                <c:pt idx="18">
                  <c:v>16.600000000000001</c:v>
                </c:pt>
                <c:pt idx="19">
                  <c:v>16.5</c:v>
                </c:pt>
                <c:pt idx="20">
                  <c:v>15.6</c:v>
                </c:pt>
                <c:pt idx="21">
                  <c:v>15.7</c:v>
                </c:pt>
                <c:pt idx="22">
                  <c:v>15.7</c:v>
                </c:pt>
                <c:pt idx="23">
                  <c:v>15.8</c:v>
                </c:pt>
                <c:pt idx="24">
                  <c:v>14.7</c:v>
                </c:pt>
                <c:pt idx="25">
                  <c:v>14.8</c:v>
                </c:pt>
                <c:pt idx="26">
                  <c:v>14.8</c:v>
                </c:pt>
                <c:pt idx="27">
                  <c:v>14.7</c:v>
                </c:pt>
                <c:pt idx="28">
                  <c:v>13.7</c:v>
                </c:pt>
                <c:pt idx="29">
                  <c:v>13.2</c:v>
                </c:pt>
                <c:pt idx="30">
                  <c:v>13.5</c:v>
                </c:pt>
                <c:pt idx="31">
                  <c:v>12.9</c:v>
                </c:pt>
                <c:pt idx="32">
                  <c:v>12.6</c:v>
                </c:pt>
                <c:pt idx="33">
                  <c:v>12.4</c:v>
                </c:pt>
                <c:pt idx="34">
                  <c:v>12.9</c:v>
                </c:pt>
                <c:pt idx="35">
                  <c:v>13.3</c:v>
                </c:pt>
                <c:pt idx="36">
                  <c:v>13.5</c:v>
                </c:pt>
                <c:pt idx="37">
                  <c:v>14.2</c:v>
                </c:pt>
                <c:pt idx="38">
                  <c:v>14.3</c:v>
                </c:pt>
                <c:pt idx="39">
                  <c:v>14.6</c:v>
                </c:pt>
                <c:pt idx="40">
                  <c:v>14.7</c:v>
                </c:pt>
                <c:pt idx="41">
                  <c:v>13.9</c:v>
                </c:pt>
                <c:pt idx="42">
                  <c:v>14.2</c:v>
                </c:pt>
                <c:pt idx="43">
                  <c:v>15.6</c:v>
                </c:pt>
                <c:pt idx="44">
                  <c:v>16</c:v>
                </c:pt>
                <c:pt idx="45">
                  <c:v>16.2</c:v>
                </c:pt>
                <c:pt idx="46">
                  <c:v>15.9</c:v>
                </c:pt>
                <c:pt idx="47">
                  <c:v>17</c:v>
                </c:pt>
                <c:pt idx="48">
                  <c:v>18.3</c:v>
                </c:pt>
                <c:pt idx="49">
                  <c:v>19.600000000000001</c:v>
                </c:pt>
                <c:pt idx="50">
                  <c:v>20.9</c:v>
                </c:pt>
                <c:pt idx="51">
                  <c:v>19.899999999999999</c:v>
                </c:pt>
                <c:pt idx="52">
                  <c:v>19.8</c:v>
                </c:pt>
                <c:pt idx="53">
                  <c:v>19.399999999999999</c:v>
                </c:pt>
                <c:pt idx="54">
                  <c:v>18.899999999999999</c:v>
                </c:pt>
                <c:pt idx="55">
                  <c:v>18.600000000000001</c:v>
                </c:pt>
                <c:pt idx="56">
                  <c:v>19.2</c:v>
                </c:pt>
                <c:pt idx="57">
                  <c:v>20.2</c:v>
                </c:pt>
                <c:pt idx="58">
                  <c:v>20.399999999999999</c:v>
                </c:pt>
                <c:pt idx="59">
                  <c:v>21.2</c:v>
                </c:pt>
                <c:pt idx="60">
                  <c:v>21</c:v>
                </c:pt>
                <c:pt idx="61">
                  <c:v>19.899999999999999</c:v>
                </c:pt>
                <c:pt idx="62">
                  <c:v>20.399999999999999</c:v>
                </c:pt>
                <c:pt idx="63">
                  <c:v>21.1</c:v>
                </c:pt>
                <c:pt idx="64">
                  <c:v>19.7</c:v>
                </c:pt>
                <c:pt idx="65">
                  <c:v>21.1</c:v>
                </c:pt>
                <c:pt idx="66">
                  <c:v>20.399999999999999</c:v>
                </c:pt>
                <c:pt idx="67">
                  <c:v>15.4</c:v>
                </c:pt>
                <c:pt idx="68">
                  <c:v>7.7</c:v>
                </c:pt>
                <c:pt idx="69">
                  <c:v>5.9</c:v>
                </c:pt>
                <c:pt idx="70">
                  <c:v>4.8</c:v>
                </c:pt>
                <c:pt idx="71">
                  <c:v>4.3</c:v>
                </c:pt>
                <c:pt idx="72">
                  <c:v>4.4000000000000004</c:v>
                </c:pt>
                <c:pt idx="73">
                  <c:v>5.4</c:v>
                </c:pt>
                <c:pt idx="74">
                  <c:v>4.8</c:v>
                </c:pt>
                <c:pt idx="75">
                  <c:v>4.4000000000000004</c:v>
                </c:pt>
                <c:pt idx="76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2912384"/>
        <c:axId val="382913920"/>
      </c:lineChart>
      <c:catAx>
        <c:axId val="38291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2913920"/>
        <c:crosses val="autoZero"/>
        <c:auto val="1"/>
        <c:lblAlgn val="ctr"/>
        <c:lblOffset val="100"/>
        <c:noMultiLvlLbl val="0"/>
      </c:catAx>
      <c:valAx>
        <c:axId val="38291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2912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'CLTV Conv'!$AF$1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'CLTV Conv'!$AE$28:$AE$103</c:f>
              <c:numCache>
                <c:formatCode>General</c:formatCode>
                <c:ptCount val="76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</c:numCache>
            </c:numRef>
          </c:cat>
          <c:val>
            <c:numRef>
              <c:f>'CLTV Conv'!$AF$28:$AF$103</c:f>
              <c:numCache>
                <c:formatCode>General</c:formatCode>
                <c:ptCount val="76"/>
                <c:pt idx="0">
                  <c:v>21.6</c:v>
                </c:pt>
                <c:pt idx="1">
                  <c:v>21.9</c:v>
                </c:pt>
                <c:pt idx="2">
                  <c:v>22.2</c:v>
                </c:pt>
                <c:pt idx="3">
                  <c:v>22.5</c:v>
                </c:pt>
                <c:pt idx="4">
                  <c:v>22.4</c:v>
                </c:pt>
                <c:pt idx="5">
                  <c:v>22</c:v>
                </c:pt>
                <c:pt idx="6">
                  <c:v>21.9</c:v>
                </c:pt>
                <c:pt idx="7">
                  <c:v>22.7</c:v>
                </c:pt>
                <c:pt idx="8">
                  <c:v>22.7</c:v>
                </c:pt>
                <c:pt idx="9">
                  <c:v>23.3</c:v>
                </c:pt>
                <c:pt idx="10">
                  <c:v>23.1</c:v>
                </c:pt>
                <c:pt idx="11">
                  <c:v>23.5</c:v>
                </c:pt>
                <c:pt idx="12">
                  <c:v>23.5</c:v>
                </c:pt>
                <c:pt idx="13">
                  <c:v>22.9</c:v>
                </c:pt>
                <c:pt idx="14">
                  <c:v>22</c:v>
                </c:pt>
                <c:pt idx="15">
                  <c:v>22.1</c:v>
                </c:pt>
                <c:pt idx="16">
                  <c:v>21.6</c:v>
                </c:pt>
                <c:pt idx="17">
                  <c:v>20.399999999999999</c:v>
                </c:pt>
                <c:pt idx="18">
                  <c:v>20</c:v>
                </c:pt>
                <c:pt idx="19">
                  <c:v>19</c:v>
                </c:pt>
                <c:pt idx="20">
                  <c:v>18.7</c:v>
                </c:pt>
                <c:pt idx="21">
                  <c:v>17.899999999999999</c:v>
                </c:pt>
                <c:pt idx="22">
                  <c:v>17.7</c:v>
                </c:pt>
                <c:pt idx="23">
                  <c:v>17.2</c:v>
                </c:pt>
                <c:pt idx="24">
                  <c:v>17</c:v>
                </c:pt>
                <c:pt idx="25">
                  <c:v>17.2</c:v>
                </c:pt>
                <c:pt idx="26">
                  <c:v>17.399999999999999</c:v>
                </c:pt>
                <c:pt idx="27">
                  <c:v>17.600000000000001</c:v>
                </c:pt>
                <c:pt idx="28">
                  <c:v>17.100000000000001</c:v>
                </c:pt>
                <c:pt idx="29">
                  <c:v>17.3</c:v>
                </c:pt>
                <c:pt idx="30">
                  <c:v>17.899999999999999</c:v>
                </c:pt>
                <c:pt idx="31">
                  <c:v>17.899999999999999</c:v>
                </c:pt>
                <c:pt idx="32">
                  <c:v>18</c:v>
                </c:pt>
                <c:pt idx="33">
                  <c:v>18.3</c:v>
                </c:pt>
                <c:pt idx="34">
                  <c:v>18.3</c:v>
                </c:pt>
                <c:pt idx="35">
                  <c:v>17.899999999999999</c:v>
                </c:pt>
                <c:pt idx="36">
                  <c:v>17.899999999999999</c:v>
                </c:pt>
                <c:pt idx="37">
                  <c:v>17.399999999999999</c:v>
                </c:pt>
                <c:pt idx="38">
                  <c:v>17.5</c:v>
                </c:pt>
                <c:pt idx="39">
                  <c:v>17.100000000000001</c:v>
                </c:pt>
                <c:pt idx="40">
                  <c:v>16.5</c:v>
                </c:pt>
                <c:pt idx="41">
                  <c:v>16.5</c:v>
                </c:pt>
                <c:pt idx="42">
                  <c:v>16.600000000000001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17.3</c:v>
                </c:pt>
                <c:pt idx="47">
                  <c:v>18</c:v>
                </c:pt>
                <c:pt idx="48">
                  <c:v>18.399999999999999</c:v>
                </c:pt>
                <c:pt idx="49">
                  <c:v>19.100000000000001</c:v>
                </c:pt>
                <c:pt idx="50">
                  <c:v>20</c:v>
                </c:pt>
                <c:pt idx="51">
                  <c:v>20.6</c:v>
                </c:pt>
                <c:pt idx="52">
                  <c:v>21.2</c:v>
                </c:pt>
                <c:pt idx="53">
                  <c:v>22.1</c:v>
                </c:pt>
                <c:pt idx="54">
                  <c:v>22.2</c:v>
                </c:pt>
                <c:pt idx="55">
                  <c:v>22.7</c:v>
                </c:pt>
                <c:pt idx="56">
                  <c:v>23.1</c:v>
                </c:pt>
                <c:pt idx="57">
                  <c:v>23.6</c:v>
                </c:pt>
                <c:pt idx="58">
                  <c:v>23.6</c:v>
                </c:pt>
                <c:pt idx="59">
                  <c:v>24.3</c:v>
                </c:pt>
                <c:pt idx="60">
                  <c:v>24.8</c:v>
                </c:pt>
                <c:pt idx="61">
                  <c:v>25</c:v>
                </c:pt>
                <c:pt idx="62">
                  <c:v>25.1</c:v>
                </c:pt>
                <c:pt idx="63">
                  <c:v>25.1</c:v>
                </c:pt>
                <c:pt idx="64">
                  <c:v>24.9</c:v>
                </c:pt>
                <c:pt idx="65">
                  <c:v>24.6</c:v>
                </c:pt>
                <c:pt idx="66">
                  <c:v>25.5</c:v>
                </c:pt>
                <c:pt idx="67">
                  <c:v>24.5</c:v>
                </c:pt>
                <c:pt idx="68">
                  <c:v>24.6</c:v>
                </c:pt>
                <c:pt idx="69">
                  <c:v>24.6</c:v>
                </c:pt>
                <c:pt idx="70">
                  <c:v>25</c:v>
                </c:pt>
                <c:pt idx="71">
                  <c:v>24</c:v>
                </c:pt>
                <c:pt idx="72">
                  <c:v>23.8</c:v>
                </c:pt>
                <c:pt idx="73">
                  <c:v>23.7</c:v>
                </c:pt>
                <c:pt idx="74">
                  <c:v>23.9</c:v>
                </c:pt>
                <c:pt idx="75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'CLTV Conv'!$AG$1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'CLTV Conv'!$AE$28:$AE$103</c:f>
              <c:numCache>
                <c:formatCode>General</c:formatCode>
                <c:ptCount val="76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46</c:v>
                </c:pt>
                <c:pt idx="17">
                  <c:v>47</c:v>
                </c:pt>
                <c:pt idx="18">
                  <c:v>48</c:v>
                </c:pt>
                <c:pt idx="19">
                  <c:v>49</c:v>
                </c:pt>
                <c:pt idx="20">
                  <c:v>50</c:v>
                </c:pt>
                <c:pt idx="21">
                  <c:v>51</c:v>
                </c:pt>
                <c:pt idx="22">
                  <c:v>52</c:v>
                </c:pt>
                <c:pt idx="23">
                  <c:v>53</c:v>
                </c:pt>
                <c:pt idx="24">
                  <c:v>54</c:v>
                </c:pt>
                <c:pt idx="25">
                  <c:v>55</c:v>
                </c:pt>
                <c:pt idx="26">
                  <c:v>56</c:v>
                </c:pt>
                <c:pt idx="27">
                  <c:v>57</c:v>
                </c:pt>
                <c:pt idx="28">
                  <c:v>58</c:v>
                </c:pt>
                <c:pt idx="29">
                  <c:v>59</c:v>
                </c:pt>
                <c:pt idx="30">
                  <c:v>60</c:v>
                </c:pt>
                <c:pt idx="31">
                  <c:v>61</c:v>
                </c:pt>
                <c:pt idx="32">
                  <c:v>62</c:v>
                </c:pt>
                <c:pt idx="33">
                  <c:v>63</c:v>
                </c:pt>
                <c:pt idx="34">
                  <c:v>64</c:v>
                </c:pt>
                <c:pt idx="35">
                  <c:v>65</c:v>
                </c:pt>
                <c:pt idx="36">
                  <c:v>66</c:v>
                </c:pt>
                <c:pt idx="37">
                  <c:v>67</c:v>
                </c:pt>
                <c:pt idx="38">
                  <c:v>68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79</c:v>
                </c:pt>
                <c:pt idx="50">
                  <c:v>80</c:v>
                </c:pt>
                <c:pt idx="51">
                  <c:v>81</c:v>
                </c:pt>
                <c:pt idx="52">
                  <c:v>82</c:v>
                </c:pt>
                <c:pt idx="53">
                  <c:v>83</c:v>
                </c:pt>
                <c:pt idx="54">
                  <c:v>84</c:v>
                </c:pt>
                <c:pt idx="55">
                  <c:v>85</c:v>
                </c:pt>
                <c:pt idx="56">
                  <c:v>86</c:v>
                </c:pt>
                <c:pt idx="57">
                  <c:v>87</c:v>
                </c:pt>
                <c:pt idx="58">
                  <c:v>88</c:v>
                </c:pt>
                <c:pt idx="59">
                  <c:v>89</c:v>
                </c:pt>
                <c:pt idx="60">
                  <c:v>90</c:v>
                </c:pt>
                <c:pt idx="61">
                  <c:v>91</c:v>
                </c:pt>
                <c:pt idx="62">
                  <c:v>92</c:v>
                </c:pt>
                <c:pt idx="63">
                  <c:v>93</c:v>
                </c:pt>
                <c:pt idx="64">
                  <c:v>94</c:v>
                </c:pt>
                <c:pt idx="65">
                  <c:v>95</c:v>
                </c:pt>
                <c:pt idx="66">
                  <c:v>96</c:v>
                </c:pt>
                <c:pt idx="67">
                  <c:v>97</c:v>
                </c:pt>
                <c:pt idx="68">
                  <c:v>98</c:v>
                </c:pt>
                <c:pt idx="69">
                  <c:v>99</c:v>
                </c:pt>
                <c:pt idx="70">
                  <c:v>100</c:v>
                </c:pt>
                <c:pt idx="71">
                  <c:v>101</c:v>
                </c:pt>
                <c:pt idx="72">
                  <c:v>102</c:v>
                </c:pt>
                <c:pt idx="73">
                  <c:v>103</c:v>
                </c:pt>
                <c:pt idx="74">
                  <c:v>104</c:v>
                </c:pt>
                <c:pt idx="75">
                  <c:v>105</c:v>
                </c:pt>
              </c:numCache>
            </c:numRef>
          </c:cat>
          <c:val>
            <c:numRef>
              <c:f>'CLTV Conv'!$AG$28:$AG$103</c:f>
              <c:numCache>
                <c:formatCode>General</c:formatCode>
                <c:ptCount val="76"/>
                <c:pt idx="0">
                  <c:v>22.8</c:v>
                </c:pt>
                <c:pt idx="1">
                  <c:v>22.8</c:v>
                </c:pt>
                <c:pt idx="2">
                  <c:v>22.8</c:v>
                </c:pt>
                <c:pt idx="3">
                  <c:v>22.8</c:v>
                </c:pt>
                <c:pt idx="4">
                  <c:v>22.9</c:v>
                </c:pt>
                <c:pt idx="5">
                  <c:v>22.7</c:v>
                </c:pt>
                <c:pt idx="6">
                  <c:v>22.6</c:v>
                </c:pt>
                <c:pt idx="7">
                  <c:v>23.2</c:v>
                </c:pt>
                <c:pt idx="8">
                  <c:v>23.3</c:v>
                </c:pt>
                <c:pt idx="9">
                  <c:v>23.7</c:v>
                </c:pt>
                <c:pt idx="10">
                  <c:v>23.8</c:v>
                </c:pt>
                <c:pt idx="11">
                  <c:v>23.8</c:v>
                </c:pt>
                <c:pt idx="12">
                  <c:v>23.6</c:v>
                </c:pt>
                <c:pt idx="13">
                  <c:v>22.8</c:v>
                </c:pt>
                <c:pt idx="14">
                  <c:v>21.5</c:v>
                </c:pt>
                <c:pt idx="15">
                  <c:v>21</c:v>
                </c:pt>
                <c:pt idx="16">
                  <c:v>20.3</c:v>
                </c:pt>
                <c:pt idx="17">
                  <c:v>19.2</c:v>
                </c:pt>
                <c:pt idx="18">
                  <c:v>18.600000000000001</c:v>
                </c:pt>
                <c:pt idx="19">
                  <c:v>17.8</c:v>
                </c:pt>
                <c:pt idx="20">
                  <c:v>17.600000000000001</c:v>
                </c:pt>
                <c:pt idx="21">
                  <c:v>17.100000000000001</c:v>
                </c:pt>
                <c:pt idx="22">
                  <c:v>17.2</c:v>
                </c:pt>
                <c:pt idx="23">
                  <c:v>17.3</c:v>
                </c:pt>
                <c:pt idx="24">
                  <c:v>17.3</c:v>
                </c:pt>
                <c:pt idx="25">
                  <c:v>17.5</c:v>
                </c:pt>
                <c:pt idx="26">
                  <c:v>17.7</c:v>
                </c:pt>
                <c:pt idx="27">
                  <c:v>17.8</c:v>
                </c:pt>
                <c:pt idx="28">
                  <c:v>17.399999999999999</c:v>
                </c:pt>
                <c:pt idx="29">
                  <c:v>17.3</c:v>
                </c:pt>
                <c:pt idx="30">
                  <c:v>17.3</c:v>
                </c:pt>
                <c:pt idx="31">
                  <c:v>16.7</c:v>
                </c:pt>
                <c:pt idx="32">
                  <c:v>16.5</c:v>
                </c:pt>
                <c:pt idx="33">
                  <c:v>16.399999999999999</c:v>
                </c:pt>
                <c:pt idx="34">
                  <c:v>16.3</c:v>
                </c:pt>
                <c:pt idx="35">
                  <c:v>16.2</c:v>
                </c:pt>
                <c:pt idx="36">
                  <c:v>16.3</c:v>
                </c:pt>
                <c:pt idx="37">
                  <c:v>16</c:v>
                </c:pt>
                <c:pt idx="38">
                  <c:v>16</c:v>
                </c:pt>
                <c:pt idx="39">
                  <c:v>15.8</c:v>
                </c:pt>
                <c:pt idx="40">
                  <c:v>15.7</c:v>
                </c:pt>
                <c:pt idx="41">
                  <c:v>15.6</c:v>
                </c:pt>
                <c:pt idx="42">
                  <c:v>15.8</c:v>
                </c:pt>
                <c:pt idx="43">
                  <c:v>16.100000000000001</c:v>
                </c:pt>
                <c:pt idx="44">
                  <c:v>16.3</c:v>
                </c:pt>
                <c:pt idx="45">
                  <c:v>16.600000000000001</c:v>
                </c:pt>
                <c:pt idx="46">
                  <c:v>16.600000000000001</c:v>
                </c:pt>
                <c:pt idx="47">
                  <c:v>17.3</c:v>
                </c:pt>
                <c:pt idx="48">
                  <c:v>17.7</c:v>
                </c:pt>
                <c:pt idx="49">
                  <c:v>18.3</c:v>
                </c:pt>
                <c:pt idx="50">
                  <c:v>18.899999999999999</c:v>
                </c:pt>
                <c:pt idx="51">
                  <c:v>19.100000000000001</c:v>
                </c:pt>
                <c:pt idx="52">
                  <c:v>19.5</c:v>
                </c:pt>
                <c:pt idx="53">
                  <c:v>20.3</c:v>
                </c:pt>
                <c:pt idx="54">
                  <c:v>20.9</c:v>
                </c:pt>
                <c:pt idx="55">
                  <c:v>21.5</c:v>
                </c:pt>
                <c:pt idx="56">
                  <c:v>22</c:v>
                </c:pt>
                <c:pt idx="57">
                  <c:v>22.7</c:v>
                </c:pt>
                <c:pt idx="58">
                  <c:v>23</c:v>
                </c:pt>
                <c:pt idx="59">
                  <c:v>23.7</c:v>
                </c:pt>
                <c:pt idx="60">
                  <c:v>24.4</c:v>
                </c:pt>
                <c:pt idx="61">
                  <c:v>24.7</c:v>
                </c:pt>
                <c:pt idx="62">
                  <c:v>25.4</c:v>
                </c:pt>
                <c:pt idx="63">
                  <c:v>25.5</c:v>
                </c:pt>
                <c:pt idx="64">
                  <c:v>25.9</c:v>
                </c:pt>
                <c:pt idx="65">
                  <c:v>26.2</c:v>
                </c:pt>
                <c:pt idx="66">
                  <c:v>26.6</c:v>
                </c:pt>
                <c:pt idx="67">
                  <c:v>26.2</c:v>
                </c:pt>
                <c:pt idx="68">
                  <c:v>26.4</c:v>
                </c:pt>
                <c:pt idx="69">
                  <c:v>26.4</c:v>
                </c:pt>
                <c:pt idx="70">
                  <c:v>26.3</c:v>
                </c:pt>
                <c:pt idx="71">
                  <c:v>26.2</c:v>
                </c:pt>
                <c:pt idx="72">
                  <c:v>26.1</c:v>
                </c:pt>
                <c:pt idx="73">
                  <c:v>26.4</c:v>
                </c:pt>
                <c:pt idx="74">
                  <c:v>26.7</c:v>
                </c:pt>
                <c:pt idx="75">
                  <c:v>26.9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382592"/>
        <c:axId val="398384128"/>
      </c:lineChart>
      <c:catAx>
        <c:axId val="398382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8384128"/>
        <c:crosses val="autoZero"/>
        <c:auto val="1"/>
        <c:lblAlgn val="ctr"/>
        <c:lblOffset val="100"/>
        <c:noMultiLvlLbl val="0"/>
      </c:catAx>
      <c:valAx>
        <c:axId val="398384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8382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22</xdr:col>
      <xdr:colOff>304800</xdr:colOff>
      <xdr:row>15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14</xdr:col>
      <xdr:colOff>304800</xdr:colOff>
      <xdr:row>30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22</xdr:col>
      <xdr:colOff>304800</xdr:colOff>
      <xdr:row>30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31</xdr:row>
      <xdr:rowOff>0</xdr:rowOff>
    </xdr:from>
    <xdr:to>
      <xdr:col>22</xdr:col>
      <xdr:colOff>304800</xdr:colOff>
      <xdr:row>45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557212</xdr:colOff>
      <xdr:row>4</xdr:row>
      <xdr:rowOff>166687</xdr:rowOff>
    </xdr:from>
    <xdr:to>
      <xdr:col>17</xdr:col>
      <xdr:colOff>252412</xdr:colOff>
      <xdr:row>19</xdr:row>
      <xdr:rowOff>52387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304800</xdr:colOff>
      <xdr:row>17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15</xdr:col>
      <xdr:colOff>304800</xdr:colOff>
      <xdr:row>16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95250</xdr:rowOff>
    </xdr:from>
    <xdr:to>
      <xdr:col>11</xdr:col>
      <xdr:colOff>333375</xdr:colOff>
      <xdr:row>16</xdr:row>
      <xdr:rowOff>171450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552450</xdr:colOff>
      <xdr:row>2</xdr:row>
      <xdr:rowOff>133350</xdr:rowOff>
    </xdr:from>
    <xdr:to>
      <xdr:col>19</xdr:col>
      <xdr:colOff>247650</xdr:colOff>
      <xdr:row>17</xdr:row>
      <xdr:rowOff>19050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47625</xdr:colOff>
      <xdr:row>17</xdr:row>
      <xdr:rowOff>161925</xdr:rowOff>
    </xdr:from>
    <xdr:to>
      <xdr:col>11</xdr:col>
      <xdr:colOff>352425</xdr:colOff>
      <xdr:row>32</xdr:row>
      <xdr:rowOff>47625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552450</xdr:colOff>
      <xdr:row>17</xdr:row>
      <xdr:rowOff>161925</xdr:rowOff>
    </xdr:from>
    <xdr:to>
      <xdr:col>19</xdr:col>
      <xdr:colOff>247650</xdr:colOff>
      <xdr:row>32</xdr:row>
      <xdr:rowOff>47625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419100</xdr:colOff>
      <xdr:row>33</xdr:row>
      <xdr:rowOff>0</xdr:rowOff>
    </xdr:from>
    <xdr:to>
      <xdr:col>27</xdr:col>
      <xdr:colOff>114300</xdr:colOff>
      <xdr:row>47</xdr:row>
      <xdr:rowOff>76200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147636</xdr:colOff>
      <xdr:row>2</xdr:row>
      <xdr:rowOff>80962</xdr:rowOff>
    </xdr:from>
    <xdr:to>
      <xdr:col>29</xdr:col>
      <xdr:colOff>28574</xdr:colOff>
      <xdr:row>21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242887</xdr:colOff>
      <xdr:row>23</xdr:row>
      <xdr:rowOff>119062</xdr:rowOff>
    </xdr:from>
    <xdr:to>
      <xdr:col>28</xdr:col>
      <xdr:colOff>590550</xdr:colOff>
      <xdr:row>42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10" sqref="A10:G17"/>
    </sheetView>
  </sheetViews>
  <sheetFormatPr defaultRowHeight="15" x14ac:dyDescent="0.25"/>
  <sheetData>
    <row r="1" spans="1:7" x14ac:dyDescent="0.25">
      <c r="A1" t="s">
        <v>1</v>
      </c>
    </row>
    <row r="2" spans="1:7" x14ac:dyDescent="0.25">
      <c r="A2" t="s">
        <v>0</v>
      </c>
      <c r="B2">
        <v>2015</v>
      </c>
      <c r="C2">
        <v>2014</v>
      </c>
      <c r="D2">
        <v>2013</v>
      </c>
      <c r="E2">
        <v>2012</v>
      </c>
      <c r="F2">
        <v>2011</v>
      </c>
      <c r="G2">
        <v>2010</v>
      </c>
    </row>
    <row r="3" spans="1:7" x14ac:dyDescent="0.25">
      <c r="A3" s="1">
        <v>3</v>
      </c>
      <c r="B3" s="1"/>
      <c r="C3" s="1"/>
      <c r="D3" s="1">
        <v>0.88</v>
      </c>
      <c r="E3" s="1">
        <v>0.48</v>
      </c>
      <c r="F3" s="1"/>
      <c r="G3" s="1"/>
    </row>
    <row r="4" spans="1:7" x14ac:dyDescent="0.25">
      <c r="A4" s="1">
        <v>3.5</v>
      </c>
      <c r="B4" s="1">
        <v>0.21</v>
      </c>
      <c r="C4" s="1">
        <v>0.03</v>
      </c>
      <c r="D4" s="1">
        <v>4.84</v>
      </c>
      <c r="E4" s="1">
        <v>4.7</v>
      </c>
      <c r="F4" s="1"/>
      <c r="G4" s="1"/>
    </row>
    <row r="5" spans="1:7" x14ac:dyDescent="0.25">
      <c r="A5" s="1">
        <v>4</v>
      </c>
      <c r="B5" s="1">
        <v>0.53</v>
      </c>
      <c r="C5" s="1">
        <v>0.69</v>
      </c>
      <c r="D5" s="1">
        <v>2.97</v>
      </c>
      <c r="E5" s="1">
        <v>6.61</v>
      </c>
      <c r="F5" s="1">
        <v>0.32</v>
      </c>
      <c r="G5" s="1">
        <v>0.08</v>
      </c>
    </row>
    <row r="6" spans="1:7" x14ac:dyDescent="0.25">
      <c r="A6" s="1">
        <v>4.5</v>
      </c>
      <c r="B6" s="1">
        <v>0.16</v>
      </c>
      <c r="C6" s="1">
        <v>1.1399999999999999</v>
      </c>
      <c r="D6" s="1">
        <v>1.05</v>
      </c>
      <c r="E6" s="1">
        <v>0.72</v>
      </c>
      <c r="F6" s="1">
        <v>2.31</v>
      </c>
      <c r="G6" s="1">
        <v>0.67</v>
      </c>
    </row>
    <row r="7" spans="1:7" x14ac:dyDescent="0.25">
      <c r="A7" s="1">
        <v>5</v>
      </c>
      <c r="B7" s="1"/>
      <c r="C7" s="1"/>
      <c r="D7" s="1"/>
      <c r="E7" s="1"/>
      <c r="F7" s="1"/>
      <c r="G7" s="1"/>
    </row>
    <row r="8" spans="1:7" x14ac:dyDescent="0.25">
      <c r="A8" s="1">
        <v>5.5</v>
      </c>
      <c r="B8" s="1"/>
      <c r="C8" s="1"/>
      <c r="D8" s="1"/>
      <c r="E8" s="1"/>
      <c r="F8" s="1"/>
      <c r="G8" s="1"/>
    </row>
    <row r="10" spans="1:7" x14ac:dyDescent="0.25">
      <c r="A10" t="s">
        <v>2</v>
      </c>
    </row>
    <row r="11" spans="1:7" x14ac:dyDescent="0.25">
      <c r="A11" t="s">
        <v>0</v>
      </c>
      <c r="B11">
        <v>2015</v>
      </c>
      <c r="C11">
        <v>2014</v>
      </c>
      <c r="D11">
        <v>2013</v>
      </c>
      <c r="E11">
        <v>2012</v>
      </c>
      <c r="F11">
        <v>2011</v>
      </c>
      <c r="G11">
        <v>2010</v>
      </c>
    </row>
    <row r="12" spans="1:7" x14ac:dyDescent="0.25">
      <c r="A12" s="1">
        <v>3</v>
      </c>
      <c r="B12" s="1"/>
      <c r="C12" s="1"/>
      <c r="D12" s="1">
        <v>0.49</v>
      </c>
      <c r="E12" s="1">
        <v>0.32</v>
      </c>
      <c r="F12" s="1"/>
      <c r="G12" s="1"/>
    </row>
    <row r="13" spans="1:7" x14ac:dyDescent="0.25">
      <c r="A13" s="1">
        <v>3.5</v>
      </c>
      <c r="B13" s="1">
        <v>0.06</v>
      </c>
      <c r="C13" s="1"/>
      <c r="D13" s="1">
        <v>3.78</v>
      </c>
      <c r="E13" s="1">
        <v>3.63</v>
      </c>
      <c r="F13" s="1"/>
      <c r="G13" s="1"/>
    </row>
    <row r="14" spans="1:7" x14ac:dyDescent="0.25">
      <c r="A14" s="1">
        <v>4</v>
      </c>
      <c r="B14" s="1">
        <v>0.23</v>
      </c>
      <c r="C14" s="1">
        <v>0.26</v>
      </c>
      <c r="D14" s="1">
        <v>3.1</v>
      </c>
      <c r="E14" s="1">
        <v>7.96</v>
      </c>
      <c r="F14" s="1"/>
      <c r="G14" s="1"/>
    </row>
    <row r="15" spans="1:7" x14ac:dyDescent="0.25">
      <c r="A15" s="1">
        <v>4.5</v>
      </c>
      <c r="B15" s="1">
        <v>0.09</v>
      </c>
      <c r="C15" s="1">
        <v>0.68</v>
      </c>
      <c r="D15" s="1">
        <v>0.82</v>
      </c>
      <c r="E15" s="1">
        <v>1.87</v>
      </c>
      <c r="F15" s="1"/>
      <c r="G15" s="1"/>
    </row>
    <row r="16" spans="1:7" x14ac:dyDescent="0.25">
      <c r="A16" s="1">
        <v>5</v>
      </c>
      <c r="B16" s="1"/>
      <c r="C16" s="1"/>
      <c r="D16" s="1"/>
      <c r="E16" s="1"/>
      <c r="F16" s="1"/>
      <c r="G16" s="1"/>
    </row>
    <row r="17" spans="1:7" x14ac:dyDescent="0.25">
      <c r="A17" s="1">
        <v>5.5</v>
      </c>
      <c r="B17" s="1"/>
      <c r="C17" s="1"/>
      <c r="D17" s="1"/>
      <c r="E17" s="1"/>
      <c r="F17" s="1"/>
      <c r="G17" s="1"/>
    </row>
  </sheetData>
  <conditionalFormatting sqref="B3:G7">
    <cfRule type="cellIs" dxfId="4" priority="3" operator="lessThan">
      <formula>1</formula>
    </cfRule>
  </conditionalFormatting>
  <conditionalFormatting sqref="B12:G16">
    <cfRule type="cellIs" dxfId="2" priority="1" operator="less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37"/>
  <sheetViews>
    <sheetView workbookViewId="0">
      <selection activeCell="B62" sqref="B62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41306</v>
      </c>
      <c r="C2">
        <v>1.63591257460955</v>
      </c>
      <c r="D2">
        <v>0.61725090720328202</v>
      </c>
    </row>
    <row r="3" spans="1:4" x14ac:dyDescent="0.25">
      <c r="A3" s="3" t="s">
        <v>7</v>
      </c>
      <c r="B3" s="3">
        <v>41334</v>
      </c>
      <c r="C3">
        <v>0.95590703616670303</v>
      </c>
      <c r="D3">
        <v>0.63208547579000096</v>
      </c>
    </row>
    <row r="4" spans="1:4" x14ac:dyDescent="0.25">
      <c r="A4" s="3" t="s">
        <v>8</v>
      </c>
      <c r="B4" s="3">
        <v>41365</v>
      </c>
      <c r="C4">
        <v>1.2265295605862001</v>
      </c>
      <c r="D4">
        <v>0.803502883955864</v>
      </c>
    </row>
    <row r="5" spans="1:4" x14ac:dyDescent="0.25">
      <c r="A5" s="3" t="s">
        <v>9</v>
      </c>
      <c r="B5" s="3">
        <v>41395</v>
      </c>
      <c r="C5">
        <v>1.42442158085054</v>
      </c>
      <c r="D5">
        <v>1.0537971166656801</v>
      </c>
    </row>
    <row r="6" spans="1:4" x14ac:dyDescent="0.25">
      <c r="A6" s="3" t="s">
        <v>10</v>
      </c>
      <c r="B6" s="3">
        <v>41426</v>
      </c>
      <c r="C6">
        <v>1.5784848852751201</v>
      </c>
      <c r="D6">
        <v>1.4386392601014899</v>
      </c>
    </row>
    <row r="7" spans="1:4" x14ac:dyDescent="0.25">
      <c r="A7" s="3" t="s">
        <v>11</v>
      </c>
      <c r="B7" s="3">
        <v>41456</v>
      </c>
      <c r="C7">
        <v>2.0023630724777899</v>
      </c>
      <c r="D7">
        <v>1.5176833669379599</v>
      </c>
    </row>
    <row r="8" spans="1:4" x14ac:dyDescent="0.25">
      <c r="A8" s="3" t="s">
        <v>12</v>
      </c>
      <c r="B8" s="3">
        <v>41487</v>
      </c>
      <c r="C8">
        <v>2.07750130677592</v>
      </c>
      <c r="D8">
        <v>1.1946897004563299</v>
      </c>
    </row>
    <row r="9" spans="1:4" x14ac:dyDescent="0.25">
      <c r="A9" s="3" t="s">
        <v>13</v>
      </c>
      <c r="B9" s="3">
        <v>41518</v>
      </c>
      <c r="C9">
        <v>2.5548961180571501</v>
      </c>
      <c r="D9">
        <v>1.22437411255366</v>
      </c>
    </row>
    <row r="10" spans="1:4" x14ac:dyDescent="0.25">
      <c r="A10" s="3" t="s">
        <v>14</v>
      </c>
      <c r="B10" s="3">
        <v>41548</v>
      </c>
      <c r="C10">
        <v>2.42428918666725</v>
      </c>
      <c r="D10">
        <v>1.3173639569206099</v>
      </c>
    </row>
    <row r="11" spans="1:4" x14ac:dyDescent="0.25">
      <c r="A11" s="2" t="s">
        <v>15</v>
      </c>
      <c r="B11" s="3">
        <v>41579</v>
      </c>
      <c r="C11">
        <v>2.1136783822058498</v>
      </c>
      <c r="D11">
        <v>1.50395020453964</v>
      </c>
    </row>
    <row r="12" spans="1:4" x14ac:dyDescent="0.25">
      <c r="A12" s="2" t="s">
        <v>16</v>
      </c>
      <c r="B12" s="3">
        <v>41609</v>
      </c>
      <c r="C12">
        <v>2.3525004748818699</v>
      </c>
      <c r="D12">
        <v>1.8128627419144201</v>
      </c>
    </row>
    <row r="13" spans="1:4" x14ac:dyDescent="0.25">
      <c r="A13" s="2" t="s">
        <v>17</v>
      </c>
      <c r="B13" s="3">
        <v>41640</v>
      </c>
      <c r="C13">
        <v>2.71490028426257</v>
      </c>
      <c r="D13">
        <v>1.9821842485499499</v>
      </c>
    </row>
    <row r="14" spans="1:4" x14ac:dyDescent="0.25">
      <c r="A14" s="2" t="s">
        <v>18</v>
      </c>
      <c r="B14" s="3">
        <v>41671</v>
      </c>
      <c r="C14">
        <v>2.5119789765918101</v>
      </c>
      <c r="D14">
        <v>2.0008934550434501</v>
      </c>
    </row>
    <row r="15" spans="1:4" x14ac:dyDescent="0.25">
      <c r="A15" s="2" t="s">
        <v>19</v>
      </c>
      <c r="B15" s="3">
        <v>41699</v>
      </c>
      <c r="C15">
        <v>2.6554733120072598</v>
      </c>
      <c r="D15">
        <v>2.1988809463200001</v>
      </c>
    </row>
    <row r="16" spans="1:4" x14ac:dyDescent="0.25">
      <c r="A16" s="2" t="s">
        <v>20</v>
      </c>
      <c r="B16" s="3">
        <v>41730</v>
      </c>
      <c r="C16">
        <v>3.7246295888100902</v>
      </c>
      <c r="D16">
        <v>2.6162524980675701</v>
      </c>
    </row>
    <row r="17" spans="1:4" x14ac:dyDescent="0.25">
      <c r="A17" s="2" t="s">
        <v>21</v>
      </c>
      <c r="B17" s="3">
        <v>41760</v>
      </c>
      <c r="C17">
        <v>3.4378742748523301</v>
      </c>
      <c r="D17">
        <v>2.83932342177259</v>
      </c>
    </row>
    <row r="18" spans="1:4" x14ac:dyDescent="0.25">
      <c r="A18" s="2" t="s">
        <v>22</v>
      </c>
      <c r="B18" s="3">
        <v>41791</v>
      </c>
      <c r="C18">
        <v>4.8477085388448202</v>
      </c>
      <c r="D18">
        <v>3.57407297004674</v>
      </c>
    </row>
    <row r="19" spans="1:4" x14ac:dyDescent="0.25">
      <c r="A19" s="2" t="s">
        <v>23</v>
      </c>
      <c r="B19" s="3">
        <v>41821</v>
      </c>
      <c r="C19">
        <v>4.1301038617508601</v>
      </c>
      <c r="D19">
        <v>4.9525464739651097</v>
      </c>
    </row>
    <row r="20" spans="1:4" x14ac:dyDescent="0.25">
      <c r="A20" s="2" t="s">
        <v>24</v>
      </c>
      <c r="B20" s="3">
        <v>41852</v>
      </c>
      <c r="C20">
        <v>4.2878366001645603</v>
      </c>
      <c r="D20">
        <v>5.8449875550036303</v>
      </c>
    </row>
    <row r="21" spans="1:4" x14ac:dyDescent="0.25">
      <c r="A21" s="2" t="s">
        <v>25</v>
      </c>
      <c r="B21" s="3">
        <v>41883</v>
      </c>
      <c r="C21">
        <v>5.58944049402057</v>
      </c>
      <c r="D21">
        <v>6.9032821272948004</v>
      </c>
    </row>
    <row r="22" spans="1:4" x14ac:dyDescent="0.25">
      <c r="A22" s="2" t="s">
        <v>26</v>
      </c>
      <c r="B22" s="3">
        <v>41913</v>
      </c>
      <c r="C22">
        <v>4.5064936600708503</v>
      </c>
      <c r="D22">
        <v>6.9698761596488099</v>
      </c>
    </row>
    <row r="23" spans="1:4" x14ac:dyDescent="0.25">
      <c r="A23" s="2" t="s">
        <v>27</v>
      </c>
      <c r="B23" s="3">
        <v>41944</v>
      </c>
      <c r="C23">
        <v>4.9147315424106504</v>
      </c>
      <c r="D23">
        <v>7.16429129590108</v>
      </c>
    </row>
    <row r="24" spans="1:4" x14ac:dyDescent="0.25">
      <c r="A24" s="2" t="s">
        <v>28</v>
      </c>
      <c r="B24" s="3">
        <v>41974</v>
      </c>
      <c r="C24">
        <v>4.5130393725936901</v>
      </c>
      <c r="D24">
        <v>8.0136428715270096</v>
      </c>
    </row>
    <row r="25" spans="1:4" x14ac:dyDescent="0.25">
      <c r="A25" s="2" t="s">
        <v>29</v>
      </c>
      <c r="B25" s="3">
        <v>42005</v>
      </c>
      <c r="C25">
        <v>4.9544657957726699</v>
      </c>
      <c r="D25">
        <v>10.024436704536701</v>
      </c>
    </row>
    <row r="26" spans="1:4" x14ac:dyDescent="0.25">
      <c r="A26" s="2" t="s">
        <v>30</v>
      </c>
      <c r="B26" s="3">
        <v>42036</v>
      </c>
      <c r="C26">
        <v>5.3713136783491899</v>
      </c>
      <c r="D26">
        <v>11.2780146348603</v>
      </c>
    </row>
    <row r="27" spans="1:4" x14ac:dyDescent="0.25">
      <c r="A27" s="2" t="s">
        <v>31</v>
      </c>
      <c r="B27" s="3">
        <v>42064</v>
      </c>
      <c r="C27">
        <v>4.4358918836477903</v>
      </c>
      <c r="D27">
        <v>15.0723191015982</v>
      </c>
    </row>
    <row r="28" spans="1:4" x14ac:dyDescent="0.25">
      <c r="A28" s="2" t="s">
        <v>32</v>
      </c>
      <c r="B28" s="3">
        <v>42095</v>
      </c>
      <c r="C28">
        <v>5.8537207278367198</v>
      </c>
      <c r="D28">
        <v>17.518676942132199</v>
      </c>
    </row>
    <row r="29" spans="1:4" x14ac:dyDescent="0.25">
      <c r="A29" s="2" t="s">
        <v>33</v>
      </c>
      <c r="B29" s="3">
        <v>42125</v>
      </c>
      <c r="C29">
        <v>6.9172939016973096</v>
      </c>
      <c r="D29">
        <v>20.830436445535099</v>
      </c>
    </row>
    <row r="30" spans="1:4" x14ac:dyDescent="0.25">
      <c r="A30" s="2" t="s">
        <v>34</v>
      </c>
      <c r="B30" s="3">
        <v>42156</v>
      </c>
      <c r="C30">
        <v>8.0727753361373793</v>
      </c>
      <c r="D30">
        <v>26.2231949323753</v>
      </c>
    </row>
    <row r="31" spans="1:4" x14ac:dyDescent="0.25">
      <c r="A31" s="2" t="s">
        <v>35</v>
      </c>
      <c r="B31" s="3">
        <v>42186</v>
      </c>
      <c r="C31">
        <v>7.5433424805368396</v>
      </c>
      <c r="D31">
        <v>24.637467397025699</v>
      </c>
    </row>
    <row r="32" spans="1:4" x14ac:dyDescent="0.25">
      <c r="A32" s="2" t="s">
        <v>36</v>
      </c>
      <c r="B32" s="3">
        <v>42217</v>
      </c>
      <c r="C32">
        <v>8.9808157708045595</v>
      </c>
      <c r="D32">
        <v>22.8283113104495</v>
      </c>
    </row>
    <row r="33" spans="1:4" x14ac:dyDescent="0.25">
      <c r="A33" s="2" t="s">
        <v>37</v>
      </c>
      <c r="B33" s="3">
        <v>42248</v>
      </c>
      <c r="C33">
        <v>6.8599345244405701</v>
      </c>
      <c r="D33">
        <v>23.2051879662944</v>
      </c>
    </row>
    <row r="34" spans="1:4" x14ac:dyDescent="0.25">
      <c r="A34" s="2" t="s">
        <v>38</v>
      </c>
      <c r="B34" s="3">
        <v>42278</v>
      </c>
      <c r="C34">
        <v>7.6042556882299399</v>
      </c>
      <c r="D34">
        <v>25.0418347015686</v>
      </c>
    </row>
    <row r="35" spans="1:4" x14ac:dyDescent="0.25">
      <c r="A35" s="2" t="s">
        <v>39</v>
      </c>
      <c r="B35" s="3">
        <v>42309</v>
      </c>
      <c r="C35">
        <v>8.0788975321340004</v>
      </c>
      <c r="D35">
        <v>25.042481130128898</v>
      </c>
    </row>
    <row r="36" spans="1:4" x14ac:dyDescent="0.25">
      <c r="A36" s="2" t="s">
        <v>40</v>
      </c>
      <c r="B36" s="3">
        <v>42339</v>
      </c>
      <c r="C36">
        <v>6.1740086593389103</v>
      </c>
      <c r="D36">
        <v>26.221578981985299</v>
      </c>
    </row>
    <row r="37" spans="1:4" x14ac:dyDescent="0.25">
      <c r="A37" s="2" t="s">
        <v>41</v>
      </c>
      <c r="B37" s="3">
        <v>42370</v>
      </c>
      <c r="C37">
        <v>7.5161087210162698</v>
      </c>
      <c r="D37">
        <v>23.261525631932201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D49"/>
  <sheetViews>
    <sheetView workbookViewId="0">
      <selection activeCell="B62" sqref="B62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40940</v>
      </c>
      <c r="C2">
        <v>0.13311837705238799</v>
      </c>
      <c r="D2">
        <v>0.373263083214459</v>
      </c>
    </row>
    <row r="3" spans="1:4" x14ac:dyDescent="0.25">
      <c r="A3" s="3" t="s">
        <v>7</v>
      </c>
      <c r="B3" s="3">
        <v>40969</v>
      </c>
      <c r="C3">
        <v>0.54729849315739998</v>
      </c>
      <c r="D3">
        <v>0.53704906713456502</v>
      </c>
    </row>
    <row r="4" spans="1:4" x14ac:dyDescent="0.25">
      <c r="A4" s="3" t="s">
        <v>8</v>
      </c>
      <c r="B4" s="3">
        <v>41000</v>
      </c>
      <c r="C4">
        <v>0.33825682333601398</v>
      </c>
      <c r="D4">
        <v>0.531495280645922</v>
      </c>
    </row>
    <row r="5" spans="1:4" x14ac:dyDescent="0.25">
      <c r="A5" s="3" t="s">
        <v>9</v>
      </c>
      <c r="B5" s="3">
        <v>41030</v>
      </c>
      <c r="C5">
        <v>0.78772790599405096</v>
      </c>
      <c r="D5">
        <v>0.497014121997574</v>
      </c>
    </row>
    <row r="6" spans="1:4" x14ac:dyDescent="0.25">
      <c r="A6" s="3" t="s">
        <v>10</v>
      </c>
      <c r="B6" s="3">
        <v>41061</v>
      </c>
      <c r="C6">
        <v>1.2948442357188099</v>
      </c>
      <c r="D6">
        <v>0.68194846865355896</v>
      </c>
    </row>
    <row r="7" spans="1:4" x14ac:dyDescent="0.25">
      <c r="A7" s="3" t="s">
        <v>11</v>
      </c>
      <c r="B7" s="3">
        <v>41091</v>
      </c>
      <c r="C7">
        <v>1.41842721177453</v>
      </c>
      <c r="D7">
        <v>0.92264305145088898</v>
      </c>
    </row>
    <row r="8" spans="1:4" x14ac:dyDescent="0.25">
      <c r="A8" s="3" t="s">
        <v>12</v>
      </c>
      <c r="B8" s="3">
        <v>41122</v>
      </c>
      <c r="C8">
        <v>0.58652886375567503</v>
      </c>
      <c r="D8">
        <v>1.14951816633205</v>
      </c>
    </row>
    <row r="9" spans="1:4" x14ac:dyDescent="0.25">
      <c r="A9" s="3" t="s">
        <v>13</v>
      </c>
      <c r="B9" s="3">
        <v>41153</v>
      </c>
      <c r="C9">
        <v>1.06980451742803</v>
      </c>
      <c r="D9">
        <v>1.23396813072456</v>
      </c>
    </row>
    <row r="10" spans="1:4" x14ac:dyDescent="0.25">
      <c r="A10" s="3" t="s">
        <v>14</v>
      </c>
      <c r="B10" s="3">
        <v>41183</v>
      </c>
      <c r="C10">
        <v>1.0675935184327401</v>
      </c>
      <c r="D10">
        <v>1.1914870045592001</v>
      </c>
    </row>
    <row r="11" spans="1:4" x14ac:dyDescent="0.25">
      <c r="A11" s="2" t="s">
        <v>15</v>
      </c>
      <c r="B11" s="3">
        <v>41214</v>
      </c>
      <c r="C11">
        <v>1.3423221370849601</v>
      </c>
      <c r="D11">
        <v>1.4024738463069599</v>
      </c>
    </row>
    <row r="12" spans="1:4" x14ac:dyDescent="0.25">
      <c r="A12" s="2" t="s">
        <v>16</v>
      </c>
      <c r="B12" s="3">
        <v>41244</v>
      </c>
      <c r="C12">
        <v>1.1031994253394499</v>
      </c>
      <c r="D12">
        <v>1.58302129074646</v>
      </c>
    </row>
    <row r="13" spans="1:4" x14ac:dyDescent="0.25">
      <c r="A13" s="2" t="s">
        <v>17</v>
      </c>
      <c r="B13" s="3">
        <v>41275</v>
      </c>
      <c r="C13">
        <v>1.35857240419748</v>
      </c>
      <c r="D13">
        <v>1.6836865744192999</v>
      </c>
    </row>
    <row r="14" spans="1:4" x14ac:dyDescent="0.25">
      <c r="A14" s="2" t="s">
        <v>18</v>
      </c>
      <c r="B14" s="3">
        <v>41306</v>
      </c>
      <c r="C14">
        <v>1.4466949656239001</v>
      </c>
      <c r="D14">
        <v>1.77880510023812</v>
      </c>
    </row>
    <row r="15" spans="1:4" x14ac:dyDescent="0.25">
      <c r="A15" s="2" t="s">
        <v>19</v>
      </c>
      <c r="B15" s="3">
        <v>41334</v>
      </c>
      <c r="C15">
        <v>1.3656706730686801</v>
      </c>
      <c r="D15">
        <v>1.9915727285264599</v>
      </c>
    </row>
    <row r="16" spans="1:4" x14ac:dyDescent="0.25">
      <c r="A16" s="2" t="s">
        <v>20</v>
      </c>
      <c r="B16" s="3">
        <v>41365</v>
      </c>
      <c r="C16">
        <v>2.2748843429445502</v>
      </c>
      <c r="D16">
        <v>2.19803254737888</v>
      </c>
    </row>
    <row r="17" spans="1:4" x14ac:dyDescent="0.25">
      <c r="A17" s="2" t="s">
        <v>21</v>
      </c>
      <c r="B17" s="3">
        <v>41395</v>
      </c>
      <c r="C17">
        <v>3.3496616471722098</v>
      </c>
      <c r="D17">
        <v>2.5947097788212599</v>
      </c>
    </row>
    <row r="18" spans="1:4" x14ac:dyDescent="0.25">
      <c r="A18" s="2" t="s">
        <v>22</v>
      </c>
      <c r="B18" s="3">
        <v>41426</v>
      </c>
      <c r="C18">
        <v>4.2790616466754896</v>
      </c>
      <c r="D18">
        <v>4.0459463862056797</v>
      </c>
    </row>
    <row r="19" spans="1:4" x14ac:dyDescent="0.25">
      <c r="A19" s="2" t="s">
        <v>23</v>
      </c>
      <c r="B19" s="3">
        <v>41456</v>
      </c>
      <c r="C19">
        <v>4.3984499911280297</v>
      </c>
      <c r="D19">
        <v>4.4773016715364902</v>
      </c>
    </row>
    <row r="20" spans="1:4" x14ac:dyDescent="0.25">
      <c r="A20" s="2" t="s">
        <v>24</v>
      </c>
      <c r="B20" s="3">
        <v>41487</v>
      </c>
      <c r="C20">
        <v>5.7545837663813302</v>
      </c>
      <c r="D20">
        <v>3.5361988183428101</v>
      </c>
    </row>
    <row r="21" spans="1:4" x14ac:dyDescent="0.25">
      <c r="A21" s="2" t="s">
        <v>25</v>
      </c>
      <c r="B21" s="3">
        <v>41518</v>
      </c>
      <c r="C21">
        <v>3.93870260082732</v>
      </c>
      <c r="D21">
        <v>3.4200041763276601</v>
      </c>
    </row>
    <row r="22" spans="1:4" x14ac:dyDescent="0.25">
      <c r="A22" s="2" t="s">
        <v>26</v>
      </c>
      <c r="B22" s="3">
        <v>41548</v>
      </c>
      <c r="C22">
        <v>4.1332623613683204</v>
      </c>
      <c r="D22">
        <v>3.1297848493627898</v>
      </c>
    </row>
    <row r="23" spans="1:4" x14ac:dyDescent="0.25">
      <c r="A23" s="2" t="s">
        <v>27</v>
      </c>
      <c r="B23" s="3">
        <v>41579</v>
      </c>
      <c r="C23">
        <v>4.1553160267561102</v>
      </c>
      <c r="D23">
        <v>3.4447710916027399</v>
      </c>
    </row>
    <row r="24" spans="1:4" x14ac:dyDescent="0.25">
      <c r="A24" s="2" t="s">
        <v>28</v>
      </c>
      <c r="B24" s="3">
        <v>41609</v>
      </c>
      <c r="C24">
        <v>3.8641205400352199</v>
      </c>
      <c r="D24">
        <v>4.1934838329662298</v>
      </c>
    </row>
    <row r="25" spans="1:4" x14ac:dyDescent="0.25">
      <c r="A25" s="2" t="s">
        <v>29</v>
      </c>
      <c r="B25" s="3">
        <v>41640</v>
      </c>
      <c r="C25">
        <v>4.45358156580689</v>
      </c>
      <c r="D25">
        <v>4.3263193708624401</v>
      </c>
    </row>
    <row r="26" spans="1:4" x14ac:dyDescent="0.25">
      <c r="A26" s="2" t="s">
        <v>30</v>
      </c>
      <c r="B26" s="3">
        <v>41671</v>
      </c>
      <c r="C26">
        <v>3.4997990854065999</v>
      </c>
      <c r="D26">
        <v>3.8378028191054399</v>
      </c>
    </row>
    <row r="27" spans="1:4" x14ac:dyDescent="0.25">
      <c r="A27" s="2" t="s">
        <v>31</v>
      </c>
      <c r="B27" s="3">
        <v>41699</v>
      </c>
      <c r="C27">
        <v>4.0902696323400898</v>
      </c>
      <c r="D27">
        <v>4.22598904378874</v>
      </c>
    </row>
    <row r="28" spans="1:4" x14ac:dyDescent="0.25">
      <c r="A28" s="2" t="s">
        <v>32</v>
      </c>
      <c r="B28" s="3">
        <v>41730</v>
      </c>
      <c r="C28">
        <v>5.27324323405323</v>
      </c>
      <c r="D28">
        <v>6.34208900047157</v>
      </c>
    </row>
    <row r="29" spans="1:4" x14ac:dyDescent="0.25">
      <c r="A29" s="2" t="s">
        <v>33</v>
      </c>
      <c r="B29" s="3">
        <v>41760</v>
      </c>
      <c r="C29">
        <v>5.5666589266716002</v>
      </c>
      <c r="D29">
        <v>9.3203649056777707</v>
      </c>
    </row>
    <row r="30" spans="1:4" x14ac:dyDescent="0.25">
      <c r="A30" s="2" t="s">
        <v>34</v>
      </c>
      <c r="B30" s="3">
        <v>41791</v>
      </c>
      <c r="C30">
        <v>6.4817268078958001</v>
      </c>
      <c r="D30">
        <v>12.517299745292799</v>
      </c>
    </row>
    <row r="31" spans="1:4" x14ac:dyDescent="0.25">
      <c r="A31" s="2" t="s">
        <v>35</v>
      </c>
      <c r="B31" s="3">
        <v>41821</v>
      </c>
      <c r="C31">
        <v>6.8912317100115601</v>
      </c>
      <c r="D31">
        <v>16.4343921825667</v>
      </c>
    </row>
    <row r="32" spans="1:4" x14ac:dyDescent="0.25">
      <c r="A32" s="2" t="s">
        <v>36</v>
      </c>
      <c r="B32" s="3">
        <v>41852</v>
      </c>
      <c r="C32">
        <v>8.1821234681233808</v>
      </c>
      <c r="D32">
        <v>17.196688982112601</v>
      </c>
    </row>
    <row r="33" spans="1:4" x14ac:dyDescent="0.25">
      <c r="A33" s="2" t="s">
        <v>37</v>
      </c>
      <c r="B33" s="3">
        <v>41883</v>
      </c>
      <c r="C33">
        <v>7.3251746696421298</v>
      </c>
      <c r="D33">
        <v>18.783840430915099</v>
      </c>
    </row>
    <row r="34" spans="1:4" x14ac:dyDescent="0.25">
      <c r="A34" s="2" t="s">
        <v>38</v>
      </c>
      <c r="B34" s="3">
        <v>41913</v>
      </c>
      <c r="C34">
        <v>5.8497140689206599</v>
      </c>
      <c r="D34">
        <v>18.206570044698999</v>
      </c>
    </row>
    <row r="35" spans="1:4" x14ac:dyDescent="0.25">
      <c r="A35" s="2" t="s">
        <v>39</v>
      </c>
      <c r="B35" s="3">
        <v>41944</v>
      </c>
      <c r="C35">
        <v>7.5166707320653803</v>
      </c>
      <c r="D35">
        <v>17.7993232446475</v>
      </c>
    </row>
    <row r="36" spans="1:4" x14ac:dyDescent="0.25">
      <c r="A36" s="2" t="s">
        <v>40</v>
      </c>
      <c r="B36" s="3">
        <v>41974</v>
      </c>
      <c r="C36">
        <v>6.1483109067524504</v>
      </c>
      <c r="D36">
        <v>20.357324870127002</v>
      </c>
    </row>
    <row r="37" spans="1:4" x14ac:dyDescent="0.25">
      <c r="A37" s="2" t="s">
        <v>41</v>
      </c>
      <c r="B37" s="3">
        <v>42005</v>
      </c>
      <c r="C37">
        <v>6.69755459870363</v>
      </c>
      <c r="D37">
        <v>26.175521505152901</v>
      </c>
    </row>
    <row r="38" spans="1:4" x14ac:dyDescent="0.25">
      <c r="A38" s="2" t="s">
        <v>42</v>
      </c>
      <c r="B38" s="3">
        <v>42036</v>
      </c>
      <c r="C38">
        <v>4.3234793926000803</v>
      </c>
      <c r="D38">
        <v>27.885398086076201</v>
      </c>
    </row>
    <row r="39" spans="1:4" x14ac:dyDescent="0.25">
      <c r="A39" s="2" t="s">
        <v>43</v>
      </c>
      <c r="B39" s="3">
        <v>42064</v>
      </c>
      <c r="C39">
        <v>7.4188254022990998</v>
      </c>
      <c r="D39">
        <v>32.743682034624001</v>
      </c>
    </row>
    <row r="40" spans="1:4" x14ac:dyDescent="0.25">
      <c r="A40" s="2" t="s">
        <v>44</v>
      </c>
      <c r="B40" s="3">
        <v>42095</v>
      </c>
      <c r="C40">
        <v>9.2793438789049105</v>
      </c>
      <c r="D40">
        <v>34.299777896700299</v>
      </c>
    </row>
    <row r="41" spans="1:4" x14ac:dyDescent="0.25">
      <c r="A41" s="2" t="s">
        <v>45</v>
      </c>
      <c r="B41" s="3">
        <v>42125</v>
      </c>
      <c r="C41">
        <v>10.3371536094182</v>
      </c>
      <c r="D41">
        <v>35.275276927718203</v>
      </c>
    </row>
    <row r="42" spans="1:4" x14ac:dyDescent="0.25">
      <c r="A42" s="2" t="s">
        <v>46</v>
      </c>
      <c r="B42" s="3">
        <v>42156</v>
      </c>
      <c r="C42">
        <v>9.8347237086167798</v>
      </c>
      <c r="D42">
        <v>38.983300882522897</v>
      </c>
    </row>
    <row r="43" spans="1:4" x14ac:dyDescent="0.25">
      <c r="A43" s="2" t="s">
        <v>47</v>
      </c>
      <c r="B43" s="3">
        <v>42186</v>
      </c>
      <c r="C43">
        <v>11.3211637995181</v>
      </c>
      <c r="D43">
        <v>35.289776411218497</v>
      </c>
    </row>
    <row r="44" spans="1:4" x14ac:dyDescent="0.25">
      <c r="A44" s="2" t="s">
        <v>48</v>
      </c>
      <c r="B44" s="3">
        <v>42217</v>
      </c>
      <c r="C44">
        <v>11.184780948608999</v>
      </c>
      <c r="D44">
        <v>32.2519342591509</v>
      </c>
    </row>
    <row r="45" spans="1:4" x14ac:dyDescent="0.25">
      <c r="A45" s="2" t="s">
        <v>49</v>
      </c>
      <c r="B45" s="3">
        <v>42248</v>
      </c>
      <c r="C45">
        <v>9.4689376650899906</v>
      </c>
      <c r="D45">
        <v>31.519639553807799</v>
      </c>
    </row>
    <row r="46" spans="1:4" x14ac:dyDescent="0.25">
      <c r="A46" s="2" t="s">
        <v>50</v>
      </c>
      <c r="B46" s="3">
        <v>42278</v>
      </c>
      <c r="C46">
        <v>11.337494148533199</v>
      </c>
      <c r="D46">
        <v>33.805217360950898</v>
      </c>
    </row>
    <row r="47" spans="1:4" x14ac:dyDescent="0.25">
      <c r="A47" s="2" t="s">
        <v>51</v>
      </c>
      <c r="B47" s="3">
        <v>42309</v>
      </c>
      <c r="C47">
        <v>9.2770014758118098</v>
      </c>
      <c r="D47">
        <v>33.220936048582601</v>
      </c>
    </row>
    <row r="48" spans="1:4" x14ac:dyDescent="0.25">
      <c r="A48" s="2" t="s">
        <v>52</v>
      </c>
      <c r="B48" s="3">
        <v>42339</v>
      </c>
      <c r="C48">
        <v>8.2135104279118796</v>
      </c>
      <c r="D48">
        <v>33.903323321467902</v>
      </c>
    </row>
    <row r="49" spans="1:4" x14ac:dyDescent="0.25">
      <c r="A49" s="2" t="s">
        <v>53</v>
      </c>
      <c r="B49" s="3">
        <v>42370</v>
      </c>
      <c r="C49">
        <v>9.11931377444383</v>
      </c>
      <c r="D49">
        <v>30.594085546638699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D49"/>
  <sheetViews>
    <sheetView workbookViewId="0">
      <selection activeCell="B62" sqref="B62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41306</v>
      </c>
      <c r="C2">
        <v>0.175713761323326</v>
      </c>
      <c r="D2">
        <v>0.64200687726686501</v>
      </c>
    </row>
    <row r="3" spans="1:4" x14ac:dyDescent="0.25">
      <c r="A3" s="3" t="s">
        <v>7</v>
      </c>
      <c r="B3" s="3">
        <v>41334</v>
      </c>
      <c r="C3">
        <v>1.4076125545573901</v>
      </c>
      <c r="D3">
        <v>0.73733747177738795</v>
      </c>
    </row>
    <row r="4" spans="1:4" x14ac:dyDescent="0.25">
      <c r="A4" s="3" t="s">
        <v>8</v>
      </c>
      <c r="B4" s="3">
        <v>41365</v>
      </c>
      <c r="C4">
        <v>0.53866158869957403</v>
      </c>
      <c r="D4">
        <v>1.2470513303453501</v>
      </c>
    </row>
    <row r="5" spans="1:4" x14ac:dyDescent="0.25">
      <c r="A5" s="3" t="s">
        <v>9</v>
      </c>
      <c r="B5" s="3">
        <v>41395</v>
      </c>
      <c r="C5">
        <v>1.3040200021236601</v>
      </c>
      <c r="D5">
        <v>1.2518293465070101</v>
      </c>
    </row>
    <row r="6" spans="1:4" x14ac:dyDescent="0.25">
      <c r="A6" s="3" t="s">
        <v>10</v>
      </c>
      <c r="B6" s="3">
        <v>41426</v>
      </c>
      <c r="C6">
        <v>1.5086563747561099</v>
      </c>
      <c r="D6">
        <v>1.52205980744838</v>
      </c>
    </row>
    <row r="7" spans="1:4" x14ac:dyDescent="0.25">
      <c r="A7" s="3" t="s">
        <v>11</v>
      </c>
      <c r="B7" s="3">
        <v>41456</v>
      </c>
      <c r="C7">
        <v>2.1320347136088502</v>
      </c>
      <c r="D7">
        <v>1.67058384275824</v>
      </c>
    </row>
    <row r="8" spans="1:4" x14ac:dyDescent="0.25">
      <c r="A8" s="3" t="s">
        <v>12</v>
      </c>
      <c r="B8" s="3">
        <v>41487</v>
      </c>
      <c r="C8">
        <v>1.41269049886298</v>
      </c>
      <c r="D8">
        <v>1.3348314759519699</v>
      </c>
    </row>
    <row r="9" spans="1:4" x14ac:dyDescent="0.25">
      <c r="A9" s="3" t="s">
        <v>13</v>
      </c>
      <c r="B9" s="3">
        <v>41518</v>
      </c>
      <c r="C9">
        <v>2.0477129698812502</v>
      </c>
      <c r="D9">
        <v>1.4490923812052201</v>
      </c>
    </row>
    <row r="10" spans="1:4" x14ac:dyDescent="0.25">
      <c r="A10" s="3" t="s">
        <v>14</v>
      </c>
      <c r="B10" s="3">
        <v>41548</v>
      </c>
      <c r="C10">
        <v>1.65974117522664</v>
      </c>
      <c r="D10">
        <v>1.3862923582272999</v>
      </c>
    </row>
    <row r="11" spans="1:4" x14ac:dyDescent="0.25">
      <c r="A11" s="2" t="s">
        <v>15</v>
      </c>
      <c r="B11" s="3">
        <v>41579</v>
      </c>
      <c r="C11">
        <v>1.69430246666377</v>
      </c>
      <c r="D11">
        <v>1.4978004481843701</v>
      </c>
    </row>
    <row r="12" spans="1:4" x14ac:dyDescent="0.25">
      <c r="A12" s="2" t="s">
        <v>16</v>
      </c>
      <c r="B12" s="3">
        <v>41609</v>
      </c>
      <c r="C12">
        <v>2.0164125801628701</v>
      </c>
      <c r="D12">
        <v>1.85841224258528</v>
      </c>
    </row>
    <row r="13" spans="1:4" x14ac:dyDescent="0.25">
      <c r="A13" s="2" t="s">
        <v>17</v>
      </c>
      <c r="B13" s="3">
        <v>41640</v>
      </c>
      <c r="C13">
        <v>2.8231379577377398</v>
      </c>
      <c r="D13">
        <v>2.0320932644390099</v>
      </c>
    </row>
    <row r="14" spans="1:4" x14ac:dyDescent="0.25">
      <c r="A14" s="2" t="s">
        <v>18</v>
      </c>
      <c r="B14" s="3">
        <v>41671</v>
      </c>
      <c r="C14">
        <v>2.5745762925061402</v>
      </c>
      <c r="D14">
        <v>1.9956772394520801</v>
      </c>
    </row>
    <row r="15" spans="1:4" x14ac:dyDescent="0.25">
      <c r="A15" s="2" t="s">
        <v>19</v>
      </c>
      <c r="B15" s="3">
        <v>41699</v>
      </c>
      <c r="C15">
        <v>2.7788697047950301</v>
      </c>
      <c r="D15">
        <v>2.2407143510201699</v>
      </c>
    </row>
    <row r="16" spans="1:4" x14ac:dyDescent="0.25">
      <c r="A16" s="2" t="s">
        <v>20</v>
      </c>
      <c r="B16" s="3">
        <v>41730</v>
      </c>
      <c r="C16">
        <v>2.8632699861647799</v>
      </c>
      <c r="D16">
        <v>2.8729938366198202</v>
      </c>
    </row>
    <row r="17" spans="1:4" x14ac:dyDescent="0.25">
      <c r="A17" s="2" t="s">
        <v>21</v>
      </c>
      <c r="B17" s="3">
        <v>41760</v>
      </c>
      <c r="C17">
        <v>3.7319759732134501</v>
      </c>
      <c r="D17">
        <v>3.1264536950577502</v>
      </c>
    </row>
    <row r="18" spans="1:4" x14ac:dyDescent="0.25">
      <c r="A18" s="2" t="s">
        <v>22</v>
      </c>
      <c r="B18" s="3">
        <v>41791</v>
      </c>
      <c r="C18">
        <v>4.0770416632663098</v>
      </c>
      <c r="D18">
        <v>3.6659837083518898</v>
      </c>
    </row>
    <row r="19" spans="1:4" x14ac:dyDescent="0.25">
      <c r="A19" s="2" t="s">
        <v>23</v>
      </c>
      <c r="B19" s="3">
        <v>41821</v>
      </c>
      <c r="C19">
        <v>3.80131706157306</v>
      </c>
      <c r="D19">
        <v>4.7336771096664902</v>
      </c>
    </row>
    <row r="20" spans="1:4" x14ac:dyDescent="0.25">
      <c r="A20" s="2" t="s">
        <v>24</v>
      </c>
      <c r="B20" s="3">
        <v>41852</v>
      </c>
      <c r="C20">
        <v>4.7985799521396801</v>
      </c>
      <c r="D20">
        <v>5.30461675252646</v>
      </c>
    </row>
    <row r="21" spans="1:4" x14ac:dyDescent="0.25">
      <c r="A21" s="2" t="s">
        <v>25</v>
      </c>
      <c r="B21" s="3">
        <v>41883</v>
      </c>
      <c r="C21">
        <v>5.3028714396974204</v>
      </c>
      <c r="D21">
        <v>6.1353882537736704</v>
      </c>
    </row>
    <row r="22" spans="1:4" x14ac:dyDescent="0.25">
      <c r="A22" s="2" t="s">
        <v>26</v>
      </c>
      <c r="B22" s="3">
        <v>41913</v>
      </c>
      <c r="C22">
        <v>4.7853513794234699</v>
      </c>
      <c r="D22">
        <v>6.1947212954730499</v>
      </c>
    </row>
    <row r="23" spans="1:4" x14ac:dyDescent="0.25">
      <c r="A23" s="2" t="s">
        <v>27</v>
      </c>
      <c r="B23" s="3">
        <v>41944</v>
      </c>
      <c r="C23">
        <v>6.2622696888914096</v>
      </c>
      <c r="D23">
        <v>6.2978752377116098</v>
      </c>
    </row>
    <row r="24" spans="1:4" x14ac:dyDescent="0.25">
      <c r="A24" s="2" t="s">
        <v>28</v>
      </c>
      <c r="B24" s="3">
        <v>41974</v>
      </c>
      <c r="C24">
        <v>4.68878404674685</v>
      </c>
      <c r="D24">
        <v>7.1210887843699204</v>
      </c>
    </row>
    <row r="25" spans="1:4" x14ac:dyDescent="0.25">
      <c r="A25" s="2" t="s">
        <v>29</v>
      </c>
      <c r="B25" s="3">
        <v>42005</v>
      </c>
      <c r="C25">
        <v>5.4054088355828398</v>
      </c>
      <c r="D25">
        <v>8.3791474787495801</v>
      </c>
    </row>
    <row r="26" spans="1:4" x14ac:dyDescent="0.25">
      <c r="A26" s="2" t="s">
        <v>30</v>
      </c>
      <c r="B26" s="3">
        <v>42036</v>
      </c>
      <c r="C26">
        <v>4.2527869743063302</v>
      </c>
      <c r="D26">
        <v>9.0549516055823194</v>
      </c>
    </row>
    <row r="27" spans="1:4" x14ac:dyDescent="0.25">
      <c r="A27" s="2" t="s">
        <v>31</v>
      </c>
      <c r="B27" s="3">
        <v>42064</v>
      </c>
      <c r="C27">
        <v>5.9995883368899703</v>
      </c>
      <c r="D27">
        <v>11.6051495175612</v>
      </c>
    </row>
    <row r="28" spans="1:4" x14ac:dyDescent="0.25">
      <c r="A28" s="2" t="s">
        <v>32</v>
      </c>
      <c r="B28" s="3">
        <v>42095</v>
      </c>
      <c r="C28">
        <v>7.7433577860941503</v>
      </c>
      <c r="D28">
        <v>14.213496281669901</v>
      </c>
    </row>
    <row r="29" spans="1:4" x14ac:dyDescent="0.25">
      <c r="A29" s="2" t="s">
        <v>33</v>
      </c>
      <c r="B29" s="3">
        <v>42125</v>
      </c>
      <c r="C29">
        <v>8.1890206957123599</v>
      </c>
      <c r="D29">
        <v>16.5395852746672</v>
      </c>
    </row>
    <row r="30" spans="1:4" x14ac:dyDescent="0.25">
      <c r="A30" s="2" t="s">
        <v>34</v>
      </c>
      <c r="B30" s="3">
        <v>42156</v>
      </c>
      <c r="C30">
        <v>7.0850204039629396</v>
      </c>
      <c r="D30">
        <v>20.7420271458586</v>
      </c>
    </row>
    <row r="31" spans="1:4" x14ac:dyDescent="0.25">
      <c r="A31" s="2" t="s">
        <v>35</v>
      </c>
      <c r="B31" s="3">
        <v>42186</v>
      </c>
      <c r="C31">
        <v>10.2431171149502</v>
      </c>
      <c r="D31">
        <v>19.828354951830299</v>
      </c>
    </row>
    <row r="32" spans="1:4" x14ac:dyDescent="0.25">
      <c r="A32" s="2" t="s">
        <v>36</v>
      </c>
      <c r="B32" s="3">
        <v>42217</v>
      </c>
      <c r="C32">
        <v>8.2418808611601708</v>
      </c>
      <c r="D32">
        <v>18.8675908014899</v>
      </c>
    </row>
    <row r="33" spans="1:4" x14ac:dyDescent="0.25">
      <c r="A33" s="2" t="s">
        <v>37</v>
      </c>
      <c r="B33" s="3">
        <v>42248</v>
      </c>
      <c r="C33">
        <v>9.6253119190808807</v>
      </c>
      <c r="D33">
        <v>20.161734617424099</v>
      </c>
    </row>
    <row r="34" spans="1:4" x14ac:dyDescent="0.25">
      <c r="A34" s="2" t="s">
        <v>38</v>
      </c>
      <c r="B34" s="3">
        <v>42278</v>
      </c>
      <c r="C34">
        <v>8.0498299614579008</v>
      </c>
      <c r="D34">
        <v>21.579427648150499</v>
      </c>
    </row>
    <row r="35" spans="1:4" x14ac:dyDescent="0.25">
      <c r="A35" s="2" t="s">
        <v>39</v>
      </c>
      <c r="B35" s="3">
        <v>42309</v>
      </c>
      <c r="C35">
        <v>8.4787487228178708</v>
      </c>
      <c r="D35">
        <v>21.599301980236199</v>
      </c>
    </row>
    <row r="36" spans="1:4" x14ac:dyDescent="0.25">
      <c r="A36" s="2" t="s">
        <v>40</v>
      </c>
      <c r="B36" s="3">
        <v>42339</v>
      </c>
      <c r="C36">
        <v>6.1517215668283303</v>
      </c>
      <c r="D36">
        <v>22.451902842815201</v>
      </c>
    </row>
    <row r="37" spans="1:4" x14ac:dyDescent="0.25">
      <c r="A37" s="2" t="s">
        <v>41</v>
      </c>
      <c r="B37" s="3">
        <v>42370</v>
      </c>
      <c r="C37">
        <v>8.0462497584834995</v>
      </c>
      <c r="D37">
        <v>20.403947839167301</v>
      </c>
    </row>
    <row r="38" spans="1:4" x14ac:dyDescent="0.25">
      <c r="A38" s="2"/>
      <c r="B38" s="3"/>
    </row>
    <row r="39" spans="1:4" x14ac:dyDescent="0.25">
      <c r="A39" s="2"/>
      <c r="B39" s="3"/>
    </row>
    <row r="40" spans="1:4" x14ac:dyDescent="0.25">
      <c r="A40" s="2"/>
      <c r="B40" s="3"/>
    </row>
    <row r="41" spans="1:4" x14ac:dyDescent="0.25">
      <c r="A41" s="2"/>
      <c r="B41" s="3"/>
    </row>
    <row r="42" spans="1:4" x14ac:dyDescent="0.25">
      <c r="A42" s="2"/>
      <c r="B42" s="3"/>
    </row>
    <row r="43" spans="1:4" x14ac:dyDescent="0.25">
      <c r="A43" s="2"/>
      <c r="B43" s="3"/>
    </row>
    <row r="44" spans="1:4" x14ac:dyDescent="0.25">
      <c r="A44" s="2"/>
      <c r="B44" s="3"/>
    </row>
    <row r="45" spans="1:4" x14ac:dyDescent="0.25">
      <c r="A45" s="2"/>
      <c r="B45" s="3"/>
    </row>
    <row r="46" spans="1:4" x14ac:dyDescent="0.25">
      <c r="A46" s="2"/>
      <c r="B46" s="3"/>
    </row>
    <row r="47" spans="1:4" x14ac:dyDescent="0.25">
      <c r="A47" s="2"/>
      <c r="B47" s="3"/>
    </row>
    <row r="48" spans="1:4" x14ac:dyDescent="0.25">
      <c r="A48" s="2"/>
      <c r="B48" s="3"/>
    </row>
    <row r="49" spans="1:2" x14ac:dyDescent="0.25">
      <c r="A49" s="2"/>
      <c r="B49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D49"/>
  <sheetViews>
    <sheetView workbookViewId="0">
      <selection activeCell="B62" sqref="B62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40940</v>
      </c>
      <c r="C2">
        <v>0.12540459520398201</v>
      </c>
      <c r="D2">
        <v>0.45851787333046601</v>
      </c>
    </row>
    <row r="3" spans="1:4" x14ac:dyDescent="0.25">
      <c r="A3" s="3" t="s">
        <v>7</v>
      </c>
      <c r="B3" s="3">
        <v>40969</v>
      </c>
      <c r="C3">
        <v>0.31423326613383401</v>
      </c>
      <c r="D3">
        <v>0.58578601813401598</v>
      </c>
    </row>
    <row r="4" spans="1:4" x14ac:dyDescent="0.25">
      <c r="A4" s="3" t="s">
        <v>8</v>
      </c>
      <c r="B4" s="3">
        <v>41000</v>
      </c>
      <c r="C4">
        <v>1.1951987384510101</v>
      </c>
      <c r="D4">
        <v>0.72015187026592797</v>
      </c>
    </row>
    <row r="5" spans="1:4" x14ac:dyDescent="0.25">
      <c r="A5" s="3" t="s">
        <v>9</v>
      </c>
      <c r="B5" s="3">
        <v>41030</v>
      </c>
      <c r="C5">
        <v>0.39291227150214397</v>
      </c>
      <c r="D5">
        <v>0.79985392045418502</v>
      </c>
    </row>
    <row r="6" spans="1:4" x14ac:dyDescent="0.25">
      <c r="A6" s="3" t="s">
        <v>10</v>
      </c>
      <c r="B6" s="3">
        <v>41061</v>
      </c>
      <c r="C6">
        <v>0.53899236838785802</v>
      </c>
      <c r="D6">
        <v>1.1064983311193901</v>
      </c>
    </row>
    <row r="7" spans="1:4" x14ac:dyDescent="0.25">
      <c r="A7" s="3" t="s">
        <v>11</v>
      </c>
      <c r="B7" s="3">
        <v>41091</v>
      </c>
      <c r="C7">
        <v>1.4569256192883699</v>
      </c>
      <c r="D7">
        <v>1.39698615486532</v>
      </c>
    </row>
    <row r="8" spans="1:4" x14ac:dyDescent="0.25">
      <c r="A8" s="3" t="s">
        <v>12</v>
      </c>
      <c r="B8" s="3">
        <v>41122</v>
      </c>
      <c r="C8">
        <v>1.7580832627662699</v>
      </c>
      <c r="D8">
        <v>1.5412047566542699</v>
      </c>
    </row>
    <row r="9" spans="1:4" x14ac:dyDescent="0.25">
      <c r="A9" s="3" t="s">
        <v>13</v>
      </c>
      <c r="B9" s="3">
        <v>41153</v>
      </c>
      <c r="C9">
        <v>1.2960484917414301</v>
      </c>
      <c r="D9">
        <v>1.79339399695131</v>
      </c>
    </row>
    <row r="10" spans="1:4" x14ac:dyDescent="0.25">
      <c r="A10" s="3" t="s">
        <v>14</v>
      </c>
      <c r="B10" s="3">
        <v>41183</v>
      </c>
      <c r="C10">
        <v>2.00171456935783</v>
      </c>
      <c r="D10">
        <v>1.8482860115745099</v>
      </c>
    </row>
    <row r="11" spans="1:4" x14ac:dyDescent="0.25">
      <c r="A11" s="2" t="s">
        <v>15</v>
      </c>
      <c r="B11" s="3">
        <v>41214</v>
      </c>
      <c r="C11">
        <v>2.1382843976134902</v>
      </c>
      <c r="D11">
        <v>2.1237492010641299</v>
      </c>
    </row>
    <row r="12" spans="1:4" x14ac:dyDescent="0.25">
      <c r="A12" s="2" t="s">
        <v>16</v>
      </c>
      <c r="B12" s="3">
        <v>41244</v>
      </c>
      <c r="C12">
        <v>2.2255092631320501</v>
      </c>
      <c r="D12">
        <v>2.3947145907861001</v>
      </c>
    </row>
    <row r="13" spans="1:4" x14ac:dyDescent="0.25">
      <c r="A13" s="2" t="s">
        <v>17</v>
      </c>
      <c r="B13" s="3">
        <v>41275</v>
      </c>
      <c r="C13">
        <v>2.4386549753815698</v>
      </c>
      <c r="D13">
        <v>2.6454466662352298</v>
      </c>
    </row>
    <row r="14" spans="1:4" x14ac:dyDescent="0.25">
      <c r="A14" s="2" t="s">
        <v>18</v>
      </c>
      <c r="B14" s="3">
        <v>41306</v>
      </c>
      <c r="C14">
        <v>2.6262662800135801</v>
      </c>
      <c r="D14">
        <v>2.7201476752827598</v>
      </c>
    </row>
    <row r="15" spans="1:4" x14ac:dyDescent="0.25">
      <c r="A15" s="2" t="s">
        <v>19</v>
      </c>
      <c r="B15" s="3">
        <v>41334</v>
      </c>
      <c r="C15">
        <v>1.94960175051674</v>
      </c>
      <c r="D15">
        <v>2.9578937690604601</v>
      </c>
    </row>
    <row r="16" spans="1:4" x14ac:dyDescent="0.25">
      <c r="A16" s="2" t="s">
        <v>20</v>
      </c>
      <c r="B16" s="3">
        <v>41365</v>
      </c>
      <c r="C16">
        <v>3.8727081574342601</v>
      </c>
      <c r="D16">
        <v>3.2537248392575502</v>
      </c>
    </row>
    <row r="17" spans="1:4" x14ac:dyDescent="0.25">
      <c r="A17" s="2" t="s">
        <v>21</v>
      </c>
      <c r="B17" s="3">
        <v>41395</v>
      </c>
      <c r="C17">
        <v>5.3998692764919003</v>
      </c>
      <c r="D17">
        <v>3.75221462624976</v>
      </c>
    </row>
    <row r="18" spans="1:4" x14ac:dyDescent="0.25">
      <c r="A18" s="2" t="s">
        <v>22</v>
      </c>
      <c r="B18" s="3">
        <v>41426</v>
      </c>
      <c r="C18">
        <v>6.0442301158851004</v>
      </c>
      <c r="D18">
        <v>6.1077361674003097</v>
      </c>
    </row>
    <row r="19" spans="1:4" x14ac:dyDescent="0.25">
      <c r="A19" s="2" t="s">
        <v>23</v>
      </c>
      <c r="B19" s="3">
        <v>41456</v>
      </c>
      <c r="C19">
        <v>6.7670445457719399</v>
      </c>
      <c r="D19">
        <v>8.7039476737157404</v>
      </c>
    </row>
    <row r="20" spans="1:4" x14ac:dyDescent="0.25">
      <c r="A20" s="2" t="s">
        <v>24</v>
      </c>
      <c r="B20" s="3">
        <v>41487</v>
      </c>
      <c r="C20">
        <v>6.7586678773875999</v>
      </c>
      <c r="D20">
        <v>7.1303491489685102</v>
      </c>
    </row>
    <row r="21" spans="1:4" x14ac:dyDescent="0.25">
      <c r="A21" s="2" t="s">
        <v>25</v>
      </c>
      <c r="B21" s="3">
        <v>41518</v>
      </c>
      <c r="C21">
        <v>6.6347115007403801</v>
      </c>
      <c r="D21">
        <v>7.5401269251179004</v>
      </c>
    </row>
    <row r="22" spans="1:4" x14ac:dyDescent="0.25">
      <c r="A22" s="2" t="s">
        <v>26</v>
      </c>
      <c r="B22" s="3">
        <v>41548</v>
      </c>
      <c r="C22">
        <v>5.3873755103521903</v>
      </c>
      <c r="D22">
        <v>6.6927369463820501</v>
      </c>
    </row>
    <row r="23" spans="1:4" x14ac:dyDescent="0.25">
      <c r="A23" s="2" t="s">
        <v>27</v>
      </c>
      <c r="B23" s="3">
        <v>41579</v>
      </c>
      <c r="C23">
        <v>4.9047370499185403</v>
      </c>
      <c r="D23">
        <v>6.8018965378099097</v>
      </c>
    </row>
    <row r="24" spans="1:4" x14ac:dyDescent="0.25">
      <c r="A24" s="2" t="s">
        <v>28</v>
      </c>
      <c r="B24" s="3">
        <v>41609</v>
      </c>
      <c r="C24">
        <v>5.20779336098646</v>
      </c>
      <c r="D24">
        <v>8.1701303930194609</v>
      </c>
    </row>
    <row r="25" spans="1:4" x14ac:dyDescent="0.25">
      <c r="A25" s="2" t="s">
        <v>29</v>
      </c>
      <c r="B25" s="3">
        <v>41640</v>
      </c>
      <c r="C25">
        <v>6.79406329282385</v>
      </c>
      <c r="D25">
        <v>8.3486647212744405</v>
      </c>
    </row>
    <row r="26" spans="1:4" x14ac:dyDescent="0.25">
      <c r="A26" s="2" t="s">
        <v>30</v>
      </c>
      <c r="B26" s="3">
        <v>41671</v>
      </c>
      <c r="C26">
        <v>4.2945316412783798</v>
      </c>
      <c r="D26">
        <v>6.8865719375494603</v>
      </c>
    </row>
    <row r="27" spans="1:4" x14ac:dyDescent="0.25">
      <c r="A27" s="2" t="s">
        <v>31</v>
      </c>
      <c r="B27" s="3">
        <v>41699</v>
      </c>
      <c r="C27">
        <v>4.5393599946464702</v>
      </c>
      <c r="D27">
        <v>7.7475521455645904</v>
      </c>
    </row>
    <row r="28" spans="1:4" x14ac:dyDescent="0.25">
      <c r="A28" s="2" t="s">
        <v>32</v>
      </c>
      <c r="B28" s="3">
        <v>41730</v>
      </c>
      <c r="C28">
        <v>5.6932789559095296</v>
      </c>
      <c r="D28">
        <v>11.1321089424014</v>
      </c>
    </row>
    <row r="29" spans="1:4" x14ac:dyDescent="0.25">
      <c r="A29" s="2" t="s">
        <v>33</v>
      </c>
      <c r="B29" s="3">
        <v>41760</v>
      </c>
      <c r="C29">
        <v>6.5874330088369399</v>
      </c>
      <c r="D29">
        <v>14.0071258764518</v>
      </c>
    </row>
    <row r="30" spans="1:4" x14ac:dyDescent="0.25">
      <c r="A30" s="2" t="s">
        <v>34</v>
      </c>
      <c r="B30" s="3">
        <v>41791</v>
      </c>
      <c r="C30">
        <v>8.0029608411080009</v>
      </c>
      <c r="D30">
        <v>17.382620700014101</v>
      </c>
    </row>
    <row r="31" spans="1:4" x14ac:dyDescent="0.25">
      <c r="A31" s="2" t="s">
        <v>35</v>
      </c>
      <c r="B31" s="3">
        <v>41821</v>
      </c>
      <c r="C31">
        <v>8.2669902242722593</v>
      </c>
      <c r="D31">
        <v>21.287653355050001</v>
      </c>
    </row>
    <row r="32" spans="1:4" x14ac:dyDescent="0.25">
      <c r="A32" s="2" t="s">
        <v>36</v>
      </c>
      <c r="B32" s="3">
        <v>41852</v>
      </c>
      <c r="C32">
        <v>9.4285903132018003</v>
      </c>
      <c r="D32">
        <v>21.673522435636698</v>
      </c>
    </row>
    <row r="33" spans="1:4" x14ac:dyDescent="0.25">
      <c r="A33" s="2" t="s">
        <v>37</v>
      </c>
      <c r="B33" s="3">
        <v>41883</v>
      </c>
      <c r="C33">
        <v>8.4587131404471094</v>
      </c>
      <c r="D33">
        <v>23.025552095922201</v>
      </c>
    </row>
    <row r="34" spans="1:4" x14ac:dyDescent="0.25">
      <c r="A34" s="2" t="s">
        <v>38</v>
      </c>
      <c r="B34" s="3">
        <v>41913</v>
      </c>
      <c r="C34">
        <v>8.3735987803018599</v>
      </c>
      <c r="D34">
        <v>22.4343904268448</v>
      </c>
    </row>
    <row r="35" spans="1:4" x14ac:dyDescent="0.25">
      <c r="A35" s="2" t="s">
        <v>39</v>
      </c>
      <c r="B35" s="3">
        <v>41944</v>
      </c>
      <c r="C35">
        <v>7.8046404615444098</v>
      </c>
      <c r="D35">
        <v>21.987227310659001</v>
      </c>
    </row>
    <row r="36" spans="1:4" x14ac:dyDescent="0.25">
      <c r="A36" s="2" t="s">
        <v>40</v>
      </c>
      <c r="B36" s="3">
        <v>41974</v>
      </c>
      <c r="C36">
        <v>6.7496379489589504</v>
      </c>
      <c r="D36">
        <v>24.363156787723799</v>
      </c>
    </row>
    <row r="37" spans="1:4" x14ac:dyDescent="0.25">
      <c r="A37" s="2" t="s">
        <v>41</v>
      </c>
      <c r="B37" s="3">
        <v>42005</v>
      </c>
      <c r="C37">
        <v>9.2289204190448793</v>
      </c>
      <c r="D37">
        <v>29.586244945219899</v>
      </c>
    </row>
    <row r="38" spans="1:4" x14ac:dyDescent="0.25">
      <c r="A38" s="2" t="s">
        <v>42</v>
      </c>
      <c r="B38" s="3">
        <v>42036</v>
      </c>
      <c r="C38">
        <v>7.7192869375627904</v>
      </c>
      <c r="D38">
        <v>30.6056904189752</v>
      </c>
    </row>
    <row r="39" spans="1:4" x14ac:dyDescent="0.25">
      <c r="A39" s="2" t="s">
        <v>43</v>
      </c>
      <c r="B39" s="3">
        <v>42064</v>
      </c>
      <c r="C39">
        <v>8.8854933407198704</v>
      </c>
      <c r="D39">
        <v>35.627446653858101</v>
      </c>
    </row>
    <row r="40" spans="1:4" x14ac:dyDescent="0.25">
      <c r="A40" s="2" t="s">
        <v>44</v>
      </c>
      <c r="B40" s="3">
        <v>42095</v>
      </c>
      <c r="C40">
        <v>12.064877689741101</v>
      </c>
      <c r="D40">
        <v>36.647449773593102</v>
      </c>
    </row>
    <row r="41" spans="1:4" x14ac:dyDescent="0.25">
      <c r="A41" s="2" t="s">
        <v>45</v>
      </c>
      <c r="B41" s="3">
        <v>42125</v>
      </c>
      <c r="C41">
        <v>11.2023588260596</v>
      </c>
      <c r="D41">
        <v>37.247215893567997</v>
      </c>
    </row>
    <row r="42" spans="1:4" x14ac:dyDescent="0.25">
      <c r="A42" s="2" t="s">
        <v>46</v>
      </c>
      <c r="B42" s="3">
        <v>42156</v>
      </c>
      <c r="C42">
        <v>12.8825895517364</v>
      </c>
      <c r="D42">
        <v>40.3759135408324</v>
      </c>
    </row>
    <row r="43" spans="1:4" x14ac:dyDescent="0.25">
      <c r="A43" s="2" t="s">
        <v>47</v>
      </c>
      <c r="B43" s="3">
        <v>42186</v>
      </c>
      <c r="C43">
        <v>14.615612204499699</v>
      </c>
      <c r="D43">
        <v>36.861559455292998</v>
      </c>
    </row>
    <row r="44" spans="1:4" x14ac:dyDescent="0.25">
      <c r="A44" s="2" t="s">
        <v>48</v>
      </c>
      <c r="B44" s="3">
        <v>42217</v>
      </c>
      <c r="C44">
        <v>12.8104660224268</v>
      </c>
      <c r="D44">
        <v>34.124130007311798</v>
      </c>
    </row>
    <row r="45" spans="1:4" x14ac:dyDescent="0.25">
      <c r="A45" s="2" t="s">
        <v>49</v>
      </c>
      <c r="B45" s="3">
        <v>42248</v>
      </c>
      <c r="C45">
        <v>12.550061482833801</v>
      </c>
      <c r="D45">
        <v>33.419329430397703</v>
      </c>
    </row>
    <row r="46" spans="1:4" x14ac:dyDescent="0.25">
      <c r="A46" s="2" t="s">
        <v>50</v>
      </c>
      <c r="B46" s="3">
        <v>42278</v>
      </c>
      <c r="C46">
        <v>11.2969864535073</v>
      </c>
      <c r="D46">
        <v>35.285726281797999</v>
      </c>
    </row>
    <row r="47" spans="1:4" x14ac:dyDescent="0.25">
      <c r="A47" s="2" t="s">
        <v>51</v>
      </c>
      <c r="B47" s="3">
        <v>42309</v>
      </c>
      <c r="C47">
        <v>11.228623036382899</v>
      </c>
      <c r="D47">
        <v>34.5370623731093</v>
      </c>
    </row>
    <row r="48" spans="1:4" x14ac:dyDescent="0.25">
      <c r="A48" s="2" t="s">
        <v>52</v>
      </c>
      <c r="B48" s="3">
        <v>42339</v>
      </c>
      <c r="C48">
        <v>9.7594552377018999</v>
      </c>
      <c r="D48">
        <v>34.900639434726202</v>
      </c>
    </row>
    <row r="49" spans="1:4" x14ac:dyDescent="0.25">
      <c r="A49" s="2" t="s">
        <v>53</v>
      </c>
      <c r="B49" s="3">
        <v>42370</v>
      </c>
      <c r="C49">
        <v>11.6415817836049</v>
      </c>
      <c r="D49">
        <v>31.761359391944801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D49"/>
  <sheetViews>
    <sheetView workbookViewId="0">
      <selection activeCell="I37" sqref="I37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41671</v>
      </c>
      <c r="C2">
        <v>3.2808841933767399</v>
      </c>
      <c r="D2">
        <v>0.44031337636006901</v>
      </c>
    </row>
    <row r="3" spans="1:4" x14ac:dyDescent="0.25">
      <c r="A3" s="3" t="s">
        <v>7</v>
      </c>
      <c r="B3" s="3">
        <v>41699</v>
      </c>
      <c r="C3">
        <v>0.16329171972138101</v>
      </c>
      <c r="D3">
        <v>0.62721796933160601</v>
      </c>
    </row>
    <row r="4" spans="1:4" x14ac:dyDescent="0.25">
      <c r="A4" s="3" t="s">
        <v>8</v>
      </c>
      <c r="B4" s="3">
        <v>41730</v>
      </c>
      <c r="C4">
        <v>0.238234472947152</v>
      </c>
      <c r="D4">
        <v>0.98619328652309601</v>
      </c>
    </row>
    <row r="5" spans="1:4" x14ac:dyDescent="0.25">
      <c r="A5" s="3" t="s">
        <v>9</v>
      </c>
      <c r="B5" s="3">
        <v>41760</v>
      </c>
      <c r="C5">
        <v>1.48669417683497</v>
      </c>
      <c r="D5">
        <v>1.2488103379121001</v>
      </c>
    </row>
    <row r="6" spans="1:4" x14ac:dyDescent="0.25">
      <c r="A6" s="3" t="s">
        <v>10</v>
      </c>
      <c r="B6" s="3">
        <v>41791</v>
      </c>
      <c r="C6">
        <v>1.3121529992222001</v>
      </c>
      <c r="D6">
        <v>1.53167720103714</v>
      </c>
    </row>
    <row r="7" spans="1:4" x14ac:dyDescent="0.25">
      <c r="A7" s="3" t="s">
        <v>11</v>
      </c>
      <c r="B7" s="3">
        <v>41821</v>
      </c>
      <c r="C7">
        <v>1.40872854331036</v>
      </c>
      <c r="D7">
        <v>1.95465432898587</v>
      </c>
    </row>
    <row r="8" spans="1:4" x14ac:dyDescent="0.25">
      <c r="A8" s="3" t="s">
        <v>12</v>
      </c>
      <c r="B8" s="3">
        <v>41852</v>
      </c>
      <c r="C8">
        <v>0.77291474849562303</v>
      </c>
      <c r="D8">
        <v>2.2212941570389799</v>
      </c>
    </row>
    <row r="9" spans="1:4" x14ac:dyDescent="0.25">
      <c r="A9" s="3" t="s">
        <v>13</v>
      </c>
      <c r="B9" s="3">
        <v>41883</v>
      </c>
      <c r="C9">
        <v>1.3317191245738</v>
      </c>
      <c r="D9">
        <v>2.5831197847020899</v>
      </c>
    </row>
    <row r="10" spans="1:4" x14ac:dyDescent="0.25">
      <c r="A10" s="3" t="s">
        <v>14</v>
      </c>
      <c r="B10" s="3">
        <v>41913</v>
      </c>
      <c r="C10">
        <v>2.2223980400409502</v>
      </c>
      <c r="D10">
        <v>2.7695620323409398</v>
      </c>
    </row>
    <row r="11" spans="1:4" x14ac:dyDescent="0.25">
      <c r="A11" s="2" t="s">
        <v>15</v>
      </c>
      <c r="B11" s="3">
        <v>41944</v>
      </c>
      <c r="C11">
        <v>1.96808299259116</v>
      </c>
      <c r="D11">
        <v>3.0061311661465</v>
      </c>
    </row>
    <row r="12" spans="1:4" x14ac:dyDescent="0.25">
      <c r="A12" s="2" t="s">
        <v>16</v>
      </c>
      <c r="B12" s="3">
        <v>41974</v>
      </c>
      <c r="C12">
        <v>2.5140996883070099</v>
      </c>
      <c r="D12">
        <v>3.3264961403064301</v>
      </c>
    </row>
    <row r="13" spans="1:4" x14ac:dyDescent="0.25">
      <c r="A13" s="2" t="s">
        <v>17</v>
      </c>
      <c r="B13" s="3">
        <v>42005</v>
      </c>
      <c r="C13">
        <v>1.59830651525411</v>
      </c>
      <c r="D13">
        <v>3.6675175584599402</v>
      </c>
    </row>
    <row r="14" spans="1:4" x14ac:dyDescent="0.25">
      <c r="A14" s="2" t="s">
        <v>18</v>
      </c>
      <c r="B14" s="3">
        <v>42036</v>
      </c>
      <c r="C14">
        <v>2.7773918908590201</v>
      </c>
      <c r="D14">
        <v>3.8939439639860201</v>
      </c>
    </row>
    <row r="15" spans="1:4" x14ac:dyDescent="0.25">
      <c r="A15" s="2" t="s">
        <v>19</v>
      </c>
      <c r="B15" s="3">
        <v>42064</v>
      </c>
      <c r="C15">
        <v>2.9526501691626601</v>
      </c>
      <c r="D15">
        <v>4.40341628690335</v>
      </c>
    </row>
    <row r="16" spans="1:4" x14ac:dyDescent="0.25">
      <c r="A16" s="2" t="s">
        <v>20</v>
      </c>
      <c r="B16" s="3">
        <v>42095</v>
      </c>
      <c r="C16">
        <v>3.6775621157982301</v>
      </c>
      <c r="D16">
        <v>5.06630280567214</v>
      </c>
    </row>
    <row r="17" spans="1:4" x14ac:dyDescent="0.25">
      <c r="A17" s="2" t="s">
        <v>21</v>
      </c>
      <c r="B17" s="3">
        <v>42125</v>
      </c>
      <c r="C17">
        <v>4.6263819582847798</v>
      </c>
      <c r="D17">
        <v>5.6004535255743999</v>
      </c>
    </row>
    <row r="18" spans="1:4" x14ac:dyDescent="0.25">
      <c r="A18" s="2" t="s">
        <v>22</v>
      </c>
      <c r="B18" s="3">
        <v>42156</v>
      </c>
      <c r="C18">
        <v>2.3570003312412999</v>
      </c>
      <c r="D18">
        <v>6.3269995337632903</v>
      </c>
    </row>
    <row r="19" spans="1:4" x14ac:dyDescent="0.25">
      <c r="A19" s="2" t="s">
        <v>23</v>
      </c>
      <c r="B19" s="3">
        <v>42186</v>
      </c>
      <c r="C19">
        <v>7.0825932272999799</v>
      </c>
      <c r="D19">
        <v>6.5975676297925299</v>
      </c>
    </row>
    <row r="20" spans="1:4" x14ac:dyDescent="0.25">
      <c r="A20" s="2" t="s">
        <v>24</v>
      </c>
      <c r="B20" s="3">
        <v>42217</v>
      </c>
      <c r="C20">
        <v>7.99852887111087</v>
      </c>
      <c r="D20">
        <v>6.5637262104326197</v>
      </c>
    </row>
    <row r="21" spans="1:4" x14ac:dyDescent="0.25">
      <c r="A21" s="2" t="s">
        <v>25</v>
      </c>
      <c r="B21" s="3">
        <v>42248</v>
      </c>
      <c r="C21">
        <v>6.0021306431970602</v>
      </c>
      <c r="D21">
        <v>6.92433792538601</v>
      </c>
    </row>
    <row r="22" spans="1:4" x14ac:dyDescent="0.25">
      <c r="A22" s="2" t="s">
        <v>26</v>
      </c>
      <c r="B22" s="3">
        <v>42278</v>
      </c>
      <c r="C22">
        <v>7.0701753496692801</v>
      </c>
      <c r="D22">
        <v>7.0895789079169198</v>
      </c>
    </row>
    <row r="23" spans="1:4" x14ac:dyDescent="0.25">
      <c r="A23" s="2" t="s">
        <v>27</v>
      </c>
      <c r="B23" s="3">
        <v>42309</v>
      </c>
      <c r="C23">
        <v>6.7420035335057502</v>
      </c>
      <c r="D23">
        <v>7.2399240954939099</v>
      </c>
    </row>
    <row r="24" spans="1:4" x14ac:dyDescent="0.25">
      <c r="A24" s="2" t="s">
        <v>28</v>
      </c>
      <c r="B24" s="3">
        <v>42339</v>
      </c>
      <c r="C24">
        <v>6.9566591289007196</v>
      </c>
      <c r="D24">
        <v>7.3419001360709304</v>
      </c>
    </row>
    <row r="25" spans="1:4" x14ac:dyDescent="0.25">
      <c r="A25" s="2" t="s">
        <v>29</v>
      </c>
      <c r="B25" s="3">
        <v>42370</v>
      </c>
      <c r="C25">
        <v>7.95097748805662</v>
      </c>
      <c r="D25">
        <v>7.4316745936514401</v>
      </c>
    </row>
    <row r="26" spans="1:4" x14ac:dyDescent="0.25">
      <c r="A26" s="2"/>
      <c r="B26" s="3"/>
    </row>
    <row r="27" spans="1:4" x14ac:dyDescent="0.25">
      <c r="A27" s="2"/>
      <c r="B27" s="3"/>
    </row>
    <row r="28" spans="1:4" x14ac:dyDescent="0.25">
      <c r="A28" s="2"/>
      <c r="B28" s="3"/>
    </row>
    <row r="29" spans="1:4" x14ac:dyDescent="0.25">
      <c r="A29" s="2"/>
      <c r="B29" s="3"/>
    </row>
    <row r="30" spans="1:4" x14ac:dyDescent="0.25">
      <c r="A30" s="2"/>
      <c r="B30" s="3"/>
    </row>
    <row r="31" spans="1:4" x14ac:dyDescent="0.25">
      <c r="A31" s="2"/>
      <c r="B31" s="3"/>
    </row>
    <row r="32" spans="1:4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  <row r="42" spans="1:2" x14ac:dyDescent="0.25">
      <c r="A42" s="2"/>
      <c r="B42" s="3"/>
    </row>
    <row r="43" spans="1:2" x14ac:dyDescent="0.25">
      <c r="A43" s="2"/>
      <c r="B43" s="3"/>
    </row>
    <row r="44" spans="1:2" x14ac:dyDescent="0.25">
      <c r="A44" s="2"/>
      <c r="B44" s="3"/>
    </row>
    <row r="45" spans="1:2" x14ac:dyDescent="0.25">
      <c r="A45" s="2"/>
      <c r="B45" s="3"/>
    </row>
    <row r="46" spans="1:2" x14ac:dyDescent="0.25">
      <c r="A46" s="2"/>
      <c r="B46" s="3"/>
    </row>
    <row r="47" spans="1:2" x14ac:dyDescent="0.25">
      <c r="A47" s="2"/>
      <c r="B47" s="3"/>
    </row>
    <row r="48" spans="1:2" x14ac:dyDescent="0.25">
      <c r="A48" s="2"/>
      <c r="B48" s="3"/>
    </row>
    <row r="49" spans="1:2" x14ac:dyDescent="0.25">
      <c r="A49" s="2"/>
      <c r="B49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D49"/>
  <sheetViews>
    <sheetView workbookViewId="0">
      <selection activeCell="G39" sqref="G39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41334</v>
      </c>
      <c r="C2">
        <v>0.39647769462927102</v>
      </c>
      <c r="D2">
        <v>0.51826937506778104</v>
      </c>
    </row>
    <row r="3" spans="1:4" x14ac:dyDescent="0.25">
      <c r="A3" s="3" t="s">
        <v>7</v>
      </c>
      <c r="B3" s="3">
        <v>41365</v>
      </c>
      <c r="C3">
        <v>7.5650825433238804</v>
      </c>
      <c r="D3">
        <v>4.91363667800871</v>
      </c>
    </row>
    <row r="4" spans="1:4" x14ac:dyDescent="0.25">
      <c r="A4" s="3" t="s">
        <v>8</v>
      </c>
      <c r="B4" s="3">
        <v>41395</v>
      </c>
      <c r="C4">
        <v>8.0595885546379105</v>
      </c>
      <c r="D4">
        <v>5.1817319425087502</v>
      </c>
    </row>
    <row r="5" spans="1:4" x14ac:dyDescent="0.25">
      <c r="A5" s="3" t="s">
        <v>9</v>
      </c>
      <c r="B5" s="3">
        <v>41426</v>
      </c>
      <c r="C5">
        <v>2.92530229046324</v>
      </c>
      <c r="D5">
        <v>10.510493108041601</v>
      </c>
    </row>
    <row r="6" spans="1:4" x14ac:dyDescent="0.25">
      <c r="A6" s="3" t="s">
        <v>10</v>
      </c>
      <c r="B6" s="3">
        <v>41456</v>
      </c>
      <c r="C6">
        <v>2.13232563207663</v>
      </c>
      <c r="D6">
        <v>10.701953146760401</v>
      </c>
    </row>
    <row r="7" spans="1:4" x14ac:dyDescent="0.25">
      <c r="A7" s="3" t="s">
        <v>11</v>
      </c>
      <c r="B7" s="3">
        <v>41487</v>
      </c>
      <c r="C7">
        <v>6.5178947666418496</v>
      </c>
      <c r="D7">
        <v>14.922189176802201</v>
      </c>
    </row>
    <row r="8" spans="1:4" x14ac:dyDescent="0.25">
      <c r="A8" s="3" t="s">
        <v>12</v>
      </c>
      <c r="B8" s="3">
        <v>41518</v>
      </c>
      <c r="C8">
        <v>0.226958158116874</v>
      </c>
      <c r="D8">
        <v>10.4922044583349</v>
      </c>
    </row>
    <row r="9" spans="1:4" x14ac:dyDescent="0.25">
      <c r="A9" s="3" t="s">
        <v>13</v>
      </c>
      <c r="B9" s="3">
        <v>41548</v>
      </c>
      <c r="C9">
        <v>3.6769311958520601</v>
      </c>
      <c r="D9">
        <v>5.2219513109297404</v>
      </c>
    </row>
    <row r="10" spans="1:4" x14ac:dyDescent="0.25">
      <c r="A10" s="3" t="s">
        <v>14</v>
      </c>
      <c r="B10" s="3">
        <v>41579</v>
      </c>
      <c r="C10">
        <v>0.53661420184835096</v>
      </c>
      <c r="D10">
        <v>2.52269003486452</v>
      </c>
    </row>
    <row r="11" spans="1:4" x14ac:dyDescent="0.25">
      <c r="A11" s="2" t="s">
        <v>15</v>
      </c>
      <c r="B11" s="3">
        <v>41609</v>
      </c>
      <c r="C11">
        <v>0.95811693045088098</v>
      </c>
      <c r="D11">
        <v>2.4649323388732598</v>
      </c>
    </row>
    <row r="12" spans="1:4" x14ac:dyDescent="0.25">
      <c r="A12" s="2" t="s">
        <v>16</v>
      </c>
      <c r="B12" s="3">
        <v>41640</v>
      </c>
      <c r="C12">
        <v>1.9113399071074699</v>
      </c>
      <c r="D12">
        <v>2.10775434806457</v>
      </c>
    </row>
    <row r="13" spans="1:4" x14ac:dyDescent="0.25">
      <c r="A13" s="2" t="s">
        <v>17</v>
      </c>
      <c r="B13" s="3">
        <v>41671</v>
      </c>
      <c r="C13">
        <v>0.44287339160808997</v>
      </c>
      <c r="D13">
        <v>1.9316768405953799</v>
      </c>
    </row>
    <row r="14" spans="1:4" x14ac:dyDescent="0.25">
      <c r="A14" s="2" t="s">
        <v>18</v>
      </c>
      <c r="B14" s="3">
        <v>41699</v>
      </c>
      <c r="C14">
        <v>1.7616145896482001</v>
      </c>
      <c r="D14">
        <v>2.3091377412384899</v>
      </c>
    </row>
    <row r="15" spans="1:4" x14ac:dyDescent="0.25">
      <c r="A15" s="2" t="s">
        <v>19</v>
      </c>
      <c r="B15" s="3">
        <v>41730</v>
      </c>
      <c r="C15">
        <v>2.7076285558461901</v>
      </c>
      <c r="D15">
        <v>3.3069188768718201</v>
      </c>
    </row>
    <row r="16" spans="1:4" x14ac:dyDescent="0.25">
      <c r="A16" s="2" t="s">
        <v>20</v>
      </c>
      <c r="B16" s="3">
        <v>41760</v>
      </c>
      <c r="C16">
        <v>3.7295577705120002</v>
      </c>
      <c r="D16">
        <v>3.84900035289315</v>
      </c>
    </row>
    <row r="17" spans="1:4" x14ac:dyDescent="0.25">
      <c r="A17" s="2" t="s">
        <v>21</v>
      </c>
      <c r="B17" s="3">
        <v>41791</v>
      </c>
      <c r="C17">
        <v>3.7414536566800001</v>
      </c>
      <c r="D17">
        <v>4.4471773294361796</v>
      </c>
    </row>
    <row r="18" spans="1:4" x14ac:dyDescent="0.25">
      <c r="A18" s="2" t="s">
        <v>22</v>
      </c>
      <c r="B18" s="3">
        <v>41821</v>
      </c>
      <c r="C18">
        <v>3.6837383581059302</v>
      </c>
      <c r="D18">
        <v>5.2005879875827903</v>
      </c>
    </row>
    <row r="19" spans="1:4" x14ac:dyDescent="0.25">
      <c r="A19" s="2" t="s">
        <v>23</v>
      </c>
      <c r="B19" s="3">
        <v>41852</v>
      </c>
      <c r="C19">
        <v>4.0058808977189004</v>
      </c>
      <c r="D19">
        <v>5.5330208795609996</v>
      </c>
    </row>
    <row r="20" spans="1:4" x14ac:dyDescent="0.25">
      <c r="A20" s="2" t="s">
        <v>24</v>
      </c>
      <c r="B20" s="3">
        <v>41883</v>
      </c>
      <c r="C20">
        <v>6.2113168670322096</v>
      </c>
      <c r="D20">
        <v>6.1095726577470497</v>
      </c>
    </row>
    <row r="21" spans="1:4" x14ac:dyDescent="0.25">
      <c r="A21" s="2" t="s">
        <v>25</v>
      </c>
      <c r="B21" s="3">
        <v>41913</v>
      </c>
      <c r="C21">
        <v>5.4284467838282398</v>
      </c>
      <c r="D21">
        <v>6.1348520112299303</v>
      </c>
    </row>
    <row r="22" spans="1:4" x14ac:dyDescent="0.25">
      <c r="A22" s="2" t="s">
        <v>26</v>
      </c>
      <c r="B22" s="3">
        <v>41944</v>
      </c>
      <c r="C22">
        <v>6.3416835270621101</v>
      </c>
      <c r="D22">
        <v>6.2578674659373901</v>
      </c>
    </row>
    <row r="23" spans="1:4" x14ac:dyDescent="0.25">
      <c r="A23" s="2" t="s">
        <v>27</v>
      </c>
      <c r="B23" s="3">
        <v>41974</v>
      </c>
      <c r="C23">
        <v>5.9820484162408603</v>
      </c>
      <c r="D23">
        <v>6.7437248404961201</v>
      </c>
    </row>
    <row r="24" spans="1:4" x14ac:dyDescent="0.25">
      <c r="A24" s="2" t="s">
        <v>28</v>
      </c>
      <c r="B24" s="3">
        <v>42005</v>
      </c>
      <c r="C24">
        <v>3.4417120286048499</v>
      </c>
      <c r="D24">
        <v>7.3465459900250698</v>
      </c>
    </row>
    <row r="25" spans="1:4" x14ac:dyDescent="0.25">
      <c r="A25" s="2" t="s">
        <v>29</v>
      </c>
      <c r="B25" s="3">
        <v>42036</v>
      </c>
      <c r="C25">
        <v>4.8432069421951596</v>
      </c>
      <c r="D25">
        <v>7.4295398891793196</v>
      </c>
    </row>
    <row r="26" spans="1:4" x14ac:dyDescent="0.25">
      <c r="A26" s="2" t="s">
        <v>30</v>
      </c>
      <c r="B26" s="3">
        <v>42064</v>
      </c>
      <c r="C26">
        <v>5.5167989311596397</v>
      </c>
      <c r="D26">
        <v>8.1591602076557699</v>
      </c>
    </row>
    <row r="27" spans="1:4" x14ac:dyDescent="0.25">
      <c r="A27" s="2" t="s">
        <v>31</v>
      </c>
      <c r="B27" s="3">
        <v>42095</v>
      </c>
      <c r="C27">
        <v>4.8116185120033501</v>
      </c>
      <c r="D27">
        <v>8.9478551240324293</v>
      </c>
    </row>
    <row r="28" spans="1:4" x14ac:dyDescent="0.25">
      <c r="A28" s="2" t="s">
        <v>32</v>
      </c>
      <c r="B28" s="3">
        <v>42125</v>
      </c>
      <c r="C28">
        <v>8.9437538523436899</v>
      </c>
      <c r="D28">
        <v>9.4353019466242305</v>
      </c>
    </row>
    <row r="29" spans="1:4" x14ac:dyDescent="0.25">
      <c r="A29" s="2" t="s">
        <v>33</v>
      </c>
      <c r="B29" s="3">
        <v>42156</v>
      </c>
      <c r="C29">
        <v>7.9014999595905699</v>
      </c>
      <c r="D29">
        <v>10.572637507526499</v>
      </c>
    </row>
    <row r="30" spans="1:4" x14ac:dyDescent="0.25">
      <c r="A30" s="2" t="s">
        <v>34</v>
      </c>
      <c r="B30" s="3">
        <v>42186</v>
      </c>
      <c r="C30">
        <v>9.1026504060434998</v>
      </c>
      <c r="D30">
        <v>10.469531935208201</v>
      </c>
    </row>
    <row r="31" spans="1:4" x14ac:dyDescent="0.25">
      <c r="A31" s="2" t="s">
        <v>35</v>
      </c>
      <c r="B31" s="3">
        <v>42217</v>
      </c>
      <c r="C31">
        <v>11.3675487210763</v>
      </c>
      <c r="D31">
        <v>10.662072423358101</v>
      </c>
    </row>
    <row r="32" spans="1:4" x14ac:dyDescent="0.25">
      <c r="A32" s="2" t="s">
        <v>36</v>
      </c>
      <c r="B32" s="3">
        <v>42248</v>
      </c>
      <c r="C32">
        <v>7.4803760304981104</v>
      </c>
      <c r="D32">
        <v>11.300566476557201</v>
      </c>
    </row>
    <row r="33" spans="1:4" x14ac:dyDescent="0.25">
      <c r="A33" s="2" t="s">
        <v>37</v>
      </c>
      <c r="B33" s="3">
        <v>42278</v>
      </c>
      <c r="C33">
        <v>8.3776063542891599</v>
      </c>
      <c r="D33">
        <v>12.514787247247</v>
      </c>
    </row>
    <row r="34" spans="1:4" x14ac:dyDescent="0.25">
      <c r="A34" s="2" t="s">
        <v>38</v>
      </c>
      <c r="B34" s="3">
        <v>42309</v>
      </c>
      <c r="C34">
        <v>7.8088235500392802</v>
      </c>
      <c r="D34">
        <v>12.7896930316363</v>
      </c>
    </row>
    <row r="35" spans="1:4" x14ac:dyDescent="0.25">
      <c r="A35" s="2" t="s">
        <v>39</v>
      </c>
      <c r="B35" s="3">
        <v>42339</v>
      </c>
      <c r="C35">
        <v>8.3496541424448605</v>
      </c>
      <c r="D35">
        <v>12.727998113595101</v>
      </c>
    </row>
    <row r="36" spans="1:4" x14ac:dyDescent="0.25">
      <c r="A36" s="2" t="s">
        <v>40</v>
      </c>
      <c r="B36" s="3">
        <v>42370</v>
      </c>
      <c r="C36">
        <v>10.4334730039287</v>
      </c>
      <c r="D36">
        <v>12.3109889137696</v>
      </c>
    </row>
    <row r="37" spans="1:4" x14ac:dyDescent="0.25">
      <c r="A37" s="2"/>
      <c r="B37" s="3"/>
    </row>
    <row r="38" spans="1:4" x14ac:dyDescent="0.25">
      <c r="A38" s="2"/>
      <c r="B38" s="3"/>
    </row>
    <row r="39" spans="1:4" x14ac:dyDescent="0.25">
      <c r="A39" s="2"/>
      <c r="B39" s="3"/>
    </row>
    <row r="40" spans="1:4" x14ac:dyDescent="0.25">
      <c r="A40" s="2"/>
      <c r="B40" s="3"/>
    </row>
    <row r="41" spans="1:4" x14ac:dyDescent="0.25">
      <c r="A41" s="2"/>
      <c r="B41" s="3"/>
    </row>
    <row r="42" spans="1:4" x14ac:dyDescent="0.25">
      <c r="A42" s="2"/>
      <c r="B42" s="3"/>
    </row>
    <row r="43" spans="1:4" x14ac:dyDescent="0.25">
      <c r="A43" s="2"/>
      <c r="B43" s="3"/>
    </row>
    <row r="44" spans="1:4" x14ac:dyDescent="0.25">
      <c r="A44" s="2"/>
      <c r="B44" s="3"/>
    </row>
    <row r="45" spans="1:4" x14ac:dyDescent="0.25">
      <c r="A45" s="2"/>
      <c r="B45" s="3"/>
    </row>
    <row r="46" spans="1:4" x14ac:dyDescent="0.25">
      <c r="A46" s="2"/>
      <c r="B46" s="3"/>
    </row>
    <row r="47" spans="1:4" x14ac:dyDescent="0.25">
      <c r="A47" s="2"/>
      <c r="B47" s="3"/>
    </row>
    <row r="48" spans="1:4" x14ac:dyDescent="0.25">
      <c r="A48" s="2"/>
      <c r="B48" s="3"/>
    </row>
    <row r="49" spans="1:2" x14ac:dyDescent="0.25">
      <c r="A49" s="2"/>
      <c r="B49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D61"/>
  <sheetViews>
    <sheetView workbookViewId="0">
      <selection activeCell="B62" sqref="B62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40575</v>
      </c>
      <c r="C2">
        <v>3.84180915669052E-4</v>
      </c>
      <c r="D2">
        <v>0.33457090236264098</v>
      </c>
    </row>
    <row r="3" spans="1:4" x14ac:dyDescent="0.25">
      <c r="A3" s="3" t="s">
        <v>7</v>
      </c>
      <c r="B3" s="3">
        <v>40603</v>
      </c>
      <c r="C3">
        <v>0.66103423768583103</v>
      </c>
      <c r="D3">
        <v>0.30494514314940402</v>
      </c>
    </row>
    <row r="4" spans="1:4" x14ac:dyDescent="0.25">
      <c r="A4" s="3" t="s">
        <v>8</v>
      </c>
      <c r="B4" s="3">
        <v>40634</v>
      </c>
      <c r="C4">
        <v>0.47993977059824799</v>
      </c>
      <c r="D4">
        <v>0.42100331316498002</v>
      </c>
    </row>
    <row r="5" spans="1:4" x14ac:dyDescent="0.25">
      <c r="A5" s="3" t="s">
        <v>9</v>
      </c>
      <c r="B5" s="3">
        <v>40664</v>
      </c>
      <c r="C5">
        <v>0.55697093609403703</v>
      </c>
      <c r="D5">
        <v>0.63901271277911897</v>
      </c>
    </row>
    <row r="6" spans="1:4" x14ac:dyDescent="0.25">
      <c r="A6" s="3" t="s">
        <v>10</v>
      </c>
      <c r="B6" s="3">
        <v>40695</v>
      </c>
      <c r="C6">
        <v>0.83668065851615303</v>
      </c>
      <c r="D6">
        <v>0.85639800632283403</v>
      </c>
    </row>
    <row r="7" spans="1:4" x14ac:dyDescent="0.25">
      <c r="A7" s="3" t="s">
        <v>11</v>
      </c>
      <c r="B7" s="3">
        <v>40725</v>
      </c>
      <c r="C7">
        <v>1.87206161946376</v>
      </c>
      <c r="D7">
        <v>1.12908383574716</v>
      </c>
    </row>
    <row r="8" spans="1:4" x14ac:dyDescent="0.25">
      <c r="A8" s="3" t="s">
        <v>12</v>
      </c>
      <c r="B8" s="3">
        <v>40756</v>
      </c>
      <c r="C8">
        <v>2.3766644262138299</v>
      </c>
      <c r="D8">
        <v>1.3472104363233799</v>
      </c>
    </row>
    <row r="9" spans="1:4" x14ac:dyDescent="0.25">
      <c r="A9" s="3" t="s">
        <v>13</v>
      </c>
      <c r="B9" s="3">
        <v>40787</v>
      </c>
      <c r="C9">
        <v>2.5561561116157998</v>
      </c>
      <c r="D9">
        <v>1.49168509538896</v>
      </c>
    </row>
    <row r="10" spans="1:4" x14ac:dyDescent="0.25">
      <c r="A10" s="3" t="s">
        <v>14</v>
      </c>
      <c r="B10" s="3">
        <v>40817</v>
      </c>
      <c r="C10">
        <v>1.4087073623353701</v>
      </c>
      <c r="D10">
        <v>1.69913279526822</v>
      </c>
    </row>
    <row r="11" spans="1:4" x14ac:dyDescent="0.25">
      <c r="A11" s="2" t="s">
        <v>15</v>
      </c>
      <c r="B11" s="3">
        <v>40848</v>
      </c>
      <c r="C11">
        <v>1.57606643121009</v>
      </c>
      <c r="D11">
        <v>1.6590756656742101</v>
      </c>
    </row>
    <row r="12" spans="1:4" x14ac:dyDescent="0.25">
      <c r="A12" s="2" t="s">
        <v>16</v>
      </c>
      <c r="B12" s="3">
        <v>40878</v>
      </c>
      <c r="C12">
        <v>1.9168118385633699</v>
      </c>
      <c r="D12">
        <v>1.6640121250557001</v>
      </c>
    </row>
    <row r="13" spans="1:4" x14ac:dyDescent="0.25">
      <c r="A13" s="2" t="s">
        <v>17</v>
      </c>
      <c r="B13" s="3">
        <v>40909</v>
      </c>
      <c r="C13">
        <v>2.0990023160189901</v>
      </c>
      <c r="D13">
        <v>1.7457808044440499</v>
      </c>
    </row>
    <row r="14" spans="1:4" x14ac:dyDescent="0.25">
      <c r="A14" s="2" t="s">
        <v>18</v>
      </c>
      <c r="B14" s="3">
        <v>40940</v>
      </c>
      <c r="C14">
        <v>2.42531908034477</v>
      </c>
      <c r="D14">
        <v>1.8614509151237</v>
      </c>
    </row>
    <row r="15" spans="1:4" x14ac:dyDescent="0.25">
      <c r="A15" s="2" t="s">
        <v>19</v>
      </c>
      <c r="B15" s="3">
        <v>40969</v>
      </c>
      <c r="C15">
        <v>2.9166715505796201</v>
      </c>
      <c r="D15">
        <v>2.0746181988038299</v>
      </c>
    </row>
    <row r="16" spans="1:4" x14ac:dyDescent="0.25">
      <c r="A16" s="2" t="s">
        <v>20</v>
      </c>
      <c r="B16" s="3">
        <v>41000</v>
      </c>
      <c r="C16">
        <v>3.19584009766296</v>
      </c>
      <c r="D16">
        <v>2.52960815813708</v>
      </c>
    </row>
    <row r="17" spans="1:4" x14ac:dyDescent="0.25">
      <c r="A17" s="2" t="s">
        <v>21</v>
      </c>
      <c r="B17" s="3">
        <v>41030</v>
      </c>
      <c r="C17">
        <v>2.8100974273251902</v>
      </c>
      <c r="D17">
        <v>2.9102688579268601</v>
      </c>
    </row>
    <row r="18" spans="1:4" x14ac:dyDescent="0.25">
      <c r="A18" s="2" t="s">
        <v>22</v>
      </c>
      <c r="B18" s="3">
        <v>41061</v>
      </c>
      <c r="C18">
        <v>3.51845168559288</v>
      </c>
      <c r="D18">
        <v>3.4522980752214498</v>
      </c>
    </row>
    <row r="19" spans="1:4" x14ac:dyDescent="0.25">
      <c r="A19" s="2" t="s">
        <v>23</v>
      </c>
      <c r="B19" s="3">
        <v>41091</v>
      </c>
      <c r="C19">
        <v>4.5493717824431004</v>
      </c>
      <c r="D19">
        <v>3.9043645740811601</v>
      </c>
    </row>
    <row r="20" spans="1:4" x14ac:dyDescent="0.25">
      <c r="A20" s="2" t="s">
        <v>24</v>
      </c>
      <c r="B20" s="3">
        <v>41122</v>
      </c>
      <c r="C20">
        <v>5.0643506238546001</v>
      </c>
      <c r="D20">
        <v>4.1340849980095502</v>
      </c>
    </row>
    <row r="21" spans="1:4" x14ac:dyDescent="0.25">
      <c r="A21" s="2" t="s">
        <v>25</v>
      </c>
      <c r="B21" s="3">
        <v>41153</v>
      </c>
      <c r="C21">
        <v>4.4271321078488199</v>
      </c>
      <c r="D21">
        <v>4.5073898525482203</v>
      </c>
    </row>
    <row r="22" spans="1:4" x14ac:dyDescent="0.25">
      <c r="A22" s="2" t="s">
        <v>26</v>
      </c>
      <c r="B22" s="3">
        <v>41183</v>
      </c>
      <c r="C22">
        <v>5.15187167396207</v>
      </c>
      <c r="D22">
        <v>4.4447617492703104</v>
      </c>
    </row>
    <row r="23" spans="1:4" x14ac:dyDescent="0.25">
      <c r="A23" s="2" t="s">
        <v>27</v>
      </c>
      <c r="B23" s="3">
        <v>41214</v>
      </c>
      <c r="C23">
        <v>4.5223282703610002</v>
      </c>
      <c r="D23">
        <v>4.7947396565802203</v>
      </c>
    </row>
    <row r="24" spans="1:4" x14ac:dyDescent="0.25">
      <c r="A24" s="2" t="s">
        <v>28</v>
      </c>
      <c r="B24" s="3">
        <v>41244</v>
      </c>
      <c r="C24">
        <v>6.4933161037349798</v>
      </c>
      <c r="D24">
        <v>4.9902483211178001</v>
      </c>
    </row>
    <row r="25" spans="1:4" x14ac:dyDescent="0.25">
      <c r="A25" s="2" t="s">
        <v>29</v>
      </c>
      <c r="B25" s="3">
        <v>41275</v>
      </c>
      <c r="C25">
        <v>8.0893010703661492</v>
      </c>
      <c r="D25">
        <v>5.3119100223903404</v>
      </c>
    </row>
    <row r="26" spans="1:4" x14ac:dyDescent="0.25">
      <c r="A26" s="2" t="s">
        <v>30</v>
      </c>
      <c r="B26" s="3">
        <v>41306</v>
      </c>
      <c r="C26">
        <v>5.7636245601949501</v>
      </c>
      <c r="D26">
        <v>5.02572965776963</v>
      </c>
    </row>
    <row r="27" spans="1:4" x14ac:dyDescent="0.25">
      <c r="A27" s="2" t="s">
        <v>31</v>
      </c>
      <c r="B27" s="3">
        <v>41334</v>
      </c>
      <c r="C27">
        <v>6.9251543418215</v>
      </c>
      <c r="D27">
        <v>5.1972684779243901</v>
      </c>
    </row>
    <row r="28" spans="1:4" x14ac:dyDescent="0.25">
      <c r="A28" s="2" t="s">
        <v>32</v>
      </c>
      <c r="B28" s="3">
        <v>41365</v>
      </c>
      <c r="C28">
        <v>6.4197899150290301</v>
      </c>
      <c r="D28">
        <v>6.0237869545620004</v>
      </c>
    </row>
    <row r="29" spans="1:4" x14ac:dyDescent="0.25">
      <c r="A29" s="2" t="s">
        <v>33</v>
      </c>
      <c r="B29" s="3">
        <v>41395</v>
      </c>
      <c r="C29">
        <v>11.302532473498699</v>
      </c>
      <c r="D29">
        <v>8.92346916200243</v>
      </c>
    </row>
    <row r="30" spans="1:4" x14ac:dyDescent="0.25">
      <c r="A30" s="2" t="s">
        <v>34</v>
      </c>
      <c r="B30" s="3">
        <v>41426</v>
      </c>
      <c r="C30">
        <v>9.8511317636026803</v>
      </c>
      <c r="D30">
        <v>22.211789194571601</v>
      </c>
    </row>
    <row r="31" spans="1:4" x14ac:dyDescent="0.25">
      <c r="A31" s="2" t="s">
        <v>35</v>
      </c>
      <c r="B31" s="3">
        <v>41456</v>
      </c>
      <c r="C31">
        <v>11.0024589013839</v>
      </c>
      <c r="D31">
        <v>22.976092589029498</v>
      </c>
    </row>
    <row r="32" spans="1:4" x14ac:dyDescent="0.25">
      <c r="A32" s="2" t="s">
        <v>36</v>
      </c>
      <c r="B32" s="3">
        <v>41487</v>
      </c>
      <c r="C32">
        <v>12.369009453023001</v>
      </c>
      <c r="D32">
        <v>22.0926565739429</v>
      </c>
    </row>
    <row r="33" spans="1:4" x14ac:dyDescent="0.25">
      <c r="A33" s="2" t="s">
        <v>37</v>
      </c>
      <c r="B33" s="3">
        <v>41518</v>
      </c>
      <c r="C33">
        <v>8.6542923872700506</v>
      </c>
      <c r="D33">
        <v>20.733490032150399</v>
      </c>
    </row>
    <row r="34" spans="1:4" x14ac:dyDescent="0.25">
      <c r="A34" s="2" t="s">
        <v>38</v>
      </c>
      <c r="B34" s="3">
        <v>41548</v>
      </c>
      <c r="C34">
        <v>6.6405887891105797</v>
      </c>
      <c r="D34">
        <v>18.486491222094699</v>
      </c>
    </row>
    <row r="35" spans="1:4" x14ac:dyDescent="0.25">
      <c r="A35" s="2" t="s">
        <v>39</v>
      </c>
      <c r="B35" s="3">
        <v>41579</v>
      </c>
      <c r="C35">
        <v>9.6645209396892007</v>
      </c>
      <c r="D35">
        <v>18.274478949366902</v>
      </c>
    </row>
    <row r="36" spans="1:4" x14ac:dyDescent="0.25">
      <c r="A36" s="2" t="s">
        <v>40</v>
      </c>
      <c r="B36" s="3">
        <v>41609</v>
      </c>
      <c r="C36">
        <v>9.3465203415798594</v>
      </c>
      <c r="D36">
        <v>20.851914272102398</v>
      </c>
    </row>
    <row r="37" spans="1:4" x14ac:dyDescent="0.25">
      <c r="A37" s="2" t="s">
        <v>41</v>
      </c>
      <c r="B37" s="3">
        <v>41640</v>
      </c>
      <c r="C37">
        <v>8.3763372109381606</v>
      </c>
      <c r="D37">
        <v>21.021544807426999</v>
      </c>
    </row>
    <row r="38" spans="1:4" x14ac:dyDescent="0.25">
      <c r="A38" s="2" t="s">
        <v>42</v>
      </c>
      <c r="B38" s="3">
        <v>41671</v>
      </c>
      <c r="C38">
        <v>7.2599095097340696</v>
      </c>
      <c r="D38">
        <v>17.7488164893408</v>
      </c>
    </row>
    <row r="39" spans="1:4" x14ac:dyDescent="0.25">
      <c r="A39" s="2" t="s">
        <v>43</v>
      </c>
      <c r="B39" s="3">
        <v>41699</v>
      </c>
      <c r="C39">
        <v>7.0177039889456596</v>
      </c>
      <c r="D39">
        <v>18.6813847917172</v>
      </c>
    </row>
    <row r="40" spans="1:4" x14ac:dyDescent="0.25">
      <c r="A40" s="2" t="s">
        <v>44</v>
      </c>
      <c r="B40" s="3">
        <v>41730</v>
      </c>
      <c r="C40">
        <v>8.5794244611068802</v>
      </c>
      <c r="D40">
        <v>22.749666398975101</v>
      </c>
    </row>
    <row r="41" spans="1:4" x14ac:dyDescent="0.25">
      <c r="A41" s="2" t="s">
        <v>45</v>
      </c>
      <c r="B41" s="3">
        <v>41760</v>
      </c>
      <c r="C41">
        <v>10.099635039961001</v>
      </c>
      <c r="D41">
        <v>25.2950457660131</v>
      </c>
    </row>
    <row r="42" spans="1:4" x14ac:dyDescent="0.25">
      <c r="A42" s="2" t="s">
        <v>46</v>
      </c>
      <c r="B42" s="3">
        <v>41791</v>
      </c>
      <c r="C42">
        <v>9.2262413123982405</v>
      </c>
      <c r="D42">
        <v>27.815992259918499</v>
      </c>
    </row>
    <row r="43" spans="1:4" x14ac:dyDescent="0.25">
      <c r="A43" s="2" t="s">
        <v>47</v>
      </c>
      <c r="B43" s="3">
        <v>41821</v>
      </c>
      <c r="C43">
        <v>10.9888398305027</v>
      </c>
      <c r="D43">
        <v>30.3940297980742</v>
      </c>
    </row>
    <row r="44" spans="1:4" x14ac:dyDescent="0.25">
      <c r="A44" s="2" t="s">
        <v>48</v>
      </c>
      <c r="B44" s="3">
        <v>41852</v>
      </c>
      <c r="C44">
        <v>14.272961736684101</v>
      </c>
      <c r="D44">
        <v>30.7800662900632</v>
      </c>
    </row>
    <row r="45" spans="1:4" x14ac:dyDescent="0.25">
      <c r="A45" s="2" t="s">
        <v>49</v>
      </c>
      <c r="B45" s="3">
        <v>41883</v>
      </c>
      <c r="C45">
        <v>10.949699352272599</v>
      </c>
      <c r="D45">
        <v>31.363591206940299</v>
      </c>
    </row>
    <row r="46" spans="1:4" x14ac:dyDescent="0.25">
      <c r="A46" s="2" t="s">
        <v>50</v>
      </c>
      <c r="B46" s="3">
        <v>41913</v>
      </c>
      <c r="C46">
        <v>14.395756079211701</v>
      </c>
      <c r="D46">
        <v>30.9344269444993</v>
      </c>
    </row>
    <row r="47" spans="1:4" x14ac:dyDescent="0.25">
      <c r="A47" s="2" t="s">
        <v>51</v>
      </c>
      <c r="B47" s="3">
        <v>41944</v>
      </c>
      <c r="C47">
        <v>13.851082145824501</v>
      </c>
      <c r="D47">
        <v>30.051524078933099</v>
      </c>
    </row>
    <row r="48" spans="1:4" x14ac:dyDescent="0.25">
      <c r="A48" s="2" t="s">
        <v>52</v>
      </c>
      <c r="B48" s="3">
        <v>41974</v>
      </c>
      <c r="C48">
        <v>12.7903398172717</v>
      </c>
      <c r="D48">
        <v>32.309026195903598</v>
      </c>
    </row>
    <row r="49" spans="1:4" x14ac:dyDescent="0.25">
      <c r="A49" s="2" t="s">
        <v>53</v>
      </c>
      <c r="B49" s="3">
        <v>42005</v>
      </c>
      <c r="C49">
        <v>14.752051112873</v>
      </c>
      <c r="D49">
        <v>36.329621744502198</v>
      </c>
    </row>
    <row r="50" spans="1:4" x14ac:dyDescent="0.25">
      <c r="A50" s="2" t="s">
        <v>54</v>
      </c>
      <c r="B50" s="3">
        <v>42036</v>
      </c>
      <c r="C50">
        <v>10.7375639877597</v>
      </c>
      <c r="D50">
        <v>36.967974207945304</v>
      </c>
    </row>
    <row r="51" spans="1:4" x14ac:dyDescent="0.25">
      <c r="A51" s="2" t="s">
        <v>55</v>
      </c>
      <c r="B51" s="3">
        <v>42064</v>
      </c>
      <c r="C51">
        <v>12.9347143365899</v>
      </c>
      <c r="D51">
        <v>40.919501613528404</v>
      </c>
    </row>
    <row r="52" spans="1:4" x14ac:dyDescent="0.25">
      <c r="A52" s="2" t="s">
        <v>56</v>
      </c>
      <c r="B52" s="3">
        <v>42095</v>
      </c>
      <c r="C52">
        <v>19.537929578902499</v>
      </c>
      <c r="D52">
        <v>41.307599565917002</v>
      </c>
    </row>
    <row r="53" spans="1:4" x14ac:dyDescent="0.25">
      <c r="A53" s="2" t="s">
        <v>57</v>
      </c>
      <c r="B53" s="3">
        <v>42125</v>
      </c>
      <c r="C53">
        <v>19.348204397514799</v>
      </c>
      <c r="D53">
        <v>41.204791958194001</v>
      </c>
    </row>
    <row r="54" spans="1:4" x14ac:dyDescent="0.25">
      <c r="A54" s="2" t="s">
        <v>58</v>
      </c>
      <c r="B54" s="3">
        <v>42156</v>
      </c>
      <c r="C54">
        <v>19.284333041492101</v>
      </c>
      <c r="D54">
        <v>43.752562221006102</v>
      </c>
    </row>
    <row r="55" spans="1:4" x14ac:dyDescent="0.25">
      <c r="A55" s="2" t="s">
        <v>59</v>
      </c>
      <c r="B55" s="3">
        <v>42186</v>
      </c>
      <c r="C55">
        <v>21.238750219158799</v>
      </c>
      <c r="D55">
        <v>40.565818701754402</v>
      </c>
    </row>
    <row r="56" spans="1:4" x14ac:dyDescent="0.25">
      <c r="A56" s="2" t="s">
        <v>60</v>
      </c>
      <c r="B56" s="3">
        <v>42217</v>
      </c>
      <c r="C56">
        <v>20.4708761160162</v>
      </c>
      <c r="D56">
        <v>38.423458822534798</v>
      </c>
    </row>
    <row r="57" spans="1:4" x14ac:dyDescent="0.25">
      <c r="A57" s="2" t="s">
        <v>61</v>
      </c>
      <c r="B57" s="3">
        <v>42248</v>
      </c>
      <c r="C57">
        <v>16.846554062904701</v>
      </c>
      <c r="D57">
        <v>37.430817333464297</v>
      </c>
    </row>
    <row r="58" spans="1:4" x14ac:dyDescent="0.25">
      <c r="A58" s="2" t="s">
        <v>62</v>
      </c>
      <c r="B58" s="3">
        <v>42278</v>
      </c>
      <c r="C58">
        <v>18.1147379828388</v>
      </c>
      <c r="D58">
        <v>38.637750236271401</v>
      </c>
    </row>
    <row r="59" spans="1:4" x14ac:dyDescent="0.25">
      <c r="A59" s="2" t="s">
        <v>63</v>
      </c>
      <c r="B59" s="3">
        <v>42309</v>
      </c>
      <c r="C59">
        <v>15.398180404442</v>
      </c>
      <c r="D59">
        <v>37.7039763553692</v>
      </c>
    </row>
    <row r="60" spans="1:4" x14ac:dyDescent="0.25">
      <c r="A60" s="2" t="s">
        <v>64</v>
      </c>
      <c r="B60" s="3">
        <v>42339</v>
      </c>
      <c r="C60">
        <v>14.158721406397101</v>
      </c>
      <c r="D60">
        <v>37.714988007792499</v>
      </c>
    </row>
    <row r="61" spans="1:4" x14ac:dyDescent="0.25">
      <c r="A61" s="2" t="s">
        <v>65</v>
      </c>
      <c r="B61" s="3">
        <v>42370</v>
      </c>
      <c r="C61">
        <v>18.541873422104601</v>
      </c>
      <c r="D61">
        <v>34.962167148281601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37"/>
  <sheetViews>
    <sheetView workbookViewId="0">
      <selection activeCell="L40" sqref="L40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41306</v>
      </c>
      <c r="C2">
        <v>7.7502005819452005E-2</v>
      </c>
      <c r="D2">
        <v>0.30119784820242801</v>
      </c>
    </row>
    <row r="3" spans="1:4" x14ac:dyDescent="0.25">
      <c r="A3" s="3" t="s">
        <v>7</v>
      </c>
      <c r="B3" s="3">
        <v>41334</v>
      </c>
      <c r="C3">
        <v>0.230877607401758</v>
      </c>
      <c r="D3">
        <v>0.34225367104750998</v>
      </c>
    </row>
    <row r="4" spans="1:4" x14ac:dyDescent="0.25">
      <c r="A4" s="3" t="s">
        <v>8</v>
      </c>
      <c r="B4" s="3">
        <v>41365</v>
      </c>
      <c r="C4">
        <v>0.57756399129653702</v>
      </c>
      <c r="D4">
        <v>0.43781945655934101</v>
      </c>
    </row>
    <row r="5" spans="1:4" x14ac:dyDescent="0.25">
      <c r="A5" s="3" t="s">
        <v>9</v>
      </c>
      <c r="B5" s="3">
        <v>41395</v>
      </c>
      <c r="C5">
        <v>0.36775326515734502</v>
      </c>
      <c r="D5">
        <v>0.57096090416640699</v>
      </c>
    </row>
    <row r="6" spans="1:4" x14ac:dyDescent="0.25">
      <c r="A6" s="3" t="s">
        <v>10</v>
      </c>
      <c r="B6" s="3">
        <v>41426</v>
      </c>
      <c r="C6">
        <v>1.00503298625693</v>
      </c>
      <c r="D6">
        <v>0.72358014294912099</v>
      </c>
    </row>
    <row r="7" spans="1:4" x14ac:dyDescent="0.25">
      <c r="A7" s="3" t="s">
        <v>11</v>
      </c>
      <c r="B7" s="3">
        <v>41456</v>
      </c>
      <c r="C7">
        <v>0.996954321988197</v>
      </c>
      <c r="D7">
        <v>0.84234198147691297</v>
      </c>
    </row>
    <row r="8" spans="1:4" x14ac:dyDescent="0.25">
      <c r="A8" s="3" t="s">
        <v>12</v>
      </c>
      <c r="B8" s="3">
        <v>41487</v>
      </c>
      <c r="C8">
        <v>1.2342357006012401</v>
      </c>
      <c r="D8">
        <v>0.95240338940256697</v>
      </c>
    </row>
    <row r="9" spans="1:4" x14ac:dyDescent="0.25">
      <c r="A9" s="3" t="s">
        <v>13</v>
      </c>
      <c r="B9" s="3">
        <v>41518</v>
      </c>
      <c r="C9">
        <v>1.7376653869566701</v>
      </c>
      <c r="D9">
        <v>1.0917547509760399</v>
      </c>
    </row>
    <row r="10" spans="1:4" x14ac:dyDescent="0.25">
      <c r="A10" s="3" t="s">
        <v>14</v>
      </c>
      <c r="B10" s="3">
        <v>41548</v>
      </c>
      <c r="C10">
        <v>1.49353930136887</v>
      </c>
      <c r="D10">
        <v>1.2469591946177601</v>
      </c>
    </row>
    <row r="11" spans="1:4" x14ac:dyDescent="0.25">
      <c r="A11" s="2" t="s">
        <v>15</v>
      </c>
      <c r="B11" s="3">
        <v>41579</v>
      </c>
      <c r="C11">
        <v>1.5232102167241499</v>
      </c>
      <c r="D11">
        <v>1.4298166115834601</v>
      </c>
    </row>
    <row r="12" spans="1:4" x14ac:dyDescent="0.25">
      <c r="A12" s="2" t="s">
        <v>16</v>
      </c>
      <c r="B12" s="3">
        <v>41609</v>
      </c>
      <c r="C12">
        <v>1.8612880442548401</v>
      </c>
      <c r="D12">
        <v>1.61285679848109</v>
      </c>
    </row>
    <row r="13" spans="1:4" x14ac:dyDescent="0.25">
      <c r="A13" s="2" t="s">
        <v>17</v>
      </c>
      <c r="B13" s="3">
        <v>41640</v>
      </c>
      <c r="C13">
        <v>2.21172342839581</v>
      </c>
      <c r="D13">
        <v>1.79552520012826</v>
      </c>
    </row>
    <row r="14" spans="1:4" x14ac:dyDescent="0.25">
      <c r="A14" s="2" t="s">
        <v>18</v>
      </c>
      <c r="B14" s="3">
        <v>41671</v>
      </c>
      <c r="C14">
        <v>1.8789736944979401</v>
      </c>
      <c r="D14">
        <v>1.97935095682392</v>
      </c>
    </row>
    <row r="15" spans="1:4" x14ac:dyDescent="0.25">
      <c r="A15" s="2" t="s">
        <v>19</v>
      </c>
      <c r="B15" s="3">
        <v>41699</v>
      </c>
      <c r="C15">
        <v>1.94690412891412</v>
      </c>
      <c r="D15">
        <v>2.1619176410033099</v>
      </c>
    </row>
    <row r="16" spans="1:4" x14ac:dyDescent="0.25">
      <c r="A16" s="2" t="s">
        <v>20</v>
      </c>
      <c r="B16" s="3">
        <v>41730</v>
      </c>
      <c r="C16">
        <v>2.9255306551479201</v>
      </c>
      <c r="D16">
        <v>2.3507653682893901</v>
      </c>
    </row>
    <row r="17" spans="1:4" x14ac:dyDescent="0.25">
      <c r="A17" s="2" t="s">
        <v>21</v>
      </c>
      <c r="B17" s="3">
        <v>41760</v>
      </c>
      <c r="C17">
        <v>2.6372859243429501</v>
      </c>
      <c r="D17">
        <v>2.5356966189843</v>
      </c>
    </row>
    <row r="18" spans="1:4" x14ac:dyDescent="0.25">
      <c r="A18" s="2" t="s">
        <v>22</v>
      </c>
      <c r="B18" s="3">
        <v>41791</v>
      </c>
      <c r="C18">
        <v>2.50043754715719</v>
      </c>
      <c r="D18">
        <v>2.7238112731204498</v>
      </c>
    </row>
    <row r="19" spans="1:4" x14ac:dyDescent="0.25">
      <c r="A19" s="2" t="s">
        <v>23</v>
      </c>
      <c r="B19" s="3">
        <v>41821</v>
      </c>
      <c r="C19">
        <v>3.8987794442372898</v>
      </c>
      <c r="D19">
        <v>2.9163542899144601</v>
      </c>
    </row>
    <row r="20" spans="1:4" x14ac:dyDescent="0.25">
      <c r="A20" s="2" t="s">
        <v>24</v>
      </c>
      <c r="B20" s="3">
        <v>41852</v>
      </c>
      <c r="C20">
        <v>4.3095691223740697</v>
      </c>
      <c r="D20">
        <v>3.0976221041373502</v>
      </c>
    </row>
    <row r="21" spans="1:4" x14ac:dyDescent="0.25">
      <c r="A21" s="2" t="s">
        <v>25</v>
      </c>
      <c r="B21" s="3">
        <v>41883</v>
      </c>
      <c r="C21">
        <v>3.3559222794944299</v>
      </c>
      <c r="D21">
        <v>3.2833442552213898</v>
      </c>
    </row>
    <row r="22" spans="1:4" x14ac:dyDescent="0.25">
      <c r="A22" s="2" t="s">
        <v>26</v>
      </c>
      <c r="B22" s="3">
        <v>41913</v>
      </c>
      <c r="C22">
        <v>3.0479671004005899</v>
      </c>
      <c r="D22">
        <v>3.4572289812272698</v>
      </c>
    </row>
    <row r="23" spans="1:4" x14ac:dyDescent="0.25">
      <c r="A23" s="2" t="s">
        <v>27</v>
      </c>
      <c r="B23" s="3">
        <v>41944</v>
      </c>
      <c r="C23">
        <v>4.8505469460868298</v>
      </c>
      <c r="D23">
        <v>3.6173022300904201</v>
      </c>
    </row>
    <row r="24" spans="1:4" x14ac:dyDescent="0.25">
      <c r="A24" s="2" t="s">
        <v>28</v>
      </c>
      <c r="B24" s="3">
        <v>41974</v>
      </c>
      <c r="C24">
        <v>3.9205470952832302</v>
      </c>
      <c r="D24">
        <v>3.7969591302413499</v>
      </c>
    </row>
    <row r="25" spans="1:4" x14ac:dyDescent="0.25">
      <c r="A25" s="2" t="s">
        <v>29</v>
      </c>
      <c r="B25" s="3">
        <v>42005</v>
      </c>
      <c r="C25">
        <v>4.9052463598626801</v>
      </c>
      <c r="D25">
        <v>3.95267899552519</v>
      </c>
    </row>
    <row r="26" spans="1:4" x14ac:dyDescent="0.25">
      <c r="A26" s="2" t="s">
        <v>30</v>
      </c>
      <c r="B26" s="3">
        <v>42036</v>
      </c>
      <c r="C26">
        <v>2.9999690550458298</v>
      </c>
      <c r="D26">
        <v>4.1179423603651202</v>
      </c>
    </row>
    <row r="27" spans="1:4" x14ac:dyDescent="0.25">
      <c r="A27" s="2" t="s">
        <v>31</v>
      </c>
      <c r="B27" s="3">
        <v>42064</v>
      </c>
      <c r="C27">
        <v>3.8902476985847501</v>
      </c>
      <c r="D27">
        <v>4.3143708690393199</v>
      </c>
    </row>
    <row r="28" spans="1:4" x14ac:dyDescent="0.25">
      <c r="A28" s="2" t="s">
        <v>32</v>
      </c>
      <c r="B28" s="3">
        <v>42095</v>
      </c>
      <c r="C28">
        <v>4.1797348340884897</v>
      </c>
      <c r="D28">
        <v>4.4937013974609696</v>
      </c>
    </row>
    <row r="29" spans="1:4" x14ac:dyDescent="0.25">
      <c r="A29" s="2" t="s">
        <v>33</v>
      </c>
      <c r="B29" s="3">
        <v>42125</v>
      </c>
      <c r="C29">
        <v>4.8286255937438298</v>
      </c>
      <c r="D29">
        <v>4.6725980043521798</v>
      </c>
    </row>
    <row r="30" spans="1:4" x14ac:dyDescent="0.25">
      <c r="A30" s="2" t="s">
        <v>34</v>
      </c>
      <c r="B30" s="3">
        <v>42156</v>
      </c>
      <c r="C30">
        <v>4.7707455445167399</v>
      </c>
      <c r="D30">
        <v>4.9471376948930699</v>
      </c>
    </row>
    <row r="31" spans="1:4" x14ac:dyDescent="0.25">
      <c r="A31" s="2" t="s">
        <v>35</v>
      </c>
      <c r="B31" s="3">
        <v>42186</v>
      </c>
      <c r="C31">
        <v>5.6756890411341896</v>
      </c>
      <c r="D31">
        <v>5.0406894007702903</v>
      </c>
    </row>
    <row r="32" spans="1:4" x14ac:dyDescent="0.25">
      <c r="A32" s="2" t="s">
        <v>36</v>
      </c>
      <c r="B32" s="3">
        <v>42217</v>
      </c>
      <c r="C32">
        <v>6.78692528452844</v>
      </c>
      <c r="D32">
        <v>5.1119694496382504</v>
      </c>
    </row>
    <row r="33" spans="1:4" x14ac:dyDescent="0.25">
      <c r="A33" s="2" t="s">
        <v>37</v>
      </c>
      <c r="B33" s="3">
        <v>42248</v>
      </c>
      <c r="C33">
        <v>6.3668267301056902</v>
      </c>
      <c r="D33">
        <v>5.2999838035282298</v>
      </c>
    </row>
    <row r="34" spans="1:4" x14ac:dyDescent="0.25">
      <c r="A34" s="2" t="s">
        <v>38</v>
      </c>
      <c r="B34" s="3">
        <v>42278</v>
      </c>
      <c r="C34">
        <v>5.1614237830669296</v>
      </c>
      <c r="D34">
        <v>5.4630067042325399</v>
      </c>
    </row>
    <row r="35" spans="1:4" x14ac:dyDescent="0.25">
      <c r="A35" s="2" t="s">
        <v>39</v>
      </c>
      <c r="B35" s="3">
        <v>42309</v>
      </c>
      <c r="C35">
        <v>5.2079455040818496</v>
      </c>
      <c r="D35">
        <v>5.58986360981232</v>
      </c>
    </row>
    <row r="36" spans="1:4" x14ac:dyDescent="0.25">
      <c r="A36" s="2" t="s">
        <v>40</v>
      </c>
      <c r="B36" s="3">
        <v>42339</v>
      </c>
      <c r="C36">
        <v>4.49964490779531</v>
      </c>
      <c r="D36">
        <v>5.73838552774109</v>
      </c>
    </row>
    <row r="37" spans="1:4" x14ac:dyDescent="0.25">
      <c r="A37" s="2" t="s">
        <v>41</v>
      </c>
      <c r="B37" s="3">
        <v>42370</v>
      </c>
      <c r="C37">
        <v>5.0458174222475698</v>
      </c>
      <c r="D37">
        <v>5.7496090411014702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49"/>
  <sheetViews>
    <sheetView workbookViewId="0">
      <selection activeCell="L40" sqref="L40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2"/>
      <c r="B2" s="3">
        <v>41091</v>
      </c>
      <c r="C2">
        <v>9.26637213846115E-2</v>
      </c>
      <c r="D2">
        <v>0.291218951634997</v>
      </c>
    </row>
    <row r="3" spans="1:4" x14ac:dyDescent="0.25">
      <c r="A3" s="2"/>
      <c r="B3" s="3">
        <v>41122</v>
      </c>
      <c r="C3">
        <v>2.2078434093766899</v>
      </c>
      <c r="D3">
        <v>0.41685273148136498</v>
      </c>
    </row>
    <row r="4" spans="1:4" x14ac:dyDescent="0.25">
      <c r="A4" s="2"/>
      <c r="B4" s="3">
        <v>41153</v>
      </c>
      <c r="C4">
        <v>0.21101313586263701</v>
      </c>
      <c r="D4">
        <v>0.452726032299056</v>
      </c>
    </row>
    <row r="5" spans="1:4" x14ac:dyDescent="0.25">
      <c r="A5" s="2"/>
      <c r="B5" s="3">
        <v>41183</v>
      </c>
      <c r="C5">
        <v>0.34670011027004799</v>
      </c>
      <c r="D5">
        <v>0.53581081687856802</v>
      </c>
    </row>
    <row r="6" spans="1:4" x14ac:dyDescent="0.25">
      <c r="A6" s="2"/>
      <c r="B6" s="3">
        <v>41214</v>
      </c>
      <c r="C6">
        <v>0.68419672655404296</v>
      </c>
      <c r="D6">
        <v>0.60922774573859395</v>
      </c>
    </row>
    <row r="7" spans="1:4" x14ac:dyDescent="0.25">
      <c r="A7" s="2"/>
      <c r="B7" s="3">
        <v>41244</v>
      </c>
      <c r="C7">
        <v>0.73222196016878804</v>
      </c>
      <c r="D7">
        <v>0.69731038274323298</v>
      </c>
    </row>
    <row r="8" spans="1:4" x14ac:dyDescent="0.25">
      <c r="A8" s="2"/>
      <c r="B8" s="3">
        <v>41275</v>
      </c>
      <c r="C8">
        <v>1.2131545097560901</v>
      </c>
      <c r="D8">
        <v>0.76882036879748505</v>
      </c>
    </row>
    <row r="9" spans="1:4" x14ac:dyDescent="0.25">
      <c r="A9" s="2"/>
      <c r="B9" s="3">
        <v>41306</v>
      </c>
      <c r="C9">
        <v>0.60881457834305297</v>
      </c>
      <c r="D9">
        <v>0.87641193316961896</v>
      </c>
    </row>
    <row r="10" spans="1:4" x14ac:dyDescent="0.25">
      <c r="A10" s="2"/>
      <c r="B10" s="3">
        <v>41334</v>
      </c>
      <c r="C10">
        <v>1.40396511056574</v>
      </c>
      <c r="D10">
        <v>1.0467188829044201</v>
      </c>
    </row>
    <row r="11" spans="1:4" x14ac:dyDescent="0.25">
      <c r="A11" s="2" t="s">
        <v>15</v>
      </c>
      <c r="B11" s="3">
        <v>41365</v>
      </c>
      <c r="C11">
        <v>1.7549047203862</v>
      </c>
      <c r="D11">
        <v>1.20378436661118</v>
      </c>
    </row>
    <row r="12" spans="1:4" x14ac:dyDescent="0.25">
      <c r="A12" s="2" t="s">
        <v>16</v>
      </c>
      <c r="B12" s="3">
        <v>41395</v>
      </c>
      <c r="C12">
        <v>2.4164663061865599</v>
      </c>
      <c r="D12">
        <v>1.36274153864578</v>
      </c>
    </row>
    <row r="13" spans="1:4" x14ac:dyDescent="0.25">
      <c r="A13" s="2" t="s">
        <v>17</v>
      </c>
      <c r="B13" s="3">
        <v>41426</v>
      </c>
      <c r="C13">
        <v>2.2242920027181499</v>
      </c>
      <c r="D13">
        <v>1.5404819352068599</v>
      </c>
    </row>
    <row r="14" spans="1:4" x14ac:dyDescent="0.25">
      <c r="A14" s="2" t="s">
        <v>18</v>
      </c>
      <c r="B14" s="3">
        <v>41456</v>
      </c>
      <c r="C14">
        <v>3.6474450434452499</v>
      </c>
      <c r="D14">
        <v>1.6807261185122699</v>
      </c>
    </row>
    <row r="15" spans="1:4" x14ac:dyDescent="0.25">
      <c r="A15" s="2" t="s">
        <v>19</v>
      </c>
      <c r="B15" s="3">
        <v>41487</v>
      </c>
      <c r="C15">
        <v>3.29840664884455</v>
      </c>
      <c r="D15">
        <v>1.7879137301461201</v>
      </c>
    </row>
    <row r="16" spans="1:4" x14ac:dyDescent="0.25">
      <c r="A16" s="2" t="s">
        <v>20</v>
      </c>
      <c r="B16" s="3">
        <v>41518</v>
      </c>
      <c r="C16">
        <v>3.6711049776826998</v>
      </c>
      <c r="D16">
        <v>1.92225611728375</v>
      </c>
    </row>
    <row r="17" spans="1:4" x14ac:dyDescent="0.25">
      <c r="A17" s="2" t="s">
        <v>21</v>
      </c>
      <c r="B17" s="3">
        <v>41548</v>
      </c>
      <c r="C17">
        <v>4.3083575682517203</v>
      </c>
      <c r="D17">
        <v>2.0665758481472198</v>
      </c>
    </row>
    <row r="18" spans="1:4" x14ac:dyDescent="0.25">
      <c r="A18" s="2" t="s">
        <v>22</v>
      </c>
      <c r="B18" s="3">
        <v>41579</v>
      </c>
      <c r="C18">
        <v>3.6951284720694</v>
      </c>
      <c r="D18">
        <v>2.2160257081338499</v>
      </c>
    </row>
    <row r="19" spans="1:4" x14ac:dyDescent="0.25">
      <c r="A19" s="2" t="s">
        <v>23</v>
      </c>
      <c r="B19" s="3">
        <v>41609</v>
      </c>
      <c r="C19">
        <v>2.8777199627600298</v>
      </c>
      <c r="D19">
        <v>2.3769036613732299</v>
      </c>
    </row>
    <row r="20" spans="1:4" x14ac:dyDescent="0.25">
      <c r="A20" s="2" t="s">
        <v>24</v>
      </c>
      <c r="B20" s="3">
        <v>41640</v>
      </c>
      <c r="C20">
        <v>4.1426467719775202</v>
      </c>
      <c r="D20">
        <v>2.5238381925436602</v>
      </c>
    </row>
    <row r="21" spans="1:4" x14ac:dyDescent="0.25">
      <c r="A21" s="2" t="s">
        <v>25</v>
      </c>
      <c r="B21" s="3">
        <v>41671</v>
      </c>
      <c r="C21">
        <v>2.9702003826689101</v>
      </c>
      <c r="D21">
        <v>2.6532900551515102</v>
      </c>
    </row>
    <row r="22" spans="1:4" x14ac:dyDescent="0.25">
      <c r="A22" s="2" t="s">
        <v>26</v>
      </c>
      <c r="B22" s="3">
        <v>41699</v>
      </c>
      <c r="C22">
        <v>3.1994341560480599</v>
      </c>
      <c r="D22">
        <v>2.7963475170707301</v>
      </c>
    </row>
    <row r="23" spans="1:4" x14ac:dyDescent="0.25">
      <c r="A23" s="2" t="s">
        <v>27</v>
      </c>
      <c r="B23" s="3">
        <v>41730</v>
      </c>
      <c r="C23">
        <v>3.9521915457612602</v>
      </c>
      <c r="D23">
        <v>2.9589074759685099</v>
      </c>
    </row>
    <row r="24" spans="1:4" x14ac:dyDescent="0.25">
      <c r="A24" s="2" t="s">
        <v>28</v>
      </c>
      <c r="B24" s="3">
        <v>41760</v>
      </c>
      <c r="C24">
        <v>4.7131816593816396</v>
      </c>
      <c r="D24">
        <v>3.1063462501162298</v>
      </c>
    </row>
    <row r="25" spans="1:4" x14ac:dyDescent="0.25">
      <c r="A25" s="2" t="s">
        <v>29</v>
      </c>
      <c r="B25" s="3">
        <v>41791</v>
      </c>
      <c r="C25">
        <v>5.3157630222910504</v>
      </c>
      <c r="D25">
        <v>3.2637458017568499</v>
      </c>
    </row>
    <row r="26" spans="1:4" x14ac:dyDescent="0.25">
      <c r="A26" s="2" t="s">
        <v>30</v>
      </c>
      <c r="B26" s="3">
        <v>41821</v>
      </c>
      <c r="C26">
        <v>3.8429448922954399</v>
      </c>
      <c r="D26">
        <v>3.4743316376768099</v>
      </c>
    </row>
    <row r="27" spans="1:4" x14ac:dyDescent="0.25">
      <c r="A27" s="2" t="s">
        <v>31</v>
      </c>
      <c r="B27" s="3">
        <v>41852</v>
      </c>
      <c r="C27">
        <v>5.78129009259714</v>
      </c>
      <c r="D27">
        <v>3.62051456242629</v>
      </c>
    </row>
    <row r="28" spans="1:4" x14ac:dyDescent="0.25">
      <c r="A28" s="2" t="s">
        <v>32</v>
      </c>
      <c r="B28" s="3">
        <v>41883</v>
      </c>
      <c r="C28">
        <v>4.8482589418826096</v>
      </c>
      <c r="D28">
        <v>3.7904151042538698</v>
      </c>
    </row>
    <row r="29" spans="1:4" x14ac:dyDescent="0.25">
      <c r="A29" s="2" t="s">
        <v>33</v>
      </c>
      <c r="B29" s="3">
        <v>41913</v>
      </c>
      <c r="C29">
        <v>4.41017182000473</v>
      </c>
      <c r="D29">
        <v>3.8908246036507799</v>
      </c>
    </row>
    <row r="30" spans="1:4" x14ac:dyDescent="0.25">
      <c r="A30" s="2" t="s">
        <v>34</v>
      </c>
      <c r="B30" s="3">
        <v>41944</v>
      </c>
      <c r="C30">
        <v>5.4830965450218603</v>
      </c>
      <c r="D30">
        <v>3.99512294027913</v>
      </c>
    </row>
    <row r="31" spans="1:4" x14ac:dyDescent="0.25">
      <c r="A31" s="2" t="s">
        <v>35</v>
      </c>
      <c r="B31" s="3">
        <v>41974</v>
      </c>
      <c r="C31">
        <v>3.1872260507513599</v>
      </c>
      <c r="D31">
        <v>4.17120288043711</v>
      </c>
    </row>
    <row r="32" spans="1:4" x14ac:dyDescent="0.25">
      <c r="A32" s="2" t="s">
        <v>36</v>
      </c>
      <c r="B32" s="3">
        <v>42005</v>
      </c>
      <c r="C32">
        <v>4.7457701336998399</v>
      </c>
      <c r="D32">
        <v>4.3152585982517397</v>
      </c>
    </row>
    <row r="33" spans="1:4" x14ac:dyDescent="0.25">
      <c r="A33" s="2" t="s">
        <v>37</v>
      </c>
      <c r="B33" s="3">
        <v>42036</v>
      </c>
      <c r="C33">
        <v>3.6664748498256698</v>
      </c>
      <c r="D33">
        <v>4.4557600503938302</v>
      </c>
    </row>
    <row r="34" spans="1:4" x14ac:dyDescent="0.25">
      <c r="A34" s="2" t="s">
        <v>38</v>
      </c>
      <c r="B34" s="3">
        <v>42064</v>
      </c>
      <c r="C34">
        <v>5.74416981304784</v>
      </c>
      <c r="D34">
        <v>4.7535650120887496</v>
      </c>
    </row>
    <row r="35" spans="1:4" x14ac:dyDescent="0.25">
      <c r="A35" s="2" t="s">
        <v>39</v>
      </c>
      <c r="B35" s="3">
        <v>42095</v>
      </c>
      <c r="C35">
        <v>5.8468887019074502</v>
      </c>
      <c r="D35">
        <v>5.0569510103326403</v>
      </c>
    </row>
    <row r="36" spans="1:4" x14ac:dyDescent="0.25">
      <c r="A36" s="2" t="s">
        <v>40</v>
      </c>
      <c r="B36" s="3">
        <v>42125</v>
      </c>
      <c r="C36">
        <v>6.0001670848639996</v>
      </c>
      <c r="D36">
        <v>5.3135675894221697</v>
      </c>
    </row>
    <row r="37" spans="1:4" x14ac:dyDescent="0.25">
      <c r="A37" s="2" t="s">
        <v>41</v>
      </c>
      <c r="B37" s="3">
        <v>42156</v>
      </c>
      <c r="C37">
        <v>6.6376729902013301</v>
      </c>
      <c r="D37">
        <v>5.7831625761250098</v>
      </c>
    </row>
    <row r="38" spans="1:4" x14ac:dyDescent="0.25">
      <c r="A38" s="2" t="s">
        <v>42</v>
      </c>
      <c r="B38" s="3">
        <v>42186</v>
      </c>
      <c r="C38">
        <v>7.9884973620694701</v>
      </c>
      <c r="D38">
        <v>5.79673812124972</v>
      </c>
    </row>
    <row r="39" spans="1:4" x14ac:dyDescent="0.25">
      <c r="A39" s="2" t="s">
        <v>43</v>
      </c>
      <c r="B39" s="3">
        <v>42217</v>
      </c>
      <c r="C39">
        <v>7.7134447783961599</v>
      </c>
      <c r="D39">
        <v>5.6913020864608503</v>
      </c>
    </row>
    <row r="40" spans="1:4" x14ac:dyDescent="0.25">
      <c r="A40" s="2" t="s">
        <v>44</v>
      </c>
      <c r="B40" s="3">
        <v>42248</v>
      </c>
      <c r="C40">
        <v>7.3213085920938399</v>
      </c>
      <c r="D40">
        <v>5.8717466600710102</v>
      </c>
    </row>
    <row r="41" spans="1:4" x14ac:dyDescent="0.25">
      <c r="A41" s="2" t="s">
        <v>45</v>
      </c>
      <c r="B41" s="3">
        <v>42278</v>
      </c>
      <c r="C41">
        <v>7.5051690154329904</v>
      </c>
      <c r="D41">
        <v>5.9918212644368403</v>
      </c>
    </row>
    <row r="42" spans="1:4" x14ac:dyDescent="0.25">
      <c r="A42" s="2" t="s">
        <v>46</v>
      </c>
      <c r="B42" s="3">
        <v>42309</v>
      </c>
      <c r="C42">
        <v>5.8674636938424998</v>
      </c>
      <c r="D42">
        <v>6.1021664861025</v>
      </c>
    </row>
    <row r="43" spans="1:4" x14ac:dyDescent="0.25">
      <c r="A43" s="2" t="s">
        <v>47</v>
      </c>
      <c r="B43" s="3">
        <v>42339</v>
      </c>
      <c r="C43">
        <v>7.15530762300149</v>
      </c>
      <c r="D43">
        <v>6.2236127119820104</v>
      </c>
    </row>
    <row r="44" spans="1:4" x14ac:dyDescent="0.25">
      <c r="A44" s="2" t="s">
        <v>48</v>
      </c>
      <c r="B44" s="3">
        <v>42370</v>
      </c>
      <c r="C44">
        <v>5.6462056443999797</v>
      </c>
      <c r="D44">
        <v>6.0339632062012498</v>
      </c>
    </row>
    <row r="45" spans="1:4" x14ac:dyDescent="0.25">
      <c r="A45" s="2"/>
      <c r="B45" s="3"/>
    </row>
    <row r="46" spans="1:4" x14ac:dyDescent="0.25">
      <c r="A46" s="2"/>
      <c r="B46" s="3"/>
    </row>
    <row r="47" spans="1:4" x14ac:dyDescent="0.25">
      <c r="A47" s="2"/>
      <c r="B47" s="3"/>
    </row>
    <row r="48" spans="1:4" x14ac:dyDescent="0.25">
      <c r="A48" s="2"/>
      <c r="B48" s="3"/>
    </row>
    <row r="49" spans="1:2" x14ac:dyDescent="0.25">
      <c r="A49" s="2"/>
      <c r="B49" s="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49"/>
  <sheetViews>
    <sheetView workbookViewId="0">
      <selection activeCell="I38" sqref="I38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41306</v>
      </c>
      <c r="C2">
        <v>0.19673471939711801</v>
      </c>
      <c r="D2">
        <v>0.29377027325904198</v>
      </c>
    </row>
    <row r="3" spans="1:4" x14ac:dyDescent="0.25">
      <c r="A3" s="3" t="s">
        <v>7</v>
      </c>
      <c r="B3" s="3">
        <v>41334</v>
      </c>
      <c r="C3">
        <v>0.30532765035369303</v>
      </c>
      <c r="D3">
        <v>0.38637856135910198</v>
      </c>
    </row>
    <row r="4" spans="1:4" x14ac:dyDescent="0.25">
      <c r="A4" s="3" t="s">
        <v>8</v>
      </c>
      <c r="B4" s="3">
        <v>41365</v>
      </c>
      <c r="C4">
        <v>0.37154478120550199</v>
      </c>
      <c r="D4">
        <v>0.44665760322167802</v>
      </c>
    </row>
    <row r="5" spans="1:4" x14ac:dyDescent="0.25">
      <c r="A5" s="3" t="s">
        <v>9</v>
      </c>
      <c r="B5" s="3">
        <v>41395</v>
      </c>
      <c r="C5">
        <v>0.422850294004051</v>
      </c>
      <c r="D5">
        <v>0.55866785897833404</v>
      </c>
    </row>
    <row r="6" spans="1:4" x14ac:dyDescent="0.25">
      <c r="A6" s="3" t="s">
        <v>10</v>
      </c>
      <c r="B6" s="3">
        <v>41426</v>
      </c>
      <c r="C6">
        <v>0.66685957450675104</v>
      </c>
      <c r="D6">
        <v>0.65151939221907995</v>
      </c>
    </row>
    <row r="7" spans="1:4" x14ac:dyDescent="0.25">
      <c r="A7" s="3" t="s">
        <v>11</v>
      </c>
      <c r="B7" s="3">
        <v>41456</v>
      </c>
      <c r="C7">
        <v>0.98407926243923005</v>
      </c>
      <c r="D7">
        <v>0.77417982942723496</v>
      </c>
    </row>
    <row r="8" spans="1:4" x14ac:dyDescent="0.25">
      <c r="A8" s="3" t="s">
        <v>12</v>
      </c>
      <c r="B8" s="3">
        <v>41487</v>
      </c>
      <c r="C8">
        <v>1.38547660482691</v>
      </c>
      <c r="D8">
        <v>0.86432997687817503</v>
      </c>
    </row>
    <row r="9" spans="1:4" x14ac:dyDescent="0.25">
      <c r="A9" s="3" t="s">
        <v>13</v>
      </c>
      <c r="B9" s="3">
        <v>41518</v>
      </c>
      <c r="C9">
        <v>1.90903174771486</v>
      </c>
      <c r="D9">
        <v>0.99165200199234904</v>
      </c>
    </row>
    <row r="10" spans="1:4" x14ac:dyDescent="0.25">
      <c r="A10" s="3" t="s">
        <v>14</v>
      </c>
      <c r="B10" s="3">
        <v>41548</v>
      </c>
      <c r="C10">
        <v>1.8565645811998699</v>
      </c>
      <c r="D10">
        <v>1.0999913135603401</v>
      </c>
    </row>
    <row r="11" spans="1:4" x14ac:dyDescent="0.25">
      <c r="A11" s="2" t="s">
        <v>15</v>
      </c>
      <c r="B11" s="3">
        <v>41579</v>
      </c>
      <c r="C11">
        <v>1.67089343696272</v>
      </c>
      <c r="D11">
        <v>1.25527297740499</v>
      </c>
    </row>
    <row r="12" spans="1:4" x14ac:dyDescent="0.25">
      <c r="A12" s="2" t="s">
        <v>16</v>
      </c>
      <c r="B12" s="3">
        <v>41609</v>
      </c>
      <c r="C12">
        <v>1.62151391164738</v>
      </c>
      <c r="D12">
        <v>1.43820949848725</v>
      </c>
    </row>
    <row r="13" spans="1:4" x14ac:dyDescent="0.25">
      <c r="A13" s="2" t="s">
        <v>17</v>
      </c>
      <c r="B13" s="3">
        <v>41640</v>
      </c>
      <c r="C13">
        <v>3.3182989366207298</v>
      </c>
      <c r="D13">
        <v>1.6125147492334599</v>
      </c>
    </row>
    <row r="14" spans="1:4" x14ac:dyDescent="0.25">
      <c r="A14" s="2" t="s">
        <v>18</v>
      </c>
      <c r="B14" s="3">
        <v>41671</v>
      </c>
      <c r="C14">
        <v>2.5967819680427402</v>
      </c>
      <c r="D14">
        <v>1.7871630987353999</v>
      </c>
    </row>
    <row r="15" spans="1:4" x14ac:dyDescent="0.25">
      <c r="A15" s="2" t="s">
        <v>19</v>
      </c>
      <c r="B15" s="3">
        <v>41699</v>
      </c>
      <c r="C15">
        <v>2.1124859331924402</v>
      </c>
      <c r="D15">
        <v>1.9753233761962801</v>
      </c>
    </row>
    <row r="16" spans="1:4" x14ac:dyDescent="0.25">
      <c r="A16" s="2" t="s">
        <v>20</v>
      </c>
      <c r="B16" s="3">
        <v>41730</v>
      </c>
      <c r="C16">
        <v>2.56977284986458</v>
      </c>
      <c r="D16">
        <v>2.1730450675587401</v>
      </c>
    </row>
    <row r="17" spans="1:4" x14ac:dyDescent="0.25">
      <c r="A17" s="2" t="s">
        <v>21</v>
      </c>
      <c r="B17" s="3">
        <v>41760</v>
      </c>
      <c r="C17">
        <v>2.45197032307588</v>
      </c>
      <c r="D17">
        <v>2.3602456340001798</v>
      </c>
    </row>
    <row r="18" spans="1:4" x14ac:dyDescent="0.25">
      <c r="A18" s="2" t="s">
        <v>22</v>
      </c>
      <c r="B18" s="3">
        <v>41791</v>
      </c>
      <c r="C18">
        <v>2.9833791674393701</v>
      </c>
      <c r="D18">
        <v>2.5515982246185702</v>
      </c>
    </row>
    <row r="19" spans="1:4" x14ac:dyDescent="0.25">
      <c r="A19" s="2" t="s">
        <v>23</v>
      </c>
      <c r="B19" s="3">
        <v>41821</v>
      </c>
      <c r="C19">
        <v>3.0944452407278402</v>
      </c>
      <c r="D19">
        <v>2.75247117437543</v>
      </c>
    </row>
    <row r="20" spans="1:4" x14ac:dyDescent="0.25">
      <c r="A20" s="2" t="s">
        <v>24</v>
      </c>
      <c r="B20" s="3">
        <v>41852</v>
      </c>
      <c r="C20">
        <v>3.2985886951994798</v>
      </c>
      <c r="D20">
        <v>2.9422535066811801</v>
      </c>
    </row>
    <row r="21" spans="1:4" x14ac:dyDescent="0.25">
      <c r="A21" s="2" t="s">
        <v>25</v>
      </c>
      <c r="B21" s="3">
        <v>41883</v>
      </c>
      <c r="C21">
        <v>3.37362670081141</v>
      </c>
      <c r="D21">
        <v>3.1317265254283502</v>
      </c>
    </row>
    <row r="22" spans="1:4" x14ac:dyDescent="0.25">
      <c r="A22" s="2" t="s">
        <v>26</v>
      </c>
      <c r="B22" s="3">
        <v>41913</v>
      </c>
      <c r="C22">
        <v>3.5539616955943898</v>
      </c>
      <c r="D22">
        <v>3.3121327275578598</v>
      </c>
    </row>
    <row r="23" spans="1:4" x14ac:dyDescent="0.25">
      <c r="A23" s="2" t="s">
        <v>27</v>
      </c>
      <c r="B23" s="3">
        <v>41944</v>
      </c>
      <c r="C23">
        <v>4.2199943885976596</v>
      </c>
      <c r="D23">
        <v>3.4813787003033299</v>
      </c>
    </row>
    <row r="24" spans="1:4" x14ac:dyDescent="0.25">
      <c r="A24" s="2" t="s">
        <v>28</v>
      </c>
      <c r="B24" s="3">
        <v>41974</v>
      </c>
      <c r="C24">
        <v>4.1430531470959</v>
      </c>
      <c r="D24">
        <v>3.6663719398753098</v>
      </c>
    </row>
    <row r="25" spans="1:4" x14ac:dyDescent="0.25">
      <c r="A25" s="2" t="s">
        <v>29</v>
      </c>
      <c r="B25" s="3">
        <v>42005</v>
      </c>
      <c r="C25">
        <v>4.5937442337519299</v>
      </c>
      <c r="D25">
        <v>3.8342563155465799</v>
      </c>
    </row>
    <row r="26" spans="1:4" x14ac:dyDescent="0.25">
      <c r="A26" s="2" t="s">
        <v>30</v>
      </c>
      <c r="B26" s="3">
        <v>42036</v>
      </c>
      <c r="C26">
        <v>3.6615532391488501</v>
      </c>
      <c r="D26">
        <v>4.0072007037593798</v>
      </c>
    </row>
    <row r="27" spans="1:4" x14ac:dyDescent="0.25">
      <c r="A27" s="2" t="s">
        <v>31</v>
      </c>
      <c r="B27" s="3">
        <v>42064</v>
      </c>
      <c r="C27">
        <v>4.4090613889951502</v>
      </c>
      <c r="D27">
        <v>4.1996553986871099</v>
      </c>
    </row>
    <row r="28" spans="1:4" x14ac:dyDescent="0.25">
      <c r="A28" s="2" t="s">
        <v>32</v>
      </c>
      <c r="B28" s="3">
        <v>42095</v>
      </c>
      <c r="C28">
        <v>5.19776276414186</v>
      </c>
      <c r="D28">
        <v>4.3753282360368599</v>
      </c>
    </row>
    <row r="29" spans="1:4" x14ac:dyDescent="0.25">
      <c r="A29" s="2" t="s">
        <v>33</v>
      </c>
      <c r="B29" s="3">
        <v>42125</v>
      </c>
      <c r="C29">
        <v>5.4517924932980799</v>
      </c>
      <c r="D29">
        <v>4.5512457288119901</v>
      </c>
    </row>
    <row r="30" spans="1:4" x14ac:dyDescent="0.25">
      <c r="A30" s="2" t="s">
        <v>34</v>
      </c>
      <c r="B30" s="3">
        <v>42156</v>
      </c>
      <c r="C30">
        <v>5.5661119156567196</v>
      </c>
      <c r="D30">
        <v>4.7900623505634696</v>
      </c>
    </row>
    <row r="31" spans="1:4" x14ac:dyDescent="0.25">
      <c r="A31" s="2" t="s">
        <v>35</v>
      </c>
      <c r="B31" s="3">
        <v>42186</v>
      </c>
      <c r="C31">
        <v>4.1275015769071697</v>
      </c>
      <c r="D31">
        <v>4.9018886934731896</v>
      </c>
    </row>
    <row r="32" spans="1:4" x14ac:dyDescent="0.25">
      <c r="A32" s="2" t="s">
        <v>36</v>
      </c>
      <c r="B32" s="3">
        <v>42217</v>
      </c>
      <c r="C32">
        <v>5.3912506310199104</v>
      </c>
      <c r="D32">
        <v>4.9967285260607097</v>
      </c>
    </row>
    <row r="33" spans="1:4" x14ac:dyDescent="0.25">
      <c r="A33" s="2" t="s">
        <v>37</v>
      </c>
      <c r="B33" s="3">
        <v>42248</v>
      </c>
      <c r="C33">
        <v>7.2572824519269501</v>
      </c>
      <c r="D33">
        <v>5.1747263578948797</v>
      </c>
    </row>
    <row r="34" spans="1:4" x14ac:dyDescent="0.25">
      <c r="A34" s="2" t="s">
        <v>38</v>
      </c>
      <c r="B34" s="3">
        <v>42278</v>
      </c>
      <c r="C34">
        <v>6.9298293721254103</v>
      </c>
      <c r="D34">
        <v>5.3254150383238299</v>
      </c>
    </row>
    <row r="35" spans="1:4" x14ac:dyDescent="0.25">
      <c r="A35" s="2" t="s">
        <v>39</v>
      </c>
      <c r="B35" s="3">
        <v>42309</v>
      </c>
      <c r="C35">
        <v>5.5174221452594798</v>
      </c>
      <c r="D35">
        <v>5.4504442367757999</v>
      </c>
    </row>
    <row r="36" spans="1:4" x14ac:dyDescent="0.25">
      <c r="A36" s="2" t="s">
        <v>40</v>
      </c>
      <c r="B36" s="3">
        <v>42339</v>
      </c>
      <c r="C36">
        <v>5.9668064656131099</v>
      </c>
      <c r="D36">
        <v>5.5960321409624099</v>
      </c>
    </row>
    <row r="37" spans="1:4" x14ac:dyDescent="0.25">
      <c r="A37" s="2" t="s">
        <v>41</v>
      </c>
      <c r="B37" s="3">
        <v>42370</v>
      </c>
      <c r="C37">
        <v>6.9956604685657204</v>
      </c>
      <c r="D37">
        <v>5.6387499169979103</v>
      </c>
    </row>
    <row r="38" spans="1:4" x14ac:dyDescent="0.25">
      <c r="A38" s="2"/>
      <c r="B38" s="3"/>
    </row>
    <row r="39" spans="1:4" x14ac:dyDescent="0.25">
      <c r="A39" s="2"/>
      <c r="B39" s="3"/>
    </row>
    <row r="40" spans="1:4" x14ac:dyDescent="0.25">
      <c r="A40" s="2"/>
      <c r="B40" s="3"/>
    </row>
    <row r="41" spans="1:4" x14ac:dyDescent="0.25">
      <c r="A41" s="2"/>
      <c r="B41" s="3"/>
    </row>
    <row r="42" spans="1:4" x14ac:dyDescent="0.25">
      <c r="A42" s="2"/>
      <c r="B42" s="3"/>
    </row>
    <row r="43" spans="1:4" x14ac:dyDescent="0.25">
      <c r="A43" s="2"/>
      <c r="B43" s="3"/>
    </row>
    <row r="44" spans="1:4" x14ac:dyDescent="0.25">
      <c r="A44" s="2"/>
      <c r="B44" s="3"/>
    </row>
    <row r="45" spans="1:4" x14ac:dyDescent="0.25">
      <c r="A45" s="2"/>
      <c r="B45" s="3"/>
    </row>
    <row r="46" spans="1:4" x14ac:dyDescent="0.25">
      <c r="A46" s="2"/>
      <c r="B46" s="3"/>
    </row>
    <row r="47" spans="1:4" x14ac:dyDescent="0.25">
      <c r="A47" s="2"/>
      <c r="B47" s="3"/>
    </row>
    <row r="48" spans="1:4" x14ac:dyDescent="0.25">
      <c r="A48" s="2"/>
      <c r="B48" s="3"/>
    </row>
    <row r="49" spans="1:2" x14ac:dyDescent="0.25">
      <c r="A49" s="2"/>
      <c r="B49" s="3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49"/>
  <sheetViews>
    <sheetView workbookViewId="0">
      <selection activeCell="J46" sqref="J46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41091</v>
      </c>
      <c r="C2">
        <v>0.52140875882563698</v>
      </c>
      <c r="D2">
        <v>0.37092074361585498</v>
      </c>
    </row>
    <row r="3" spans="1:4" x14ac:dyDescent="0.25">
      <c r="A3" s="3" t="s">
        <v>7</v>
      </c>
      <c r="B3" s="3">
        <v>41122</v>
      </c>
      <c r="C3">
        <v>0.32732081332033103</v>
      </c>
      <c r="D3">
        <v>0.49197366661186698</v>
      </c>
    </row>
    <row r="4" spans="1:4" x14ac:dyDescent="0.25">
      <c r="A4" s="3" t="s">
        <v>8</v>
      </c>
      <c r="B4" s="3">
        <v>41153</v>
      </c>
      <c r="C4">
        <v>0.62248767411803296</v>
      </c>
      <c r="D4">
        <v>0.60727149450331397</v>
      </c>
    </row>
    <row r="5" spans="1:4" x14ac:dyDescent="0.25">
      <c r="A5" s="3" t="s">
        <v>9</v>
      </c>
      <c r="B5" s="3">
        <v>41183</v>
      </c>
      <c r="C5">
        <v>0.57002511545923795</v>
      </c>
      <c r="D5">
        <v>0.72458723353066001</v>
      </c>
    </row>
    <row r="6" spans="1:4" x14ac:dyDescent="0.25">
      <c r="A6" s="3" t="s">
        <v>10</v>
      </c>
      <c r="B6" s="3">
        <v>41214</v>
      </c>
      <c r="C6">
        <v>1.2825531233193399</v>
      </c>
      <c r="D6">
        <v>0.845604161536473</v>
      </c>
    </row>
    <row r="7" spans="1:4" x14ac:dyDescent="0.25">
      <c r="A7" s="3" t="s">
        <v>11</v>
      </c>
      <c r="B7" s="3">
        <v>41244</v>
      </c>
      <c r="C7">
        <v>1.3177031351200199</v>
      </c>
      <c r="D7">
        <v>0.971654573713432</v>
      </c>
    </row>
    <row r="8" spans="1:4" x14ac:dyDescent="0.25">
      <c r="A8" s="3" t="s">
        <v>12</v>
      </c>
      <c r="B8" s="3">
        <v>41275</v>
      </c>
      <c r="C8">
        <v>1.91331509396092</v>
      </c>
      <c r="D8">
        <v>1.08226490740824</v>
      </c>
    </row>
    <row r="9" spans="1:4" x14ac:dyDescent="0.25">
      <c r="A9" s="3" t="s">
        <v>13</v>
      </c>
      <c r="B9" s="3">
        <v>41306</v>
      </c>
      <c r="C9">
        <v>2.2697747604632701</v>
      </c>
      <c r="D9">
        <v>1.2241567789160701</v>
      </c>
    </row>
    <row r="10" spans="1:4" x14ac:dyDescent="0.25">
      <c r="A10" s="3" t="s">
        <v>14</v>
      </c>
      <c r="B10" s="3">
        <v>41334</v>
      </c>
      <c r="C10">
        <v>1.88833244830348</v>
      </c>
      <c r="D10">
        <v>1.38681342616008</v>
      </c>
    </row>
    <row r="11" spans="1:4" x14ac:dyDescent="0.25">
      <c r="A11" s="2" t="s">
        <v>15</v>
      </c>
      <c r="B11" s="3">
        <v>41365</v>
      </c>
      <c r="C11">
        <v>3.0447553220887298</v>
      </c>
      <c r="D11">
        <v>1.54361535295959</v>
      </c>
    </row>
    <row r="12" spans="1:4" x14ac:dyDescent="0.25">
      <c r="A12" s="2" t="s">
        <v>16</v>
      </c>
      <c r="B12" s="3">
        <v>41395</v>
      </c>
      <c r="C12">
        <v>2.7502579971919201</v>
      </c>
      <c r="D12">
        <v>1.71054631207851</v>
      </c>
    </row>
    <row r="13" spans="1:4" x14ac:dyDescent="0.25">
      <c r="A13" s="2" t="s">
        <v>17</v>
      </c>
      <c r="B13" s="3">
        <v>41426</v>
      </c>
      <c r="C13">
        <v>3.6917917359366199</v>
      </c>
      <c r="D13">
        <v>1.8933528088392799</v>
      </c>
    </row>
    <row r="14" spans="1:4" x14ac:dyDescent="0.25">
      <c r="A14" s="2" t="s">
        <v>18</v>
      </c>
      <c r="B14" s="3">
        <v>41456</v>
      </c>
      <c r="C14">
        <v>3.8919395728517201</v>
      </c>
      <c r="D14">
        <v>2.0509910124377599</v>
      </c>
    </row>
    <row r="15" spans="1:4" x14ac:dyDescent="0.25">
      <c r="A15" s="2" t="s">
        <v>19</v>
      </c>
      <c r="B15" s="3">
        <v>41487</v>
      </c>
      <c r="C15">
        <v>5.2013182326036898</v>
      </c>
      <c r="D15">
        <v>2.1764311606997699</v>
      </c>
    </row>
    <row r="16" spans="1:4" x14ac:dyDescent="0.25">
      <c r="A16" s="2" t="s">
        <v>20</v>
      </c>
      <c r="B16" s="3">
        <v>41518</v>
      </c>
      <c r="C16">
        <v>5.1402037781962404</v>
      </c>
      <c r="D16">
        <v>2.31687073726874</v>
      </c>
    </row>
    <row r="17" spans="1:4" x14ac:dyDescent="0.25">
      <c r="A17" s="2" t="s">
        <v>21</v>
      </c>
      <c r="B17" s="3">
        <v>41548</v>
      </c>
      <c r="C17">
        <v>4.7304749137959501</v>
      </c>
      <c r="D17">
        <v>2.4635634238816202</v>
      </c>
    </row>
    <row r="18" spans="1:4" x14ac:dyDescent="0.25">
      <c r="A18" s="2" t="s">
        <v>22</v>
      </c>
      <c r="B18" s="3">
        <v>41579</v>
      </c>
      <c r="C18">
        <v>4.0689852700485298</v>
      </c>
      <c r="D18">
        <v>2.6163567908686201</v>
      </c>
    </row>
    <row r="19" spans="1:4" x14ac:dyDescent="0.25">
      <c r="A19" s="2" t="s">
        <v>23</v>
      </c>
      <c r="B19" s="3">
        <v>41609</v>
      </c>
      <c r="C19">
        <v>3.7740213263006002</v>
      </c>
      <c r="D19">
        <v>2.79389018449764</v>
      </c>
    </row>
    <row r="20" spans="1:4" x14ac:dyDescent="0.25">
      <c r="A20" s="2" t="s">
        <v>24</v>
      </c>
      <c r="B20" s="3">
        <v>41640</v>
      </c>
      <c r="C20">
        <v>4.5552165894022396</v>
      </c>
      <c r="D20">
        <v>2.9390234167226499</v>
      </c>
    </row>
    <row r="21" spans="1:4" x14ac:dyDescent="0.25">
      <c r="A21" s="2" t="s">
        <v>25</v>
      </c>
      <c r="B21" s="3">
        <v>41671</v>
      </c>
      <c r="C21">
        <v>3.98216475867242</v>
      </c>
      <c r="D21">
        <v>3.0584045351809301</v>
      </c>
    </row>
    <row r="22" spans="1:4" x14ac:dyDescent="0.25">
      <c r="A22" s="2" t="s">
        <v>26</v>
      </c>
      <c r="B22" s="3">
        <v>41699</v>
      </c>
      <c r="C22">
        <v>4.5520670900144404</v>
      </c>
      <c r="D22">
        <v>3.1970458247462501</v>
      </c>
    </row>
    <row r="23" spans="1:4" x14ac:dyDescent="0.25">
      <c r="A23" s="2" t="s">
        <v>27</v>
      </c>
      <c r="B23" s="3">
        <v>41730</v>
      </c>
      <c r="C23">
        <v>4.0422637441030096</v>
      </c>
      <c r="D23">
        <v>3.3682308853640301</v>
      </c>
    </row>
    <row r="24" spans="1:4" x14ac:dyDescent="0.25">
      <c r="A24" s="2" t="s">
        <v>28</v>
      </c>
      <c r="B24" s="3">
        <v>41760</v>
      </c>
      <c r="C24">
        <v>4.3713222818506603</v>
      </c>
      <c r="D24">
        <v>3.5187671818238599</v>
      </c>
    </row>
    <row r="25" spans="1:4" x14ac:dyDescent="0.25">
      <c r="A25" s="2" t="s">
        <v>29</v>
      </c>
      <c r="B25" s="3">
        <v>41791</v>
      </c>
      <c r="C25">
        <v>4.8752480382477197</v>
      </c>
      <c r="D25">
        <v>3.6866256880365502</v>
      </c>
    </row>
    <row r="26" spans="1:4" x14ac:dyDescent="0.25">
      <c r="A26" s="2" t="s">
        <v>30</v>
      </c>
      <c r="B26" s="3">
        <v>41821</v>
      </c>
      <c r="C26">
        <v>5.1820046536243902</v>
      </c>
      <c r="D26">
        <v>3.8993677346251898</v>
      </c>
    </row>
    <row r="27" spans="1:4" x14ac:dyDescent="0.25">
      <c r="A27" s="2" t="s">
        <v>31</v>
      </c>
      <c r="B27" s="3">
        <v>41852</v>
      </c>
      <c r="C27">
        <v>5.2759386062433604</v>
      </c>
      <c r="D27">
        <v>4.0473530061704501</v>
      </c>
    </row>
    <row r="28" spans="1:4" x14ac:dyDescent="0.25">
      <c r="A28" s="2" t="s">
        <v>32</v>
      </c>
      <c r="B28" s="3">
        <v>41883</v>
      </c>
      <c r="C28">
        <v>6.0685492589974004</v>
      </c>
      <c r="D28">
        <v>4.2187579476569299</v>
      </c>
    </row>
    <row r="29" spans="1:4" x14ac:dyDescent="0.25">
      <c r="A29" s="2" t="s">
        <v>33</v>
      </c>
      <c r="B29" s="3">
        <v>41913</v>
      </c>
      <c r="C29">
        <v>5.8945269041152297</v>
      </c>
      <c r="D29">
        <v>4.3161212449460304</v>
      </c>
    </row>
    <row r="30" spans="1:4" x14ac:dyDescent="0.25">
      <c r="A30" s="2" t="s">
        <v>34</v>
      </c>
      <c r="B30" s="3">
        <v>41944</v>
      </c>
      <c r="C30">
        <v>6.4177262625407296</v>
      </c>
      <c r="D30">
        <v>4.4226811852927304</v>
      </c>
    </row>
    <row r="31" spans="1:4" x14ac:dyDescent="0.25">
      <c r="A31" s="2" t="s">
        <v>35</v>
      </c>
      <c r="B31" s="3">
        <v>41974</v>
      </c>
      <c r="C31">
        <v>4.7682631528552504</v>
      </c>
      <c r="D31">
        <v>4.5909641899223299</v>
      </c>
    </row>
    <row r="32" spans="1:4" x14ac:dyDescent="0.25">
      <c r="A32" s="2" t="s">
        <v>36</v>
      </c>
      <c r="B32" s="3">
        <v>42005</v>
      </c>
      <c r="C32">
        <v>5.6378410819006399</v>
      </c>
      <c r="D32">
        <v>4.7442277560876498</v>
      </c>
    </row>
    <row r="33" spans="1:4" x14ac:dyDescent="0.25">
      <c r="A33" s="2" t="s">
        <v>37</v>
      </c>
      <c r="B33" s="3">
        <v>42036</v>
      </c>
      <c r="C33">
        <v>5.3828303621526397</v>
      </c>
      <c r="D33">
        <v>4.8776858388394402</v>
      </c>
    </row>
    <row r="34" spans="1:4" x14ac:dyDescent="0.25">
      <c r="A34" s="2" t="s">
        <v>38</v>
      </c>
      <c r="B34" s="3">
        <v>42064</v>
      </c>
      <c r="C34">
        <v>6.4431073225083297</v>
      </c>
      <c r="D34">
        <v>5.1447012758612702</v>
      </c>
    </row>
    <row r="35" spans="1:4" x14ac:dyDescent="0.25">
      <c r="A35" s="2" t="s">
        <v>39</v>
      </c>
      <c r="B35" s="3">
        <v>42095</v>
      </c>
      <c r="C35">
        <v>7.1455135504972498</v>
      </c>
      <c r="D35">
        <v>5.4714704201946498</v>
      </c>
    </row>
    <row r="36" spans="1:4" x14ac:dyDescent="0.25">
      <c r="A36" s="2" t="s">
        <v>40</v>
      </c>
      <c r="B36" s="3">
        <v>42125</v>
      </c>
      <c r="C36">
        <v>7.9491353672197098</v>
      </c>
      <c r="D36">
        <v>5.7819669621593102</v>
      </c>
    </row>
    <row r="37" spans="1:4" x14ac:dyDescent="0.25">
      <c r="A37" s="2" t="s">
        <v>41</v>
      </c>
      <c r="B37" s="3">
        <v>42156</v>
      </c>
      <c r="C37">
        <v>8.5602136022188304</v>
      </c>
      <c r="D37">
        <v>6.2577435957190097</v>
      </c>
    </row>
    <row r="38" spans="1:4" x14ac:dyDescent="0.25">
      <c r="A38" s="2" t="s">
        <v>42</v>
      </c>
      <c r="B38" s="3">
        <v>42186</v>
      </c>
      <c r="C38">
        <v>9.2651800493013496</v>
      </c>
      <c r="D38">
        <v>6.3527412239352401</v>
      </c>
    </row>
    <row r="39" spans="1:4" x14ac:dyDescent="0.25">
      <c r="A39" s="2" t="s">
        <v>43</v>
      </c>
      <c r="B39" s="3">
        <v>42217</v>
      </c>
      <c r="C39">
        <v>8.5295553537065594</v>
      </c>
      <c r="D39">
        <v>6.2855574133368801</v>
      </c>
    </row>
    <row r="40" spans="1:4" x14ac:dyDescent="0.25">
      <c r="A40" s="2" t="s">
        <v>44</v>
      </c>
      <c r="B40" s="3">
        <v>42248</v>
      </c>
      <c r="C40">
        <v>8.3278848061241195</v>
      </c>
      <c r="D40">
        <v>6.7227866146130699</v>
      </c>
    </row>
    <row r="41" spans="1:4" x14ac:dyDescent="0.25">
      <c r="A41" s="2" t="s">
        <v>45</v>
      </c>
      <c r="B41" s="3">
        <v>42278</v>
      </c>
      <c r="C41">
        <v>9.0632101020385001</v>
      </c>
      <c r="D41">
        <v>6.8073844740840297</v>
      </c>
    </row>
    <row r="42" spans="1:4" x14ac:dyDescent="0.25">
      <c r="A42" s="2" t="s">
        <v>46</v>
      </c>
      <c r="B42" s="3">
        <v>42309</v>
      </c>
      <c r="C42">
        <v>9.1865966127629299</v>
      </c>
      <c r="D42">
        <v>6.8523603641843103</v>
      </c>
    </row>
    <row r="43" spans="1:4" x14ac:dyDescent="0.25">
      <c r="A43" s="2" t="s">
        <v>47</v>
      </c>
      <c r="B43" s="3">
        <v>42339</v>
      </c>
      <c r="C43">
        <v>7.8578093553170802</v>
      </c>
      <c r="D43">
        <v>6.9141298529959103</v>
      </c>
    </row>
    <row r="44" spans="1:4" x14ac:dyDescent="0.25">
      <c r="A44" s="2" t="s">
        <v>48</v>
      </c>
      <c r="B44" s="3">
        <v>42370</v>
      </c>
      <c r="C44">
        <v>9.1605828167148804</v>
      </c>
      <c r="D44">
        <v>6.7307550964190401</v>
      </c>
    </row>
    <row r="45" spans="1:4" x14ac:dyDescent="0.25">
      <c r="A45" s="2"/>
      <c r="B45" s="3"/>
    </row>
    <row r="46" spans="1:4" x14ac:dyDescent="0.25">
      <c r="A46" s="2"/>
      <c r="B46" s="3"/>
    </row>
    <row r="47" spans="1:4" x14ac:dyDescent="0.25">
      <c r="A47" s="2"/>
      <c r="B47" s="3"/>
    </row>
    <row r="48" spans="1:4" x14ac:dyDescent="0.25">
      <c r="A48" s="2"/>
      <c r="B48" s="3"/>
    </row>
    <row r="49" spans="1:2" x14ac:dyDescent="0.25">
      <c r="A49" s="2"/>
      <c r="B49" s="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</sheetPr>
  <dimension ref="A1:D49"/>
  <sheetViews>
    <sheetView workbookViewId="0">
      <selection activeCell="O48" sqref="O48"/>
    </sheetView>
  </sheetViews>
  <sheetFormatPr defaultRowHeight="15" x14ac:dyDescent="0.25"/>
  <cols>
    <col min="2" max="2" width="9.7109375" bestFit="1" customWidth="1"/>
  </cols>
  <sheetData>
    <row r="1" spans="1:4" x14ac:dyDescent="0.25">
      <c r="A1" s="2"/>
      <c r="B1" t="s">
        <v>3</v>
      </c>
      <c r="C1" t="s">
        <v>4</v>
      </c>
      <c r="D1" t="s">
        <v>5</v>
      </c>
    </row>
    <row r="2" spans="1:4" x14ac:dyDescent="0.25">
      <c r="A2" s="3" t="s">
        <v>6</v>
      </c>
      <c r="B2" s="3">
        <v>41091</v>
      </c>
      <c r="C2">
        <v>0.167237802879106</v>
      </c>
      <c r="D2">
        <v>0.45212314687356198</v>
      </c>
    </row>
    <row r="3" spans="1:4" x14ac:dyDescent="0.25">
      <c r="A3" s="3" t="s">
        <v>7</v>
      </c>
      <c r="B3" s="3">
        <v>41122</v>
      </c>
      <c r="C3">
        <v>0.33187124146827301</v>
      </c>
      <c r="D3">
        <v>0.56520219029988505</v>
      </c>
    </row>
    <row r="4" spans="1:4" x14ac:dyDescent="0.25">
      <c r="A4" s="3" t="s">
        <v>8</v>
      </c>
      <c r="B4" s="3">
        <v>41153</v>
      </c>
      <c r="C4">
        <v>0.47178078149383601</v>
      </c>
      <c r="D4">
        <v>0.69055285623449403</v>
      </c>
    </row>
    <row r="5" spans="1:4" x14ac:dyDescent="0.25">
      <c r="A5" s="3" t="s">
        <v>9</v>
      </c>
      <c r="B5" s="3">
        <v>41183</v>
      </c>
      <c r="C5">
        <v>0.84079717741557503</v>
      </c>
      <c r="D5">
        <v>0.82057592374669097</v>
      </c>
    </row>
    <row r="6" spans="1:4" x14ac:dyDescent="0.25">
      <c r="A6" s="3" t="s">
        <v>10</v>
      </c>
      <c r="B6" s="3">
        <v>41214</v>
      </c>
      <c r="C6">
        <v>2.3169928722324999</v>
      </c>
      <c r="D6">
        <v>0.97186711297676498</v>
      </c>
    </row>
    <row r="7" spans="1:4" x14ac:dyDescent="0.25">
      <c r="A7" s="3" t="s">
        <v>11</v>
      </c>
      <c r="B7" s="3">
        <v>41244</v>
      </c>
      <c r="C7">
        <v>3.0382727782905601</v>
      </c>
      <c r="D7">
        <v>1.1283523711293499</v>
      </c>
    </row>
    <row r="8" spans="1:4" x14ac:dyDescent="0.25">
      <c r="A8" s="3" t="s">
        <v>12</v>
      </c>
      <c r="B8" s="3">
        <v>41275</v>
      </c>
      <c r="C8">
        <v>2.3588806924293801</v>
      </c>
      <c r="D8">
        <v>1.2871676919946999</v>
      </c>
    </row>
    <row r="9" spans="1:4" x14ac:dyDescent="0.25">
      <c r="A9" s="3" t="s">
        <v>13</v>
      </c>
      <c r="B9" s="3">
        <v>41306</v>
      </c>
      <c r="C9">
        <v>2.1848400358492999</v>
      </c>
      <c r="D9">
        <v>1.4378472899379999</v>
      </c>
    </row>
    <row r="10" spans="1:4" x14ac:dyDescent="0.25">
      <c r="A10" s="3" t="s">
        <v>14</v>
      </c>
      <c r="B10" s="3">
        <v>41334</v>
      </c>
      <c r="C10">
        <v>3.2176805070134198</v>
      </c>
      <c r="D10">
        <v>1.5889800383364301</v>
      </c>
    </row>
    <row r="11" spans="1:4" x14ac:dyDescent="0.25">
      <c r="A11" s="2" t="s">
        <v>15</v>
      </c>
      <c r="B11" s="3">
        <v>41365</v>
      </c>
      <c r="C11">
        <v>3.59894544775804</v>
      </c>
      <c r="D11">
        <v>1.73785536677226</v>
      </c>
    </row>
    <row r="12" spans="1:4" x14ac:dyDescent="0.25">
      <c r="A12" s="2" t="s">
        <v>16</v>
      </c>
      <c r="B12" s="3">
        <v>41395</v>
      </c>
      <c r="C12">
        <v>4.0839118446447902</v>
      </c>
      <c r="D12">
        <v>1.8976492770297899</v>
      </c>
    </row>
    <row r="13" spans="1:4" x14ac:dyDescent="0.25">
      <c r="A13" s="2" t="s">
        <v>17</v>
      </c>
      <c r="B13" s="3">
        <v>41426</v>
      </c>
      <c r="C13">
        <v>4.5002020750706997</v>
      </c>
      <c r="D13">
        <v>2.0977223264160498</v>
      </c>
    </row>
    <row r="14" spans="1:4" x14ac:dyDescent="0.25">
      <c r="A14" s="2" t="s">
        <v>18</v>
      </c>
      <c r="B14" s="3">
        <v>41456</v>
      </c>
      <c r="C14">
        <v>6.1793678067709301</v>
      </c>
      <c r="D14">
        <v>2.2707364650230399</v>
      </c>
    </row>
    <row r="15" spans="1:4" x14ac:dyDescent="0.25">
      <c r="A15" s="2" t="s">
        <v>19</v>
      </c>
      <c r="B15" s="3">
        <v>41487</v>
      </c>
      <c r="C15">
        <v>4.0833298689691002</v>
      </c>
      <c r="D15">
        <v>2.4107124372336899</v>
      </c>
    </row>
    <row r="16" spans="1:4" x14ac:dyDescent="0.25">
      <c r="A16" s="2" t="s">
        <v>20</v>
      </c>
      <c r="B16" s="3">
        <v>41518</v>
      </c>
      <c r="C16">
        <v>5.8271556779637104</v>
      </c>
      <c r="D16">
        <v>2.5470618822428701</v>
      </c>
    </row>
    <row r="17" spans="1:4" x14ac:dyDescent="0.25">
      <c r="A17" s="2" t="s">
        <v>21</v>
      </c>
      <c r="B17" s="3">
        <v>41548</v>
      </c>
      <c r="C17">
        <v>5.41958188569438</v>
      </c>
      <c r="D17">
        <v>2.67063232514991</v>
      </c>
    </row>
    <row r="18" spans="1:4" x14ac:dyDescent="0.25">
      <c r="A18" s="2" t="s">
        <v>22</v>
      </c>
      <c r="B18" s="3">
        <v>41579</v>
      </c>
      <c r="C18">
        <v>4.7096233359281499</v>
      </c>
      <c r="D18">
        <v>2.8231095029384501</v>
      </c>
    </row>
    <row r="19" spans="1:4" x14ac:dyDescent="0.25">
      <c r="A19" s="2" t="s">
        <v>23</v>
      </c>
      <c r="B19" s="3">
        <v>41609</v>
      </c>
      <c r="C19">
        <v>4.6707581499990498</v>
      </c>
      <c r="D19">
        <v>3.0045234886159502</v>
      </c>
    </row>
    <row r="20" spans="1:4" x14ac:dyDescent="0.25">
      <c r="A20" s="2" t="s">
        <v>24</v>
      </c>
      <c r="B20" s="3">
        <v>41640</v>
      </c>
      <c r="C20">
        <v>6.4209642261331998</v>
      </c>
      <c r="D20">
        <v>3.1343348012085599</v>
      </c>
    </row>
    <row r="21" spans="1:4" x14ac:dyDescent="0.25">
      <c r="A21" s="2" t="s">
        <v>25</v>
      </c>
      <c r="B21" s="3">
        <v>41671</v>
      </c>
      <c r="C21">
        <v>4.9953649579628596</v>
      </c>
      <c r="D21">
        <v>3.2215142001961201</v>
      </c>
    </row>
    <row r="22" spans="1:4" x14ac:dyDescent="0.25">
      <c r="A22" s="2" t="s">
        <v>26</v>
      </c>
      <c r="B22" s="3">
        <v>41699</v>
      </c>
      <c r="C22">
        <v>5.07385450049519</v>
      </c>
      <c r="D22">
        <v>3.3560435798783201</v>
      </c>
    </row>
    <row r="23" spans="1:4" x14ac:dyDescent="0.25">
      <c r="A23" s="2" t="s">
        <v>27</v>
      </c>
      <c r="B23" s="3">
        <v>41730</v>
      </c>
      <c r="C23">
        <v>5.5739400563725399</v>
      </c>
      <c r="D23">
        <v>3.5739345574288301</v>
      </c>
    </row>
    <row r="24" spans="1:4" x14ac:dyDescent="0.25">
      <c r="A24" s="2" t="s">
        <v>28</v>
      </c>
      <c r="B24" s="3">
        <v>41760</v>
      </c>
      <c r="C24">
        <v>8.1671428960815504</v>
      </c>
      <c r="D24">
        <v>3.7344488263633502</v>
      </c>
    </row>
    <row r="25" spans="1:4" x14ac:dyDescent="0.25">
      <c r="A25" s="2" t="s">
        <v>29</v>
      </c>
      <c r="B25" s="3">
        <v>41791</v>
      </c>
      <c r="C25">
        <v>5.32191078199945</v>
      </c>
      <c r="D25">
        <v>3.9235845364263402</v>
      </c>
    </row>
    <row r="26" spans="1:4" x14ac:dyDescent="0.25">
      <c r="A26" s="2" t="s">
        <v>30</v>
      </c>
      <c r="B26" s="3">
        <v>41821</v>
      </c>
      <c r="C26">
        <v>7.6307690317221404</v>
      </c>
      <c r="D26">
        <v>4.1638021482041196</v>
      </c>
    </row>
    <row r="27" spans="1:4" x14ac:dyDescent="0.25">
      <c r="A27" s="2" t="s">
        <v>31</v>
      </c>
      <c r="B27" s="3">
        <v>41852</v>
      </c>
      <c r="C27">
        <v>6.1882397810668301</v>
      </c>
      <c r="D27">
        <v>4.2905630481223502</v>
      </c>
    </row>
    <row r="28" spans="1:4" x14ac:dyDescent="0.25">
      <c r="A28" s="2" t="s">
        <v>32</v>
      </c>
      <c r="B28" s="3">
        <v>41883</v>
      </c>
      <c r="C28">
        <v>7.5539739220229798</v>
      </c>
      <c r="D28">
        <v>4.4548738208899401</v>
      </c>
    </row>
    <row r="29" spans="1:4" x14ac:dyDescent="0.25">
      <c r="A29" s="2" t="s">
        <v>33</v>
      </c>
      <c r="B29" s="3">
        <v>41913</v>
      </c>
      <c r="C29">
        <v>6.6189469977171198</v>
      </c>
      <c r="D29">
        <v>4.51165593845215</v>
      </c>
    </row>
    <row r="30" spans="1:4" x14ac:dyDescent="0.25">
      <c r="A30" s="2" t="s">
        <v>34</v>
      </c>
      <c r="B30" s="3">
        <v>41944</v>
      </c>
      <c r="C30">
        <v>7.6587449854527696</v>
      </c>
      <c r="D30">
        <v>4.60127238278801</v>
      </c>
    </row>
    <row r="31" spans="1:4" x14ac:dyDescent="0.25">
      <c r="A31" s="2" t="s">
        <v>35</v>
      </c>
      <c r="B31" s="3">
        <v>41974</v>
      </c>
      <c r="C31">
        <v>5.6377018582593399</v>
      </c>
      <c r="D31">
        <v>4.7484214838679302</v>
      </c>
    </row>
    <row r="32" spans="1:4" x14ac:dyDescent="0.25">
      <c r="A32" s="2" t="s">
        <v>36</v>
      </c>
      <c r="B32" s="3">
        <v>42005</v>
      </c>
      <c r="C32">
        <v>7.76487564680777</v>
      </c>
      <c r="D32">
        <v>4.8930370742229101</v>
      </c>
    </row>
    <row r="33" spans="1:4" x14ac:dyDescent="0.25">
      <c r="A33" s="2" t="s">
        <v>37</v>
      </c>
      <c r="B33" s="3">
        <v>42036</v>
      </c>
      <c r="C33">
        <v>5.6896768552284902</v>
      </c>
      <c r="D33">
        <v>4.9501835105355303</v>
      </c>
    </row>
    <row r="34" spans="1:4" x14ac:dyDescent="0.25">
      <c r="A34" s="2" t="s">
        <v>38</v>
      </c>
      <c r="B34" s="3">
        <v>42064</v>
      </c>
      <c r="C34">
        <v>6.7277785441123896</v>
      </c>
      <c r="D34">
        <v>5.1838907536302301</v>
      </c>
    </row>
    <row r="35" spans="1:4" x14ac:dyDescent="0.25">
      <c r="A35" s="2" t="s">
        <v>39</v>
      </c>
      <c r="B35" s="3">
        <v>42095</v>
      </c>
      <c r="C35">
        <v>9.1339125325822703</v>
      </c>
      <c r="D35">
        <v>5.54052464314793</v>
      </c>
    </row>
    <row r="36" spans="1:4" x14ac:dyDescent="0.25">
      <c r="A36" s="2" t="s">
        <v>40</v>
      </c>
      <c r="B36" s="3">
        <v>42125</v>
      </c>
      <c r="C36">
        <v>9.1239334050506997</v>
      </c>
      <c r="D36">
        <v>6.3555217629299898</v>
      </c>
    </row>
    <row r="37" spans="1:4" x14ac:dyDescent="0.25">
      <c r="A37" s="2" t="s">
        <v>41</v>
      </c>
      <c r="B37" s="3">
        <v>42156</v>
      </c>
      <c r="C37">
        <v>11.0709453588993</v>
      </c>
      <c r="D37">
        <v>7.5904520759444196</v>
      </c>
    </row>
    <row r="38" spans="1:4" x14ac:dyDescent="0.25">
      <c r="A38" s="2" t="s">
        <v>42</v>
      </c>
      <c r="B38" s="3">
        <v>42186</v>
      </c>
      <c r="C38">
        <v>12.0379788651694</v>
      </c>
      <c r="D38">
        <v>7.7244352543180996</v>
      </c>
    </row>
    <row r="39" spans="1:4" x14ac:dyDescent="0.25">
      <c r="A39" s="2" t="s">
        <v>43</v>
      </c>
      <c r="B39" s="3">
        <v>42217</v>
      </c>
      <c r="C39">
        <v>11.699816302125299</v>
      </c>
      <c r="D39">
        <v>8.6460244092237701</v>
      </c>
    </row>
    <row r="40" spans="1:4" x14ac:dyDescent="0.25">
      <c r="A40" s="2" t="s">
        <v>44</v>
      </c>
      <c r="B40" s="3">
        <v>42248</v>
      </c>
      <c r="C40">
        <v>10.4893396652802</v>
      </c>
      <c r="D40">
        <v>8.8342159518476109</v>
      </c>
    </row>
    <row r="41" spans="1:4" x14ac:dyDescent="0.25">
      <c r="A41" s="2" t="s">
        <v>45</v>
      </c>
      <c r="B41" s="3">
        <v>42278</v>
      </c>
      <c r="C41">
        <v>10.7425522888519</v>
      </c>
      <c r="D41">
        <v>8.8823266941937202</v>
      </c>
    </row>
    <row r="42" spans="1:4" x14ac:dyDescent="0.25">
      <c r="A42" s="2" t="s">
        <v>46</v>
      </c>
      <c r="B42" s="3">
        <v>42309</v>
      </c>
      <c r="C42">
        <v>13.3457809731957</v>
      </c>
      <c r="D42">
        <v>8.9759996520903105</v>
      </c>
    </row>
    <row r="43" spans="1:4" x14ac:dyDescent="0.25">
      <c r="A43" s="2" t="s">
        <v>47</v>
      </c>
      <c r="B43" s="3">
        <v>42339</v>
      </c>
      <c r="C43">
        <v>7.6738486359561904</v>
      </c>
      <c r="D43">
        <v>9.1754263608351501</v>
      </c>
    </row>
    <row r="44" spans="1:4" x14ac:dyDescent="0.25">
      <c r="A44" s="2" t="s">
        <v>48</v>
      </c>
      <c r="B44" s="3">
        <v>42370</v>
      </c>
      <c r="C44">
        <v>10.2788340889888</v>
      </c>
      <c r="D44">
        <v>8.8888912429113098</v>
      </c>
    </row>
    <row r="45" spans="1:4" x14ac:dyDescent="0.25">
      <c r="A45" s="2"/>
      <c r="B45" s="3"/>
    </row>
    <row r="46" spans="1:4" x14ac:dyDescent="0.25">
      <c r="A46" s="2"/>
      <c r="B46" s="3"/>
    </row>
    <row r="47" spans="1:4" x14ac:dyDescent="0.25">
      <c r="A47" s="2"/>
      <c r="B47" s="3"/>
    </row>
    <row r="48" spans="1:4" x14ac:dyDescent="0.25">
      <c r="A48" s="2"/>
      <c r="B48" s="3"/>
    </row>
    <row r="49" spans="1:2" x14ac:dyDescent="0.25">
      <c r="A49" s="2"/>
      <c r="B49" s="3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9"/>
  <sheetViews>
    <sheetView workbookViewId="0">
      <selection activeCell="A2" sqref="A2:W46"/>
    </sheetView>
  </sheetViews>
  <sheetFormatPr defaultRowHeight="15" x14ac:dyDescent="0.25"/>
  <sheetData>
    <row r="2" spans="1:7" x14ac:dyDescent="0.25">
      <c r="A2" t="s">
        <v>2</v>
      </c>
    </row>
    <row r="3" spans="1:7" x14ac:dyDescent="0.25">
      <c r="A3" t="s">
        <v>0</v>
      </c>
      <c r="B3">
        <v>2015</v>
      </c>
      <c r="C3">
        <v>2014</v>
      </c>
      <c r="D3">
        <v>2013</v>
      </c>
      <c r="E3">
        <v>2012</v>
      </c>
      <c r="F3">
        <v>2011</v>
      </c>
      <c r="G3">
        <v>2010</v>
      </c>
    </row>
    <row r="4" spans="1:7" x14ac:dyDescent="0.25">
      <c r="A4" s="1">
        <v>3</v>
      </c>
      <c r="B4" s="1"/>
      <c r="C4" s="1"/>
      <c r="D4" s="1">
        <v>0.49</v>
      </c>
      <c r="E4" s="1">
        <v>0.32</v>
      </c>
      <c r="F4" s="1"/>
      <c r="G4" s="1"/>
    </row>
    <row r="5" spans="1:7" x14ac:dyDescent="0.25">
      <c r="A5" s="1">
        <v>3.5</v>
      </c>
      <c r="B5" s="1">
        <v>0.06</v>
      </c>
      <c r="C5" s="1"/>
      <c r="D5" s="1">
        <v>3.78</v>
      </c>
      <c r="E5" s="1">
        <v>3.63</v>
      </c>
      <c r="F5" s="1"/>
      <c r="G5" s="1"/>
    </row>
    <row r="6" spans="1:7" x14ac:dyDescent="0.25">
      <c r="A6" s="1">
        <v>4</v>
      </c>
      <c r="B6" s="1">
        <v>0.23</v>
      </c>
      <c r="C6" s="1">
        <v>0.26</v>
      </c>
      <c r="D6" s="1">
        <v>3.1</v>
      </c>
      <c r="E6" s="1">
        <v>7.96</v>
      </c>
      <c r="F6" s="1"/>
      <c r="G6" s="1"/>
    </row>
    <row r="7" spans="1:7" x14ac:dyDescent="0.25">
      <c r="A7" s="1">
        <v>4.5</v>
      </c>
      <c r="B7" s="1">
        <v>0.09</v>
      </c>
      <c r="C7" s="1">
        <v>0.68</v>
      </c>
      <c r="D7" s="1">
        <v>0.82</v>
      </c>
      <c r="E7" s="1">
        <v>1.87</v>
      </c>
      <c r="F7" s="1"/>
      <c r="G7" s="1"/>
    </row>
    <row r="8" spans="1:7" x14ac:dyDescent="0.25">
      <c r="A8" s="1">
        <v>5</v>
      </c>
      <c r="B8" s="1"/>
      <c r="C8" s="1"/>
      <c r="D8" s="1"/>
      <c r="E8" s="1"/>
      <c r="F8" s="1"/>
      <c r="G8" s="1"/>
    </row>
    <row r="9" spans="1:7" x14ac:dyDescent="0.25">
      <c r="A9" s="1">
        <v>5.5</v>
      </c>
      <c r="B9" s="1"/>
      <c r="C9" s="1"/>
      <c r="D9" s="1"/>
      <c r="E9" s="1"/>
      <c r="F9" s="1"/>
      <c r="G9" s="1"/>
    </row>
  </sheetData>
  <conditionalFormatting sqref="B4:G8">
    <cfRule type="cellIs" dxfId="1" priority="1" operator="lessThan">
      <formula>1</formula>
    </cfRule>
  </conditionalFormatting>
  <pageMargins left="0.7" right="0.7" top="0.75" bottom="0.75" header="0.3" footer="0.3"/>
  <pageSetup scale="58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F37"/>
  <sheetViews>
    <sheetView workbookViewId="0">
      <selection activeCell="C1" sqref="C1:F1"/>
    </sheetView>
  </sheetViews>
  <sheetFormatPr defaultRowHeight="15" x14ac:dyDescent="0.25"/>
  <cols>
    <col min="2" max="2" width="9.7109375" bestFit="1" customWidth="1"/>
  </cols>
  <sheetData>
    <row r="1" spans="1:6" x14ac:dyDescent="0.25">
      <c r="A1" s="2"/>
      <c r="B1" t="s">
        <v>3</v>
      </c>
      <c r="C1" t="s">
        <v>68</v>
      </c>
      <c r="D1" t="s">
        <v>69</v>
      </c>
      <c r="E1" t="s">
        <v>66</v>
      </c>
      <c r="F1" t="s">
        <v>67</v>
      </c>
    </row>
    <row r="2" spans="1:6" x14ac:dyDescent="0.25">
      <c r="A2" s="3" t="s">
        <v>6</v>
      </c>
      <c r="B2" s="3">
        <v>41306</v>
      </c>
      <c r="C2">
        <v>3.82099252364887</v>
      </c>
      <c r="D2">
        <v>6.4327005758847804</v>
      </c>
      <c r="E2">
        <f>VLOOKUP(B2,'CQ 3.5 13'!B:D,2,0)</f>
        <v>1.63591257460955</v>
      </c>
      <c r="F2">
        <f>VLOOKUP(B2,'CQ 3.5 13'!B:D,3,0)</f>
        <v>0.61725090720328202</v>
      </c>
    </row>
    <row r="3" spans="1:6" x14ac:dyDescent="0.25">
      <c r="A3" s="3" t="s">
        <v>7</v>
      </c>
      <c r="B3" s="3">
        <v>41334</v>
      </c>
      <c r="C3">
        <v>0.18033599702062</v>
      </c>
      <c r="D3">
        <v>4.1730555050392102</v>
      </c>
      <c r="E3">
        <f>VLOOKUP(B3,'CQ 3.5 13'!B:D,2,0)</f>
        <v>0.95590703616670303</v>
      </c>
      <c r="F3">
        <f>VLOOKUP(B3,'CQ 3.5 13'!B:D,3,0)</f>
        <v>0.63208547579000096</v>
      </c>
    </row>
    <row r="4" spans="1:6" x14ac:dyDescent="0.25">
      <c r="A4" s="3" t="s">
        <v>8</v>
      </c>
      <c r="B4" s="3">
        <v>41365</v>
      </c>
      <c r="C4">
        <v>2.10397783557115</v>
      </c>
      <c r="D4">
        <v>4.8921219421938504</v>
      </c>
      <c r="E4">
        <f>VLOOKUP(B4,'CQ 3.5 13'!B:D,2,0)</f>
        <v>1.2265295605862001</v>
      </c>
      <c r="F4">
        <f>VLOOKUP(B4,'CQ 3.5 13'!B:D,3,0)</f>
        <v>0.803502883955864</v>
      </c>
    </row>
    <row r="5" spans="1:6" x14ac:dyDescent="0.25">
      <c r="A5" s="3" t="s">
        <v>9</v>
      </c>
      <c r="B5" s="3">
        <v>41395</v>
      </c>
      <c r="C5">
        <v>1.1282711306303199</v>
      </c>
      <c r="D5">
        <v>6.22936351263946</v>
      </c>
      <c r="E5">
        <f>VLOOKUP(B5,'CQ 3.5 13'!B:D,2,0)</f>
        <v>1.42442158085054</v>
      </c>
      <c r="F5">
        <f>VLOOKUP(B5,'CQ 3.5 13'!B:D,3,0)</f>
        <v>1.0537971166656801</v>
      </c>
    </row>
    <row r="6" spans="1:6" x14ac:dyDescent="0.25">
      <c r="A6" s="3" t="s">
        <v>10</v>
      </c>
      <c r="B6" s="3">
        <v>41426</v>
      </c>
      <c r="C6">
        <v>2.6458889599262001</v>
      </c>
      <c r="D6">
        <v>10.691187114170001</v>
      </c>
      <c r="E6">
        <f>VLOOKUP(B6,'CQ 3.5 13'!B:D,2,0)</f>
        <v>1.5784848852751201</v>
      </c>
      <c r="F6">
        <f>VLOOKUP(B6,'CQ 3.5 13'!B:D,3,0)</f>
        <v>1.4386392601014899</v>
      </c>
    </row>
    <row r="7" spans="1:6" x14ac:dyDescent="0.25">
      <c r="A7" s="3" t="s">
        <v>11</v>
      </c>
      <c r="B7" s="3">
        <v>41456</v>
      </c>
      <c r="C7">
        <v>2.9389908902920401</v>
      </c>
      <c r="D7">
        <v>9.9052097983642007</v>
      </c>
      <c r="E7">
        <f>VLOOKUP(B7,'CQ 3.5 13'!B:D,2,0)</f>
        <v>2.0023630724777899</v>
      </c>
      <c r="F7">
        <f>VLOOKUP(B7,'CQ 3.5 13'!B:D,3,0)</f>
        <v>1.5176833669379599</v>
      </c>
    </row>
    <row r="8" spans="1:6" x14ac:dyDescent="0.25">
      <c r="A8" s="3" t="s">
        <v>12</v>
      </c>
      <c r="B8" s="3">
        <v>41487</v>
      </c>
      <c r="C8">
        <v>3.6492534707926301</v>
      </c>
      <c r="D8">
        <v>5.84338308313633</v>
      </c>
      <c r="E8">
        <f>VLOOKUP(B8,'CQ 3.5 13'!B:D,2,0)</f>
        <v>2.07750130677592</v>
      </c>
      <c r="F8">
        <f>VLOOKUP(B8,'CQ 3.5 13'!B:D,3,0)</f>
        <v>1.1946897004563299</v>
      </c>
    </row>
    <row r="9" spans="1:6" x14ac:dyDescent="0.25">
      <c r="A9" s="3" t="s">
        <v>13</v>
      </c>
      <c r="B9" s="3">
        <v>41518</v>
      </c>
      <c r="C9">
        <v>2.9108702560233501</v>
      </c>
      <c r="D9">
        <v>5.1577461720833799</v>
      </c>
      <c r="E9">
        <f>VLOOKUP(B9,'CQ 3.5 13'!B:D,2,0)</f>
        <v>2.5548961180571501</v>
      </c>
      <c r="F9">
        <f>VLOOKUP(B9,'CQ 3.5 13'!B:D,3,0)</f>
        <v>1.22437411255366</v>
      </c>
    </row>
    <row r="10" spans="1:6" x14ac:dyDescent="0.25">
      <c r="A10" s="3" t="s">
        <v>14</v>
      </c>
      <c r="B10" s="3">
        <v>41548</v>
      </c>
      <c r="C10">
        <v>2.8731445901143098</v>
      </c>
      <c r="D10">
        <v>4.7491308693802603</v>
      </c>
      <c r="E10">
        <f>VLOOKUP(B10,'CQ 3.5 13'!B:D,2,0)</f>
        <v>2.42428918666725</v>
      </c>
      <c r="F10">
        <f>VLOOKUP(B10,'CQ 3.5 13'!B:D,3,0)</f>
        <v>1.3173639569206099</v>
      </c>
    </row>
    <row r="11" spans="1:6" x14ac:dyDescent="0.25">
      <c r="A11" s="2" t="s">
        <v>15</v>
      </c>
      <c r="B11" s="3">
        <v>41579</v>
      </c>
      <c r="C11">
        <v>3.1514675193794401</v>
      </c>
      <c r="D11">
        <v>5.1316735840536998</v>
      </c>
      <c r="E11">
        <f>VLOOKUP(B11,'CQ 3.5 13'!B:D,2,0)</f>
        <v>2.1136783822058498</v>
      </c>
      <c r="F11">
        <f>VLOOKUP(B11,'CQ 3.5 13'!B:D,3,0)</f>
        <v>1.50395020453964</v>
      </c>
    </row>
    <row r="12" spans="1:6" x14ac:dyDescent="0.25">
      <c r="A12" s="2" t="s">
        <v>16</v>
      </c>
      <c r="B12" s="3">
        <v>41609</v>
      </c>
      <c r="C12">
        <v>2.4642824090509001</v>
      </c>
      <c r="D12">
        <v>6.4209890523872204</v>
      </c>
      <c r="E12">
        <f>VLOOKUP(B12,'CQ 3.5 13'!B:D,2,0)</f>
        <v>2.3525004748818699</v>
      </c>
      <c r="F12">
        <f>VLOOKUP(B12,'CQ 3.5 13'!B:D,3,0)</f>
        <v>1.8128627419144201</v>
      </c>
    </row>
    <row r="13" spans="1:6" x14ac:dyDescent="0.25">
      <c r="A13" s="2" t="s">
        <v>17</v>
      </c>
      <c r="B13" s="3">
        <v>41640</v>
      </c>
      <c r="C13">
        <v>3.28261598049234</v>
      </c>
      <c r="D13">
        <v>6.7377856075589397</v>
      </c>
      <c r="E13">
        <f>VLOOKUP(B13,'CQ 3.5 13'!B:D,2,0)</f>
        <v>2.71490028426257</v>
      </c>
      <c r="F13">
        <f>VLOOKUP(B13,'CQ 3.5 13'!B:D,3,0)</f>
        <v>1.9821842485499499</v>
      </c>
    </row>
    <row r="14" spans="1:6" x14ac:dyDescent="0.25">
      <c r="A14" s="2" t="s">
        <v>18</v>
      </c>
      <c r="B14" s="3">
        <v>41671</v>
      </c>
      <c r="C14">
        <v>3.0126577219719799</v>
      </c>
      <c r="D14">
        <v>5.4040056509786902</v>
      </c>
      <c r="E14">
        <f>VLOOKUP(B14,'CQ 3.5 13'!B:D,2,0)</f>
        <v>2.5119789765918101</v>
      </c>
      <c r="F14">
        <f>VLOOKUP(B14,'CQ 3.5 13'!B:D,3,0)</f>
        <v>2.0008934550434501</v>
      </c>
    </row>
    <row r="15" spans="1:6" x14ac:dyDescent="0.25">
      <c r="A15" s="2" t="s">
        <v>19</v>
      </c>
      <c r="B15" s="3">
        <v>41699</v>
      </c>
      <c r="C15">
        <v>2.4485657564560399</v>
      </c>
      <c r="D15">
        <v>5.9963664428097196</v>
      </c>
      <c r="E15">
        <f>VLOOKUP(B15,'CQ 3.5 13'!B:D,2,0)</f>
        <v>2.6554733120072598</v>
      </c>
      <c r="F15">
        <f>VLOOKUP(B15,'CQ 3.5 13'!B:D,3,0)</f>
        <v>2.1988809463200001</v>
      </c>
    </row>
    <row r="16" spans="1:6" x14ac:dyDescent="0.25">
      <c r="A16" s="2" t="s">
        <v>20</v>
      </c>
      <c r="B16" s="3">
        <v>41730</v>
      </c>
      <c r="C16">
        <v>4.6294904270215103</v>
      </c>
      <c r="D16">
        <v>7.9432618027918096</v>
      </c>
      <c r="E16">
        <f>VLOOKUP(B16,'CQ 3.5 13'!B:D,2,0)</f>
        <v>3.7246295888100902</v>
      </c>
      <c r="F16">
        <f>VLOOKUP(B16,'CQ 3.5 13'!B:D,3,0)</f>
        <v>2.6162524980675701</v>
      </c>
    </row>
    <row r="17" spans="1:6" x14ac:dyDescent="0.25">
      <c r="A17" s="2" t="s">
        <v>21</v>
      </c>
      <c r="B17" s="3">
        <v>41760</v>
      </c>
      <c r="C17">
        <v>4.9708478481381002</v>
      </c>
      <c r="D17">
        <v>9.6540756016290903</v>
      </c>
      <c r="E17">
        <f>VLOOKUP(B17,'CQ 3.5 13'!B:D,2,0)</f>
        <v>3.4378742748523301</v>
      </c>
      <c r="F17">
        <f>VLOOKUP(B17,'CQ 3.5 13'!B:D,3,0)</f>
        <v>2.83932342177259</v>
      </c>
    </row>
    <row r="18" spans="1:6" x14ac:dyDescent="0.25">
      <c r="A18" s="2" t="s">
        <v>22</v>
      </c>
      <c r="B18" s="3">
        <v>41791</v>
      </c>
      <c r="C18">
        <v>4.5472749509107997</v>
      </c>
      <c r="D18">
        <v>11.469271602722699</v>
      </c>
      <c r="E18">
        <f>VLOOKUP(B18,'CQ 3.5 13'!B:D,2,0)</f>
        <v>4.8477085388448202</v>
      </c>
      <c r="F18">
        <f>VLOOKUP(B18,'CQ 3.5 13'!B:D,3,0)</f>
        <v>3.57407297004674</v>
      </c>
    </row>
    <row r="19" spans="1:6" x14ac:dyDescent="0.25">
      <c r="A19" s="2" t="s">
        <v>23</v>
      </c>
      <c r="B19" s="3">
        <v>41821</v>
      </c>
      <c r="C19">
        <v>8.1807680308378696</v>
      </c>
      <c r="D19">
        <v>14.429427339965599</v>
      </c>
      <c r="E19">
        <f>VLOOKUP(B19,'CQ 3.5 13'!B:D,2,0)</f>
        <v>4.1301038617508601</v>
      </c>
      <c r="F19">
        <f>VLOOKUP(B19,'CQ 3.5 13'!B:D,3,0)</f>
        <v>4.9525464739651097</v>
      </c>
    </row>
    <row r="20" spans="1:6" x14ac:dyDescent="0.25">
      <c r="A20" s="2" t="s">
        <v>24</v>
      </c>
      <c r="B20" s="3">
        <v>41852</v>
      </c>
      <c r="C20">
        <v>6.14549851915275</v>
      </c>
      <c r="D20">
        <v>14.936298873731401</v>
      </c>
      <c r="E20">
        <f>VLOOKUP(B20,'CQ 3.5 13'!B:D,2,0)</f>
        <v>4.2878366001645603</v>
      </c>
      <c r="F20">
        <f>VLOOKUP(B20,'CQ 3.5 13'!B:D,3,0)</f>
        <v>5.8449875550036303</v>
      </c>
    </row>
    <row r="21" spans="1:6" x14ac:dyDescent="0.25">
      <c r="A21" s="2" t="s">
        <v>25</v>
      </c>
      <c r="B21" s="3">
        <v>41883</v>
      </c>
      <c r="C21">
        <v>6.3203055354868001</v>
      </c>
      <c r="D21">
        <v>15.894070855153499</v>
      </c>
      <c r="E21">
        <f>VLOOKUP(B21,'CQ 3.5 13'!B:D,2,0)</f>
        <v>5.58944049402057</v>
      </c>
      <c r="F21">
        <f>VLOOKUP(B21,'CQ 3.5 13'!B:D,3,0)</f>
        <v>6.9032821272948004</v>
      </c>
    </row>
    <row r="22" spans="1:6" x14ac:dyDescent="0.25">
      <c r="A22" s="2" t="s">
        <v>26</v>
      </c>
      <c r="B22" s="3">
        <v>41913</v>
      </c>
      <c r="C22">
        <v>6.2468125179766902</v>
      </c>
      <c r="D22">
        <v>15.3314010390819</v>
      </c>
      <c r="E22">
        <f>VLOOKUP(B22,'CQ 3.5 13'!B:D,2,0)</f>
        <v>4.5064936600708503</v>
      </c>
      <c r="F22">
        <f>VLOOKUP(B22,'CQ 3.5 13'!B:D,3,0)</f>
        <v>6.9698761596488099</v>
      </c>
    </row>
    <row r="23" spans="1:6" x14ac:dyDescent="0.25">
      <c r="A23" s="2" t="s">
        <v>27</v>
      </c>
      <c r="B23" s="3">
        <v>41944</v>
      </c>
      <c r="C23">
        <v>7.9337896479127501</v>
      </c>
      <c r="D23">
        <v>14.9671343552534</v>
      </c>
      <c r="E23">
        <f>VLOOKUP(B23,'CQ 3.5 13'!B:D,2,0)</f>
        <v>4.9147315424106504</v>
      </c>
      <c r="F23">
        <f>VLOOKUP(B23,'CQ 3.5 13'!B:D,3,0)</f>
        <v>7.16429129590108</v>
      </c>
    </row>
    <row r="24" spans="1:6" x14ac:dyDescent="0.25">
      <c r="A24" s="2" t="s">
        <v>28</v>
      </c>
      <c r="B24" s="3">
        <v>41974</v>
      </c>
      <c r="C24">
        <v>7.2617144334220596</v>
      </c>
      <c r="D24">
        <v>16.6744014970132</v>
      </c>
      <c r="E24">
        <f>VLOOKUP(B24,'CQ 3.5 13'!B:D,2,0)</f>
        <v>4.5130393725936901</v>
      </c>
      <c r="F24">
        <f>VLOOKUP(B24,'CQ 3.5 13'!B:D,3,0)</f>
        <v>8.0136428715270096</v>
      </c>
    </row>
    <row r="25" spans="1:6" x14ac:dyDescent="0.25">
      <c r="A25" s="2" t="s">
        <v>29</v>
      </c>
      <c r="B25" s="3">
        <v>42005</v>
      </c>
      <c r="C25">
        <v>6.2486597401715001</v>
      </c>
      <c r="D25">
        <v>21.516681012695901</v>
      </c>
      <c r="E25">
        <f>VLOOKUP(B25,'CQ 3.5 13'!B:D,2,0)</f>
        <v>4.9544657957726699</v>
      </c>
      <c r="F25">
        <f>VLOOKUP(B25,'CQ 3.5 13'!B:D,3,0)</f>
        <v>10.024436704536701</v>
      </c>
    </row>
    <row r="26" spans="1:6" x14ac:dyDescent="0.25">
      <c r="A26" s="2" t="s">
        <v>30</v>
      </c>
      <c r="B26" s="3">
        <v>42036</v>
      </c>
      <c r="C26">
        <v>5.72945881258899</v>
      </c>
      <c r="D26">
        <v>22.814275492276799</v>
      </c>
      <c r="E26">
        <f>VLOOKUP(B26,'CQ 3.5 13'!B:D,2,0)</f>
        <v>5.3713136783491899</v>
      </c>
      <c r="F26">
        <f>VLOOKUP(B26,'CQ 3.5 13'!B:D,3,0)</f>
        <v>11.2780146348603</v>
      </c>
    </row>
    <row r="27" spans="1:6" x14ac:dyDescent="0.25">
      <c r="A27" s="2" t="s">
        <v>31</v>
      </c>
      <c r="B27" s="3">
        <v>42064</v>
      </c>
      <c r="C27">
        <v>7.9079676461499897</v>
      </c>
      <c r="D27">
        <v>28.819902642049801</v>
      </c>
      <c r="E27">
        <f>VLOOKUP(B27,'CQ 3.5 13'!B:D,2,0)</f>
        <v>4.4358918836477903</v>
      </c>
      <c r="F27">
        <f>VLOOKUP(B27,'CQ 3.5 13'!B:D,3,0)</f>
        <v>15.0723191015982</v>
      </c>
    </row>
    <row r="28" spans="1:6" x14ac:dyDescent="0.25">
      <c r="A28" s="2" t="s">
        <v>32</v>
      </c>
      <c r="B28" s="3">
        <v>42095</v>
      </c>
      <c r="C28">
        <v>9.6769800546857798</v>
      </c>
      <c r="D28">
        <v>30.136506217801699</v>
      </c>
      <c r="E28">
        <f>VLOOKUP(B28,'CQ 3.5 13'!B:D,2,0)</f>
        <v>5.8537207278367198</v>
      </c>
      <c r="F28">
        <f>VLOOKUP(B28,'CQ 3.5 13'!B:D,3,0)</f>
        <v>17.518676942132199</v>
      </c>
    </row>
    <row r="29" spans="1:6" x14ac:dyDescent="0.25">
      <c r="A29" s="2" t="s">
        <v>33</v>
      </c>
      <c r="B29" s="3">
        <v>42125</v>
      </c>
      <c r="C29">
        <v>10.4283104671388</v>
      </c>
      <c r="D29">
        <v>31.189209600316399</v>
      </c>
      <c r="E29">
        <f>VLOOKUP(B29,'CQ 3.5 13'!B:D,2,0)</f>
        <v>6.9172939016973096</v>
      </c>
      <c r="F29">
        <f>VLOOKUP(B29,'CQ 3.5 13'!B:D,3,0)</f>
        <v>20.830436445535099</v>
      </c>
    </row>
    <row r="30" spans="1:6" x14ac:dyDescent="0.25">
      <c r="A30" s="2" t="s">
        <v>34</v>
      </c>
      <c r="B30" s="3">
        <v>42156</v>
      </c>
      <c r="C30">
        <v>12.8766685473149</v>
      </c>
      <c r="D30">
        <v>36.187543985684599</v>
      </c>
      <c r="E30">
        <f>VLOOKUP(B30,'CQ 3.5 13'!B:D,2,0)</f>
        <v>8.0727753361373793</v>
      </c>
      <c r="F30">
        <f>VLOOKUP(B30,'CQ 3.5 13'!B:D,3,0)</f>
        <v>26.2231949323753</v>
      </c>
    </row>
    <row r="31" spans="1:6" x14ac:dyDescent="0.25">
      <c r="A31" s="2" t="s">
        <v>35</v>
      </c>
      <c r="B31" s="3">
        <v>42186</v>
      </c>
      <c r="C31">
        <v>15.186642426202599</v>
      </c>
      <c r="D31">
        <v>31.5560127440807</v>
      </c>
      <c r="E31">
        <f>VLOOKUP(B31,'CQ 3.5 13'!B:D,2,0)</f>
        <v>7.5433424805368396</v>
      </c>
      <c r="F31">
        <f>VLOOKUP(B31,'CQ 3.5 13'!B:D,3,0)</f>
        <v>24.637467397025699</v>
      </c>
    </row>
    <row r="32" spans="1:6" x14ac:dyDescent="0.25">
      <c r="A32" s="2" t="s">
        <v>36</v>
      </c>
      <c r="B32" s="3">
        <v>42217</v>
      </c>
      <c r="C32">
        <v>12.052722191604399</v>
      </c>
      <c r="D32">
        <v>27.976756976199901</v>
      </c>
      <c r="E32">
        <f>VLOOKUP(B32,'CQ 3.5 13'!B:D,2,0)</f>
        <v>8.9808157708045595</v>
      </c>
      <c r="F32">
        <f>VLOOKUP(B32,'CQ 3.5 13'!B:D,3,0)</f>
        <v>22.8283113104495</v>
      </c>
    </row>
    <row r="33" spans="1:6" x14ac:dyDescent="0.25">
      <c r="A33" s="2" t="s">
        <v>37</v>
      </c>
      <c r="B33" s="3">
        <v>42248</v>
      </c>
      <c r="C33">
        <v>9.5847645563755801</v>
      </c>
      <c r="D33">
        <v>26.737558900739899</v>
      </c>
      <c r="E33">
        <f>VLOOKUP(B33,'CQ 3.5 13'!B:D,2,0)</f>
        <v>6.8599345244405701</v>
      </c>
      <c r="F33">
        <f>VLOOKUP(B33,'CQ 3.5 13'!B:D,3,0)</f>
        <v>23.2051879662944</v>
      </c>
    </row>
    <row r="34" spans="1:6" x14ac:dyDescent="0.25">
      <c r="A34" s="2" t="s">
        <v>38</v>
      </c>
      <c r="B34" s="3">
        <v>42278</v>
      </c>
      <c r="C34">
        <v>10.4413482800807</v>
      </c>
      <c r="D34">
        <v>29.729754016289299</v>
      </c>
      <c r="E34">
        <f>VLOOKUP(B34,'CQ 3.5 13'!B:D,2,0)</f>
        <v>7.6042556882299399</v>
      </c>
      <c r="F34">
        <f>VLOOKUP(B34,'CQ 3.5 13'!B:D,3,0)</f>
        <v>25.0418347015686</v>
      </c>
    </row>
    <row r="35" spans="1:6" x14ac:dyDescent="0.25">
      <c r="A35" s="2" t="s">
        <v>39</v>
      </c>
      <c r="B35" s="3">
        <v>42309</v>
      </c>
      <c r="C35">
        <v>11.168434260082099</v>
      </c>
      <c r="D35">
        <v>29.349043981466298</v>
      </c>
      <c r="E35">
        <f>VLOOKUP(B35,'CQ 3.5 13'!B:D,2,0)</f>
        <v>8.0788975321340004</v>
      </c>
      <c r="F35">
        <f>VLOOKUP(B35,'CQ 3.5 13'!B:D,3,0)</f>
        <v>25.042481130128898</v>
      </c>
    </row>
    <row r="36" spans="1:6" x14ac:dyDescent="0.25">
      <c r="A36" s="2" t="s">
        <v>40</v>
      </c>
      <c r="B36" s="3">
        <v>42339</v>
      </c>
      <c r="C36">
        <v>8.5878947788262696</v>
      </c>
      <c r="D36">
        <v>30.492883466783798</v>
      </c>
      <c r="E36">
        <f>VLOOKUP(B36,'CQ 3.5 13'!B:D,2,0)</f>
        <v>6.1740086593389103</v>
      </c>
      <c r="F36">
        <f>VLOOKUP(B36,'CQ 3.5 13'!B:D,3,0)</f>
        <v>26.221578981985299</v>
      </c>
    </row>
    <row r="37" spans="1:6" x14ac:dyDescent="0.25">
      <c r="A37" s="2" t="s">
        <v>41</v>
      </c>
      <c r="B37" s="3">
        <v>42370</v>
      </c>
      <c r="C37">
        <v>11.592002009748001</v>
      </c>
      <c r="D37">
        <v>26.689553344699299</v>
      </c>
      <c r="E37">
        <f>VLOOKUP(B37,'CQ 3.5 13'!B:D,2,0)</f>
        <v>7.5161087210162698</v>
      </c>
      <c r="F37">
        <f>VLOOKUP(B37,'CQ 3.5 13'!B:D,3,0)</f>
        <v>23.261525631932201</v>
      </c>
    </row>
  </sheetData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F49"/>
  <sheetViews>
    <sheetView workbookViewId="0">
      <selection activeCell="C1" sqref="C1:F1"/>
    </sheetView>
  </sheetViews>
  <sheetFormatPr defaultRowHeight="15" x14ac:dyDescent="0.25"/>
  <cols>
    <col min="2" max="2" width="9.7109375" bestFit="1" customWidth="1"/>
  </cols>
  <sheetData>
    <row r="1" spans="1:6" x14ac:dyDescent="0.25">
      <c r="A1" s="2"/>
      <c r="B1" t="s">
        <v>3</v>
      </c>
      <c r="C1" t="s">
        <v>68</v>
      </c>
      <c r="D1" t="s">
        <v>69</v>
      </c>
      <c r="E1" t="s">
        <v>66</v>
      </c>
      <c r="F1" t="s">
        <v>67</v>
      </c>
    </row>
    <row r="2" spans="1:6" x14ac:dyDescent="0.25">
      <c r="A2" s="3" t="s">
        <v>6</v>
      </c>
      <c r="B2" s="3">
        <v>40940</v>
      </c>
      <c r="C2">
        <v>3.3899120025493402E-4</v>
      </c>
      <c r="D2">
        <v>0.54221489259419497</v>
      </c>
      <c r="E2">
        <f>VLOOKUP(B2,'CQ 3.5 12'!B:D,2,0)</f>
        <v>0.13311837705238799</v>
      </c>
      <c r="F2">
        <f>VLOOKUP(B2,'CQ 3.5 12'!B:D,3,0)</f>
        <v>0.373263083214459</v>
      </c>
    </row>
    <row r="3" spans="1:6" x14ac:dyDescent="0.25">
      <c r="A3" s="3" t="s">
        <v>7</v>
      </c>
      <c r="B3" s="3">
        <v>40969</v>
      </c>
      <c r="C3">
        <v>4.0715338464136802E-2</v>
      </c>
      <c r="D3">
        <v>1.38565564074999</v>
      </c>
      <c r="E3">
        <f>VLOOKUP(B3,'CQ 3.5 12'!B:D,2,0)</f>
        <v>0.54729849315739998</v>
      </c>
      <c r="F3">
        <f>VLOOKUP(B3,'CQ 3.5 12'!B:D,3,0)</f>
        <v>0.53704906713456502</v>
      </c>
    </row>
    <row r="4" spans="1:6" x14ac:dyDescent="0.25">
      <c r="A4" s="3" t="s">
        <v>8</v>
      </c>
      <c r="B4" s="3">
        <v>41000</v>
      </c>
      <c r="C4">
        <v>0.17821749015886101</v>
      </c>
      <c r="D4">
        <v>2.54474917686177</v>
      </c>
      <c r="E4">
        <f>VLOOKUP(B4,'CQ 3.5 12'!B:D,2,0)</f>
        <v>0.33825682333601398</v>
      </c>
      <c r="F4">
        <f>VLOOKUP(B4,'CQ 3.5 12'!B:D,3,0)</f>
        <v>0.531495280645922</v>
      </c>
    </row>
    <row r="5" spans="1:6" x14ac:dyDescent="0.25">
      <c r="A5" s="3" t="s">
        <v>9</v>
      </c>
      <c r="B5" s="3">
        <v>41030</v>
      </c>
      <c r="C5">
        <v>2.3298694995772999</v>
      </c>
      <c r="D5">
        <v>4.2146841094880498</v>
      </c>
      <c r="E5">
        <f>VLOOKUP(B5,'CQ 3.5 12'!B:D,2,0)</f>
        <v>0.78772790599405096</v>
      </c>
      <c r="F5">
        <f>VLOOKUP(B5,'CQ 3.5 12'!B:D,3,0)</f>
        <v>0.497014121997574</v>
      </c>
    </row>
    <row r="6" spans="1:6" x14ac:dyDescent="0.25">
      <c r="A6" s="3" t="s">
        <v>10</v>
      </c>
      <c r="B6" s="3">
        <v>41061</v>
      </c>
      <c r="C6">
        <v>3.22055815527359</v>
      </c>
      <c r="D6">
        <v>5.9087265737653496</v>
      </c>
      <c r="E6">
        <f>VLOOKUP(B6,'CQ 3.5 12'!B:D,2,0)</f>
        <v>1.2948442357188099</v>
      </c>
      <c r="F6">
        <f>VLOOKUP(B6,'CQ 3.5 12'!B:D,3,0)</f>
        <v>0.68194846865355896</v>
      </c>
    </row>
    <row r="7" spans="1:6" x14ac:dyDescent="0.25">
      <c r="A7" s="3" t="s">
        <v>11</v>
      </c>
      <c r="B7" s="3">
        <v>41091</v>
      </c>
      <c r="C7">
        <v>3.0183819315808802</v>
      </c>
      <c r="D7">
        <v>8.8150102511646296</v>
      </c>
      <c r="E7">
        <f>VLOOKUP(B7,'CQ 3.5 12'!B:D,2,0)</f>
        <v>1.41842721177453</v>
      </c>
      <c r="F7">
        <f>VLOOKUP(B7,'CQ 3.5 12'!B:D,3,0)</f>
        <v>0.92264305145088898</v>
      </c>
    </row>
    <row r="8" spans="1:6" x14ac:dyDescent="0.25">
      <c r="A8" s="3" t="s">
        <v>12</v>
      </c>
      <c r="B8" s="3">
        <v>41122</v>
      </c>
      <c r="C8">
        <v>3.4160930783824801</v>
      </c>
      <c r="D8">
        <v>10.791018756521201</v>
      </c>
      <c r="E8">
        <f>VLOOKUP(B8,'CQ 3.5 12'!B:D,2,0)</f>
        <v>0.58652886375567503</v>
      </c>
      <c r="F8">
        <f>VLOOKUP(B8,'CQ 3.5 12'!B:D,3,0)</f>
        <v>1.14951816633205</v>
      </c>
    </row>
    <row r="9" spans="1:6" x14ac:dyDescent="0.25">
      <c r="A9" s="3" t="s">
        <v>13</v>
      </c>
      <c r="B9" s="3">
        <v>41153</v>
      </c>
      <c r="C9">
        <v>5.2178291103207499</v>
      </c>
      <c r="D9">
        <v>12.209940081416599</v>
      </c>
      <c r="E9">
        <f>VLOOKUP(B9,'CQ 3.5 12'!B:D,2,0)</f>
        <v>1.06980451742803</v>
      </c>
      <c r="F9">
        <f>VLOOKUP(B9,'CQ 3.5 12'!B:D,3,0)</f>
        <v>1.23396813072456</v>
      </c>
    </row>
    <row r="10" spans="1:6" x14ac:dyDescent="0.25">
      <c r="A10" s="3" t="s">
        <v>14</v>
      </c>
      <c r="B10" s="3">
        <v>41183</v>
      </c>
      <c r="C10">
        <v>2.69336577397398</v>
      </c>
      <c r="D10">
        <v>10.297705796279301</v>
      </c>
      <c r="E10">
        <f>VLOOKUP(B10,'CQ 3.5 12'!B:D,2,0)</f>
        <v>1.0675935184327401</v>
      </c>
      <c r="F10">
        <f>VLOOKUP(B10,'CQ 3.5 12'!B:D,3,0)</f>
        <v>1.1914870045592001</v>
      </c>
    </row>
    <row r="11" spans="1:6" x14ac:dyDescent="0.25">
      <c r="A11" s="2" t="s">
        <v>15</v>
      </c>
      <c r="B11" s="3">
        <v>41214</v>
      </c>
      <c r="C11">
        <v>2.7141185180771799</v>
      </c>
      <c r="D11">
        <v>13.3466167681356</v>
      </c>
      <c r="E11">
        <f>VLOOKUP(B11,'CQ 3.5 12'!B:D,2,0)</f>
        <v>1.3423221370849601</v>
      </c>
      <c r="F11">
        <f>VLOOKUP(B11,'CQ 3.5 12'!B:D,3,0)</f>
        <v>1.4024738463069599</v>
      </c>
    </row>
    <row r="12" spans="1:6" x14ac:dyDescent="0.25">
      <c r="A12" s="2" t="s">
        <v>16</v>
      </c>
      <c r="B12" s="3">
        <v>41244</v>
      </c>
      <c r="C12">
        <v>4.6664503189171898</v>
      </c>
      <c r="D12">
        <v>15.676483759007199</v>
      </c>
      <c r="E12">
        <f>VLOOKUP(B12,'CQ 3.5 12'!B:D,2,0)</f>
        <v>1.1031994253394499</v>
      </c>
      <c r="F12">
        <f>VLOOKUP(B12,'CQ 3.5 12'!B:D,3,0)</f>
        <v>1.58302129074646</v>
      </c>
    </row>
    <row r="13" spans="1:6" x14ac:dyDescent="0.25">
      <c r="A13" s="2" t="s">
        <v>17</v>
      </c>
      <c r="B13" s="3">
        <v>41275</v>
      </c>
      <c r="C13">
        <v>3.65539006314313</v>
      </c>
      <c r="D13">
        <v>16.1418274607143</v>
      </c>
      <c r="E13">
        <f>VLOOKUP(B13,'CQ 3.5 12'!B:D,2,0)</f>
        <v>1.35857240419748</v>
      </c>
      <c r="F13">
        <f>VLOOKUP(B13,'CQ 3.5 12'!B:D,3,0)</f>
        <v>1.6836865744192999</v>
      </c>
    </row>
    <row r="14" spans="1:6" x14ac:dyDescent="0.25">
      <c r="A14" s="2" t="s">
        <v>18</v>
      </c>
      <c r="B14" s="3">
        <v>41306</v>
      </c>
      <c r="C14">
        <v>3.5218741771973798</v>
      </c>
      <c r="D14">
        <v>16.2579378739749</v>
      </c>
      <c r="E14">
        <f>VLOOKUP(B14,'CQ 3.5 12'!B:D,2,0)</f>
        <v>1.4466949656239001</v>
      </c>
      <c r="F14">
        <f>VLOOKUP(B14,'CQ 3.5 12'!B:D,3,0)</f>
        <v>1.77880510023812</v>
      </c>
    </row>
    <row r="15" spans="1:6" x14ac:dyDescent="0.25">
      <c r="A15" s="2" t="s">
        <v>19</v>
      </c>
      <c r="B15" s="3">
        <v>41334</v>
      </c>
      <c r="C15">
        <v>4.3971394915130597</v>
      </c>
      <c r="D15">
        <v>16.420370715926801</v>
      </c>
      <c r="E15">
        <f>VLOOKUP(B15,'CQ 3.5 12'!B:D,2,0)</f>
        <v>1.3656706730686801</v>
      </c>
      <c r="F15">
        <f>VLOOKUP(B15,'CQ 3.5 12'!B:D,3,0)</f>
        <v>1.9915727285264599</v>
      </c>
    </row>
    <row r="16" spans="1:6" x14ac:dyDescent="0.25">
      <c r="A16" s="2" t="s">
        <v>20</v>
      </c>
      <c r="B16" s="3">
        <v>41365</v>
      </c>
      <c r="C16">
        <v>4.46551556485917</v>
      </c>
      <c r="D16">
        <v>14.5581525802979</v>
      </c>
      <c r="E16">
        <f>VLOOKUP(B16,'CQ 3.5 12'!B:D,2,0)</f>
        <v>2.2748843429445502</v>
      </c>
      <c r="F16">
        <f>VLOOKUP(B16,'CQ 3.5 12'!B:D,3,0)</f>
        <v>2.19803254737888</v>
      </c>
    </row>
    <row r="17" spans="1:6" x14ac:dyDescent="0.25">
      <c r="A17" s="2" t="s">
        <v>21</v>
      </c>
      <c r="B17" s="3">
        <v>41395</v>
      </c>
      <c r="C17">
        <v>5.18599693025243</v>
      </c>
      <c r="D17">
        <v>16.293562717412801</v>
      </c>
      <c r="E17">
        <f>VLOOKUP(B17,'CQ 3.5 12'!B:D,2,0)</f>
        <v>3.3496616471722098</v>
      </c>
      <c r="F17">
        <f>VLOOKUP(B17,'CQ 3.5 12'!B:D,3,0)</f>
        <v>2.5947097788212599</v>
      </c>
    </row>
    <row r="18" spans="1:6" x14ac:dyDescent="0.25">
      <c r="A18" s="2" t="s">
        <v>22</v>
      </c>
      <c r="B18" s="3">
        <v>41426</v>
      </c>
      <c r="C18">
        <v>7.7185764368173402</v>
      </c>
      <c r="D18">
        <v>23.605603034558001</v>
      </c>
      <c r="E18">
        <f>VLOOKUP(B18,'CQ 3.5 12'!B:D,2,0)</f>
        <v>4.2790616466754896</v>
      </c>
      <c r="F18">
        <f>VLOOKUP(B18,'CQ 3.5 12'!B:D,3,0)</f>
        <v>4.0459463862056797</v>
      </c>
    </row>
    <row r="19" spans="1:6" x14ac:dyDescent="0.25">
      <c r="A19" s="2" t="s">
        <v>23</v>
      </c>
      <c r="B19" s="3">
        <v>41456</v>
      </c>
      <c r="C19">
        <v>10.131433949471299</v>
      </c>
      <c r="D19">
        <v>22.393716849100599</v>
      </c>
      <c r="E19">
        <f>VLOOKUP(B19,'CQ 3.5 12'!B:D,2,0)</f>
        <v>4.3984499911280297</v>
      </c>
      <c r="F19">
        <f>VLOOKUP(B19,'CQ 3.5 12'!B:D,3,0)</f>
        <v>4.4773016715364902</v>
      </c>
    </row>
    <row r="20" spans="1:6" x14ac:dyDescent="0.25">
      <c r="A20" s="2" t="s">
        <v>24</v>
      </c>
      <c r="B20" s="3">
        <v>41487</v>
      </c>
      <c r="C20">
        <v>7.06494596085202</v>
      </c>
      <c r="D20">
        <v>14.490252471592401</v>
      </c>
      <c r="E20">
        <f>VLOOKUP(B20,'CQ 3.5 12'!B:D,2,0)</f>
        <v>5.7545837663813302</v>
      </c>
      <c r="F20">
        <f>VLOOKUP(B20,'CQ 3.5 12'!B:D,3,0)</f>
        <v>3.5361988183428101</v>
      </c>
    </row>
    <row r="21" spans="1:6" x14ac:dyDescent="0.25">
      <c r="A21" s="2" t="s">
        <v>25</v>
      </c>
      <c r="B21" s="3">
        <v>41518</v>
      </c>
      <c r="C21">
        <v>6.9792498884586696</v>
      </c>
      <c r="D21">
        <v>12.117012964993201</v>
      </c>
      <c r="E21">
        <f>VLOOKUP(B21,'CQ 3.5 12'!B:D,2,0)</f>
        <v>3.93870260082732</v>
      </c>
      <c r="F21">
        <f>VLOOKUP(B21,'CQ 3.5 12'!B:D,3,0)</f>
        <v>3.4200041763276601</v>
      </c>
    </row>
    <row r="22" spans="1:6" x14ac:dyDescent="0.25">
      <c r="A22" s="2" t="s">
        <v>26</v>
      </c>
      <c r="B22" s="3">
        <v>41548</v>
      </c>
      <c r="C22">
        <v>4.5283874557230197</v>
      </c>
      <c r="D22">
        <v>10.329755611754701</v>
      </c>
      <c r="E22">
        <f>VLOOKUP(B22,'CQ 3.5 12'!B:D,2,0)</f>
        <v>4.1332623613683204</v>
      </c>
      <c r="F22">
        <f>VLOOKUP(B22,'CQ 3.5 12'!B:D,3,0)</f>
        <v>3.1297848493627898</v>
      </c>
    </row>
    <row r="23" spans="1:6" x14ac:dyDescent="0.25">
      <c r="A23" s="2" t="s">
        <v>27</v>
      </c>
      <c r="B23" s="3">
        <v>41579</v>
      </c>
      <c r="C23">
        <v>5.8423314922717502</v>
      </c>
      <c r="D23">
        <v>10.313631380558</v>
      </c>
      <c r="E23">
        <f>VLOOKUP(B23,'CQ 3.5 12'!B:D,2,0)</f>
        <v>4.1553160267561102</v>
      </c>
      <c r="F23">
        <f>VLOOKUP(B23,'CQ 3.5 12'!B:D,3,0)</f>
        <v>3.4447710916027399</v>
      </c>
    </row>
    <row r="24" spans="1:6" x14ac:dyDescent="0.25">
      <c r="A24" s="2" t="s">
        <v>28</v>
      </c>
      <c r="B24" s="3">
        <v>41609</v>
      </c>
      <c r="C24">
        <v>3.61762956828301</v>
      </c>
      <c r="D24">
        <v>12.272457593769801</v>
      </c>
      <c r="E24">
        <f>VLOOKUP(B24,'CQ 3.5 12'!B:D,2,0)</f>
        <v>3.8641205400352199</v>
      </c>
      <c r="F24">
        <f>VLOOKUP(B24,'CQ 3.5 12'!B:D,3,0)</f>
        <v>4.1934838329662298</v>
      </c>
    </row>
    <row r="25" spans="1:6" x14ac:dyDescent="0.25">
      <c r="A25" s="2" t="s">
        <v>29</v>
      </c>
      <c r="B25" s="3">
        <v>41640</v>
      </c>
      <c r="C25">
        <v>5.73155690685235</v>
      </c>
      <c r="D25">
        <v>12.2482023388506</v>
      </c>
      <c r="E25">
        <f>VLOOKUP(B25,'CQ 3.5 12'!B:D,2,0)</f>
        <v>4.45358156580689</v>
      </c>
      <c r="F25">
        <f>VLOOKUP(B25,'CQ 3.5 12'!B:D,3,0)</f>
        <v>4.3263193708624401</v>
      </c>
    </row>
    <row r="26" spans="1:6" x14ac:dyDescent="0.25">
      <c r="A26" s="2" t="s">
        <v>30</v>
      </c>
      <c r="B26" s="3">
        <v>41671</v>
      </c>
      <c r="C26">
        <v>2.9087983675579498</v>
      </c>
      <c r="D26">
        <v>9.2909029842372508</v>
      </c>
      <c r="E26">
        <f>VLOOKUP(B26,'CQ 3.5 12'!B:D,2,0)</f>
        <v>3.4997990854065999</v>
      </c>
      <c r="F26">
        <f>VLOOKUP(B26,'CQ 3.5 12'!B:D,3,0)</f>
        <v>3.8378028191054399</v>
      </c>
    </row>
    <row r="27" spans="1:6" x14ac:dyDescent="0.25">
      <c r="A27" s="2" t="s">
        <v>31</v>
      </c>
      <c r="B27" s="3">
        <v>41699</v>
      </c>
      <c r="C27">
        <v>3.1259869803679599</v>
      </c>
      <c r="D27">
        <v>9.97317822676718</v>
      </c>
      <c r="E27">
        <f>VLOOKUP(B27,'CQ 3.5 12'!B:D,2,0)</f>
        <v>4.0902696323400898</v>
      </c>
      <c r="F27">
        <f>VLOOKUP(B27,'CQ 3.5 12'!B:D,3,0)</f>
        <v>4.22598904378874</v>
      </c>
    </row>
    <row r="28" spans="1:6" x14ac:dyDescent="0.25">
      <c r="A28" s="2" t="s">
        <v>32</v>
      </c>
      <c r="B28" s="3">
        <v>41730</v>
      </c>
      <c r="C28">
        <v>5.6484565215326397</v>
      </c>
      <c r="D28">
        <v>12.804288454186899</v>
      </c>
      <c r="E28">
        <f>VLOOKUP(B28,'CQ 3.5 12'!B:D,2,0)</f>
        <v>5.27324323405323</v>
      </c>
      <c r="F28">
        <f>VLOOKUP(B28,'CQ 3.5 12'!B:D,3,0)</f>
        <v>6.34208900047157</v>
      </c>
    </row>
    <row r="29" spans="1:6" x14ac:dyDescent="0.25">
      <c r="A29" s="2" t="s">
        <v>33</v>
      </c>
      <c r="B29" s="3">
        <v>41760</v>
      </c>
      <c r="C29">
        <v>5.4380446103488902</v>
      </c>
      <c r="D29">
        <v>15.212891744186599</v>
      </c>
      <c r="E29">
        <f>VLOOKUP(B29,'CQ 3.5 12'!B:D,2,0)</f>
        <v>5.5666589266716002</v>
      </c>
      <c r="F29">
        <f>VLOOKUP(B29,'CQ 3.5 12'!B:D,3,0)</f>
        <v>9.3203649056777707</v>
      </c>
    </row>
    <row r="30" spans="1:6" x14ac:dyDescent="0.25">
      <c r="A30" s="2" t="s">
        <v>34</v>
      </c>
      <c r="B30" s="3">
        <v>41791</v>
      </c>
      <c r="C30">
        <v>8.33345008335505</v>
      </c>
      <c r="D30">
        <v>17.468929814276201</v>
      </c>
      <c r="E30">
        <f>VLOOKUP(B30,'CQ 3.5 12'!B:D,2,0)</f>
        <v>6.4817268078958001</v>
      </c>
      <c r="F30">
        <f>VLOOKUP(B30,'CQ 3.5 12'!B:D,3,0)</f>
        <v>12.517299745292799</v>
      </c>
    </row>
    <row r="31" spans="1:6" x14ac:dyDescent="0.25">
      <c r="A31" s="2" t="s">
        <v>35</v>
      </c>
      <c r="B31" s="3">
        <v>41821</v>
      </c>
      <c r="C31">
        <v>9.0622616611190008</v>
      </c>
      <c r="D31">
        <v>20.326380600925901</v>
      </c>
      <c r="E31">
        <f>VLOOKUP(B31,'CQ 3.5 12'!B:D,2,0)</f>
        <v>6.8912317100115601</v>
      </c>
      <c r="F31">
        <f>VLOOKUP(B31,'CQ 3.5 12'!B:D,3,0)</f>
        <v>16.4343921825667</v>
      </c>
    </row>
    <row r="32" spans="1:6" x14ac:dyDescent="0.25">
      <c r="A32" s="2" t="s">
        <v>36</v>
      </c>
      <c r="B32" s="3">
        <v>41852</v>
      </c>
      <c r="C32">
        <v>7.8089863837981897</v>
      </c>
      <c r="D32">
        <v>20.687774379859601</v>
      </c>
      <c r="E32">
        <f>VLOOKUP(B32,'CQ 3.5 12'!B:D,2,0)</f>
        <v>8.1821234681233808</v>
      </c>
      <c r="F32">
        <f>VLOOKUP(B32,'CQ 3.5 12'!B:D,3,0)</f>
        <v>17.196688982112601</v>
      </c>
    </row>
    <row r="33" spans="1:6" x14ac:dyDescent="0.25">
      <c r="A33" s="2" t="s">
        <v>37</v>
      </c>
      <c r="B33" s="3">
        <v>41883</v>
      </c>
      <c r="C33">
        <v>9.1065043512562802</v>
      </c>
      <c r="D33">
        <v>21.594027823093001</v>
      </c>
      <c r="E33">
        <f>VLOOKUP(B33,'CQ 3.5 12'!B:D,2,0)</f>
        <v>7.3251746696421298</v>
      </c>
      <c r="F33">
        <f>VLOOKUP(B33,'CQ 3.5 12'!B:D,3,0)</f>
        <v>18.783840430915099</v>
      </c>
    </row>
    <row r="34" spans="1:6" x14ac:dyDescent="0.25">
      <c r="A34" s="2" t="s">
        <v>38</v>
      </c>
      <c r="B34" s="3">
        <v>41913</v>
      </c>
      <c r="C34">
        <v>6.9228710276632697</v>
      </c>
      <c r="D34">
        <v>21.539506067088801</v>
      </c>
      <c r="E34">
        <f>VLOOKUP(B34,'CQ 3.5 12'!B:D,2,0)</f>
        <v>5.8497140689206599</v>
      </c>
      <c r="F34">
        <f>VLOOKUP(B34,'CQ 3.5 12'!B:D,3,0)</f>
        <v>18.206570044698999</v>
      </c>
    </row>
    <row r="35" spans="1:6" x14ac:dyDescent="0.25">
      <c r="A35" s="2" t="s">
        <v>39</v>
      </c>
      <c r="B35" s="3">
        <v>41944</v>
      </c>
      <c r="C35">
        <v>9.9052148560914208</v>
      </c>
      <c r="D35">
        <v>20.8539858623718</v>
      </c>
      <c r="E35">
        <f>VLOOKUP(B35,'CQ 3.5 12'!B:D,2,0)</f>
        <v>7.5166707320653803</v>
      </c>
      <c r="F35">
        <f>VLOOKUP(B35,'CQ 3.5 12'!B:D,3,0)</f>
        <v>17.7993232446475</v>
      </c>
    </row>
    <row r="36" spans="1:6" x14ac:dyDescent="0.25">
      <c r="A36" s="2" t="s">
        <v>40</v>
      </c>
      <c r="B36" s="3">
        <v>41974</v>
      </c>
      <c r="C36">
        <v>5.2173357872271104</v>
      </c>
      <c r="D36">
        <v>23.362654270134399</v>
      </c>
      <c r="E36">
        <f>VLOOKUP(B36,'CQ 3.5 12'!B:D,2,0)</f>
        <v>6.1483109067524504</v>
      </c>
      <c r="F36">
        <f>VLOOKUP(B36,'CQ 3.5 12'!B:D,3,0)</f>
        <v>20.357324870127002</v>
      </c>
    </row>
    <row r="37" spans="1:6" x14ac:dyDescent="0.25">
      <c r="A37" s="2" t="s">
        <v>41</v>
      </c>
      <c r="B37" s="3">
        <v>42005</v>
      </c>
      <c r="C37">
        <v>7.4221559620292403</v>
      </c>
      <c r="D37">
        <v>27.1788364064532</v>
      </c>
      <c r="E37">
        <f>VLOOKUP(B37,'CQ 3.5 12'!B:D,2,0)</f>
        <v>6.69755459870363</v>
      </c>
      <c r="F37">
        <f>VLOOKUP(B37,'CQ 3.5 12'!B:D,3,0)</f>
        <v>26.175521505152901</v>
      </c>
    </row>
    <row r="38" spans="1:6" x14ac:dyDescent="0.25">
      <c r="A38" s="2" t="s">
        <v>42</v>
      </c>
      <c r="B38" s="3">
        <v>42036</v>
      </c>
      <c r="C38">
        <v>6.9253204690961603</v>
      </c>
      <c r="D38">
        <v>28.657884705752899</v>
      </c>
      <c r="E38">
        <f>VLOOKUP(B38,'CQ 3.5 12'!B:D,2,0)</f>
        <v>4.3234793926000803</v>
      </c>
      <c r="F38">
        <f>VLOOKUP(B38,'CQ 3.5 12'!B:D,3,0)</f>
        <v>27.885398086076201</v>
      </c>
    </row>
    <row r="39" spans="1:6" x14ac:dyDescent="0.25">
      <c r="A39" s="2" t="s">
        <v>43</v>
      </c>
      <c r="B39" s="3">
        <v>42064</v>
      </c>
      <c r="C39">
        <v>8.7798883018161007</v>
      </c>
      <c r="D39">
        <v>33.924499584986798</v>
      </c>
      <c r="E39">
        <f>VLOOKUP(B39,'CQ 3.5 12'!B:D,2,0)</f>
        <v>7.4188254022990998</v>
      </c>
      <c r="F39">
        <f>VLOOKUP(B39,'CQ 3.5 12'!B:D,3,0)</f>
        <v>32.743682034624001</v>
      </c>
    </row>
    <row r="40" spans="1:6" x14ac:dyDescent="0.25">
      <c r="A40" s="2" t="s">
        <v>44</v>
      </c>
      <c r="B40" s="3">
        <v>42095</v>
      </c>
      <c r="C40">
        <v>12.282544471590301</v>
      </c>
      <c r="D40">
        <v>34.759760083069501</v>
      </c>
      <c r="E40">
        <f>VLOOKUP(B40,'CQ 3.5 12'!B:D,2,0)</f>
        <v>9.2793438789049105</v>
      </c>
      <c r="F40">
        <f>VLOOKUP(B40,'CQ 3.5 12'!B:D,3,0)</f>
        <v>34.299777896700299</v>
      </c>
    </row>
    <row r="41" spans="1:6" x14ac:dyDescent="0.25">
      <c r="A41" s="2" t="s">
        <v>45</v>
      </c>
      <c r="B41" s="3">
        <v>42125</v>
      </c>
      <c r="C41">
        <v>10.534341426052899</v>
      </c>
      <c r="D41">
        <v>34.377847771672698</v>
      </c>
      <c r="E41">
        <f>VLOOKUP(B41,'CQ 3.5 12'!B:D,2,0)</f>
        <v>10.3371536094182</v>
      </c>
      <c r="F41">
        <f>VLOOKUP(B41,'CQ 3.5 12'!B:D,3,0)</f>
        <v>35.275276927718203</v>
      </c>
    </row>
    <row r="42" spans="1:6" x14ac:dyDescent="0.25">
      <c r="A42" s="2" t="s">
        <v>46</v>
      </c>
      <c r="B42" s="3">
        <v>42156</v>
      </c>
      <c r="C42">
        <v>10.524974227974599</v>
      </c>
      <c r="D42">
        <v>37.294598935862197</v>
      </c>
      <c r="E42">
        <f>VLOOKUP(B42,'CQ 3.5 12'!B:D,2,0)</f>
        <v>9.8347237086167798</v>
      </c>
      <c r="F42">
        <f>VLOOKUP(B42,'CQ 3.5 12'!B:D,3,0)</f>
        <v>38.983300882522897</v>
      </c>
    </row>
    <row r="43" spans="1:6" x14ac:dyDescent="0.25">
      <c r="A43" s="2" t="s">
        <v>47</v>
      </c>
      <c r="B43" s="3">
        <v>42186</v>
      </c>
      <c r="C43">
        <v>14.6916274531175</v>
      </c>
      <c r="D43">
        <v>33.0407611443948</v>
      </c>
      <c r="E43">
        <f>VLOOKUP(B43,'CQ 3.5 12'!B:D,2,0)</f>
        <v>11.3211637995181</v>
      </c>
      <c r="F43">
        <f>VLOOKUP(B43,'CQ 3.5 12'!B:D,3,0)</f>
        <v>35.289776411218497</v>
      </c>
    </row>
    <row r="44" spans="1:6" x14ac:dyDescent="0.25">
      <c r="A44" s="2" t="s">
        <v>48</v>
      </c>
      <c r="B44" s="3">
        <v>42217</v>
      </c>
      <c r="C44">
        <v>11.900457222695699</v>
      </c>
      <c r="D44">
        <v>29.7636752056586</v>
      </c>
      <c r="E44">
        <f>VLOOKUP(B44,'CQ 3.5 12'!B:D,2,0)</f>
        <v>11.184780948608999</v>
      </c>
      <c r="F44">
        <f>VLOOKUP(B44,'CQ 3.5 12'!B:D,3,0)</f>
        <v>32.2519342591509</v>
      </c>
    </row>
    <row r="45" spans="1:6" x14ac:dyDescent="0.25">
      <c r="A45" s="2" t="s">
        <v>49</v>
      </c>
      <c r="B45" s="3">
        <v>42248</v>
      </c>
      <c r="C45">
        <v>11.809639458601501</v>
      </c>
      <c r="D45">
        <v>28.185515431122901</v>
      </c>
      <c r="E45">
        <f>VLOOKUP(B45,'CQ 3.5 12'!B:D,2,0)</f>
        <v>9.4689376650899906</v>
      </c>
      <c r="F45">
        <f>VLOOKUP(B45,'CQ 3.5 12'!B:D,3,0)</f>
        <v>31.519639553807799</v>
      </c>
    </row>
    <row r="46" spans="1:6" x14ac:dyDescent="0.25">
      <c r="A46" s="2" t="s">
        <v>50</v>
      </c>
      <c r="B46" s="3">
        <v>42278</v>
      </c>
      <c r="C46">
        <v>11.472088769313499</v>
      </c>
      <c r="D46">
        <v>31.160622293288501</v>
      </c>
      <c r="E46">
        <f>VLOOKUP(B46,'CQ 3.5 12'!B:D,2,0)</f>
        <v>11.337494148533199</v>
      </c>
      <c r="F46">
        <f>VLOOKUP(B46,'CQ 3.5 12'!B:D,3,0)</f>
        <v>33.805217360950898</v>
      </c>
    </row>
    <row r="47" spans="1:6" x14ac:dyDescent="0.25">
      <c r="A47" s="2" t="s">
        <v>51</v>
      </c>
      <c r="B47" s="3">
        <v>42309</v>
      </c>
      <c r="C47">
        <v>9.9014300051103206</v>
      </c>
      <c r="D47">
        <v>30.736408980241499</v>
      </c>
      <c r="E47">
        <f>VLOOKUP(B47,'CQ 3.5 12'!B:D,2,0)</f>
        <v>9.2770014758118098</v>
      </c>
      <c r="F47">
        <f>VLOOKUP(B47,'CQ 3.5 12'!B:D,3,0)</f>
        <v>33.220936048582601</v>
      </c>
    </row>
    <row r="48" spans="1:6" x14ac:dyDescent="0.25">
      <c r="A48" s="2" t="s">
        <v>52</v>
      </c>
      <c r="B48" s="3">
        <v>42339</v>
      </c>
      <c r="C48">
        <v>7.7025754603598102</v>
      </c>
      <c r="D48">
        <v>31.5607222963997</v>
      </c>
      <c r="E48">
        <f>VLOOKUP(B48,'CQ 3.5 12'!B:D,2,0)</f>
        <v>8.2135104279118796</v>
      </c>
      <c r="F48">
        <f>VLOOKUP(B48,'CQ 3.5 12'!B:D,3,0)</f>
        <v>33.903323321467902</v>
      </c>
    </row>
    <row r="49" spans="1:6" x14ac:dyDescent="0.25">
      <c r="A49" s="2" t="s">
        <v>53</v>
      </c>
      <c r="B49" s="3">
        <v>42370</v>
      </c>
      <c r="C49">
        <v>11.3805573345097</v>
      </c>
      <c r="D49">
        <v>27.884135946644701</v>
      </c>
      <c r="E49">
        <f>VLOOKUP(B49,'CQ 3.5 12'!B:D,2,0)</f>
        <v>9.11931377444383</v>
      </c>
      <c r="F49">
        <f>VLOOKUP(B49,'CQ 3.5 12'!B:D,3,0)</f>
        <v>30.594085546638699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F49"/>
  <sheetViews>
    <sheetView workbookViewId="0">
      <selection activeCell="E2" sqref="E2:F2"/>
    </sheetView>
  </sheetViews>
  <sheetFormatPr defaultRowHeight="15" x14ac:dyDescent="0.25"/>
  <cols>
    <col min="2" max="2" width="9.7109375" bestFit="1" customWidth="1"/>
  </cols>
  <sheetData>
    <row r="1" spans="1:6" x14ac:dyDescent="0.25">
      <c r="A1" s="2"/>
      <c r="C1" t="s">
        <v>68</v>
      </c>
      <c r="D1" t="s">
        <v>69</v>
      </c>
      <c r="E1" t="s">
        <v>66</v>
      </c>
      <c r="F1" t="s">
        <v>67</v>
      </c>
    </row>
    <row r="2" spans="1:6" x14ac:dyDescent="0.25">
      <c r="A2" s="3" t="s">
        <v>6</v>
      </c>
      <c r="B2" s="3">
        <v>41306</v>
      </c>
      <c r="C2">
        <v>6.8953289138584698E-3</v>
      </c>
      <c r="D2">
        <v>17.495708728259899</v>
      </c>
      <c r="E2">
        <f>VLOOKUP(B2,'CQ 4.0 13'!B:D,2,0)</f>
        <v>0.175713761323326</v>
      </c>
      <c r="F2">
        <f>VLOOKUP(B2,'CQ 4.0 13'!B:D,3,0)</f>
        <v>0.64200687726686501</v>
      </c>
    </row>
    <row r="3" spans="1:6" x14ac:dyDescent="0.25">
      <c r="A3" s="3" t="s">
        <v>7</v>
      </c>
      <c r="B3" s="3">
        <v>41334</v>
      </c>
      <c r="C3">
        <v>0.21802221604684299</v>
      </c>
      <c r="D3">
        <v>9.6935200946916407</v>
      </c>
      <c r="E3">
        <f>VLOOKUP(B3,'CQ 4.0 13'!B:D,2,0)</f>
        <v>1.4076125545573901</v>
      </c>
      <c r="F3">
        <f>VLOOKUP(B3,'CQ 4.0 13'!B:D,3,0)</f>
        <v>0.73733747177738795</v>
      </c>
    </row>
    <row r="4" spans="1:6" x14ac:dyDescent="0.25">
      <c r="A4" s="3" t="s">
        <v>8</v>
      </c>
      <c r="B4" s="3">
        <v>41365</v>
      </c>
      <c r="C4">
        <v>5.5449263940042899</v>
      </c>
      <c r="D4">
        <v>8.0535038396945193</v>
      </c>
      <c r="E4">
        <f>VLOOKUP(B4,'CQ 4.0 13'!B:D,2,0)</f>
        <v>0.53866158869957403</v>
      </c>
      <c r="F4">
        <f>VLOOKUP(B4,'CQ 4.0 13'!B:D,3,0)</f>
        <v>1.2470513303453501</v>
      </c>
    </row>
    <row r="5" spans="1:6" x14ac:dyDescent="0.25">
      <c r="A5" s="3" t="s">
        <v>9</v>
      </c>
      <c r="B5" s="3">
        <v>41395</v>
      </c>
      <c r="C5">
        <v>3.6276470660019702</v>
      </c>
      <c r="D5">
        <v>6.7423979849863498</v>
      </c>
      <c r="E5">
        <f>VLOOKUP(B5,'CQ 4.0 13'!B:D,2,0)</f>
        <v>1.3040200021236601</v>
      </c>
      <c r="F5">
        <f>VLOOKUP(B5,'CQ 4.0 13'!B:D,3,0)</f>
        <v>1.2518293465070101</v>
      </c>
    </row>
    <row r="6" spans="1:6" x14ac:dyDescent="0.25">
      <c r="A6" s="3" t="s">
        <v>10</v>
      </c>
      <c r="B6" s="3">
        <v>41426</v>
      </c>
      <c r="C6">
        <v>0.13888102571574201</v>
      </c>
      <c r="D6">
        <v>11.652340064326101</v>
      </c>
      <c r="E6">
        <f>VLOOKUP(B6,'CQ 4.0 13'!B:D,2,0)</f>
        <v>1.5086563747561099</v>
      </c>
      <c r="F6">
        <f>VLOOKUP(B6,'CQ 4.0 13'!B:D,3,0)</f>
        <v>1.52205980744838</v>
      </c>
    </row>
    <row r="7" spans="1:6" x14ac:dyDescent="0.25">
      <c r="A7" s="3" t="s">
        <v>11</v>
      </c>
      <c r="B7" s="3">
        <v>41456</v>
      </c>
      <c r="C7">
        <v>1.2491519328551499</v>
      </c>
      <c r="D7">
        <v>13.310434193434</v>
      </c>
      <c r="E7">
        <f>VLOOKUP(B7,'CQ 4.0 13'!B:D,2,0)</f>
        <v>2.1320347136088502</v>
      </c>
      <c r="F7">
        <f>VLOOKUP(B7,'CQ 4.0 13'!B:D,3,0)</f>
        <v>1.67058384275824</v>
      </c>
    </row>
    <row r="8" spans="1:6" x14ac:dyDescent="0.25">
      <c r="A8" s="3" t="s">
        <v>12</v>
      </c>
      <c r="B8" s="3">
        <v>41487</v>
      </c>
      <c r="C8">
        <v>2.9022043690334498</v>
      </c>
      <c r="D8">
        <v>7.7859066051416903</v>
      </c>
      <c r="E8">
        <f>VLOOKUP(B8,'CQ 4.0 13'!B:D,2,0)</f>
        <v>1.41269049886298</v>
      </c>
      <c r="F8">
        <f>VLOOKUP(B8,'CQ 4.0 13'!B:D,3,0)</f>
        <v>1.3348314759519699</v>
      </c>
    </row>
    <row r="9" spans="1:6" x14ac:dyDescent="0.25">
      <c r="A9" s="3" t="s">
        <v>13</v>
      </c>
      <c r="B9" s="3">
        <v>41518</v>
      </c>
      <c r="C9">
        <v>2.9179014876479799</v>
      </c>
      <c r="D9">
        <v>6.0325514503197004</v>
      </c>
      <c r="E9">
        <f>VLOOKUP(B9,'CQ 4.0 13'!B:D,2,0)</f>
        <v>2.0477129698812502</v>
      </c>
      <c r="F9">
        <f>VLOOKUP(B9,'CQ 4.0 13'!B:D,3,0)</f>
        <v>1.4490923812052201</v>
      </c>
    </row>
    <row r="10" spans="1:6" x14ac:dyDescent="0.25">
      <c r="A10" s="3" t="s">
        <v>14</v>
      </c>
      <c r="B10" s="3">
        <v>41548</v>
      </c>
      <c r="C10">
        <v>2.7857773978867901</v>
      </c>
      <c r="D10">
        <v>4.6443022200859696</v>
      </c>
      <c r="E10">
        <f>VLOOKUP(B10,'CQ 4.0 13'!B:D,2,0)</f>
        <v>1.65974117522664</v>
      </c>
      <c r="F10">
        <f>VLOOKUP(B10,'CQ 4.0 13'!B:D,3,0)</f>
        <v>1.3862923582272999</v>
      </c>
    </row>
    <row r="11" spans="1:6" x14ac:dyDescent="0.25">
      <c r="A11" s="2" t="s">
        <v>15</v>
      </c>
      <c r="B11" s="3">
        <v>41579</v>
      </c>
      <c r="C11">
        <v>3.4591235602834498</v>
      </c>
      <c r="D11">
        <v>4.6077476251073302</v>
      </c>
      <c r="E11">
        <f>VLOOKUP(B11,'CQ 4.0 13'!B:D,2,0)</f>
        <v>1.69430246666377</v>
      </c>
      <c r="F11">
        <f>VLOOKUP(B11,'CQ 4.0 13'!B:D,3,0)</f>
        <v>1.4978004481843701</v>
      </c>
    </row>
    <row r="12" spans="1:6" x14ac:dyDescent="0.25">
      <c r="A12" s="2" t="s">
        <v>16</v>
      </c>
      <c r="B12" s="3">
        <v>41609</v>
      </c>
      <c r="C12">
        <v>1.62461142354142</v>
      </c>
      <c r="D12">
        <v>6.0944795495844497</v>
      </c>
      <c r="E12">
        <f>VLOOKUP(B12,'CQ 4.0 13'!B:D,2,0)</f>
        <v>2.0164125801628701</v>
      </c>
      <c r="F12">
        <f>VLOOKUP(B12,'CQ 4.0 13'!B:D,3,0)</f>
        <v>1.85841224258528</v>
      </c>
    </row>
    <row r="13" spans="1:6" x14ac:dyDescent="0.25">
      <c r="A13" s="2" t="s">
        <v>17</v>
      </c>
      <c r="B13" s="3">
        <v>41640</v>
      </c>
      <c r="C13">
        <v>2.4569770639325901</v>
      </c>
      <c r="D13">
        <v>6.1324219818063801</v>
      </c>
      <c r="E13">
        <f>VLOOKUP(B13,'CQ 4.0 13'!B:D,2,0)</f>
        <v>2.8231379577377398</v>
      </c>
      <c r="F13">
        <f>VLOOKUP(B13,'CQ 4.0 13'!B:D,3,0)</f>
        <v>2.0320932644390099</v>
      </c>
    </row>
    <row r="14" spans="1:6" x14ac:dyDescent="0.25">
      <c r="A14" s="2" t="s">
        <v>18</v>
      </c>
      <c r="B14" s="3">
        <v>41671</v>
      </c>
      <c r="C14">
        <v>1.99215606005435</v>
      </c>
      <c r="D14">
        <v>4.9400089701921601</v>
      </c>
      <c r="E14">
        <f>VLOOKUP(B14,'CQ 4.0 13'!B:D,2,0)</f>
        <v>2.5745762925061402</v>
      </c>
      <c r="F14">
        <f>VLOOKUP(B14,'CQ 4.0 13'!B:D,3,0)</f>
        <v>1.9956772394520801</v>
      </c>
    </row>
    <row r="15" spans="1:6" x14ac:dyDescent="0.25">
      <c r="A15" s="2" t="s">
        <v>19</v>
      </c>
      <c r="B15" s="3">
        <v>41699</v>
      </c>
      <c r="C15">
        <v>2.5851698841665698</v>
      </c>
      <c r="D15">
        <v>5.6273150842893598</v>
      </c>
      <c r="E15">
        <f>VLOOKUP(B15,'CQ 4.0 13'!B:D,2,0)</f>
        <v>2.7788697047950301</v>
      </c>
      <c r="F15">
        <f>VLOOKUP(B15,'CQ 4.0 13'!B:D,3,0)</f>
        <v>2.2407143510201699</v>
      </c>
    </row>
    <row r="16" spans="1:6" x14ac:dyDescent="0.25">
      <c r="A16" s="2" t="s">
        <v>20</v>
      </c>
      <c r="B16" s="3">
        <v>41730</v>
      </c>
      <c r="C16">
        <v>5.6707349303542802</v>
      </c>
      <c r="D16">
        <v>7.8983481899475896</v>
      </c>
      <c r="E16">
        <f>VLOOKUP(B16,'CQ 4.0 13'!B:D,2,0)</f>
        <v>2.8632699861647799</v>
      </c>
      <c r="F16">
        <f>VLOOKUP(B16,'CQ 4.0 13'!B:D,3,0)</f>
        <v>2.8729938366198202</v>
      </c>
    </row>
    <row r="17" spans="1:6" x14ac:dyDescent="0.25">
      <c r="A17" s="2" t="s">
        <v>21</v>
      </c>
      <c r="B17" s="3">
        <v>41760</v>
      </c>
      <c r="C17">
        <v>3.9692678732809101</v>
      </c>
      <c r="D17">
        <v>9.79370876459196</v>
      </c>
      <c r="E17">
        <f>VLOOKUP(B17,'CQ 4.0 13'!B:D,2,0)</f>
        <v>3.7319759732134501</v>
      </c>
      <c r="F17">
        <f>VLOOKUP(B17,'CQ 4.0 13'!B:D,3,0)</f>
        <v>3.1264536950577502</v>
      </c>
    </row>
    <row r="18" spans="1:6" x14ac:dyDescent="0.25">
      <c r="A18" s="2" t="s">
        <v>22</v>
      </c>
      <c r="B18" s="3">
        <v>41791</v>
      </c>
      <c r="C18">
        <v>6.0224013831981802</v>
      </c>
      <c r="D18">
        <v>11.9500409183006</v>
      </c>
      <c r="E18">
        <f>VLOOKUP(B18,'CQ 4.0 13'!B:D,2,0)</f>
        <v>4.0770416632663098</v>
      </c>
      <c r="F18">
        <f>VLOOKUP(B18,'CQ 4.0 13'!B:D,3,0)</f>
        <v>3.6659837083518898</v>
      </c>
    </row>
    <row r="19" spans="1:6" x14ac:dyDescent="0.25">
      <c r="A19" s="2" t="s">
        <v>23</v>
      </c>
      <c r="B19" s="3">
        <v>41821</v>
      </c>
      <c r="C19">
        <v>5.3801179326838398</v>
      </c>
      <c r="D19">
        <v>15.3719232120885</v>
      </c>
      <c r="E19">
        <f>VLOOKUP(B19,'CQ 4.0 13'!B:D,2,0)</f>
        <v>3.80131706157306</v>
      </c>
      <c r="F19">
        <f>VLOOKUP(B19,'CQ 4.0 13'!B:D,3,0)</f>
        <v>4.7336771096664902</v>
      </c>
    </row>
    <row r="20" spans="1:6" x14ac:dyDescent="0.25">
      <c r="A20" s="2" t="s">
        <v>24</v>
      </c>
      <c r="B20" s="3">
        <v>41852</v>
      </c>
      <c r="C20">
        <v>5.4711114761991997</v>
      </c>
      <c r="D20">
        <v>16.3384797626215</v>
      </c>
      <c r="E20">
        <f>VLOOKUP(B20,'CQ 4.0 13'!B:D,2,0)</f>
        <v>4.7985799521396801</v>
      </c>
      <c r="F20">
        <f>VLOOKUP(B20,'CQ 4.0 13'!B:D,3,0)</f>
        <v>5.30461675252646</v>
      </c>
    </row>
    <row r="21" spans="1:6" x14ac:dyDescent="0.25">
      <c r="A21" s="2" t="s">
        <v>25</v>
      </c>
      <c r="B21" s="3">
        <v>41883</v>
      </c>
      <c r="C21">
        <v>6.7254097665898103</v>
      </c>
      <c r="D21">
        <v>17.646232216371398</v>
      </c>
      <c r="E21">
        <f>VLOOKUP(B21,'CQ 4.0 13'!B:D,2,0)</f>
        <v>5.3028714396974204</v>
      </c>
      <c r="F21">
        <f>VLOOKUP(B21,'CQ 4.0 13'!B:D,3,0)</f>
        <v>6.1353882537736704</v>
      </c>
    </row>
    <row r="22" spans="1:6" x14ac:dyDescent="0.25">
      <c r="A22" s="2" t="s">
        <v>26</v>
      </c>
      <c r="B22" s="3">
        <v>41913</v>
      </c>
      <c r="C22">
        <v>5.3180380704133796</v>
      </c>
      <c r="D22">
        <v>17.402761577724899</v>
      </c>
      <c r="E22">
        <f>VLOOKUP(B22,'CQ 4.0 13'!B:D,2,0)</f>
        <v>4.7853513794234699</v>
      </c>
      <c r="F22">
        <f>VLOOKUP(B22,'CQ 4.0 13'!B:D,3,0)</f>
        <v>6.1947212954730499</v>
      </c>
    </row>
    <row r="23" spans="1:6" x14ac:dyDescent="0.25">
      <c r="A23" s="2" t="s">
        <v>27</v>
      </c>
      <c r="B23" s="3">
        <v>41944</v>
      </c>
      <c r="C23">
        <v>8.4969753978830607</v>
      </c>
      <c r="D23">
        <v>17.205566883463401</v>
      </c>
      <c r="E23">
        <f>VLOOKUP(B23,'CQ 4.0 13'!B:D,2,0)</f>
        <v>6.2622696888914096</v>
      </c>
      <c r="F23">
        <f>VLOOKUP(B23,'CQ 4.0 13'!B:D,3,0)</f>
        <v>6.2978752377116098</v>
      </c>
    </row>
    <row r="24" spans="1:6" x14ac:dyDescent="0.25">
      <c r="A24" s="2" t="s">
        <v>28</v>
      </c>
      <c r="B24" s="3">
        <v>41974</v>
      </c>
      <c r="C24">
        <v>7.0376016072676899</v>
      </c>
      <c r="D24">
        <v>19.795245058425799</v>
      </c>
      <c r="E24">
        <f>VLOOKUP(B24,'CQ 4.0 13'!B:D,2,0)</f>
        <v>4.68878404674685</v>
      </c>
      <c r="F24">
        <f>VLOOKUP(B24,'CQ 4.0 13'!B:D,3,0)</f>
        <v>7.1210887843699204</v>
      </c>
    </row>
    <row r="25" spans="1:6" x14ac:dyDescent="0.25">
      <c r="A25" s="2" t="s">
        <v>29</v>
      </c>
      <c r="B25" s="3">
        <v>42005</v>
      </c>
      <c r="C25">
        <v>8.0052679506098503</v>
      </c>
      <c r="D25">
        <v>25.572470146783399</v>
      </c>
      <c r="E25">
        <f>VLOOKUP(B25,'CQ 4.0 13'!B:D,2,0)</f>
        <v>5.4054088355828398</v>
      </c>
      <c r="F25">
        <f>VLOOKUP(B25,'CQ 4.0 13'!B:D,3,0)</f>
        <v>8.3791474787495801</v>
      </c>
    </row>
    <row r="26" spans="1:6" x14ac:dyDescent="0.25">
      <c r="A26" s="2" t="s">
        <v>30</v>
      </c>
      <c r="B26" s="3">
        <v>42036</v>
      </c>
      <c r="C26">
        <v>9.2572489296589495</v>
      </c>
      <c r="D26">
        <v>27.363843581760701</v>
      </c>
      <c r="E26">
        <f>VLOOKUP(B26,'CQ 4.0 13'!B:D,2,0)</f>
        <v>4.2527869743063302</v>
      </c>
      <c r="F26">
        <f>VLOOKUP(B26,'CQ 4.0 13'!B:D,3,0)</f>
        <v>9.0549516055823194</v>
      </c>
    </row>
    <row r="27" spans="1:6" x14ac:dyDescent="0.25">
      <c r="A27" s="2" t="s">
        <v>31</v>
      </c>
      <c r="B27" s="3">
        <v>42064</v>
      </c>
      <c r="C27">
        <v>7.4605574984497798</v>
      </c>
      <c r="D27">
        <v>33.229604522870702</v>
      </c>
      <c r="E27">
        <f>VLOOKUP(B27,'CQ 4.0 13'!B:D,2,0)</f>
        <v>5.9995883368899703</v>
      </c>
      <c r="F27">
        <f>VLOOKUP(B27,'CQ 4.0 13'!B:D,3,0)</f>
        <v>11.6051495175612</v>
      </c>
    </row>
    <row r="28" spans="1:6" x14ac:dyDescent="0.25">
      <c r="A28" s="2" t="s">
        <v>32</v>
      </c>
      <c r="B28" s="3">
        <v>42095</v>
      </c>
      <c r="C28">
        <v>10.305370201687699</v>
      </c>
      <c r="D28">
        <v>34.377182763378997</v>
      </c>
      <c r="E28">
        <f>VLOOKUP(B28,'CQ 4.0 13'!B:D,2,0)</f>
        <v>7.7433577860941503</v>
      </c>
      <c r="F28">
        <f>VLOOKUP(B28,'CQ 4.0 13'!B:D,3,0)</f>
        <v>14.213496281669901</v>
      </c>
    </row>
    <row r="29" spans="1:6" x14ac:dyDescent="0.25">
      <c r="A29" s="2" t="s">
        <v>33</v>
      </c>
      <c r="B29" s="3">
        <v>42125</v>
      </c>
      <c r="C29">
        <v>11.630532325331799</v>
      </c>
      <c r="D29">
        <v>35.350278591647999</v>
      </c>
      <c r="E29">
        <f>VLOOKUP(B29,'CQ 4.0 13'!B:D,2,0)</f>
        <v>8.1890206957123599</v>
      </c>
      <c r="F29">
        <f>VLOOKUP(B29,'CQ 4.0 13'!B:D,3,0)</f>
        <v>16.5395852746672</v>
      </c>
    </row>
    <row r="30" spans="1:6" x14ac:dyDescent="0.25">
      <c r="A30" s="2" t="s">
        <v>34</v>
      </c>
      <c r="B30" s="3">
        <v>42156</v>
      </c>
      <c r="C30">
        <v>11.194288604478301</v>
      </c>
      <c r="D30">
        <v>39.056103199933098</v>
      </c>
      <c r="E30">
        <f>VLOOKUP(B30,'CQ 4.0 13'!B:D,2,0)</f>
        <v>7.0850204039629396</v>
      </c>
      <c r="F30">
        <f>VLOOKUP(B30,'CQ 4.0 13'!B:D,3,0)</f>
        <v>20.7420271458586</v>
      </c>
    </row>
    <row r="31" spans="1:6" x14ac:dyDescent="0.25">
      <c r="A31" s="2" t="s">
        <v>35</v>
      </c>
      <c r="B31" s="3">
        <v>42186</v>
      </c>
      <c r="C31">
        <v>12.094187247075601</v>
      </c>
      <c r="D31">
        <v>35.153543784329102</v>
      </c>
      <c r="E31">
        <f>VLOOKUP(B31,'CQ 4.0 13'!B:D,2,0)</f>
        <v>10.2431171149502</v>
      </c>
      <c r="F31">
        <f>VLOOKUP(B31,'CQ 4.0 13'!B:D,3,0)</f>
        <v>19.828354951830299</v>
      </c>
    </row>
    <row r="32" spans="1:6" x14ac:dyDescent="0.25">
      <c r="A32" s="2" t="s">
        <v>36</v>
      </c>
      <c r="B32" s="3">
        <v>42217</v>
      </c>
      <c r="C32">
        <v>11.6461087456751</v>
      </c>
      <c r="D32">
        <v>32.551367922186898</v>
      </c>
      <c r="E32">
        <f>VLOOKUP(B32,'CQ 4.0 13'!B:D,2,0)</f>
        <v>8.2418808611601708</v>
      </c>
      <c r="F32">
        <f>VLOOKUP(B32,'CQ 4.0 13'!B:D,3,0)</f>
        <v>18.8675908014899</v>
      </c>
    </row>
    <row r="33" spans="1:6" x14ac:dyDescent="0.25">
      <c r="A33" s="2" t="s">
        <v>37</v>
      </c>
      <c r="B33" s="3">
        <v>42248</v>
      </c>
      <c r="C33">
        <v>9.4162644878003405</v>
      </c>
      <c r="D33">
        <v>31.640801388772601</v>
      </c>
      <c r="E33">
        <f>VLOOKUP(B33,'CQ 4.0 13'!B:D,2,0)</f>
        <v>9.6253119190808807</v>
      </c>
      <c r="F33">
        <f>VLOOKUP(B33,'CQ 4.0 13'!B:D,3,0)</f>
        <v>20.161734617424099</v>
      </c>
    </row>
    <row r="34" spans="1:6" x14ac:dyDescent="0.25">
      <c r="A34" s="2" t="s">
        <v>38</v>
      </c>
      <c r="B34" s="3">
        <v>42278</v>
      </c>
      <c r="C34">
        <v>13.5272630410789</v>
      </c>
      <c r="D34">
        <v>33.785829964144703</v>
      </c>
      <c r="E34">
        <f>VLOOKUP(B34,'CQ 4.0 13'!B:D,2,0)</f>
        <v>8.0498299614579008</v>
      </c>
      <c r="F34">
        <f>VLOOKUP(B34,'CQ 4.0 13'!B:D,3,0)</f>
        <v>21.579427648150499</v>
      </c>
    </row>
    <row r="35" spans="1:6" x14ac:dyDescent="0.25">
      <c r="A35" s="2" t="s">
        <v>39</v>
      </c>
      <c r="B35" s="3">
        <v>42309</v>
      </c>
      <c r="C35">
        <v>11.3931091494344</v>
      </c>
      <c r="D35">
        <v>33.268933749496298</v>
      </c>
      <c r="E35">
        <f>VLOOKUP(B35,'CQ 4.0 13'!B:D,2,0)</f>
        <v>8.4787487228178708</v>
      </c>
      <c r="F35">
        <f>VLOOKUP(B35,'CQ 4.0 13'!B:D,3,0)</f>
        <v>21.599301980236199</v>
      </c>
    </row>
    <row r="36" spans="1:6" x14ac:dyDescent="0.25">
      <c r="A36" s="2" t="s">
        <v>40</v>
      </c>
      <c r="B36" s="3">
        <v>42339</v>
      </c>
      <c r="C36">
        <v>10.469594789266701</v>
      </c>
      <c r="D36">
        <v>34.1584828161606</v>
      </c>
      <c r="E36">
        <f>VLOOKUP(B36,'CQ 4.0 13'!B:D,2,0)</f>
        <v>6.1517215668283303</v>
      </c>
      <c r="F36">
        <f>VLOOKUP(B36,'CQ 4.0 13'!B:D,3,0)</f>
        <v>22.451902842815201</v>
      </c>
    </row>
    <row r="37" spans="1:6" x14ac:dyDescent="0.25">
      <c r="A37" s="2" t="s">
        <v>41</v>
      </c>
      <c r="B37" s="3">
        <v>42370</v>
      </c>
      <c r="C37">
        <v>7.8536312077284602</v>
      </c>
      <c r="D37">
        <v>30.672399758432501</v>
      </c>
      <c r="E37">
        <f>VLOOKUP(B37,'CQ 4.0 13'!B:D,2,0)</f>
        <v>8.0462497584834995</v>
      </c>
      <c r="F37">
        <f>VLOOKUP(B37,'CQ 4.0 13'!B:D,3,0)</f>
        <v>20.403947839167301</v>
      </c>
    </row>
    <row r="38" spans="1:6" x14ac:dyDescent="0.25">
      <c r="A38" s="2"/>
      <c r="B38" s="3"/>
    </row>
    <row r="39" spans="1:6" x14ac:dyDescent="0.25">
      <c r="A39" s="2"/>
      <c r="B39" s="3"/>
    </row>
    <row r="40" spans="1:6" x14ac:dyDescent="0.25">
      <c r="A40" s="2"/>
      <c r="B40" s="3"/>
    </row>
    <row r="41" spans="1:6" x14ac:dyDescent="0.25">
      <c r="A41" s="2"/>
      <c r="B41" s="3"/>
    </row>
    <row r="42" spans="1:6" x14ac:dyDescent="0.25">
      <c r="A42" s="2"/>
      <c r="B42" s="3"/>
    </row>
    <row r="43" spans="1:6" x14ac:dyDescent="0.25">
      <c r="A43" s="2"/>
      <c r="B43" s="3"/>
    </row>
    <row r="44" spans="1:6" x14ac:dyDescent="0.25">
      <c r="A44" s="2"/>
      <c r="B44" s="3"/>
    </row>
    <row r="45" spans="1:6" x14ac:dyDescent="0.25">
      <c r="A45" s="2"/>
      <c r="B45" s="3"/>
    </row>
    <row r="46" spans="1:6" x14ac:dyDescent="0.25">
      <c r="A46" s="2"/>
      <c r="B46" s="3"/>
    </row>
    <row r="47" spans="1:6" x14ac:dyDescent="0.25">
      <c r="A47" s="2"/>
      <c r="B47" s="3"/>
    </row>
    <row r="48" spans="1:6" x14ac:dyDescent="0.25">
      <c r="A48" s="2"/>
      <c r="B48" s="3"/>
    </row>
    <row r="49" spans="1:2" x14ac:dyDescent="0.25">
      <c r="A49" s="2"/>
      <c r="B49" s="3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F49"/>
  <sheetViews>
    <sheetView workbookViewId="0">
      <selection activeCell="E2" sqref="E2:F2"/>
    </sheetView>
  </sheetViews>
  <sheetFormatPr defaultRowHeight="15" x14ac:dyDescent="0.25"/>
  <cols>
    <col min="2" max="2" width="9.7109375" bestFit="1" customWidth="1"/>
  </cols>
  <sheetData>
    <row r="1" spans="1:6" x14ac:dyDescent="0.25">
      <c r="A1" s="2"/>
      <c r="B1" t="s">
        <v>3</v>
      </c>
      <c r="C1" t="s">
        <v>68</v>
      </c>
      <c r="D1" t="s">
        <v>69</v>
      </c>
      <c r="E1" t="s">
        <v>66</v>
      </c>
      <c r="F1" t="s">
        <v>67</v>
      </c>
    </row>
    <row r="2" spans="1:6" x14ac:dyDescent="0.25">
      <c r="A2" s="3" t="s">
        <v>6</v>
      </c>
      <c r="B2" s="3">
        <v>40940</v>
      </c>
      <c r="C2">
        <v>0.249481081694891</v>
      </c>
      <c r="D2">
        <v>3.0107373802374799</v>
      </c>
      <c r="E2">
        <f>VLOOKUP(B2,'CQ 4.0 12'!B:D,2,0)</f>
        <v>0.12540459520398201</v>
      </c>
      <c r="F2">
        <f>VLOOKUP(B2,'CQ 4.0 12'!B:D,3,0)</f>
        <v>0.45851787333046601</v>
      </c>
    </row>
    <row r="3" spans="1:6" x14ac:dyDescent="0.25">
      <c r="A3" s="3" t="s">
        <v>7</v>
      </c>
      <c r="B3" s="3">
        <v>40969</v>
      </c>
      <c r="C3">
        <v>0.43304933369572302</v>
      </c>
      <c r="D3">
        <v>4.0996949490361496</v>
      </c>
      <c r="E3">
        <f>VLOOKUP(B3,'CQ 4.0 12'!B:D,2,0)</f>
        <v>0.31423326613383401</v>
      </c>
      <c r="F3">
        <f>VLOOKUP(B3,'CQ 4.0 12'!B:D,3,0)</f>
        <v>0.58578601813401598</v>
      </c>
    </row>
    <row r="4" spans="1:6" x14ac:dyDescent="0.25">
      <c r="A4" s="3" t="s">
        <v>8</v>
      </c>
      <c r="B4" s="3">
        <v>41000</v>
      </c>
      <c r="C4">
        <v>2.1512571790934101</v>
      </c>
      <c r="D4">
        <v>8.0439055893621507</v>
      </c>
      <c r="E4">
        <f>VLOOKUP(B4,'CQ 4.0 12'!B:D,2,0)</f>
        <v>1.1951987384510101</v>
      </c>
      <c r="F4">
        <f>VLOOKUP(B4,'CQ 4.0 12'!B:D,3,0)</f>
        <v>0.72015187026592797</v>
      </c>
    </row>
    <row r="5" spans="1:6" x14ac:dyDescent="0.25">
      <c r="A5" s="3" t="s">
        <v>9</v>
      </c>
      <c r="B5" s="3">
        <v>41030</v>
      </c>
      <c r="C5">
        <v>0.22851437365117899</v>
      </c>
      <c r="D5">
        <v>8.8913316715925603</v>
      </c>
      <c r="E5">
        <f>VLOOKUP(B5,'CQ 4.0 12'!B:D,2,0)</f>
        <v>0.39291227150214397</v>
      </c>
      <c r="F5">
        <f>VLOOKUP(B5,'CQ 4.0 12'!B:D,3,0)</f>
        <v>0.79985392045418502</v>
      </c>
    </row>
    <row r="6" spans="1:6" x14ac:dyDescent="0.25">
      <c r="A6" s="3" t="s">
        <v>10</v>
      </c>
      <c r="B6" s="3">
        <v>41061</v>
      </c>
      <c r="C6">
        <v>1.75486353521155</v>
      </c>
      <c r="D6">
        <v>11.2742505103542</v>
      </c>
      <c r="E6">
        <f>VLOOKUP(B6,'CQ 4.0 12'!B:D,2,0)</f>
        <v>0.53899236838785802</v>
      </c>
      <c r="F6">
        <f>VLOOKUP(B6,'CQ 4.0 12'!B:D,3,0)</f>
        <v>1.1064983311193901</v>
      </c>
    </row>
    <row r="7" spans="1:6" x14ac:dyDescent="0.25">
      <c r="A7" s="3" t="s">
        <v>11</v>
      </c>
      <c r="B7" s="3">
        <v>41091</v>
      </c>
      <c r="C7">
        <v>2.0532481326192702</v>
      </c>
      <c r="D7">
        <v>16.981202895599399</v>
      </c>
      <c r="E7">
        <f>VLOOKUP(B7,'CQ 4.0 12'!B:D,2,0)</f>
        <v>1.4569256192883699</v>
      </c>
      <c r="F7">
        <f>VLOOKUP(B7,'CQ 4.0 12'!B:D,3,0)</f>
        <v>1.39698615486532</v>
      </c>
    </row>
    <row r="8" spans="1:6" x14ac:dyDescent="0.25">
      <c r="A8" s="3" t="s">
        <v>12</v>
      </c>
      <c r="B8" s="3">
        <v>41122</v>
      </c>
      <c r="C8">
        <v>4.4879625139470702</v>
      </c>
      <c r="D8">
        <v>18.7559254196251</v>
      </c>
      <c r="E8">
        <f>VLOOKUP(B8,'CQ 4.0 12'!B:D,2,0)</f>
        <v>1.7580832627662699</v>
      </c>
      <c r="F8">
        <f>VLOOKUP(B8,'CQ 4.0 12'!B:D,3,0)</f>
        <v>1.5412047566542699</v>
      </c>
    </row>
    <row r="9" spans="1:6" x14ac:dyDescent="0.25">
      <c r="A9" s="3" t="s">
        <v>13</v>
      </c>
      <c r="B9" s="3">
        <v>41153</v>
      </c>
      <c r="C9">
        <v>6.5378071579715602</v>
      </c>
      <c r="D9">
        <v>21.678474292339398</v>
      </c>
      <c r="E9">
        <f>VLOOKUP(B9,'CQ 4.0 12'!B:D,2,0)</f>
        <v>1.2960484917414301</v>
      </c>
      <c r="F9">
        <f>VLOOKUP(B9,'CQ 4.0 12'!B:D,3,0)</f>
        <v>1.79339399695131</v>
      </c>
    </row>
    <row r="10" spans="1:6" x14ac:dyDescent="0.25">
      <c r="A10" s="3" t="s">
        <v>14</v>
      </c>
      <c r="B10" s="3">
        <v>41183</v>
      </c>
      <c r="C10">
        <v>3.85857951274554</v>
      </c>
      <c r="D10">
        <v>20.3595398259598</v>
      </c>
      <c r="E10">
        <f>VLOOKUP(B10,'CQ 4.0 12'!B:D,2,0)</f>
        <v>2.00171456935783</v>
      </c>
      <c r="F10">
        <f>VLOOKUP(B10,'CQ 4.0 12'!B:D,3,0)</f>
        <v>1.8482860115745099</v>
      </c>
    </row>
    <row r="11" spans="1:6" x14ac:dyDescent="0.25">
      <c r="A11" s="2" t="s">
        <v>15</v>
      </c>
      <c r="B11" s="3">
        <v>41214</v>
      </c>
      <c r="C11">
        <v>5.5250530049798803</v>
      </c>
      <c r="D11">
        <v>23.586374687843801</v>
      </c>
      <c r="E11">
        <f>VLOOKUP(B11,'CQ 4.0 12'!B:D,2,0)</f>
        <v>2.1382843976134902</v>
      </c>
      <c r="F11">
        <f>VLOOKUP(B11,'CQ 4.0 12'!B:D,3,0)</f>
        <v>2.1237492010641299</v>
      </c>
    </row>
    <row r="12" spans="1:6" x14ac:dyDescent="0.25">
      <c r="A12" s="2" t="s">
        <v>16</v>
      </c>
      <c r="B12" s="3">
        <v>41244</v>
      </c>
      <c r="C12">
        <v>5.4644231635070497</v>
      </c>
      <c r="D12">
        <v>27.555346579001501</v>
      </c>
      <c r="E12">
        <f>VLOOKUP(B12,'CQ 4.0 12'!B:D,2,0)</f>
        <v>2.2255092631320501</v>
      </c>
      <c r="F12">
        <f>VLOOKUP(B12,'CQ 4.0 12'!B:D,3,0)</f>
        <v>2.3947145907861001</v>
      </c>
    </row>
    <row r="13" spans="1:6" x14ac:dyDescent="0.25">
      <c r="A13" s="2" t="s">
        <v>17</v>
      </c>
      <c r="B13" s="3">
        <v>41275</v>
      </c>
      <c r="C13">
        <v>5.4604343627018803</v>
      </c>
      <c r="D13">
        <v>28.509666714498099</v>
      </c>
      <c r="E13">
        <f>VLOOKUP(B13,'CQ 4.0 12'!B:D,2,0)</f>
        <v>2.4386549753815698</v>
      </c>
      <c r="F13">
        <f>VLOOKUP(B13,'CQ 4.0 12'!B:D,3,0)</f>
        <v>2.6454466662352298</v>
      </c>
    </row>
    <row r="14" spans="1:6" x14ac:dyDescent="0.25">
      <c r="A14" s="2" t="s">
        <v>18</v>
      </c>
      <c r="B14" s="3">
        <v>41306</v>
      </c>
      <c r="C14">
        <v>9.0146654402873008</v>
      </c>
      <c r="D14">
        <v>28.192952397631</v>
      </c>
      <c r="E14">
        <f>VLOOKUP(B14,'CQ 4.0 12'!B:D,2,0)</f>
        <v>2.6262662800135801</v>
      </c>
      <c r="F14">
        <f>VLOOKUP(B14,'CQ 4.0 12'!B:D,3,0)</f>
        <v>2.7201476752827598</v>
      </c>
    </row>
    <row r="15" spans="1:6" x14ac:dyDescent="0.25">
      <c r="A15" s="2" t="s">
        <v>19</v>
      </c>
      <c r="B15" s="3">
        <v>41334</v>
      </c>
      <c r="C15">
        <v>7.6568966437345898</v>
      </c>
      <c r="D15">
        <v>27.100709695614299</v>
      </c>
      <c r="E15">
        <f>VLOOKUP(B15,'CQ 4.0 12'!B:D,2,0)</f>
        <v>1.94960175051674</v>
      </c>
      <c r="F15">
        <f>VLOOKUP(B15,'CQ 4.0 12'!B:D,3,0)</f>
        <v>2.9578937690604601</v>
      </c>
    </row>
    <row r="16" spans="1:6" x14ac:dyDescent="0.25">
      <c r="A16" s="2" t="s">
        <v>20</v>
      </c>
      <c r="B16" s="3">
        <v>41365</v>
      </c>
      <c r="C16">
        <v>7.5361068121126999</v>
      </c>
      <c r="D16">
        <v>24.1383979940416</v>
      </c>
      <c r="E16">
        <f>VLOOKUP(B16,'CQ 4.0 12'!B:D,2,0)</f>
        <v>3.8727081574342601</v>
      </c>
      <c r="F16">
        <f>VLOOKUP(B16,'CQ 4.0 12'!B:D,3,0)</f>
        <v>3.2537248392575502</v>
      </c>
    </row>
    <row r="17" spans="1:6" x14ac:dyDescent="0.25">
      <c r="A17" s="2" t="s">
        <v>21</v>
      </c>
      <c r="B17" s="3">
        <v>41395</v>
      </c>
      <c r="C17">
        <v>9.0860634791119406</v>
      </c>
      <c r="D17">
        <v>25.746002503428201</v>
      </c>
      <c r="E17">
        <f>VLOOKUP(B17,'CQ 4.0 12'!B:D,2,0)</f>
        <v>5.3998692764919003</v>
      </c>
      <c r="F17">
        <f>VLOOKUP(B17,'CQ 4.0 12'!B:D,3,0)</f>
        <v>3.75221462624976</v>
      </c>
    </row>
    <row r="18" spans="1:6" x14ac:dyDescent="0.25">
      <c r="A18" s="2" t="s">
        <v>22</v>
      </c>
      <c r="B18" s="3">
        <v>41426</v>
      </c>
      <c r="C18">
        <v>11.651926536561099</v>
      </c>
      <c r="D18">
        <v>32.663978023683399</v>
      </c>
      <c r="E18">
        <f>VLOOKUP(B18,'CQ 4.0 12'!B:D,2,0)</f>
        <v>6.0442301158851004</v>
      </c>
      <c r="F18">
        <f>VLOOKUP(B18,'CQ 4.0 12'!B:D,3,0)</f>
        <v>6.1077361674003097</v>
      </c>
    </row>
    <row r="19" spans="1:6" x14ac:dyDescent="0.25">
      <c r="A19" s="2" t="s">
        <v>23</v>
      </c>
      <c r="B19" s="3">
        <v>41456</v>
      </c>
      <c r="C19">
        <v>10.2526808052882</v>
      </c>
      <c r="D19">
        <v>30.130358191109899</v>
      </c>
      <c r="E19">
        <f>VLOOKUP(B19,'CQ 4.0 12'!B:D,2,0)</f>
        <v>6.7670445457719399</v>
      </c>
      <c r="F19">
        <f>VLOOKUP(B19,'CQ 4.0 12'!B:D,3,0)</f>
        <v>8.7039476737157404</v>
      </c>
    </row>
    <row r="20" spans="1:6" x14ac:dyDescent="0.25">
      <c r="A20" s="2" t="s">
        <v>24</v>
      </c>
      <c r="B20" s="3">
        <v>41487</v>
      </c>
      <c r="C20">
        <v>8.3605542405336806</v>
      </c>
      <c r="D20">
        <v>21.3942159007957</v>
      </c>
      <c r="E20">
        <f>VLOOKUP(B20,'CQ 4.0 12'!B:D,2,0)</f>
        <v>6.7586678773875999</v>
      </c>
      <c r="F20">
        <f>VLOOKUP(B20,'CQ 4.0 12'!B:D,3,0)</f>
        <v>7.1303491489685102</v>
      </c>
    </row>
    <row r="21" spans="1:6" x14ac:dyDescent="0.25">
      <c r="A21" s="2" t="s">
        <v>25</v>
      </c>
      <c r="B21" s="3">
        <v>41518</v>
      </c>
      <c r="C21">
        <v>10.157086621652899</v>
      </c>
      <c r="D21">
        <v>18.280235768497</v>
      </c>
      <c r="E21">
        <f>VLOOKUP(B21,'CQ 4.0 12'!B:D,2,0)</f>
        <v>6.6347115007403801</v>
      </c>
      <c r="F21">
        <f>VLOOKUP(B21,'CQ 4.0 12'!B:D,3,0)</f>
        <v>7.5401269251179004</v>
      </c>
    </row>
    <row r="22" spans="1:6" x14ac:dyDescent="0.25">
      <c r="A22" s="2" t="s">
        <v>26</v>
      </c>
      <c r="B22" s="3">
        <v>41548</v>
      </c>
      <c r="C22">
        <v>6.8697641358597297</v>
      </c>
      <c r="D22">
        <v>15.761921124133</v>
      </c>
      <c r="E22">
        <f>VLOOKUP(B22,'CQ 4.0 12'!B:D,2,0)</f>
        <v>5.3873755103521903</v>
      </c>
      <c r="F22">
        <f>VLOOKUP(B22,'CQ 4.0 12'!B:D,3,0)</f>
        <v>6.6927369463820501</v>
      </c>
    </row>
    <row r="23" spans="1:6" x14ac:dyDescent="0.25">
      <c r="A23" s="2" t="s">
        <v>27</v>
      </c>
      <c r="B23" s="3">
        <v>41579</v>
      </c>
      <c r="C23">
        <v>6.9839822110816003</v>
      </c>
      <c r="D23">
        <v>15.7619172014769</v>
      </c>
      <c r="E23">
        <f>VLOOKUP(B23,'CQ 4.0 12'!B:D,2,0)</f>
        <v>4.9047370499185403</v>
      </c>
      <c r="F23">
        <f>VLOOKUP(B23,'CQ 4.0 12'!B:D,3,0)</f>
        <v>6.8018965378099097</v>
      </c>
    </row>
    <row r="24" spans="1:6" x14ac:dyDescent="0.25">
      <c r="A24" s="2" t="s">
        <v>28</v>
      </c>
      <c r="B24" s="3">
        <v>41609</v>
      </c>
      <c r="C24">
        <v>6.1290614988343401</v>
      </c>
      <c r="D24">
        <v>18.588363251953499</v>
      </c>
      <c r="E24">
        <f>VLOOKUP(B24,'CQ 4.0 12'!B:D,2,0)</f>
        <v>5.20779336098646</v>
      </c>
      <c r="F24">
        <f>VLOOKUP(B24,'CQ 4.0 12'!B:D,3,0)</f>
        <v>8.1701303930194609</v>
      </c>
    </row>
    <row r="25" spans="1:6" x14ac:dyDescent="0.25">
      <c r="A25" s="2" t="s">
        <v>29</v>
      </c>
      <c r="B25" s="3">
        <v>41640</v>
      </c>
      <c r="C25">
        <v>6.52938363754597</v>
      </c>
      <c r="D25">
        <v>18.475869899395601</v>
      </c>
      <c r="E25">
        <f>VLOOKUP(B25,'CQ 4.0 12'!B:D,2,0)</f>
        <v>6.79406329282385</v>
      </c>
      <c r="F25">
        <f>VLOOKUP(B25,'CQ 4.0 12'!B:D,3,0)</f>
        <v>8.3486647212744405</v>
      </c>
    </row>
    <row r="26" spans="1:6" x14ac:dyDescent="0.25">
      <c r="A26" s="2" t="s">
        <v>30</v>
      </c>
      <c r="B26" s="3">
        <v>41671</v>
      </c>
      <c r="C26">
        <v>5.82664046527188</v>
      </c>
      <c r="D26">
        <v>14.577426271969101</v>
      </c>
      <c r="E26">
        <f>VLOOKUP(B26,'CQ 4.0 12'!B:D,2,0)</f>
        <v>4.2945316412783798</v>
      </c>
      <c r="F26">
        <f>VLOOKUP(B26,'CQ 4.0 12'!B:D,3,0)</f>
        <v>6.8865719375494603</v>
      </c>
    </row>
    <row r="27" spans="1:6" x14ac:dyDescent="0.25">
      <c r="A27" s="2" t="s">
        <v>31</v>
      </c>
      <c r="B27" s="3">
        <v>41699</v>
      </c>
      <c r="C27">
        <v>6.2522302997430597</v>
      </c>
      <c r="D27">
        <v>15.6356032582738</v>
      </c>
      <c r="E27">
        <f>VLOOKUP(B27,'CQ 4.0 12'!B:D,2,0)</f>
        <v>4.5393599946464702</v>
      </c>
      <c r="F27">
        <f>VLOOKUP(B27,'CQ 4.0 12'!B:D,3,0)</f>
        <v>7.7475521455645904</v>
      </c>
    </row>
    <row r="28" spans="1:6" x14ac:dyDescent="0.25">
      <c r="A28" s="2" t="s">
        <v>32</v>
      </c>
      <c r="B28" s="3">
        <v>41730</v>
      </c>
      <c r="C28">
        <v>6.7728875949660603</v>
      </c>
      <c r="D28">
        <v>19.492835118272499</v>
      </c>
      <c r="E28">
        <f>VLOOKUP(B28,'CQ 4.0 12'!B:D,2,0)</f>
        <v>5.6932789559095296</v>
      </c>
      <c r="F28">
        <f>VLOOKUP(B28,'CQ 4.0 12'!B:D,3,0)</f>
        <v>11.1321089424014</v>
      </c>
    </row>
    <row r="29" spans="1:6" x14ac:dyDescent="0.25">
      <c r="A29" s="2" t="s">
        <v>33</v>
      </c>
      <c r="B29" s="3">
        <v>41760</v>
      </c>
      <c r="C29">
        <v>7.6916876242326397</v>
      </c>
      <c r="D29">
        <v>21.659380951583501</v>
      </c>
      <c r="E29">
        <f>VLOOKUP(B29,'CQ 4.0 12'!B:D,2,0)</f>
        <v>6.5874330088369399</v>
      </c>
      <c r="F29">
        <f>VLOOKUP(B29,'CQ 4.0 12'!B:D,3,0)</f>
        <v>14.0071258764518</v>
      </c>
    </row>
    <row r="30" spans="1:6" x14ac:dyDescent="0.25">
      <c r="A30" s="2" t="s">
        <v>34</v>
      </c>
      <c r="B30" s="3">
        <v>41791</v>
      </c>
      <c r="C30">
        <v>9.1428201368401396</v>
      </c>
      <c r="D30">
        <v>24.374125139613799</v>
      </c>
      <c r="E30">
        <f>VLOOKUP(B30,'CQ 4.0 12'!B:D,2,0)</f>
        <v>8.0029608411080009</v>
      </c>
      <c r="F30">
        <f>VLOOKUP(B30,'CQ 4.0 12'!B:D,3,0)</f>
        <v>17.382620700014101</v>
      </c>
    </row>
    <row r="31" spans="1:6" x14ac:dyDescent="0.25">
      <c r="A31" s="2" t="s">
        <v>35</v>
      </c>
      <c r="B31" s="3">
        <v>41821</v>
      </c>
      <c r="C31">
        <v>10.8908199855322</v>
      </c>
      <c r="D31">
        <v>27.784669397589699</v>
      </c>
      <c r="E31">
        <f>VLOOKUP(B31,'CQ 4.0 12'!B:D,2,0)</f>
        <v>8.2669902242722593</v>
      </c>
      <c r="F31">
        <f>VLOOKUP(B31,'CQ 4.0 12'!B:D,3,0)</f>
        <v>21.287653355050001</v>
      </c>
    </row>
    <row r="32" spans="1:6" x14ac:dyDescent="0.25">
      <c r="A32" s="2" t="s">
        <v>36</v>
      </c>
      <c r="B32" s="3">
        <v>41852</v>
      </c>
      <c r="C32">
        <v>12.2537504034871</v>
      </c>
      <c r="D32">
        <v>28.078602105175101</v>
      </c>
      <c r="E32">
        <f>VLOOKUP(B32,'CQ 4.0 12'!B:D,2,0)</f>
        <v>9.4285903132018003</v>
      </c>
      <c r="F32">
        <f>VLOOKUP(B32,'CQ 4.0 12'!B:D,3,0)</f>
        <v>21.673522435636698</v>
      </c>
    </row>
    <row r="33" spans="1:6" x14ac:dyDescent="0.25">
      <c r="A33" s="2" t="s">
        <v>37</v>
      </c>
      <c r="B33" s="3">
        <v>41883</v>
      </c>
      <c r="C33">
        <v>10.4456577884705</v>
      </c>
      <c r="D33">
        <v>29.1772731393126</v>
      </c>
      <c r="E33">
        <f>VLOOKUP(B33,'CQ 4.0 12'!B:D,2,0)</f>
        <v>8.4587131404471094</v>
      </c>
      <c r="F33">
        <f>VLOOKUP(B33,'CQ 4.0 12'!B:D,3,0)</f>
        <v>23.025552095922201</v>
      </c>
    </row>
    <row r="34" spans="1:6" x14ac:dyDescent="0.25">
      <c r="A34" s="2" t="s">
        <v>38</v>
      </c>
      <c r="B34" s="3">
        <v>41913</v>
      </c>
      <c r="C34">
        <v>9.5949884053298096</v>
      </c>
      <c r="D34">
        <v>29.400832655052501</v>
      </c>
      <c r="E34">
        <f>VLOOKUP(B34,'CQ 4.0 12'!B:D,2,0)</f>
        <v>8.3735987803018599</v>
      </c>
      <c r="F34">
        <f>VLOOKUP(B34,'CQ 4.0 12'!B:D,3,0)</f>
        <v>22.4343904268448</v>
      </c>
    </row>
    <row r="35" spans="1:6" x14ac:dyDescent="0.25">
      <c r="A35" s="2" t="s">
        <v>39</v>
      </c>
      <c r="B35" s="3">
        <v>41944</v>
      </c>
      <c r="C35">
        <v>11.622118969703701</v>
      </c>
      <c r="D35">
        <v>28.401988274416201</v>
      </c>
      <c r="E35">
        <f>VLOOKUP(B35,'CQ 4.0 12'!B:D,2,0)</f>
        <v>7.8046404615444098</v>
      </c>
      <c r="F35">
        <f>VLOOKUP(B35,'CQ 4.0 12'!B:D,3,0)</f>
        <v>21.987227310659001</v>
      </c>
    </row>
    <row r="36" spans="1:6" x14ac:dyDescent="0.25">
      <c r="A36" s="2" t="s">
        <v>40</v>
      </c>
      <c r="B36" s="3">
        <v>41974</v>
      </c>
      <c r="C36">
        <v>8.2506849970966698</v>
      </c>
      <c r="D36">
        <v>31.056211439893701</v>
      </c>
      <c r="E36">
        <f>VLOOKUP(B36,'CQ 4.0 12'!B:D,2,0)</f>
        <v>6.7496379489589504</v>
      </c>
      <c r="F36">
        <f>VLOOKUP(B36,'CQ 4.0 12'!B:D,3,0)</f>
        <v>24.363156787723799</v>
      </c>
    </row>
    <row r="37" spans="1:6" x14ac:dyDescent="0.25">
      <c r="A37" s="2" t="s">
        <v>41</v>
      </c>
      <c r="B37" s="3">
        <v>42005</v>
      </c>
      <c r="C37">
        <v>11.022473380453601</v>
      </c>
      <c r="D37">
        <v>34.528360186535402</v>
      </c>
      <c r="E37">
        <f>VLOOKUP(B37,'CQ 4.0 12'!B:D,2,0)</f>
        <v>9.2289204190448793</v>
      </c>
      <c r="F37">
        <f>VLOOKUP(B37,'CQ 4.0 12'!B:D,3,0)</f>
        <v>29.586244945219899</v>
      </c>
    </row>
    <row r="38" spans="1:6" x14ac:dyDescent="0.25">
      <c r="A38" s="2" t="s">
        <v>42</v>
      </c>
      <c r="B38" s="3">
        <v>42036</v>
      </c>
      <c r="C38">
        <v>9.6539224543857802</v>
      </c>
      <c r="D38">
        <v>35.445627929833499</v>
      </c>
      <c r="E38">
        <f>VLOOKUP(B38,'CQ 4.0 12'!B:D,2,0)</f>
        <v>7.7192869375627904</v>
      </c>
      <c r="F38">
        <f>VLOOKUP(B38,'CQ 4.0 12'!B:D,3,0)</f>
        <v>30.6056904189752</v>
      </c>
    </row>
    <row r="39" spans="1:6" x14ac:dyDescent="0.25">
      <c r="A39" s="2" t="s">
        <v>43</v>
      </c>
      <c r="B39" s="3">
        <v>42064</v>
      </c>
      <c r="C39">
        <v>13.771631597098599</v>
      </c>
      <c r="D39">
        <v>40.081402551832397</v>
      </c>
      <c r="E39">
        <f>VLOOKUP(B39,'CQ 4.0 12'!B:D,2,0)</f>
        <v>8.8854933407198704</v>
      </c>
      <c r="F39">
        <f>VLOOKUP(B39,'CQ 4.0 12'!B:D,3,0)</f>
        <v>35.627446653858101</v>
      </c>
    </row>
    <row r="40" spans="1:6" x14ac:dyDescent="0.25">
      <c r="A40" s="2" t="s">
        <v>44</v>
      </c>
      <c r="B40" s="3">
        <v>42095</v>
      </c>
      <c r="C40">
        <v>18.895419448138199</v>
      </c>
      <c r="D40">
        <v>40.548602565562902</v>
      </c>
      <c r="E40">
        <f>VLOOKUP(B40,'CQ 4.0 12'!B:D,2,0)</f>
        <v>12.064877689741101</v>
      </c>
      <c r="F40">
        <f>VLOOKUP(B40,'CQ 4.0 12'!B:D,3,0)</f>
        <v>36.647449773593102</v>
      </c>
    </row>
    <row r="41" spans="1:6" x14ac:dyDescent="0.25">
      <c r="A41" s="2" t="s">
        <v>45</v>
      </c>
      <c r="B41" s="3">
        <v>42125</v>
      </c>
      <c r="C41">
        <v>16.265721500238499</v>
      </c>
      <c r="D41">
        <v>40.194874877159798</v>
      </c>
      <c r="E41">
        <f>VLOOKUP(B41,'CQ 4.0 12'!B:D,2,0)</f>
        <v>11.2023588260596</v>
      </c>
      <c r="F41">
        <f>VLOOKUP(B41,'CQ 4.0 12'!B:D,3,0)</f>
        <v>37.247215893567997</v>
      </c>
    </row>
    <row r="42" spans="1:6" x14ac:dyDescent="0.25">
      <c r="A42" s="2" t="s">
        <v>46</v>
      </c>
      <c r="B42" s="3">
        <v>42156</v>
      </c>
      <c r="C42">
        <v>16.0983300204398</v>
      </c>
      <c r="D42">
        <v>42.910805068497297</v>
      </c>
      <c r="E42">
        <f>VLOOKUP(B42,'CQ 4.0 12'!B:D,2,0)</f>
        <v>12.8825895517364</v>
      </c>
      <c r="F42">
        <f>VLOOKUP(B42,'CQ 4.0 12'!B:D,3,0)</f>
        <v>40.3759135408324</v>
      </c>
    </row>
    <row r="43" spans="1:6" x14ac:dyDescent="0.25">
      <c r="A43" s="2" t="s">
        <v>47</v>
      </c>
      <c r="B43" s="3">
        <v>42186</v>
      </c>
      <c r="C43">
        <v>17.078315540363601</v>
      </c>
      <c r="D43">
        <v>39.125433963149199</v>
      </c>
      <c r="E43">
        <f>VLOOKUP(B43,'CQ 4.0 12'!B:D,2,0)</f>
        <v>14.615612204499699</v>
      </c>
      <c r="F43">
        <f>VLOOKUP(B43,'CQ 4.0 12'!B:D,3,0)</f>
        <v>36.861559455292998</v>
      </c>
    </row>
    <row r="44" spans="1:6" x14ac:dyDescent="0.25">
      <c r="A44" s="2" t="s">
        <v>48</v>
      </c>
      <c r="B44" s="3">
        <v>42217</v>
      </c>
      <c r="C44">
        <v>17.6941253478123</v>
      </c>
      <c r="D44">
        <v>36.3776824057177</v>
      </c>
      <c r="E44">
        <f>VLOOKUP(B44,'CQ 4.0 12'!B:D,2,0)</f>
        <v>12.8104660224268</v>
      </c>
      <c r="F44">
        <f>VLOOKUP(B44,'CQ 4.0 12'!B:D,3,0)</f>
        <v>34.124130007311798</v>
      </c>
    </row>
    <row r="45" spans="1:6" x14ac:dyDescent="0.25">
      <c r="A45" s="2" t="s">
        <v>49</v>
      </c>
      <c r="B45" s="3">
        <v>42248</v>
      </c>
      <c r="C45">
        <v>15.48750141927</v>
      </c>
      <c r="D45">
        <v>34.676786281530802</v>
      </c>
      <c r="E45">
        <f>VLOOKUP(B45,'CQ 4.0 12'!B:D,2,0)</f>
        <v>12.550061482833801</v>
      </c>
      <c r="F45">
        <f>VLOOKUP(B45,'CQ 4.0 12'!B:D,3,0)</f>
        <v>33.419329430397703</v>
      </c>
    </row>
    <row r="46" spans="1:6" x14ac:dyDescent="0.25">
      <c r="A46" s="2" t="s">
        <v>50</v>
      </c>
      <c r="B46" s="3">
        <v>42278</v>
      </c>
      <c r="C46">
        <v>11.899059476775401</v>
      </c>
      <c r="D46">
        <v>36.856169927006903</v>
      </c>
      <c r="E46">
        <f>VLOOKUP(B46,'CQ 4.0 12'!B:D,2,0)</f>
        <v>11.2969864535073</v>
      </c>
      <c r="F46">
        <f>VLOOKUP(B46,'CQ 4.0 12'!B:D,3,0)</f>
        <v>35.285726281797999</v>
      </c>
    </row>
    <row r="47" spans="1:6" x14ac:dyDescent="0.25">
      <c r="A47" s="2" t="s">
        <v>51</v>
      </c>
      <c r="B47" s="3">
        <v>42309</v>
      </c>
      <c r="C47">
        <v>13.777965837757</v>
      </c>
      <c r="D47">
        <v>36.082077663307501</v>
      </c>
      <c r="E47">
        <f>VLOOKUP(B47,'CQ 4.0 12'!B:D,2,0)</f>
        <v>11.228623036382899</v>
      </c>
      <c r="F47">
        <f>VLOOKUP(B47,'CQ 4.0 12'!B:D,3,0)</f>
        <v>34.5370623731093</v>
      </c>
    </row>
    <row r="48" spans="1:6" x14ac:dyDescent="0.25">
      <c r="A48" s="2" t="s">
        <v>52</v>
      </c>
      <c r="B48" s="3">
        <v>42339</v>
      </c>
      <c r="C48">
        <v>11.905573185414701</v>
      </c>
      <c r="D48">
        <v>36.362301939424498</v>
      </c>
      <c r="E48">
        <f>VLOOKUP(B48,'CQ 4.0 12'!B:D,2,0)</f>
        <v>9.7594552377018999</v>
      </c>
      <c r="F48">
        <f>VLOOKUP(B48,'CQ 4.0 12'!B:D,3,0)</f>
        <v>34.900639434726202</v>
      </c>
    </row>
    <row r="49" spans="1:6" x14ac:dyDescent="0.25">
      <c r="A49" s="2" t="s">
        <v>53</v>
      </c>
      <c r="B49" s="3">
        <v>42370</v>
      </c>
      <c r="C49">
        <v>12.2028626718123</v>
      </c>
      <c r="D49">
        <v>33.2040862333983</v>
      </c>
      <c r="E49">
        <f>VLOOKUP(B49,'CQ 4.0 12'!B:D,2,0)</f>
        <v>11.6415817836049</v>
      </c>
      <c r="F49">
        <f>VLOOKUP(B49,'CQ 4.0 12'!B:D,3,0)</f>
        <v>31.761359391944801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F61"/>
  <sheetViews>
    <sheetView workbookViewId="0">
      <selection activeCell="Q44" sqref="Q44"/>
    </sheetView>
  </sheetViews>
  <sheetFormatPr defaultRowHeight="15" x14ac:dyDescent="0.25"/>
  <cols>
    <col min="2" max="2" width="9.7109375" bestFit="1" customWidth="1"/>
  </cols>
  <sheetData>
    <row r="1" spans="1:6" x14ac:dyDescent="0.25">
      <c r="A1" s="2"/>
      <c r="B1" t="s">
        <v>3</v>
      </c>
      <c r="C1" t="s">
        <v>68</v>
      </c>
      <c r="D1" t="s">
        <v>69</v>
      </c>
      <c r="E1" t="s">
        <v>66</v>
      </c>
      <c r="F1" t="s">
        <v>67</v>
      </c>
    </row>
    <row r="2" spans="1:6" x14ac:dyDescent="0.25">
      <c r="A2" s="3" t="s">
        <v>6</v>
      </c>
      <c r="B2" s="3">
        <v>40575</v>
      </c>
      <c r="C2">
        <v>3.6454044735412201E-2</v>
      </c>
      <c r="D2">
        <v>0.488657690500227</v>
      </c>
      <c r="E2">
        <f>VLOOKUP(B2,'CQ 4.5 11'!B:D,2,0)</f>
        <v>3.84180915669052E-4</v>
      </c>
      <c r="F2">
        <f>VLOOKUP(B2,'CQ 4.5 11'!B:D,3,0)</f>
        <v>0.33457090236264098</v>
      </c>
    </row>
    <row r="3" spans="1:6" x14ac:dyDescent="0.25">
      <c r="A3" s="3" t="s">
        <v>7</v>
      </c>
      <c r="B3" s="3">
        <v>40603</v>
      </c>
      <c r="C3">
        <v>0.156157471837259</v>
      </c>
      <c r="D3">
        <v>0.64391987471761303</v>
      </c>
      <c r="E3">
        <f>VLOOKUP(B3,'CQ 4.5 11'!B:D,2,0)</f>
        <v>0.66103423768583103</v>
      </c>
      <c r="F3">
        <f>VLOOKUP(B3,'CQ 4.5 11'!B:D,3,0)</f>
        <v>0.30494514314940402</v>
      </c>
    </row>
    <row r="4" spans="1:6" x14ac:dyDescent="0.25">
      <c r="A4" s="3" t="s">
        <v>8</v>
      </c>
      <c r="B4" s="3">
        <v>40634</v>
      </c>
      <c r="C4">
        <v>0.55283829758833203</v>
      </c>
      <c r="D4">
        <v>1.1461459386928901</v>
      </c>
      <c r="E4">
        <f>VLOOKUP(B4,'CQ 4.5 11'!B:D,2,0)</f>
        <v>0.47993977059824799</v>
      </c>
      <c r="F4">
        <f>VLOOKUP(B4,'CQ 4.5 11'!B:D,3,0)</f>
        <v>0.42100331316498002</v>
      </c>
    </row>
    <row r="5" spans="1:6" x14ac:dyDescent="0.25">
      <c r="A5" s="3" t="s">
        <v>9</v>
      </c>
      <c r="B5" s="3">
        <v>40664</v>
      </c>
      <c r="C5">
        <v>0.64529818842928899</v>
      </c>
      <c r="D5">
        <v>1.8814230771071601</v>
      </c>
      <c r="E5">
        <f>VLOOKUP(B5,'CQ 4.5 11'!B:D,2,0)</f>
        <v>0.55697093609403703</v>
      </c>
      <c r="F5">
        <f>VLOOKUP(B5,'CQ 4.5 11'!B:D,3,0)</f>
        <v>0.63901271277911897</v>
      </c>
    </row>
    <row r="6" spans="1:6" x14ac:dyDescent="0.25">
      <c r="A6" s="3" t="s">
        <v>10</v>
      </c>
      <c r="B6" s="3">
        <v>40695</v>
      </c>
      <c r="C6">
        <v>0.92323924447307304</v>
      </c>
      <c r="D6">
        <v>2.6080630164038698</v>
      </c>
      <c r="E6">
        <f>VLOOKUP(B6,'CQ 4.5 11'!B:D,2,0)</f>
        <v>0.83668065851615303</v>
      </c>
      <c r="F6">
        <f>VLOOKUP(B6,'CQ 4.5 11'!B:D,3,0)</f>
        <v>0.85639800632283403</v>
      </c>
    </row>
    <row r="7" spans="1:6" x14ac:dyDescent="0.25">
      <c r="A7" s="3" t="s">
        <v>11</v>
      </c>
      <c r="B7" s="3">
        <v>40725</v>
      </c>
      <c r="C7">
        <v>2.1540405898058701</v>
      </c>
      <c r="D7">
        <v>3.9898342330541499</v>
      </c>
      <c r="E7">
        <f>VLOOKUP(B7,'CQ 4.5 11'!B:D,2,0)</f>
        <v>1.87206161946376</v>
      </c>
      <c r="F7">
        <f>VLOOKUP(B7,'CQ 4.5 11'!B:D,3,0)</f>
        <v>1.12908383574716</v>
      </c>
    </row>
    <row r="8" spans="1:6" x14ac:dyDescent="0.25">
      <c r="A8" s="3" t="s">
        <v>12</v>
      </c>
      <c r="B8" s="3">
        <v>40756</v>
      </c>
      <c r="C8">
        <v>3.2575318612478301</v>
      </c>
      <c r="D8">
        <v>5.1299009369745097</v>
      </c>
      <c r="E8">
        <f>VLOOKUP(B8,'CQ 4.5 11'!B:D,2,0)</f>
        <v>2.3766644262138299</v>
      </c>
      <c r="F8">
        <f>VLOOKUP(B8,'CQ 4.5 11'!B:D,3,0)</f>
        <v>1.3472104363233799</v>
      </c>
    </row>
    <row r="9" spans="1:6" x14ac:dyDescent="0.25">
      <c r="A9" s="3" t="s">
        <v>13</v>
      </c>
      <c r="B9" s="3">
        <v>40787</v>
      </c>
      <c r="C9">
        <v>2.7275548948558899</v>
      </c>
      <c r="D9">
        <v>6.1115448831093104</v>
      </c>
      <c r="E9">
        <f>VLOOKUP(B9,'CQ 4.5 11'!B:D,2,0)</f>
        <v>2.5561561116157998</v>
      </c>
      <c r="F9">
        <f>VLOOKUP(B9,'CQ 4.5 11'!B:D,3,0)</f>
        <v>1.49168509538896</v>
      </c>
    </row>
    <row r="10" spans="1:6" x14ac:dyDescent="0.25">
      <c r="A10" s="3" t="s">
        <v>14</v>
      </c>
      <c r="B10" s="3">
        <v>40817</v>
      </c>
      <c r="C10">
        <v>4.9550316572997204</v>
      </c>
      <c r="D10">
        <v>8.6006735472452007</v>
      </c>
      <c r="E10">
        <f>VLOOKUP(B10,'CQ 4.5 11'!B:D,2,0)</f>
        <v>1.4087073623353701</v>
      </c>
      <c r="F10">
        <f>VLOOKUP(B10,'CQ 4.5 11'!B:D,3,0)</f>
        <v>1.69913279526822</v>
      </c>
    </row>
    <row r="11" spans="1:6" x14ac:dyDescent="0.25">
      <c r="A11" s="2" t="s">
        <v>15</v>
      </c>
      <c r="B11" s="3">
        <v>40848</v>
      </c>
      <c r="C11">
        <v>4.5579837905795602</v>
      </c>
      <c r="D11">
        <v>11.415580154538199</v>
      </c>
      <c r="E11">
        <f>VLOOKUP(B11,'CQ 4.5 11'!B:D,2,0)</f>
        <v>1.57606643121009</v>
      </c>
      <c r="F11">
        <f>VLOOKUP(B11,'CQ 4.5 11'!B:D,3,0)</f>
        <v>1.6590756656742101</v>
      </c>
    </row>
    <row r="12" spans="1:6" x14ac:dyDescent="0.25">
      <c r="A12" s="2" t="s">
        <v>16</v>
      </c>
      <c r="B12" s="3">
        <v>40878</v>
      </c>
      <c r="C12">
        <v>5.7487068542895097</v>
      </c>
      <c r="D12">
        <v>10.5687785599353</v>
      </c>
      <c r="E12">
        <f>VLOOKUP(B12,'CQ 4.5 11'!B:D,2,0)</f>
        <v>1.9168118385633699</v>
      </c>
      <c r="F12">
        <f>VLOOKUP(B12,'CQ 4.5 11'!B:D,3,0)</f>
        <v>1.6640121250557001</v>
      </c>
    </row>
    <row r="13" spans="1:6" x14ac:dyDescent="0.25">
      <c r="A13" s="2" t="s">
        <v>17</v>
      </c>
      <c r="B13" s="3">
        <v>40909</v>
      </c>
      <c r="C13">
        <v>5.7765968178662401</v>
      </c>
      <c r="D13">
        <v>13.160591923969401</v>
      </c>
      <c r="E13">
        <f>VLOOKUP(B13,'CQ 4.5 11'!B:D,2,0)</f>
        <v>2.0990023160189901</v>
      </c>
      <c r="F13">
        <f>VLOOKUP(B13,'CQ 4.5 11'!B:D,3,0)</f>
        <v>1.7457808044440499</v>
      </c>
    </row>
    <row r="14" spans="1:6" x14ac:dyDescent="0.25">
      <c r="A14" s="2" t="s">
        <v>18</v>
      </c>
      <c r="B14" s="3">
        <v>40940</v>
      </c>
      <c r="C14">
        <v>6.6355764519886602</v>
      </c>
      <c r="D14">
        <v>13.5733851277953</v>
      </c>
      <c r="E14">
        <f>VLOOKUP(B14,'CQ 4.5 11'!B:D,2,0)</f>
        <v>2.42531908034477</v>
      </c>
      <c r="F14">
        <f>VLOOKUP(B14,'CQ 4.5 11'!B:D,3,0)</f>
        <v>1.8614509151237</v>
      </c>
    </row>
    <row r="15" spans="1:6" x14ac:dyDescent="0.25">
      <c r="A15" s="2" t="s">
        <v>19</v>
      </c>
      <c r="B15" s="3">
        <v>40969</v>
      </c>
      <c r="C15">
        <v>8.0437700244537105</v>
      </c>
      <c r="D15">
        <v>14.6156051760028</v>
      </c>
      <c r="E15">
        <f>VLOOKUP(B15,'CQ 4.5 11'!B:D,2,0)</f>
        <v>2.9166715505796201</v>
      </c>
      <c r="F15">
        <f>VLOOKUP(B15,'CQ 4.5 11'!B:D,3,0)</f>
        <v>2.0746181988038299</v>
      </c>
    </row>
    <row r="16" spans="1:6" x14ac:dyDescent="0.25">
      <c r="A16" s="2" t="s">
        <v>20</v>
      </c>
      <c r="B16" s="3">
        <v>41000</v>
      </c>
      <c r="C16">
        <v>8.3558622633599793</v>
      </c>
      <c r="D16">
        <v>19.927224304001601</v>
      </c>
      <c r="E16">
        <f>VLOOKUP(B16,'CQ 4.5 11'!B:D,2,0)</f>
        <v>3.19584009766296</v>
      </c>
      <c r="F16">
        <f>VLOOKUP(B16,'CQ 4.5 11'!B:D,3,0)</f>
        <v>2.52960815813708</v>
      </c>
    </row>
    <row r="17" spans="1:6" x14ac:dyDescent="0.25">
      <c r="A17" s="2" t="s">
        <v>21</v>
      </c>
      <c r="B17" s="3">
        <v>41030</v>
      </c>
      <c r="C17">
        <v>8.5597220050521905</v>
      </c>
      <c r="D17">
        <v>20.356240924684201</v>
      </c>
      <c r="E17">
        <f>VLOOKUP(B17,'CQ 4.5 11'!B:D,2,0)</f>
        <v>2.8100974273251902</v>
      </c>
      <c r="F17">
        <f>VLOOKUP(B17,'CQ 4.5 11'!B:D,3,0)</f>
        <v>2.9102688579268601</v>
      </c>
    </row>
    <row r="18" spans="1:6" x14ac:dyDescent="0.25">
      <c r="A18" s="2" t="s">
        <v>22</v>
      </c>
      <c r="B18" s="3">
        <v>41061</v>
      </c>
      <c r="C18">
        <v>9.2368494676170592</v>
      </c>
      <c r="D18">
        <v>25.059810106118199</v>
      </c>
      <c r="E18">
        <f>VLOOKUP(B18,'CQ 4.5 11'!B:D,2,0)</f>
        <v>3.51845168559288</v>
      </c>
      <c r="F18">
        <f>VLOOKUP(B18,'CQ 4.5 11'!B:D,3,0)</f>
        <v>3.4522980752214498</v>
      </c>
    </row>
    <row r="19" spans="1:6" x14ac:dyDescent="0.25">
      <c r="A19" s="2" t="s">
        <v>23</v>
      </c>
      <c r="B19" s="3">
        <v>41091</v>
      </c>
      <c r="C19">
        <v>9.5611822072212398</v>
      </c>
      <c r="D19">
        <v>29.208714615868502</v>
      </c>
      <c r="E19">
        <f>VLOOKUP(B19,'CQ 4.5 11'!B:D,2,0)</f>
        <v>4.5493717824431004</v>
      </c>
      <c r="F19">
        <f>VLOOKUP(B19,'CQ 4.5 11'!B:D,3,0)</f>
        <v>3.9043645740811601</v>
      </c>
    </row>
    <row r="20" spans="1:6" x14ac:dyDescent="0.25">
      <c r="A20" s="2" t="s">
        <v>24</v>
      </c>
      <c r="B20" s="3">
        <v>41122</v>
      </c>
      <c r="C20">
        <v>11.0681764500375</v>
      </c>
      <c r="D20">
        <v>31.752461002838999</v>
      </c>
      <c r="E20">
        <f>VLOOKUP(B20,'CQ 4.5 11'!B:D,2,0)</f>
        <v>5.0643506238546001</v>
      </c>
      <c r="F20">
        <f>VLOOKUP(B20,'CQ 4.5 11'!B:D,3,0)</f>
        <v>4.1340849980095502</v>
      </c>
    </row>
    <row r="21" spans="1:6" x14ac:dyDescent="0.25">
      <c r="A21" s="2" t="s">
        <v>25</v>
      </c>
      <c r="B21" s="3">
        <v>41153</v>
      </c>
      <c r="C21">
        <v>13.4931607355461</v>
      </c>
      <c r="D21">
        <v>35.535570830123</v>
      </c>
      <c r="E21">
        <f>VLOOKUP(B21,'CQ 4.5 11'!B:D,2,0)</f>
        <v>4.4271321078488199</v>
      </c>
      <c r="F21">
        <f>VLOOKUP(B21,'CQ 4.5 11'!B:D,3,0)</f>
        <v>4.5073898525482203</v>
      </c>
    </row>
    <row r="22" spans="1:6" x14ac:dyDescent="0.25">
      <c r="A22" s="2" t="s">
        <v>26</v>
      </c>
      <c r="B22" s="3">
        <v>41183</v>
      </c>
      <c r="C22">
        <v>10.628878522095899</v>
      </c>
      <c r="D22">
        <v>34.437001546118303</v>
      </c>
      <c r="E22">
        <f>VLOOKUP(B22,'CQ 4.5 11'!B:D,2,0)</f>
        <v>5.15187167396207</v>
      </c>
      <c r="F22">
        <f>VLOOKUP(B22,'CQ 4.5 11'!B:D,3,0)</f>
        <v>4.4447617492703104</v>
      </c>
    </row>
    <row r="23" spans="1:6" x14ac:dyDescent="0.25">
      <c r="A23" s="2" t="s">
        <v>27</v>
      </c>
      <c r="B23" s="3">
        <v>41214</v>
      </c>
      <c r="C23">
        <v>12.6061337308905</v>
      </c>
      <c r="D23">
        <v>38.5186695388524</v>
      </c>
      <c r="E23">
        <f>VLOOKUP(B23,'CQ 4.5 11'!B:D,2,0)</f>
        <v>4.5223282703610002</v>
      </c>
      <c r="F23">
        <f>VLOOKUP(B23,'CQ 4.5 11'!B:D,3,0)</f>
        <v>4.7947396565802203</v>
      </c>
    </row>
    <row r="24" spans="1:6" x14ac:dyDescent="0.25">
      <c r="A24" s="2" t="s">
        <v>28</v>
      </c>
      <c r="B24" s="3">
        <v>41244</v>
      </c>
      <c r="C24">
        <v>15.4172492621798</v>
      </c>
      <c r="D24">
        <v>41.448905600168501</v>
      </c>
      <c r="E24">
        <f>VLOOKUP(B24,'CQ 4.5 11'!B:D,2,0)</f>
        <v>6.4933161037349798</v>
      </c>
      <c r="F24">
        <f>VLOOKUP(B24,'CQ 4.5 11'!B:D,3,0)</f>
        <v>4.9902483211178001</v>
      </c>
    </row>
    <row r="25" spans="1:6" x14ac:dyDescent="0.25">
      <c r="A25" s="2" t="s">
        <v>29</v>
      </c>
      <c r="B25" s="3">
        <v>41275</v>
      </c>
      <c r="C25">
        <v>15.909158898835299</v>
      </c>
      <c r="D25">
        <v>41.611815309928403</v>
      </c>
      <c r="E25">
        <f>VLOOKUP(B25,'CQ 4.5 11'!B:D,2,0)</f>
        <v>8.0893010703661492</v>
      </c>
      <c r="F25">
        <f>VLOOKUP(B25,'CQ 4.5 11'!B:D,3,0)</f>
        <v>5.3119100223903404</v>
      </c>
    </row>
    <row r="26" spans="1:6" x14ac:dyDescent="0.25">
      <c r="A26" s="2" t="s">
        <v>30</v>
      </c>
      <c r="B26" s="3">
        <v>41306</v>
      </c>
      <c r="C26">
        <v>15.379186119472401</v>
      </c>
      <c r="D26">
        <v>40.2333569582078</v>
      </c>
      <c r="E26">
        <f>VLOOKUP(B26,'CQ 4.5 11'!B:D,2,0)</f>
        <v>5.7636245601949501</v>
      </c>
      <c r="F26">
        <f>VLOOKUP(B26,'CQ 4.5 11'!B:D,3,0)</f>
        <v>5.02572965776963</v>
      </c>
    </row>
    <row r="27" spans="1:6" x14ac:dyDescent="0.25">
      <c r="A27" s="2" t="s">
        <v>31</v>
      </c>
      <c r="B27" s="3">
        <v>41334</v>
      </c>
      <c r="C27">
        <v>15.466370078178301</v>
      </c>
      <c r="D27">
        <v>38.014377599789398</v>
      </c>
      <c r="E27">
        <f>VLOOKUP(B27,'CQ 4.5 11'!B:D,2,0)</f>
        <v>6.9251543418215</v>
      </c>
      <c r="F27">
        <f>VLOOKUP(B27,'CQ 4.5 11'!B:D,3,0)</f>
        <v>5.1972684779243901</v>
      </c>
    </row>
    <row r="28" spans="1:6" x14ac:dyDescent="0.25">
      <c r="A28" s="2" t="s">
        <v>32</v>
      </c>
      <c r="B28" s="3">
        <v>41365</v>
      </c>
      <c r="C28">
        <v>20.380194929174799</v>
      </c>
      <c r="D28">
        <v>31.772359008343599</v>
      </c>
      <c r="E28">
        <f>VLOOKUP(B28,'CQ 4.5 11'!B:D,2,0)</f>
        <v>6.4197899150290301</v>
      </c>
      <c r="F28">
        <f>VLOOKUP(B28,'CQ 4.5 11'!B:D,3,0)</f>
        <v>6.0237869545620004</v>
      </c>
    </row>
    <row r="29" spans="1:6" x14ac:dyDescent="0.25">
      <c r="A29" s="2" t="s">
        <v>33</v>
      </c>
      <c r="B29" s="3">
        <v>41395</v>
      </c>
      <c r="C29">
        <v>20.198395060927702</v>
      </c>
      <c r="D29">
        <v>32.156578413349699</v>
      </c>
      <c r="E29">
        <f>VLOOKUP(B29,'CQ 4.5 11'!B:D,2,0)</f>
        <v>11.302532473498699</v>
      </c>
      <c r="F29">
        <f>VLOOKUP(B29,'CQ 4.5 11'!B:D,3,0)</f>
        <v>8.92346916200243</v>
      </c>
    </row>
    <row r="30" spans="1:6" x14ac:dyDescent="0.25">
      <c r="A30" s="2" t="s">
        <v>34</v>
      </c>
      <c r="B30" s="3">
        <v>41426</v>
      </c>
      <c r="C30">
        <v>18.0537320590837</v>
      </c>
      <c r="D30">
        <v>38.3840757363932</v>
      </c>
      <c r="E30">
        <f>VLOOKUP(B30,'CQ 4.5 11'!B:D,2,0)</f>
        <v>9.8511317636026803</v>
      </c>
      <c r="F30">
        <f>VLOOKUP(B30,'CQ 4.5 11'!B:D,3,0)</f>
        <v>22.211789194571601</v>
      </c>
    </row>
    <row r="31" spans="1:6" x14ac:dyDescent="0.25">
      <c r="A31" s="2" t="s">
        <v>35</v>
      </c>
      <c r="B31" s="3">
        <v>41456</v>
      </c>
      <c r="C31">
        <v>20.462313736887399</v>
      </c>
      <c r="D31">
        <v>35.040357560856897</v>
      </c>
      <c r="E31">
        <f>VLOOKUP(B31,'CQ 4.5 11'!B:D,2,0)</f>
        <v>11.0024589013839</v>
      </c>
      <c r="F31">
        <f>VLOOKUP(B31,'CQ 4.5 11'!B:D,3,0)</f>
        <v>22.976092589029498</v>
      </c>
    </row>
    <row r="32" spans="1:6" x14ac:dyDescent="0.25">
      <c r="A32" s="2" t="s">
        <v>36</v>
      </c>
      <c r="B32" s="3">
        <v>41487</v>
      </c>
      <c r="C32">
        <v>19.564092830408001</v>
      </c>
      <c r="D32">
        <v>27.320172830063399</v>
      </c>
      <c r="E32">
        <f>VLOOKUP(B32,'CQ 4.5 11'!B:D,2,0)</f>
        <v>12.369009453023001</v>
      </c>
      <c r="F32">
        <f>VLOOKUP(B32,'CQ 4.5 11'!B:D,3,0)</f>
        <v>22.0926565739429</v>
      </c>
    </row>
    <row r="33" spans="1:6" x14ac:dyDescent="0.25">
      <c r="A33" s="2" t="s">
        <v>37</v>
      </c>
      <c r="B33" s="3">
        <v>41518</v>
      </c>
      <c r="C33">
        <v>16.8976029561749</v>
      </c>
      <c r="D33">
        <v>24.294430751165699</v>
      </c>
      <c r="E33">
        <f>VLOOKUP(B33,'CQ 4.5 11'!B:D,2,0)</f>
        <v>8.6542923872700506</v>
      </c>
      <c r="F33">
        <f>VLOOKUP(B33,'CQ 4.5 11'!B:D,3,0)</f>
        <v>20.733490032150399</v>
      </c>
    </row>
    <row r="34" spans="1:6" x14ac:dyDescent="0.25">
      <c r="A34" s="2" t="s">
        <v>38</v>
      </c>
      <c r="B34" s="3">
        <v>41548</v>
      </c>
      <c r="C34">
        <v>8.3704913491281197</v>
      </c>
      <c r="D34">
        <v>21.125954827324598</v>
      </c>
      <c r="E34">
        <f>VLOOKUP(B34,'CQ 4.5 11'!B:D,2,0)</f>
        <v>6.6405887891105797</v>
      </c>
      <c r="F34">
        <f>VLOOKUP(B34,'CQ 4.5 11'!B:D,3,0)</f>
        <v>18.486491222094699</v>
      </c>
    </row>
    <row r="35" spans="1:6" x14ac:dyDescent="0.25">
      <c r="A35" s="2" t="s">
        <v>39</v>
      </c>
      <c r="B35" s="3">
        <v>41579</v>
      </c>
      <c r="C35">
        <v>8.2845036568864607</v>
      </c>
      <c r="D35">
        <v>20.6861076909105</v>
      </c>
      <c r="E35">
        <f>VLOOKUP(B35,'CQ 4.5 11'!B:D,2,0)</f>
        <v>9.6645209396892007</v>
      </c>
      <c r="F35">
        <f>VLOOKUP(B35,'CQ 4.5 11'!B:D,3,0)</f>
        <v>18.274478949366902</v>
      </c>
    </row>
    <row r="36" spans="1:6" x14ac:dyDescent="0.25">
      <c r="A36" s="2" t="s">
        <v>40</v>
      </c>
      <c r="B36" s="3">
        <v>41609</v>
      </c>
      <c r="C36">
        <v>12.2135183806445</v>
      </c>
      <c r="D36">
        <v>23.607564176972101</v>
      </c>
      <c r="E36">
        <f>VLOOKUP(B36,'CQ 4.5 11'!B:D,2,0)</f>
        <v>9.3465203415798594</v>
      </c>
      <c r="F36">
        <f>VLOOKUP(B36,'CQ 4.5 11'!B:D,3,0)</f>
        <v>20.851914272102398</v>
      </c>
    </row>
    <row r="37" spans="1:6" x14ac:dyDescent="0.25">
      <c r="A37" s="2" t="s">
        <v>41</v>
      </c>
      <c r="B37" s="3">
        <v>41640</v>
      </c>
      <c r="C37">
        <v>12.3170264358815</v>
      </c>
      <c r="D37">
        <v>23.4668944925048</v>
      </c>
      <c r="E37">
        <f>VLOOKUP(B37,'CQ 4.5 11'!B:D,2,0)</f>
        <v>8.3763372109381606</v>
      </c>
      <c r="F37">
        <f>VLOOKUP(B37,'CQ 4.5 11'!B:D,3,0)</f>
        <v>21.021544807426999</v>
      </c>
    </row>
    <row r="38" spans="1:6" x14ac:dyDescent="0.25">
      <c r="A38" s="2" t="s">
        <v>42</v>
      </c>
      <c r="B38" s="3">
        <v>41671</v>
      </c>
      <c r="C38">
        <v>7.56143733054728</v>
      </c>
      <c r="D38">
        <v>19.3165813205798</v>
      </c>
      <c r="E38">
        <f>VLOOKUP(B38,'CQ 4.5 11'!B:D,2,0)</f>
        <v>7.2599095097340696</v>
      </c>
      <c r="F38">
        <f>VLOOKUP(B38,'CQ 4.5 11'!B:D,3,0)</f>
        <v>17.7488164893408</v>
      </c>
    </row>
    <row r="39" spans="1:6" x14ac:dyDescent="0.25">
      <c r="A39" s="2" t="s">
        <v>43</v>
      </c>
      <c r="B39" s="3">
        <v>41699</v>
      </c>
      <c r="C39">
        <v>10.743201514232201</v>
      </c>
      <c r="D39">
        <v>20.409887600115599</v>
      </c>
      <c r="E39">
        <f>VLOOKUP(B39,'CQ 4.5 11'!B:D,2,0)</f>
        <v>7.0177039889456596</v>
      </c>
      <c r="F39">
        <f>VLOOKUP(B39,'CQ 4.5 11'!B:D,3,0)</f>
        <v>18.6813847917172</v>
      </c>
    </row>
    <row r="40" spans="1:6" x14ac:dyDescent="0.25">
      <c r="A40" s="2" t="s">
        <v>44</v>
      </c>
      <c r="B40" s="3">
        <v>41730</v>
      </c>
      <c r="C40">
        <v>11.4342999917556</v>
      </c>
      <c r="D40">
        <v>25.0553282113591</v>
      </c>
      <c r="E40">
        <f>VLOOKUP(B40,'CQ 4.5 11'!B:D,2,0)</f>
        <v>8.5794244611068802</v>
      </c>
      <c r="F40">
        <f>VLOOKUP(B40,'CQ 4.5 11'!B:D,3,0)</f>
        <v>22.749666398975101</v>
      </c>
    </row>
    <row r="41" spans="1:6" x14ac:dyDescent="0.25">
      <c r="A41" s="2" t="s">
        <v>45</v>
      </c>
      <c r="B41" s="3">
        <v>41760</v>
      </c>
      <c r="C41">
        <v>12.808202479366299</v>
      </c>
      <c r="D41">
        <v>27.4624393603725</v>
      </c>
      <c r="E41">
        <f>VLOOKUP(B41,'CQ 4.5 11'!B:D,2,0)</f>
        <v>10.099635039961001</v>
      </c>
      <c r="F41">
        <f>VLOOKUP(B41,'CQ 4.5 11'!B:D,3,0)</f>
        <v>25.2950457660131</v>
      </c>
    </row>
    <row r="42" spans="1:6" x14ac:dyDescent="0.25">
      <c r="A42" s="2" t="s">
        <v>46</v>
      </c>
      <c r="B42" s="3">
        <v>41791</v>
      </c>
      <c r="C42">
        <v>13.628899791689401</v>
      </c>
      <c r="D42">
        <v>29.0974356183388</v>
      </c>
      <c r="E42">
        <f>VLOOKUP(B42,'CQ 4.5 11'!B:D,2,0)</f>
        <v>9.2262413123982405</v>
      </c>
      <c r="F42">
        <f>VLOOKUP(B42,'CQ 4.5 11'!B:D,3,0)</f>
        <v>27.815992259918499</v>
      </c>
    </row>
    <row r="43" spans="1:6" x14ac:dyDescent="0.25">
      <c r="A43" s="2" t="s">
        <v>47</v>
      </c>
      <c r="B43" s="3">
        <v>41821</v>
      </c>
      <c r="C43">
        <v>12.472336835768999</v>
      </c>
      <c r="D43">
        <v>31.584932263692899</v>
      </c>
      <c r="E43">
        <f>VLOOKUP(B43,'CQ 4.5 11'!B:D,2,0)</f>
        <v>10.9888398305027</v>
      </c>
      <c r="F43">
        <f>VLOOKUP(B43,'CQ 4.5 11'!B:D,3,0)</f>
        <v>30.3940297980742</v>
      </c>
    </row>
    <row r="44" spans="1:6" x14ac:dyDescent="0.25">
      <c r="A44" s="2" t="s">
        <v>48</v>
      </c>
      <c r="B44" s="3">
        <v>41852</v>
      </c>
      <c r="C44">
        <v>10.4042912940684</v>
      </c>
      <c r="D44">
        <v>31.692947498133002</v>
      </c>
      <c r="E44">
        <f>VLOOKUP(B44,'CQ 4.5 11'!B:D,2,0)</f>
        <v>14.272961736684101</v>
      </c>
      <c r="F44">
        <f>VLOOKUP(B44,'CQ 4.5 11'!B:D,3,0)</f>
        <v>30.7800662900632</v>
      </c>
    </row>
    <row r="45" spans="1:6" x14ac:dyDescent="0.25">
      <c r="A45" s="2" t="s">
        <v>49</v>
      </c>
      <c r="B45" s="3">
        <v>41883</v>
      </c>
      <c r="C45">
        <v>15.182767417002699</v>
      </c>
      <c r="D45">
        <v>32.504924490518299</v>
      </c>
      <c r="E45">
        <f>VLOOKUP(B45,'CQ 4.5 11'!B:D,2,0)</f>
        <v>10.949699352272599</v>
      </c>
      <c r="F45">
        <f>VLOOKUP(B45,'CQ 4.5 11'!B:D,3,0)</f>
        <v>31.363591206940299</v>
      </c>
    </row>
    <row r="46" spans="1:6" x14ac:dyDescent="0.25">
      <c r="A46" s="2" t="s">
        <v>50</v>
      </c>
      <c r="B46" s="3">
        <v>41913</v>
      </c>
      <c r="C46">
        <v>18.976997403064601</v>
      </c>
      <c r="D46">
        <v>32.6818057660726</v>
      </c>
      <c r="E46">
        <f>VLOOKUP(B46,'CQ 4.5 11'!B:D,2,0)</f>
        <v>14.395756079211701</v>
      </c>
      <c r="F46">
        <f>VLOOKUP(B46,'CQ 4.5 11'!B:D,3,0)</f>
        <v>30.9344269444993</v>
      </c>
    </row>
    <row r="47" spans="1:6" x14ac:dyDescent="0.25">
      <c r="A47" s="2" t="s">
        <v>51</v>
      </c>
      <c r="B47" s="3">
        <v>41944</v>
      </c>
      <c r="C47">
        <v>16.242297775408801</v>
      </c>
      <c r="D47">
        <v>31.728859985403901</v>
      </c>
      <c r="E47">
        <f>VLOOKUP(B47,'CQ 4.5 11'!B:D,2,0)</f>
        <v>13.851082145824501</v>
      </c>
      <c r="F47">
        <f>VLOOKUP(B47,'CQ 4.5 11'!B:D,3,0)</f>
        <v>30.051524078933099</v>
      </c>
    </row>
    <row r="48" spans="1:6" x14ac:dyDescent="0.25">
      <c r="A48" s="2" t="s">
        <v>52</v>
      </c>
      <c r="B48" s="3">
        <v>41974</v>
      </c>
      <c r="C48">
        <v>15.7755453280348</v>
      </c>
      <c r="D48">
        <v>34.042823292388803</v>
      </c>
      <c r="E48">
        <f>VLOOKUP(B48,'CQ 4.5 11'!B:D,2,0)</f>
        <v>12.7903398172717</v>
      </c>
      <c r="F48">
        <f>VLOOKUP(B48,'CQ 4.5 11'!B:D,3,0)</f>
        <v>32.309026195903598</v>
      </c>
    </row>
    <row r="49" spans="1:6" x14ac:dyDescent="0.25">
      <c r="A49" s="2" t="s">
        <v>53</v>
      </c>
      <c r="B49" s="3">
        <v>42005</v>
      </c>
      <c r="C49">
        <v>14.9760816098978</v>
      </c>
      <c r="D49">
        <v>36.431152132697399</v>
      </c>
      <c r="E49">
        <f>VLOOKUP(B49,'CQ 4.5 11'!B:D,2,0)</f>
        <v>14.752051112873</v>
      </c>
      <c r="F49">
        <f>VLOOKUP(B49,'CQ 4.5 11'!B:D,3,0)</f>
        <v>36.329621744502198</v>
      </c>
    </row>
    <row r="50" spans="1:6" x14ac:dyDescent="0.25">
      <c r="A50" s="2" t="s">
        <v>54</v>
      </c>
      <c r="B50" s="3">
        <v>42036</v>
      </c>
      <c r="C50">
        <v>17.0327675648909</v>
      </c>
      <c r="D50">
        <v>36.845822602648298</v>
      </c>
      <c r="E50">
        <f>VLOOKUP(B50,'CQ 4.5 11'!B:D,2,0)</f>
        <v>10.7375639877597</v>
      </c>
      <c r="F50">
        <f>VLOOKUP(B50,'CQ 4.5 11'!B:D,3,0)</f>
        <v>36.967974207945304</v>
      </c>
    </row>
    <row r="51" spans="1:6" x14ac:dyDescent="0.25">
      <c r="A51" s="2" t="s">
        <v>55</v>
      </c>
      <c r="B51" s="3">
        <v>42064</v>
      </c>
      <c r="C51">
        <v>16.6433111865441</v>
      </c>
      <c r="D51">
        <v>40.888822515110199</v>
      </c>
      <c r="E51">
        <f>VLOOKUP(B51,'CQ 4.5 11'!B:D,2,0)</f>
        <v>12.9347143365899</v>
      </c>
      <c r="F51">
        <f>VLOOKUP(B51,'CQ 4.5 11'!B:D,3,0)</f>
        <v>40.919501613528404</v>
      </c>
    </row>
    <row r="52" spans="1:6" x14ac:dyDescent="0.25">
      <c r="A52" s="2" t="s">
        <v>56</v>
      </c>
      <c r="B52" s="3">
        <v>42095</v>
      </c>
      <c r="C52">
        <v>22.6151073114384</v>
      </c>
      <c r="D52">
        <v>41.050222557370901</v>
      </c>
      <c r="E52">
        <f>VLOOKUP(B52,'CQ 4.5 11'!B:D,2,0)</f>
        <v>19.537929578902499</v>
      </c>
      <c r="F52">
        <f>VLOOKUP(B52,'CQ 4.5 11'!B:D,3,0)</f>
        <v>41.307599565917002</v>
      </c>
    </row>
    <row r="53" spans="1:6" x14ac:dyDescent="0.25">
      <c r="A53" s="2" t="s">
        <v>57</v>
      </c>
      <c r="B53" s="3">
        <v>42125</v>
      </c>
      <c r="C53">
        <v>23.003299798929</v>
      </c>
      <c r="D53">
        <v>40.571173138497997</v>
      </c>
      <c r="E53">
        <f>VLOOKUP(B53,'CQ 4.5 11'!B:D,2,0)</f>
        <v>19.348204397514799</v>
      </c>
      <c r="F53">
        <f>VLOOKUP(B53,'CQ 4.5 11'!B:D,3,0)</f>
        <v>41.204791958194001</v>
      </c>
    </row>
    <row r="54" spans="1:6" x14ac:dyDescent="0.25">
      <c r="A54" s="2" t="s">
        <v>58</v>
      </c>
      <c r="B54" s="3">
        <v>42156</v>
      </c>
      <c r="C54">
        <v>24.999871749104202</v>
      </c>
      <c r="D54">
        <v>42.604393210670999</v>
      </c>
      <c r="E54">
        <f>VLOOKUP(B54,'CQ 4.5 11'!B:D,2,0)</f>
        <v>19.284333041492101</v>
      </c>
      <c r="F54">
        <f>VLOOKUP(B54,'CQ 4.5 11'!B:D,3,0)</f>
        <v>43.752562221006102</v>
      </c>
    </row>
    <row r="55" spans="1:6" x14ac:dyDescent="0.25">
      <c r="A55" s="2" t="s">
        <v>59</v>
      </c>
      <c r="B55" s="3">
        <v>42186</v>
      </c>
      <c r="C55">
        <v>24.3833811894124</v>
      </c>
      <c r="D55">
        <v>39.133403166095498</v>
      </c>
      <c r="E55">
        <f>VLOOKUP(B55,'CQ 4.5 11'!B:D,2,0)</f>
        <v>21.238750219158799</v>
      </c>
      <c r="F55">
        <f>VLOOKUP(B55,'CQ 4.5 11'!B:D,3,0)</f>
        <v>40.565818701754402</v>
      </c>
    </row>
    <row r="56" spans="1:6" x14ac:dyDescent="0.25">
      <c r="A56" s="2" t="s">
        <v>60</v>
      </c>
      <c r="B56" s="3">
        <v>42217</v>
      </c>
      <c r="C56">
        <v>19.775302868970599</v>
      </c>
      <c r="D56">
        <v>36.464335136017503</v>
      </c>
      <c r="E56">
        <f>VLOOKUP(B56,'CQ 4.5 11'!B:D,2,0)</f>
        <v>20.4708761160162</v>
      </c>
      <c r="F56">
        <f>VLOOKUP(B56,'CQ 4.5 11'!B:D,3,0)</f>
        <v>38.423458822534798</v>
      </c>
    </row>
    <row r="57" spans="1:6" x14ac:dyDescent="0.25">
      <c r="A57" s="2" t="s">
        <v>61</v>
      </c>
      <c r="B57" s="3">
        <v>42248</v>
      </c>
      <c r="C57">
        <v>21.195841277074599</v>
      </c>
      <c r="D57">
        <v>34.843609842380197</v>
      </c>
      <c r="E57">
        <f>VLOOKUP(B57,'CQ 4.5 11'!B:D,2,0)</f>
        <v>16.846554062904701</v>
      </c>
      <c r="F57">
        <f>VLOOKUP(B57,'CQ 4.5 11'!B:D,3,0)</f>
        <v>37.430817333464297</v>
      </c>
    </row>
    <row r="58" spans="1:6" x14ac:dyDescent="0.25">
      <c r="A58" s="2" t="s">
        <v>62</v>
      </c>
      <c r="B58" s="3">
        <v>42278</v>
      </c>
      <c r="C58">
        <v>16.134512688135299</v>
      </c>
      <c r="D58">
        <v>36.4126649487877</v>
      </c>
      <c r="E58">
        <f>VLOOKUP(B58,'CQ 4.5 11'!B:D,2,0)</f>
        <v>18.1147379828388</v>
      </c>
      <c r="F58">
        <f>VLOOKUP(B58,'CQ 4.5 11'!B:D,3,0)</f>
        <v>38.637750236271401</v>
      </c>
    </row>
    <row r="59" spans="1:6" x14ac:dyDescent="0.25">
      <c r="A59" s="2" t="s">
        <v>63</v>
      </c>
      <c r="B59" s="3">
        <v>42309</v>
      </c>
      <c r="C59">
        <v>21.401286456231201</v>
      </c>
      <c r="D59">
        <v>35.462867360901903</v>
      </c>
      <c r="E59">
        <f>VLOOKUP(B59,'CQ 4.5 11'!B:D,2,0)</f>
        <v>15.398180404442</v>
      </c>
      <c r="F59">
        <f>VLOOKUP(B59,'CQ 4.5 11'!B:D,3,0)</f>
        <v>37.7039763553692</v>
      </c>
    </row>
    <row r="60" spans="1:6" x14ac:dyDescent="0.25">
      <c r="A60" s="2" t="s">
        <v>64</v>
      </c>
      <c r="B60" s="3">
        <v>42339</v>
      </c>
      <c r="C60">
        <v>16.897293046693498</v>
      </c>
      <c r="D60">
        <v>35.532870567457302</v>
      </c>
      <c r="E60">
        <f>VLOOKUP(B60,'CQ 4.5 11'!B:D,2,0)</f>
        <v>14.158721406397101</v>
      </c>
      <c r="F60">
        <f>VLOOKUP(B60,'CQ 4.5 11'!B:D,3,0)</f>
        <v>37.714988007792499</v>
      </c>
    </row>
    <row r="61" spans="1:6" x14ac:dyDescent="0.25">
      <c r="A61" s="2" t="s">
        <v>65</v>
      </c>
      <c r="B61" s="3">
        <v>42370</v>
      </c>
      <c r="C61">
        <v>18.202825863670199</v>
      </c>
      <c r="D61">
        <v>32.633747338957697</v>
      </c>
      <c r="E61">
        <f>VLOOKUP(B61,'CQ 4.5 11'!B:D,2,0)</f>
        <v>18.541873422104601</v>
      </c>
      <c r="F61">
        <f>VLOOKUP(B61,'CQ 4.5 11'!B:D,3,0)</f>
        <v>34.962167148281601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G9"/>
  <sheetViews>
    <sheetView workbookViewId="0">
      <selection activeCell="AE35" sqref="AE35"/>
    </sheetView>
  </sheetViews>
  <sheetFormatPr defaultRowHeight="15" x14ac:dyDescent="0.25"/>
  <sheetData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</sheetData>
  <conditionalFormatting sqref="B4:G8">
    <cfRule type="cellIs" dxfId="0" priority="1" operator="lessThan">
      <formula>1</formula>
    </cfRule>
  </conditionalFormatting>
  <pageMargins left="0.25" right="0.25" top="0.75" bottom="0.75" header="0.3" footer="0.3"/>
  <pageSetup scale="52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68"/>
  <sheetViews>
    <sheetView tabSelected="1" topLeftCell="K1" workbookViewId="0">
      <selection activeCell="AL51" sqref="AL51"/>
    </sheetView>
  </sheetViews>
  <sheetFormatPr defaultRowHeight="15" x14ac:dyDescent="0.25"/>
  <cols>
    <col min="1" max="1" width="7.7109375" hidden="1" customWidth="1"/>
    <col min="2" max="2" width="7.5703125" hidden="1" customWidth="1"/>
    <col min="3" max="3" width="12.7109375" hidden="1" customWidth="1"/>
    <col min="4" max="4" width="5.140625" hidden="1" customWidth="1"/>
    <col min="5" max="5" width="6.28515625" hidden="1" customWidth="1"/>
    <col min="6" max="6" width="6.7109375" hidden="1" customWidth="1"/>
    <col min="7" max="7" width="5.42578125" hidden="1" customWidth="1"/>
    <col min="8" max="8" width="5" hidden="1" customWidth="1"/>
    <col min="9" max="9" width="7.5703125" hidden="1" customWidth="1"/>
    <col min="10" max="10" width="7.7109375" hidden="1" customWidth="1"/>
    <col min="11" max="11" width="7.7109375" customWidth="1"/>
    <col min="12" max="12" width="7.28515625" bestFit="1" customWidth="1"/>
    <col min="13" max="14" width="6.7109375" bestFit="1" customWidth="1"/>
    <col min="15" max="15" width="4.42578125" bestFit="1" customWidth="1"/>
    <col min="16" max="16" width="7.5703125" bestFit="1" customWidth="1"/>
    <col min="17" max="17" width="6.7109375" bestFit="1" customWidth="1"/>
    <col min="18" max="18" width="9" bestFit="1" customWidth="1"/>
    <col min="19" max="19" width="6.7109375" bestFit="1" customWidth="1"/>
    <col min="20" max="20" width="9.85546875" bestFit="1" customWidth="1"/>
    <col min="21" max="22" width="6.7109375" bestFit="1" customWidth="1"/>
    <col min="23" max="23" width="12.7109375" bestFit="1" customWidth="1"/>
    <col min="24" max="24" width="4.42578125" bestFit="1" customWidth="1"/>
  </cols>
  <sheetData>
    <row r="1" spans="1:33" x14ac:dyDescent="0.25">
      <c r="A1" t="s">
        <v>70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L1" t="s">
        <v>149</v>
      </c>
      <c r="M1" t="s">
        <v>71</v>
      </c>
      <c r="AF1" t="s">
        <v>149</v>
      </c>
      <c r="AG1" t="s">
        <v>71</v>
      </c>
    </row>
    <row r="2" spans="1:33" x14ac:dyDescent="0.25">
      <c r="A2" t="s">
        <v>79</v>
      </c>
      <c r="B2">
        <v>119</v>
      </c>
      <c r="C2">
        <v>767</v>
      </c>
      <c r="D2">
        <v>14</v>
      </c>
      <c r="E2">
        <v>0.8</v>
      </c>
      <c r="F2">
        <v>0.1</v>
      </c>
      <c r="G2">
        <v>9.6</v>
      </c>
      <c r="H2">
        <v>4</v>
      </c>
      <c r="I2">
        <v>87</v>
      </c>
      <c r="J2">
        <v>29</v>
      </c>
      <c r="K2">
        <v>30</v>
      </c>
      <c r="L2">
        <v>10.5</v>
      </c>
      <c r="M2">
        <v>14</v>
      </c>
      <c r="AE2">
        <v>4</v>
      </c>
      <c r="AF2">
        <v>76.3</v>
      </c>
      <c r="AG2">
        <v>20.5</v>
      </c>
    </row>
    <row r="3" spans="1:33" x14ac:dyDescent="0.25">
      <c r="A3" t="s">
        <v>80</v>
      </c>
      <c r="B3">
        <v>128</v>
      </c>
      <c r="C3">
        <v>763</v>
      </c>
      <c r="D3">
        <v>14.7</v>
      </c>
      <c r="E3">
        <v>0.8</v>
      </c>
      <c r="F3">
        <v>0.1</v>
      </c>
      <c r="G3">
        <v>9.4</v>
      </c>
      <c r="H3">
        <v>4.9000000000000004</v>
      </c>
      <c r="I3">
        <v>101</v>
      </c>
      <c r="J3">
        <v>30</v>
      </c>
      <c r="K3">
        <v>31</v>
      </c>
      <c r="L3">
        <v>15.5</v>
      </c>
      <c r="M3">
        <v>14.7</v>
      </c>
      <c r="AE3">
        <v>5</v>
      </c>
      <c r="AF3">
        <v>72.3</v>
      </c>
      <c r="AG3">
        <v>20.9</v>
      </c>
    </row>
    <row r="4" spans="1:33" x14ac:dyDescent="0.25">
      <c r="A4" t="s">
        <v>81</v>
      </c>
      <c r="B4">
        <v>198</v>
      </c>
      <c r="C4" s="4">
        <v>1137</v>
      </c>
      <c r="D4">
        <v>14.2</v>
      </c>
      <c r="E4">
        <v>0.8</v>
      </c>
      <c r="F4">
        <v>0.1</v>
      </c>
      <c r="G4">
        <v>9.4</v>
      </c>
      <c r="H4">
        <v>4.4000000000000004</v>
      </c>
      <c r="I4">
        <v>158</v>
      </c>
      <c r="J4">
        <v>31</v>
      </c>
      <c r="K4">
        <v>32</v>
      </c>
      <c r="L4">
        <v>13.8</v>
      </c>
      <c r="M4">
        <v>14.2</v>
      </c>
      <c r="AE4">
        <v>6</v>
      </c>
      <c r="AF4">
        <v>64.2</v>
      </c>
      <c r="AG4">
        <v>20.8</v>
      </c>
    </row>
    <row r="5" spans="1:33" x14ac:dyDescent="0.25">
      <c r="A5" t="s">
        <v>82</v>
      </c>
      <c r="B5">
        <v>247</v>
      </c>
      <c r="C5" s="4">
        <v>1624</v>
      </c>
      <c r="D5">
        <v>14.6</v>
      </c>
      <c r="E5">
        <v>0.8</v>
      </c>
      <c r="F5">
        <v>0.1</v>
      </c>
      <c r="G5">
        <v>9</v>
      </c>
      <c r="H5">
        <v>5.2</v>
      </c>
      <c r="I5">
        <v>189</v>
      </c>
      <c r="J5">
        <v>32</v>
      </c>
      <c r="K5">
        <v>33</v>
      </c>
      <c r="L5">
        <v>11.1</v>
      </c>
      <c r="M5">
        <v>14.6</v>
      </c>
      <c r="AE5">
        <v>7</v>
      </c>
      <c r="AF5">
        <v>54.1</v>
      </c>
      <c r="AG5">
        <v>20.7</v>
      </c>
    </row>
    <row r="6" spans="1:33" x14ac:dyDescent="0.25">
      <c r="A6" t="s">
        <v>83</v>
      </c>
      <c r="B6">
        <v>424</v>
      </c>
      <c r="C6" s="4">
        <v>2452</v>
      </c>
      <c r="D6">
        <v>15.4</v>
      </c>
      <c r="E6">
        <v>0.8</v>
      </c>
      <c r="F6">
        <v>0.1</v>
      </c>
      <c r="G6">
        <v>9.4</v>
      </c>
      <c r="H6">
        <v>5.7</v>
      </c>
      <c r="I6">
        <v>306</v>
      </c>
      <c r="J6">
        <v>33</v>
      </c>
      <c r="K6">
        <v>34</v>
      </c>
      <c r="L6">
        <v>13.1</v>
      </c>
      <c r="M6">
        <v>15.4</v>
      </c>
      <c r="AE6">
        <v>8</v>
      </c>
      <c r="AF6">
        <v>51.1</v>
      </c>
      <c r="AG6">
        <v>20.7</v>
      </c>
    </row>
    <row r="7" spans="1:33" x14ac:dyDescent="0.25">
      <c r="A7" t="s">
        <v>84</v>
      </c>
      <c r="B7">
        <v>525</v>
      </c>
      <c r="C7" s="4">
        <v>3496</v>
      </c>
      <c r="D7">
        <v>16.2</v>
      </c>
      <c r="E7">
        <v>0.8</v>
      </c>
      <c r="F7">
        <v>0.2</v>
      </c>
      <c r="G7">
        <v>9.8000000000000007</v>
      </c>
      <c r="H7">
        <v>6.2</v>
      </c>
      <c r="I7">
        <v>413</v>
      </c>
      <c r="J7">
        <v>34</v>
      </c>
      <c r="K7">
        <v>35</v>
      </c>
      <c r="L7">
        <v>10.1</v>
      </c>
      <c r="M7">
        <v>16.2</v>
      </c>
      <c r="AE7">
        <v>9</v>
      </c>
      <c r="AF7">
        <v>44</v>
      </c>
      <c r="AG7">
        <v>20.6</v>
      </c>
    </row>
    <row r="8" spans="1:33" x14ac:dyDescent="0.25">
      <c r="A8" t="s">
        <v>85</v>
      </c>
      <c r="B8">
        <v>745</v>
      </c>
      <c r="C8" s="4">
        <v>5033</v>
      </c>
      <c r="D8">
        <v>16.399999999999999</v>
      </c>
      <c r="E8">
        <v>0.8</v>
      </c>
      <c r="F8">
        <v>0.2</v>
      </c>
      <c r="G8">
        <v>9.8000000000000007</v>
      </c>
      <c r="H8">
        <v>6.3</v>
      </c>
      <c r="I8">
        <v>543</v>
      </c>
      <c r="J8">
        <v>35</v>
      </c>
      <c r="K8">
        <v>36</v>
      </c>
      <c r="L8">
        <v>14.5</v>
      </c>
      <c r="M8">
        <v>16.399999999999999</v>
      </c>
      <c r="AE8">
        <v>10</v>
      </c>
      <c r="AF8">
        <v>40.5</v>
      </c>
      <c r="AG8">
        <v>20.5</v>
      </c>
    </row>
    <row r="9" spans="1:33" x14ac:dyDescent="0.25">
      <c r="A9" t="s">
        <v>86</v>
      </c>
      <c r="B9" s="4">
        <v>1136</v>
      </c>
      <c r="C9" s="4">
        <v>7423</v>
      </c>
      <c r="D9">
        <v>16.399999999999999</v>
      </c>
      <c r="E9">
        <v>0.8</v>
      </c>
      <c r="F9">
        <v>0.2</v>
      </c>
      <c r="G9">
        <v>9.6</v>
      </c>
      <c r="H9">
        <v>6.5</v>
      </c>
      <c r="I9">
        <v>846</v>
      </c>
      <c r="J9">
        <v>36</v>
      </c>
      <c r="K9">
        <v>37</v>
      </c>
      <c r="L9">
        <v>12.8</v>
      </c>
      <c r="M9">
        <v>16.399999999999999</v>
      </c>
      <c r="AE9">
        <v>11</v>
      </c>
      <c r="AF9">
        <v>37.799999999999997</v>
      </c>
      <c r="AG9">
        <v>20.399999999999999</v>
      </c>
    </row>
    <row r="10" spans="1:33" x14ac:dyDescent="0.25">
      <c r="A10" t="s">
        <v>87</v>
      </c>
      <c r="B10" s="4">
        <v>2012</v>
      </c>
      <c r="C10" s="4">
        <v>15838</v>
      </c>
      <c r="D10">
        <v>17</v>
      </c>
      <c r="E10">
        <v>0.8</v>
      </c>
      <c r="F10">
        <v>0.2</v>
      </c>
      <c r="G10">
        <v>9.8000000000000007</v>
      </c>
      <c r="H10">
        <v>7</v>
      </c>
      <c r="I10" s="4">
        <v>1337</v>
      </c>
      <c r="J10">
        <v>37</v>
      </c>
      <c r="K10">
        <v>38</v>
      </c>
      <c r="L10">
        <v>11.4</v>
      </c>
      <c r="M10">
        <v>17</v>
      </c>
      <c r="AE10">
        <v>12</v>
      </c>
      <c r="AF10">
        <v>33.6</v>
      </c>
      <c r="AG10">
        <v>20.7</v>
      </c>
    </row>
    <row r="11" spans="1:33" x14ac:dyDescent="0.25">
      <c r="A11" t="s">
        <v>88</v>
      </c>
      <c r="B11" s="4">
        <v>3010</v>
      </c>
      <c r="C11" s="4">
        <v>26941</v>
      </c>
      <c r="D11">
        <v>17.399999999999999</v>
      </c>
      <c r="E11">
        <v>0.8</v>
      </c>
      <c r="F11">
        <v>0.2</v>
      </c>
      <c r="G11">
        <v>9.8000000000000007</v>
      </c>
      <c r="H11">
        <v>7.4</v>
      </c>
      <c r="I11" s="4">
        <v>2220</v>
      </c>
      <c r="J11">
        <v>38</v>
      </c>
      <c r="K11">
        <v>39</v>
      </c>
      <c r="L11">
        <v>12.1</v>
      </c>
      <c r="M11">
        <v>17.399999999999999</v>
      </c>
      <c r="AE11">
        <v>13</v>
      </c>
      <c r="AF11">
        <v>31.4</v>
      </c>
      <c r="AG11">
        <v>20.7</v>
      </c>
    </row>
    <row r="12" spans="1:33" x14ac:dyDescent="0.25">
      <c r="A12" t="s">
        <v>89</v>
      </c>
      <c r="B12" s="4">
        <v>4010</v>
      </c>
      <c r="C12" s="4">
        <v>31756</v>
      </c>
      <c r="D12">
        <v>17</v>
      </c>
      <c r="E12">
        <v>0.8</v>
      </c>
      <c r="F12">
        <v>0.2</v>
      </c>
      <c r="G12">
        <v>9.8000000000000007</v>
      </c>
      <c r="H12">
        <v>7.1</v>
      </c>
      <c r="I12" s="4">
        <v>3133</v>
      </c>
      <c r="J12">
        <v>39</v>
      </c>
      <c r="K12">
        <v>40</v>
      </c>
      <c r="L12">
        <v>11.2</v>
      </c>
      <c r="M12">
        <v>17</v>
      </c>
      <c r="AE12">
        <v>14</v>
      </c>
      <c r="AF12">
        <v>29.9</v>
      </c>
      <c r="AG12">
        <v>20.7</v>
      </c>
    </row>
    <row r="13" spans="1:33" x14ac:dyDescent="0.25">
      <c r="A13" t="s">
        <v>90</v>
      </c>
      <c r="B13" s="4">
        <v>6490</v>
      </c>
      <c r="C13" s="4">
        <v>52674</v>
      </c>
      <c r="D13">
        <v>17</v>
      </c>
      <c r="E13">
        <v>0.8</v>
      </c>
      <c r="F13">
        <v>0.2</v>
      </c>
      <c r="G13">
        <v>9.6</v>
      </c>
      <c r="H13">
        <v>7.1</v>
      </c>
      <c r="I13" s="4">
        <v>4819</v>
      </c>
      <c r="J13">
        <v>40</v>
      </c>
      <c r="K13">
        <v>41</v>
      </c>
      <c r="L13">
        <v>11.7</v>
      </c>
      <c r="M13">
        <v>17</v>
      </c>
      <c r="AE13">
        <v>15</v>
      </c>
      <c r="AF13">
        <v>26.5</v>
      </c>
      <c r="AG13">
        <v>20.5</v>
      </c>
    </row>
    <row r="14" spans="1:33" x14ac:dyDescent="0.25">
      <c r="A14" t="s">
        <v>91</v>
      </c>
      <c r="B14" s="4">
        <v>9941</v>
      </c>
      <c r="C14" s="4">
        <v>79446</v>
      </c>
      <c r="D14">
        <v>17</v>
      </c>
      <c r="E14">
        <v>0.8</v>
      </c>
      <c r="F14">
        <v>0.2</v>
      </c>
      <c r="G14">
        <v>9.6999999999999993</v>
      </c>
      <c r="H14">
        <v>7.1</v>
      </c>
      <c r="I14" s="4">
        <v>7454</v>
      </c>
      <c r="J14">
        <v>41</v>
      </c>
      <c r="K14">
        <v>42</v>
      </c>
      <c r="L14">
        <v>12</v>
      </c>
      <c r="M14">
        <v>17</v>
      </c>
      <c r="AE14">
        <v>16</v>
      </c>
      <c r="AF14">
        <v>25.7</v>
      </c>
      <c r="AG14">
        <v>20.399999999999999</v>
      </c>
    </row>
    <row r="15" spans="1:33" x14ac:dyDescent="0.25">
      <c r="A15" t="s">
        <v>92</v>
      </c>
      <c r="B15" s="4">
        <v>13779</v>
      </c>
      <c r="C15" s="4">
        <v>99935</v>
      </c>
      <c r="D15">
        <v>17.7</v>
      </c>
      <c r="E15">
        <v>0.7</v>
      </c>
      <c r="F15">
        <v>0.3</v>
      </c>
      <c r="G15">
        <v>9.6999999999999993</v>
      </c>
      <c r="H15">
        <v>7.8</v>
      </c>
      <c r="I15" s="4">
        <v>9517</v>
      </c>
      <c r="J15">
        <v>42</v>
      </c>
      <c r="K15">
        <v>43</v>
      </c>
      <c r="L15">
        <v>13.1</v>
      </c>
      <c r="M15">
        <v>17.7</v>
      </c>
      <c r="AE15">
        <v>17</v>
      </c>
      <c r="AF15">
        <v>23.9</v>
      </c>
      <c r="AG15">
        <v>20.5</v>
      </c>
    </row>
    <row r="16" spans="1:33" x14ac:dyDescent="0.25">
      <c r="A16" t="s">
        <v>93</v>
      </c>
      <c r="B16" s="4">
        <v>21561</v>
      </c>
      <c r="C16" s="4">
        <v>153966</v>
      </c>
      <c r="D16">
        <v>17</v>
      </c>
      <c r="E16">
        <v>0.7</v>
      </c>
      <c r="F16">
        <v>0.3</v>
      </c>
      <c r="G16">
        <v>9.6</v>
      </c>
      <c r="H16">
        <v>7.2</v>
      </c>
      <c r="I16" s="4">
        <v>16141</v>
      </c>
      <c r="J16">
        <v>43</v>
      </c>
      <c r="K16">
        <v>44</v>
      </c>
      <c r="L16">
        <v>12.2</v>
      </c>
      <c r="M16">
        <v>17</v>
      </c>
      <c r="AE16">
        <v>18</v>
      </c>
      <c r="AF16">
        <v>22.5</v>
      </c>
      <c r="AG16">
        <v>20.6</v>
      </c>
    </row>
    <row r="17" spans="1:33" x14ac:dyDescent="0.25">
      <c r="A17" t="s">
        <v>94</v>
      </c>
      <c r="B17" s="4">
        <v>31137</v>
      </c>
      <c r="C17" s="4">
        <v>212894</v>
      </c>
      <c r="D17">
        <v>17.8</v>
      </c>
      <c r="E17">
        <v>0.7</v>
      </c>
      <c r="F17">
        <v>0.3</v>
      </c>
      <c r="G17">
        <v>9.6</v>
      </c>
      <c r="H17">
        <v>8.1</v>
      </c>
      <c r="I17" s="4">
        <v>20808</v>
      </c>
      <c r="J17">
        <v>44</v>
      </c>
      <c r="K17">
        <v>45</v>
      </c>
      <c r="L17">
        <v>12.2</v>
      </c>
      <c r="M17">
        <v>17.8</v>
      </c>
      <c r="AE17">
        <v>19</v>
      </c>
      <c r="AF17">
        <v>22.4</v>
      </c>
      <c r="AG17">
        <v>20.7</v>
      </c>
    </row>
    <row r="18" spans="1:33" x14ac:dyDescent="0.25">
      <c r="A18" t="s">
        <v>95</v>
      </c>
      <c r="B18" s="4">
        <v>46952</v>
      </c>
      <c r="C18" s="4">
        <v>312766</v>
      </c>
      <c r="D18">
        <v>17.399999999999999</v>
      </c>
      <c r="E18">
        <v>0.7</v>
      </c>
      <c r="F18">
        <v>0.3</v>
      </c>
      <c r="G18">
        <v>9.6</v>
      </c>
      <c r="H18">
        <v>7.5</v>
      </c>
      <c r="I18" s="4">
        <v>34517</v>
      </c>
      <c r="J18">
        <v>45</v>
      </c>
      <c r="K18">
        <v>46</v>
      </c>
      <c r="L18">
        <v>11.5</v>
      </c>
      <c r="M18">
        <v>17.399999999999999</v>
      </c>
      <c r="AE18">
        <v>20</v>
      </c>
      <c r="AF18">
        <v>21.8</v>
      </c>
      <c r="AG18">
        <v>20.8</v>
      </c>
    </row>
    <row r="19" spans="1:33" x14ac:dyDescent="0.25">
      <c r="A19" t="s">
        <v>96</v>
      </c>
      <c r="B19" s="4">
        <v>81504</v>
      </c>
      <c r="C19" s="4">
        <v>482252</v>
      </c>
      <c r="D19">
        <v>16.3</v>
      </c>
      <c r="E19">
        <v>0.7</v>
      </c>
      <c r="F19">
        <v>0.3</v>
      </c>
      <c r="G19">
        <v>9.6999999999999993</v>
      </c>
      <c r="H19">
        <v>6.3</v>
      </c>
      <c r="I19" s="4">
        <v>57208</v>
      </c>
      <c r="J19">
        <v>46</v>
      </c>
      <c r="K19">
        <v>47</v>
      </c>
      <c r="L19">
        <v>11.2</v>
      </c>
      <c r="M19">
        <v>16.3</v>
      </c>
      <c r="AE19">
        <v>21</v>
      </c>
      <c r="AF19">
        <v>20.7</v>
      </c>
      <c r="AG19">
        <v>21.2</v>
      </c>
    </row>
    <row r="20" spans="1:33" x14ac:dyDescent="0.25">
      <c r="A20" t="s">
        <v>97</v>
      </c>
      <c r="B20" s="4">
        <v>102851</v>
      </c>
      <c r="C20" s="4">
        <v>598621</v>
      </c>
      <c r="D20">
        <v>16.600000000000001</v>
      </c>
      <c r="E20">
        <v>0.7</v>
      </c>
      <c r="F20">
        <v>0.3</v>
      </c>
      <c r="G20">
        <v>9.6</v>
      </c>
      <c r="H20">
        <v>6.7</v>
      </c>
      <c r="I20" s="4">
        <v>79211</v>
      </c>
      <c r="J20">
        <v>47</v>
      </c>
      <c r="K20">
        <v>48</v>
      </c>
      <c r="L20">
        <v>11.7</v>
      </c>
      <c r="M20">
        <v>16.600000000000001</v>
      </c>
      <c r="AE20">
        <v>22</v>
      </c>
      <c r="AF20">
        <v>20.100000000000001</v>
      </c>
      <c r="AG20">
        <v>21.1</v>
      </c>
    </row>
    <row r="21" spans="1:33" x14ac:dyDescent="0.25">
      <c r="A21" t="s">
        <v>98</v>
      </c>
      <c r="B21" s="4">
        <v>120746</v>
      </c>
      <c r="C21" s="4">
        <v>713820</v>
      </c>
      <c r="D21">
        <v>16.5</v>
      </c>
      <c r="E21">
        <v>0.7</v>
      </c>
      <c r="F21">
        <v>0.3</v>
      </c>
      <c r="G21">
        <v>9.5</v>
      </c>
      <c r="H21">
        <v>6.7</v>
      </c>
      <c r="I21" s="4">
        <v>93236</v>
      </c>
      <c r="J21">
        <v>48</v>
      </c>
      <c r="K21">
        <v>49</v>
      </c>
      <c r="L21">
        <v>11.4</v>
      </c>
      <c r="M21">
        <v>16.5</v>
      </c>
      <c r="AE21">
        <v>23</v>
      </c>
      <c r="AF21">
        <v>19.7</v>
      </c>
      <c r="AG21">
        <v>21.1</v>
      </c>
    </row>
    <row r="22" spans="1:33" x14ac:dyDescent="0.25">
      <c r="A22" t="s">
        <v>99</v>
      </c>
      <c r="B22" s="4">
        <v>201391</v>
      </c>
      <c r="C22" s="4">
        <v>1108458</v>
      </c>
      <c r="D22">
        <v>15.6</v>
      </c>
      <c r="E22">
        <v>0.7</v>
      </c>
      <c r="F22">
        <v>0.3</v>
      </c>
      <c r="G22">
        <v>9.4</v>
      </c>
      <c r="H22">
        <v>5.8</v>
      </c>
      <c r="I22" s="4">
        <v>150456</v>
      </c>
      <c r="J22">
        <v>49</v>
      </c>
      <c r="K22">
        <v>50</v>
      </c>
      <c r="L22">
        <v>11</v>
      </c>
      <c r="M22">
        <v>15.6</v>
      </c>
      <c r="AE22">
        <v>24</v>
      </c>
      <c r="AF22">
        <v>19.600000000000001</v>
      </c>
      <c r="AG22">
        <v>21.7</v>
      </c>
    </row>
    <row r="23" spans="1:33" x14ac:dyDescent="0.25">
      <c r="A23" t="s">
        <v>100</v>
      </c>
      <c r="B23" s="4">
        <v>248689</v>
      </c>
      <c r="C23" s="4">
        <v>1343250</v>
      </c>
      <c r="D23">
        <v>15.7</v>
      </c>
      <c r="E23">
        <v>0.7</v>
      </c>
      <c r="F23">
        <v>0.3</v>
      </c>
      <c r="G23">
        <v>9.4</v>
      </c>
      <c r="H23">
        <v>5.9</v>
      </c>
      <c r="I23" s="4">
        <v>198584</v>
      </c>
      <c r="J23">
        <v>50</v>
      </c>
      <c r="K23">
        <v>51</v>
      </c>
      <c r="L23">
        <v>11.3</v>
      </c>
      <c r="M23">
        <v>15.7</v>
      </c>
      <c r="AE23">
        <v>25</v>
      </c>
      <c r="AF23">
        <v>20.100000000000001</v>
      </c>
      <c r="AG23">
        <v>22</v>
      </c>
    </row>
    <row r="24" spans="1:33" x14ac:dyDescent="0.25">
      <c r="A24" t="s">
        <v>101</v>
      </c>
      <c r="B24" s="4">
        <v>270511</v>
      </c>
      <c r="C24" s="4">
        <v>1471102</v>
      </c>
      <c r="D24">
        <v>15.7</v>
      </c>
      <c r="E24">
        <v>0.7</v>
      </c>
      <c r="F24">
        <v>0.3</v>
      </c>
      <c r="G24">
        <v>9.3000000000000007</v>
      </c>
      <c r="H24">
        <v>6.1</v>
      </c>
      <c r="I24" s="4">
        <v>225715</v>
      </c>
      <c r="J24">
        <v>51</v>
      </c>
      <c r="K24">
        <v>52</v>
      </c>
      <c r="L24">
        <v>11.7</v>
      </c>
      <c r="M24">
        <v>15.7</v>
      </c>
      <c r="AE24">
        <v>26</v>
      </c>
      <c r="AF24">
        <v>19.899999999999999</v>
      </c>
      <c r="AG24">
        <v>22</v>
      </c>
    </row>
    <row r="25" spans="1:33" x14ac:dyDescent="0.25">
      <c r="A25" t="s">
        <v>102</v>
      </c>
      <c r="B25" s="4">
        <v>347831</v>
      </c>
      <c r="C25" s="4">
        <v>1850195</v>
      </c>
      <c r="D25">
        <v>15.8</v>
      </c>
      <c r="E25">
        <v>0.7</v>
      </c>
      <c r="F25">
        <v>0.3</v>
      </c>
      <c r="G25">
        <v>9</v>
      </c>
      <c r="H25">
        <v>6.4</v>
      </c>
      <c r="I25" s="4">
        <v>268548</v>
      </c>
      <c r="J25">
        <v>52</v>
      </c>
      <c r="K25">
        <v>53</v>
      </c>
      <c r="L25">
        <v>11.1</v>
      </c>
      <c r="M25">
        <v>15.8</v>
      </c>
      <c r="AE25">
        <v>27</v>
      </c>
      <c r="AF25">
        <v>20.399999999999999</v>
      </c>
      <c r="AG25">
        <v>22.3</v>
      </c>
    </row>
    <row r="26" spans="1:33" x14ac:dyDescent="0.25">
      <c r="A26" t="s">
        <v>103</v>
      </c>
      <c r="B26" s="4">
        <v>530660</v>
      </c>
      <c r="C26" s="4">
        <v>2668165</v>
      </c>
      <c r="D26">
        <v>14.7</v>
      </c>
      <c r="E26">
        <v>0.7</v>
      </c>
      <c r="F26">
        <v>0.3</v>
      </c>
      <c r="G26">
        <v>9.1</v>
      </c>
      <c r="H26">
        <v>5.2</v>
      </c>
      <c r="I26" s="4">
        <v>429535</v>
      </c>
      <c r="J26">
        <v>53</v>
      </c>
      <c r="K26">
        <v>54</v>
      </c>
      <c r="L26">
        <v>10.199999999999999</v>
      </c>
      <c r="M26">
        <v>14.7</v>
      </c>
      <c r="AE26">
        <v>28</v>
      </c>
      <c r="AF26">
        <v>20.6</v>
      </c>
      <c r="AG26">
        <v>22.3</v>
      </c>
    </row>
    <row r="27" spans="1:33" x14ac:dyDescent="0.25">
      <c r="A27" t="s">
        <v>104</v>
      </c>
      <c r="B27" s="4">
        <v>618160</v>
      </c>
      <c r="C27" s="4">
        <v>3103282</v>
      </c>
      <c r="D27">
        <v>14.8</v>
      </c>
      <c r="E27">
        <v>0.7</v>
      </c>
      <c r="F27">
        <v>0.3</v>
      </c>
      <c r="G27">
        <v>9.1</v>
      </c>
      <c r="H27">
        <v>5.3</v>
      </c>
      <c r="I27" s="4">
        <v>500730</v>
      </c>
      <c r="J27">
        <v>54</v>
      </c>
      <c r="K27">
        <v>55</v>
      </c>
      <c r="L27">
        <v>10.199999999999999</v>
      </c>
      <c r="M27">
        <v>14.8</v>
      </c>
      <c r="AE27">
        <v>29</v>
      </c>
      <c r="AF27">
        <v>21.4</v>
      </c>
      <c r="AG27">
        <v>22.6</v>
      </c>
    </row>
    <row r="28" spans="1:33" x14ac:dyDescent="0.25">
      <c r="A28" t="s">
        <v>105</v>
      </c>
      <c r="B28" s="4">
        <v>617978</v>
      </c>
      <c r="C28" s="4">
        <v>3133377</v>
      </c>
      <c r="D28">
        <v>14.8</v>
      </c>
      <c r="E28">
        <v>0.6</v>
      </c>
      <c r="F28">
        <v>0.3</v>
      </c>
      <c r="G28">
        <v>8.9</v>
      </c>
      <c r="H28">
        <v>5.5</v>
      </c>
      <c r="I28" s="4">
        <v>540728</v>
      </c>
      <c r="J28">
        <v>55</v>
      </c>
      <c r="K28">
        <v>56</v>
      </c>
      <c r="L28">
        <v>10.6</v>
      </c>
      <c r="M28">
        <v>14.8</v>
      </c>
      <c r="AE28">
        <v>30</v>
      </c>
      <c r="AF28">
        <v>21.6</v>
      </c>
      <c r="AG28">
        <v>22.8</v>
      </c>
    </row>
    <row r="29" spans="1:33" x14ac:dyDescent="0.25">
      <c r="A29" t="s">
        <v>106</v>
      </c>
      <c r="B29" s="4">
        <v>654323</v>
      </c>
      <c r="C29" s="4">
        <v>3319702</v>
      </c>
      <c r="D29">
        <v>14.7</v>
      </c>
      <c r="E29">
        <v>0.6</v>
      </c>
      <c r="F29">
        <v>0.3</v>
      </c>
      <c r="G29">
        <v>8.6</v>
      </c>
      <c r="H29">
        <v>5.7</v>
      </c>
      <c r="I29" s="4">
        <v>590328</v>
      </c>
      <c r="J29">
        <v>56</v>
      </c>
      <c r="K29">
        <v>57</v>
      </c>
      <c r="L29">
        <v>10.3</v>
      </c>
      <c r="M29">
        <v>14.7</v>
      </c>
      <c r="AE29">
        <v>31</v>
      </c>
      <c r="AF29">
        <v>21.9</v>
      </c>
      <c r="AG29">
        <v>22.8</v>
      </c>
    </row>
    <row r="30" spans="1:33" x14ac:dyDescent="0.25">
      <c r="A30" t="s">
        <v>107</v>
      </c>
      <c r="B30" s="4">
        <v>766784</v>
      </c>
      <c r="C30" s="4">
        <v>3817980</v>
      </c>
      <c r="D30">
        <v>13.7</v>
      </c>
      <c r="E30">
        <v>0.6</v>
      </c>
      <c r="F30">
        <v>0.3</v>
      </c>
      <c r="G30">
        <v>8.3000000000000007</v>
      </c>
      <c r="H30">
        <v>5.0999999999999996</v>
      </c>
      <c r="I30" s="4">
        <v>720692</v>
      </c>
      <c r="J30">
        <v>57</v>
      </c>
      <c r="K30">
        <v>58</v>
      </c>
      <c r="L30">
        <v>9.5</v>
      </c>
      <c r="M30">
        <v>13.7</v>
      </c>
      <c r="AE30">
        <v>32</v>
      </c>
      <c r="AF30">
        <v>22.2</v>
      </c>
      <c r="AG30">
        <v>22.8</v>
      </c>
    </row>
    <row r="31" spans="1:33" x14ac:dyDescent="0.25">
      <c r="A31" t="s">
        <v>108</v>
      </c>
      <c r="B31" s="4">
        <v>850413</v>
      </c>
      <c r="C31" s="4">
        <v>4238764</v>
      </c>
      <c r="D31">
        <v>13.2</v>
      </c>
      <c r="E31">
        <v>0.6</v>
      </c>
      <c r="F31">
        <v>0.3</v>
      </c>
      <c r="G31">
        <v>8</v>
      </c>
      <c r="H31">
        <v>4.8</v>
      </c>
      <c r="I31" s="4">
        <v>796263</v>
      </c>
      <c r="J31">
        <v>58</v>
      </c>
      <c r="K31">
        <v>59</v>
      </c>
      <c r="L31">
        <v>9.3000000000000007</v>
      </c>
      <c r="M31">
        <v>13.2</v>
      </c>
      <c r="AE31">
        <v>33</v>
      </c>
      <c r="AF31">
        <v>22.5</v>
      </c>
      <c r="AG31">
        <v>22.8</v>
      </c>
    </row>
    <row r="32" spans="1:33" x14ac:dyDescent="0.25">
      <c r="A32" t="s">
        <v>109</v>
      </c>
      <c r="B32" s="4">
        <v>799190</v>
      </c>
      <c r="C32" s="4">
        <v>4042094</v>
      </c>
      <c r="D32">
        <v>13.5</v>
      </c>
      <c r="E32">
        <v>0.6</v>
      </c>
      <c r="F32">
        <v>0.3</v>
      </c>
      <c r="G32">
        <v>7.8</v>
      </c>
      <c r="H32">
        <v>5.3</v>
      </c>
      <c r="I32" s="4">
        <v>761887</v>
      </c>
      <c r="J32">
        <v>59</v>
      </c>
      <c r="K32">
        <v>60</v>
      </c>
      <c r="L32">
        <v>10.199999999999999</v>
      </c>
      <c r="M32">
        <v>13.5</v>
      </c>
      <c r="AE32">
        <v>34</v>
      </c>
      <c r="AF32">
        <v>22.4</v>
      </c>
      <c r="AG32">
        <v>22.9</v>
      </c>
    </row>
    <row r="33" spans="1:33" x14ac:dyDescent="0.25">
      <c r="A33" t="s">
        <v>110</v>
      </c>
      <c r="B33" s="4">
        <v>872466</v>
      </c>
      <c r="C33" s="4">
        <v>4280350</v>
      </c>
      <c r="D33">
        <v>12.9</v>
      </c>
      <c r="E33">
        <v>0.6</v>
      </c>
      <c r="F33">
        <v>0.3</v>
      </c>
      <c r="G33">
        <v>7.4</v>
      </c>
      <c r="H33">
        <v>5.2</v>
      </c>
      <c r="I33" s="4">
        <v>805005</v>
      </c>
      <c r="J33">
        <v>60</v>
      </c>
      <c r="K33">
        <v>61</v>
      </c>
      <c r="L33">
        <v>10.6</v>
      </c>
      <c r="M33">
        <v>12.9</v>
      </c>
      <c r="AE33">
        <v>35</v>
      </c>
      <c r="AF33">
        <v>22</v>
      </c>
      <c r="AG33">
        <v>22.7</v>
      </c>
    </row>
    <row r="34" spans="1:33" x14ac:dyDescent="0.25">
      <c r="A34" t="s">
        <v>111</v>
      </c>
      <c r="B34" s="4">
        <v>909750</v>
      </c>
      <c r="C34" s="4">
        <v>4453601</v>
      </c>
      <c r="D34">
        <v>12.6</v>
      </c>
      <c r="E34">
        <v>0.6</v>
      </c>
      <c r="F34">
        <v>0.3</v>
      </c>
      <c r="G34">
        <v>7</v>
      </c>
      <c r="H34">
        <v>5.2</v>
      </c>
      <c r="I34" s="4">
        <v>854240</v>
      </c>
      <c r="J34">
        <v>61</v>
      </c>
      <c r="K34">
        <v>62</v>
      </c>
      <c r="L34">
        <v>10.3</v>
      </c>
      <c r="M34">
        <v>12.6</v>
      </c>
      <c r="AE34">
        <v>36</v>
      </c>
      <c r="AF34">
        <v>21.9</v>
      </c>
      <c r="AG34">
        <v>22.6</v>
      </c>
    </row>
    <row r="35" spans="1:33" x14ac:dyDescent="0.25">
      <c r="A35" t="s">
        <v>112</v>
      </c>
      <c r="B35" s="4">
        <v>955749</v>
      </c>
      <c r="C35" s="4">
        <v>4684969</v>
      </c>
      <c r="D35">
        <v>12.4</v>
      </c>
      <c r="E35">
        <v>0.6</v>
      </c>
      <c r="F35">
        <v>0.2</v>
      </c>
      <c r="G35">
        <v>6.5</v>
      </c>
      <c r="H35">
        <v>5.6</v>
      </c>
      <c r="I35" s="4">
        <v>916069</v>
      </c>
      <c r="J35">
        <v>62</v>
      </c>
      <c r="K35">
        <v>63</v>
      </c>
      <c r="L35">
        <v>10.5</v>
      </c>
      <c r="M35">
        <v>12.4</v>
      </c>
      <c r="AE35">
        <v>37</v>
      </c>
      <c r="AF35">
        <v>22.7</v>
      </c>
      <c r="AG35">
        <v>23.2</v>
      </c>
    </row>
    <row r="36" spans="1:33" x14ac:dyDescent="0.25">
      <c r="A36" t="s">
        <v>113</v>
      </c>
      <c r="B36" s="4">
        <v>984724</v>
      </c>
      <c r="C36" s="4">
        <v>4743239</v>
      </c>
      <c r="D36">
        <v>12.9</v>
      </c>
      <c r="E36">
        <v>0.6</v>
      </c>
      <c r="F36">
        <v>0.2</v>
      </c>
      <c r="G36">
        <v>6.2</v>
      </c>
      <c r="H36">
        <v>6.3</v>
      </c>
      <c r="I36" s="4">
        <v>950207</v>
      </c>
      <c r="J36">
        <v>63</v>
      </c>
      <c r="K36">
        <v>64</v>
      </c>
      <c r="L36">
        <v>11.5</v>
      </c>
      <c r="M36">
        <v>12.9</v>
      </c>
      <c r="AE36">
        <v>38</v>
      </c>
      <c r="AF36">
        <v>22.7</v>
      </c>
      <c r="AG36">
        <v>23.3</v>
      </c>
    </row>
    <row r="37" spans="1:33" x14ac:dyDescent="0.25">
      <c r="A37" t="s">
        <v>114</v>
      </c>
      <c r="B37" s="4">
        <v>965396</v>
      </c>
      <c r="C37" s="4">
        <v>4578824</v>
      </c>
      <c r="D37">
        <v>13.3</v>
      </c>
      <c r="E37">
        <v>0.5</v>
      </c>
      <c r="F37">
        <v>0.2</v>
      </c>
      <c r="G37">
        <v>6.1</v>
      </c>
      <c r="H37">
        <v>7</v>
      </c>
      <c r="I37" s="4">
        <v>915060</v>
      </c>
      <c r="J37">
        <v>64</v>
      </c>
      <c r="K37">
        <v>65</v>
      </c>
      <c r="L37">
        <v>12.2</v>
      </c>
      <c r="M37">
        <v>13.3</v>
      </c>
      <c r="AE37">
        <v>39</v>
      </c>
      <c r="AF37">
        <v>23.3</v>
      </c>
      <c r="AG37">
        <v>23.7</v>
      </c>
    </row>
    <row r="38" spans="1:33" x14ac:dyDescent="0.25">
      <c r="A38" t="s">
        <v>115</v>
      </c>
      <c r="B38" s="4">
        <v>922310</v>
      </c>
      <c r="C38" s="4">
        <v>4377730</v>
      </c>
      <c r="D38">
        <v>13.5</v>
      </c>
      <c r="E38">
        <v>0.5</v>
      </c>
      <c r="F38">
        <v>0.2</v>
      </c>
      <c r="G38">
        <v>6.2</v>
      </c>
      <c r="H38">
        <v>7.1</v>
      </c>
      <c r="I38" s="4">
        <v>875625</v>
      </c>
      <c r="J38">
        <v>65</v>
      </c>
      <c r="K38">
        <v>66</v>
      </c>
      <c r="L38">
        <v>11</v>
      </c>
      <c r="M38">
        <v>13.5</v>
      </c>
      <c r="AE38">
        <v>40</v>
      </c>
      <c r="AF38">
        <v>23.1</v>
      </c>
      <c r="AG38">
        <v>23.8</v>
      </c>
    </row>
    <row r="39" spans="1:33" x14ac:dyDescent="0.25">
      <c r="A39" t="s">
        <v>116</v>
      </c>
      <c r="B39" s="4">
        <v>903506</v>
      </c>
      <c r="C39" s="4">
        <v>4291176</v>
      </c>
      <c r="D39">
        <v>14.2</v>
      </c>
      <c r="E39">
        <v>0.5</v>
      </c>
      <c r="F39">
        <v>0.2</v>
      </c>
      <c r="G39">
        <v>6</v>
      </c>
      <c r="H39">
        <v>8</v>
      </c>
      <c r="I39" s="4">
        <v>857804</v>
      </c>
      <c r="J39">
        <v>66</v>
      </c>
      <c r="K39">
        <v>67</v>
      </c>
      <c r="L39">
        <v>11.5</v>
      </c>
      <c r="M39">
        <v>14.2</v>
      </c>
      <c r="AE39">
        <v>41</v>
      </c>
      <c r="AF39">
        <v>23.5</v>
      </c>
      <c r="AG39">
        <v>23.8</v>
      </c>
    </row>
    <row r="40" spans="1:33" x14ac:dyDescent="0.25">
      <c r="A40" t="s">
        <v>117</v>
      </c>
      <c r="B40" s="4">
        <v>878843</v>
      </c>
      <c r="C40" s="4">
        <v>4144480</v>
      </c>
      <c r="D40">
        <v>14.3</v>
      </c>
      <c r="E40">
        <v>0.5</v>
      </c>
      <c r="F40">
        <v>0.2</v>
      </c>
      <c r="G40">
        <v>5.8</v>
      </c>
      <c r="H40">
        <v>8.3000000000000007</v>
      </c>
      <c r="I40" s="4">
        <v>825653</v>
      </c>
      <c r="J40">
        <v>67</v>
      </c>
      <c r="K40">
        <v>68</v>
      </c>
      <c r="L40">
        <v>11.8</v>
      </c>
      <c r="M40">
        <v>14.3</v>
      </c>
      <c r="AE40">
        <v>42</v>
      </c>
      <c r="AF40">
        <v>23.5</v>
      </c>
      <c r="AG40">
        <v>23.6</v>
      </c>
    </row>
    <row r="41" spans="1:33" x14ac:dyDescent="0.25">
      <c r="A41" t="s">
        <v>118</v>
      </c>
      <c r="B41" s="4">
        <v>829931</v>
      </c>
      <c r="C41" s="4">
        <v>3852077</v>
      </c>
      <c r="D41">
        <v>14.6</v>
      </c>
      <c r="E41">
        <v>0.5</v>
      </c>
      <c r="F41">
        <v>0.2</v>
      </c>
      <c r="G41">
        <v>5.5</v>
      </c>
      <c r="H41">
        <v>9</v>
      </c>
      <c r="I41" s="4">
        <v>786099</v>
      </c>
      <c r="J41">
        <v>68</v>
      </c>
      <c r="K41">
        <v>69</v>
      </c>
      <c r="L41">
        <v>12.2</v>
      </c>
      <c r="M41">
        <v>14.6</v>
      </c>
      <c r="AE41">
        <v>43</v>
      </c>
      <c r="AF41">
        <v>22.9</v>
      </c>
      <c r="AG41">
        <v>22.8</v>
      </c>
    </row>
    <row r="42" spans="1:33" x14ac:dyDescent="0.25">
      <c r="A42" t="s">
        <v>119</v>
      </c>
      <c r="B42" s="4">
        <v>762057</v>
      </c>
      <c r="C42" s="4">
        <v>3542349</v>
      </c>
      <c r="D42">
        <v>14.7</v>
      </c>
      <c r="E42">
        <v>0.5</v>
      </c>
      <c r="F42">
        <v>0.2</v>
      </c>
      <c r="G42">
        <v>5.4</v>
      </c>
      <c r="H42">
        <v>9.1999999999999993</v>
      </c>
      <c r="I42" s="4">
        <v>718652</v>
      </c>
      <c r="J42">
        <v>69</v>
      </c>
      <c r="K42">
        <v>70</v>
      </c>
      <c r="L42">
        <v>12</v>
      </c>
      <c r="M42">
        <v>14.7</v>
      </c>
      <c r="AE42">
        <v>44</v>
      </c>
      <c r="AF42">
        <v>22</v>
      </c>
      <c r="AG42">
        <v>21.5</v>
      </c>
    </row>
    <row r="43" spans="1:33" x14ac:dyDescent="0.25">
      <c r="A43" t="s">
        <v>120</v>
      </c>
      <c r="B43" s="4">
        <v>750184</v>
      </c>
      <c r="C43" s="4">
        <v>3455920</v>
      </c>
      <c r="D43">
        <v>13.9</v>
      </c>
      <c r="E43">
        <v>0.5</v>
      </c>
      <c r="F43">
        <v>0.2</v>
      </c>
      <c r="G43">
        <v>5.0999999999999996</v>
      </c>
      <c r="H43">
        <v>8.5</v>
      </c>
      <c r="I43" s="4">
        <v>713544</v>
      </c>
      <c r="J43">
        <v>70</v>
      </c>
      <c r="K43">
        <v>71</v>
      </c>
      <c r="L43">
        <v>10.9</v>
      </c>
      <c r="M43">
        <v>13.9</v>
      </c>
      <c r="AE43">
        <v>45</v>
      </c>
      <c r="AF43">
        <v>22.1</v>
      </c>
      <c r="AG43">
        <v>21</v>
      </c>
    </row>
    <row r="44" spans="1:33" x14ac:dyDescent="0.25">
      <c r="A44" t="s">
        <v>121</v>
      </c>
      <c r="B44" s="4">
        <v>688782</v>
      </c>
      <c r="C44" s="4">
        <v>3161142</v>
      </c>
      <c r="D44">
        <v>14.2</v>
      </c>
      <c r="E44">
        <v>0.5</v>
      </c>
      <c r="F44">
        <v>0.2</v>
      </c>
      <c r="G44">
        <v>4.9000000000000004</v>
      </c>
      <c r="H44">
        <v>9.1</v>
      </c>
      <c r="I44" s="4">
        <v>654623</v>
      </c>
      <c r="J44">
        <v>71</v>
      </c>
      <c r="K44">
        <v>72</v>
      </c>
      <c r="L44">
        <v>11.4</v>
      </c>
      <c r="M44">
        <v>14.2</v>
      </c>
      <c r="AE44">
        <v>46</v>
      </c>
      <c r="AF44">
        <v>21.6</v>
      </c>
      <c r="AG44">
        <v>20.3</v>
      </c>
    </row>
    <row r="45" spans="1:33" x14ac:dyDescent="0.25">
      <c r="A45" t="s">
        <v>122</v>
      </c>
      <c r="B45" s="4">
        <v>553193</v>
      </c>
      <c r="C45" s="4">
        <v>2569986</v>
      </c>
      <c r="D45">
        <v>15.6</v>
      </c>
      <c r="E45">
        <v>0.4</v>
      </c>
      <c r="F45">
        <v>0.3</v>
      </c>
      <c r="G45">
        <v>5.3</v>
      </c>
      <c r="H45">
        <v>10.1</v>
      </c>
      <c r="I45" s="4">
        <v>524617</v>
      </c>
      <c r="J45">
        <v>72</v>
      </c>
      <c r="K45">
        <v>73</v>
      </c>
      <c r="L45">
        <v>12.4</v>
      </c>
      <c r="M45">
        <v>15.6</v>
      </c>
      <c r="AE45">
        <v>47</v>
      </c>
      <c r="AF45">
        <v>20.399999999999999</v>
      </c>
      <c r="AG45">
        <v>19.2</v>
      </c>
    </row>
    <row r="46" spans="1:33" x14ac:dyDescent="0.25">
      <c r="A46" t="s">
        <v>123</v>
      </c>
      <c r="B46" s="4">
        <v>463146</v>
      </c>
      <c r="C46" s="4">
        <v>2144074</v>
      </c>
      <c r="D46">
        <v>16</v>
      </c>
      <c r="E46">
        <v>0.4</v>
      </c>
      <c r="F46">
        <v>0.3</v>
      </c>
      <c r="G46">
        <v>5.6</v>
      </c>
      <c r="H46">
        <v>10.4</v>
      </c>
      <c r="I46" s="4">
        <v>431895</v>
      </c>
      <c r="J46">
        <v>73</v>
      </c>
      <c r="K46">
        <v>74</v>
      </c>
      <c r="L46">
        <v>11.2</v>
      </c>
      <c r="M46">
        <v>16</v>
      </c>
      <c r="AE46">
        <v>48</v>
      </c>
      <c r="AF46">
        <v>20</v>
      </c>
      <c r="AG46">
        <v>18.600000000000001</v>
      </c>
    </row>
    <row r="47" spans="1:33" x14ac:dyDescent="0.25">
      <c r="A47" t="s">
        <v>124</v>
      </c>
      <c r="B47" s="4">
        <v>396602</v>
      </c>
      <c r="C47" s="4">
        <v>1861718</v>
      </c>
      <c r="D47">
        <v>16.2</v>
      </c>
      <c r="E47">
        <v>0.4</v>
      </c>
      <c r="F47">
        <v>0.3</v>
      </c>
      <c r="G47">
        <v>5.5</v>
      </c>
      <c r="H47">
        <v>10.5</v>
      </c>
      <c r="I47" s="4">
        <v>367645</v>
      </c>
      <c r="J47">
        <v>74</v>
      </c>
      <c r="K47">
        <v>75</v>
      </c>
      <c r="L47">
        <v>10.5</v>
      </c>
      <c r="M47">
        <v>16.2</v>
      </c>
      <c r="AE47">
        <v>49</v>
      </c>
      <c r="AF47">
        <v>19</v>
      </c>
      <c r="AG47">
        <v>17.8</v>
      </c>
    </row>
    <row r="48" spans="1:33" x14ac:dyDescent="0.25">
      <c r="A48" t="s">
        <v>125</v>
      </c>
      <c r="B48" s="4">
        <v>344862</v>
      </c>
      <c r="C48" s="4">
        <v>1580339</v>
      </c>
      <c r="D48">
        <v>15.9</v>
      </c>
      <c r="E48">
        <v>0.4</v>
      </c>
      <c r="F48">
        <v>0.3</v>
      </c>
      <c r="G48">
        <v>5.2</v>
      </c>
      <c r="H48">
        <v>10.6</v>
      </c>
      <c r="I48" s="4">
        <v>321870</v>
      </c>
      <c r="J48">
        <v>75</v>
      </c>
      <c r="K48">
        <v>76</v>
      </c>
      <c r="L48">
        <v>9.8000000000000007</v>
      </c>
      <c r="M48">
        <v>15.9</v>
      </c>
      <c r="AE48">
        <v>50</v>
      </c>
      <c r="AF48">
        <v>18.7</v>
      </c>
      <c r="AG48">
        <v>17.600000000000001</v>
      </c>
    </row>
    <row r="49" spans="1:33" x14ac:dyDescent="0.25">
      <c r="A49" t="s">
        <v>126</v>
      </c>
      <c r="B49" s="4">
        <v>287513</v>
      </c>
      <c r="C49" s="4">
        <v>1338136</v>
      </c>
      <c r="D49">
        <v>17</v>
      </c>
      <c r="E49">
        <v>0.4</v>
      </c>
      <c r="F49">
        <v>0.4</v>
      </c>
      <c r="G49">
        <v>5.4</v>
      </c>
      <c r="H49">
        <v>11.6</v>
      </c>
      <c r="I49" s="4">
        <v>269332</v>
      </c>
      <c r="J49">
        <v>76</v>
      </c>
      <c r="K49">
        <v>77</v>
      </c>
      <c r="L49">
        <v>8.9</v>
      </c>
      <c r="M49">
        <v>17</v>
      </c>
      <c r="AE49">
        <v>51</v>
      </c>
      <c r="AF49">
        <v>17.899999999999999</v>
      </c>
      <c r="AG49">
        <v>17.100000000000001</v>
      </c>
    </row>
    <row r="50" spans="1:33" x14ac:dyDescent="0.25">
      <c r="A50" t="s">
        <v>127</v>
      </c>
      <c r="B50" s="4">
        <v>238366</v>
      </c>
      <c r="C50" s="4">
        <v>1101498</v>
      </c>
      <c r="D50">
        <v>18.3</v>
      </c>
      <c r="E50">
        <v>0.4</v>
      </c>
      <c r="F50">
        <v>0.4</v>
      </c>
      <c r="G50">
        <v>5.6</v>
      </c>
      <c r="H50">
        <v>12.6</v>
      </c>
      <c r="I50" s="4">
        <v>223100</v>
      </c>
      <c r="J50">
        <v>77</v>
      </c>
      <c r="K50">
        <v>78</v>
      </c>
      <c r="L50">
        <v>8.8000000000000007</v>
      </c>
      <c r="M50">
        <v>18.3</v>
      </c>
      <c r="AE50">
        <v>52</v>
      </c>
      <c r="AF50">
        <v>17.7</v>
      </c>
      <c r="AG50">
        <v>17.2</v>
      </c>
    </row>
    <row r="51" spans="1:33" x14ac:dyDescent="0.25">
      <c r="A51" t="s">
        <v>128</v>
      </c>
      <c r="B51" s="4">
        <v>211597</v>
      </c>
      <c r="C51" s="4">
        <v>977260</v>
      </c>
      <c r="D51">
        <v>19.600000000000001</v>
      </c>
      <c r="E51">
        <v>0.4</v>
      </c>
      <c r="F51">
        <v>0.5</v>
      </c>
      <c r="G51">
        <v>6</v>
      </c>
      <c r="H51">
        <v>13.6</v>
      </c>
      <c r="I51" s="4">
        <v>199311</v>
      </c>
      <c r="J51">
        <v>78</v>
      </c>
      <c r="K51">
        <v>79</v>
      </c>
      <c r="L51">
        <v>8.6999999999999993</v>
      </c>
      <c r="M51">
        <v>19.600000000000001</v>
      </c>
      <c r="AE51">
        <v>53</v>
      </c>
      <c r="AF51">
        <v>17.2</v>
      </c>
      <c r="AG51">
        <v>17.3</v>
      </c>
    </row>
    <row r="52" spans="1:33" x14ac:dyDescent="0.25">
      <c r="A52" t="s">
        <v>129</v>
      </c>
      <c r="B52" s="4">
        <v>171324</v>
      </c>
      <c r="C52" s="4">
        <v>792509</v>
      </c>
      <c r="D52">
        <v>20.9</v>
      </c>
      <c r="E52">
        <v>0.4</v>
      </c>
      <c r="F52">
        <v>0.6</v>
      </c>
      <c r="G52">
        <v>6.4</v>
      </c>
      <c r="H52">
        <v>14.6</v>
      </c>
      <c r="I52" s="4">
        <v>162829</v>
      </c>
      <c r="J52">
        <v>79</v>
      </c>
      <c r="K52">
        <v>80</v>
      </c>
      <c r="L52">
        <v>9.1</v>
      </c>
      <c r="M52">
        <v>20.9</v>
      </c>
      <c r="AE52">
        <v>54</v>
      </c>
      <c r="AF52">
        <v>17</v>
      </c>
      <c r="AG52">
        <v>17.3</v>
      </c>
    </row>
    <row r="53" spans="1:33" x14ac:dyDescent="0.25">
      <c r="A53" t="s">
        <v>130</v>
      </c>
      <c r="B53" s="4">
        <v>158442</v>
      </c>
      <c r="C53" s="4">
        <v>723406</v>
      </c>
      <c r="D53">
        <v>19.899999999999999</v>
      </c>
      <c r="E53">
        <v>0.4</v>
      </c>
      <c r="F53">
        <v>0.6</v>
      </c>
      <c r="G53">
        <v>6.4</v>
      </c>
      <c r="H53">
        <v>13.5</v>
      </c>
      <c r="I53" s="4">
        <v>151439</v>
      </c>
      <c r="J53">
        <v>80</v>
      </c>
      <c r="K53">
        <v>81</v>
      </c>
      <c r="L53">
        <v>9</v>
      </c>
      <c r="M53">
        <v>19.899999999999999</v>
      </c>
      <c r="AE53">
        <v>55</v>
      </c>
      <c r="AF53">
        <v>17.2</v>
      </c>
      <c r="AG53">
        <v>17.5</v>
      </c>
    </row>
    <row r="54" spans="1:33" x14ac:dyDescent="0.25">
      <c r="A54" t="s">
        <v>131</v>
      </c>
      <c r="B54" s="4">
        <v>144790</v>
      </c>
      <c r="C54" s="4">
        <v>661155</v>
      </c>
      <c r="D54">
        <v>19.8</v>
      </c>
      <c r="E54">
        <v>0.4</v>
      </c>
      <c r="F54">
        <v>0.6</v>
      </c>
      <c r="G54">
        <v>6.5</v>
      </c>
      <c r="H54">
        <v>13.2</v>
      </c>
      <c r="I54" s="4">
        <v>139568</v>
      </c>
      <c r="J54">
        <v>81</v>
      </c>
      <c r="K54">
        <v>82</v>
      </c>
      <c r="L54">
        <v>8.6</v>
      </c>
      <c r="M54">
        <v>19.8</v>
      </c>
      <c r="AE54">
        <v>56</v>
      </c>
      <c r="AF54">
        <v>17.399999999999999</v>
      </c>
      <c r="AG54">
        <v>17.7</v>
      </c>
    </row>
    <row r="55" spans="1:33" x14ac:dyDescent="0.25">
      <c r="A55" t="s">
        <v>132</v>
      </c>
      <c r="B55" s="4">
        <v>125385</v>
      </c>
      <c r="C55" s="4">
        <v>564451</v>
      </c>
      <c r="D55">
        <v>19.399999999999999</v>
      </c>
      <c r="E55">
        <v>0.4</v>
      </c>
      <c r="F55">
        <v>0.6</v>
      </c>
      <c r="G55">
        <v>6.3</v>
      </c>
      <c r="H55">
        <v>12.9</v>
      </c>
      <c r="I55" s="4">
        <v>121619</v>
      </c>
      <c r="J55">
        <v>82</v>
      </c>
      <c r="K55">
        <v>83</v>
      </c>
      <c r="L55">
        <v>8.1</v>
      </c>
      <c r="M55">
        <v>19.399999999999999</v>
      </c>
      <c r="AE55">
        <v>57</v>
      </c>
      <c r="AF55">
        <v>17.600000000000001</v>
      </c>
      <c r="AG55">
        <v>17.8</v>
      </c>
    </row>
    <row r="56" spans="1:33" x14ac:dyDescent="0.25">
      <c r="A56" t="s">
        <v>133</v>
      </c>
      <c r="B56" s="4">
        <v>118470</v>
      </c>
      <c r="C56" s="4">
        <v>532567</v>
      </c>
      <c r="D56">
        <v>18.899999999999999</v>
      </c>
      <c r="E56">
        <v>0.4</v>
      </c>
      <c r="F56">
        <v>0.6</v>
      </c>
      <c r="G56">
        <v>6</v>
      </c>
      <c r="H56">
        <v>12.8</v>
      </c>
      <c r="I56" s="4">
        <v>113955</v>
      </c>
      <c r="J56">
        <v>83</v>
      </c>
      <c r="K56">
        <v>84</v>
      </c>
      <c r="L56">
        <v>7.7</v>
      </c>
      <c r="M56">
        <v>18.899999999999999</v>
      </c>
      <c r="AE56">
        <v>58</v>
      </c>
      <c r="AF56">
        <v>17.100000000000001</v>
      </c>
      <c r="AG56">
        <v>17.399999999999999</v>
      </c>
    </row>
    <row r="57" spans="1:33" x14ac:dyDescent="0.25">
      <c r="A57" t="s">
        <v>134</v>
      </c>
      <c r="B57" s="4">
        <v>117495</v>
      </c>
      <c r="C57" s="4">
        <v>520204</v>
      </c>
      <c r="D57">
        <v>18.600000000000001</v>
      </c>
      <c r="E57">
        <v>0.4</v>
      </c>
      <c r="F57">
        <v>0.6</v>
      </c>
      <c r="G57">
        <v>5.9</v>
      </c>
      <c r="H57">
        <v>12.6</v>
      </c>
      <c r="I57" s="4">
        <v>111364</v>
      </c>
      <c r="J57">
        <v>84</v>
      </c>
      <c r="K57">
        <v>85</v>
      </c>
      <c r="L57">
        <v>7.3</v>
      </c>
      <c r="M57">
        <v>18.600000000000001</v>
      </c>
      <c r="AE57">
        <v>59</v>
      </c>
      <c r="AF57">
        <v>17.3</v>
      </c>
      <c r="AG57">
        <v>17.3</v>
      </c>
    </row>
    <row r="58" spans="1:33" x14ac:dyDescent="0.25">
      <c r="A58" t="s">
        <v>135</v>
      </c>
      <c r="B58" s="4">
        <v>108023</v>
      </c>
      <c r="C58" s="4">
        <v>477545</v>
      </c>
      <c r="D58">
        <v>19.2</v>
      </c>
      <c r="E58">
        <v>0.4</v>
      </c>
      <c r="F58">
        <v>0.6</v>
      </c>
      <c r="G58">
        <v>5.8</v>
      </c>
      <c r="H58">
        <v>13.3</v>
      </c>
      <c r="I58" s="4">
        <v>101508</v>
      </c>
      <c r="J58">
        <v>85</v>
      </c>
      <c r="K58">
        <v>86</v>
      </c>
      <c r="L58">
        <v>7.2</v>
      </c>
      <c r="M58">
        <v>19.2</v>
      </c>
      <c r="AE58">
        <v>60</v>
      </c>
      <c r="AF58">
        <v>17.899999999999999</v>
      </c>
      <c r="AG58">
        <v>17.3</v>
      </c>
    </row>
    <row r="59" spans="1:33" x14ac:dyDescent="0.25">
      <c r="A59" t="s">
        <v>136</v>
      </c>
      <c r="B59" s="4">
        <v>101208</v>
      </c>
      <c r="C59" s="4">
        <v>450881</v>
      </c>
      <c r="D59">
        <v>20.2</v>
      </c>
      <c r="E59">
        <v>0.4</v>
      </c>
      <c r="F59">
        <v>0.6</v>
      </c>
      <c r="G59">
        <v>5.7</v>
      </c>
      <c r="H59">
        <v>14.3</v>
      </c>
      <c r="I59" s="4">
        <v>98386</v>
      </c>
      <c r="J59">
        <v>86</v>
      </c>
      <c r="K59">
        <v>87</v>
      </c>
      <c r="L59">
        <v>7.3</v>
      </c>
      <c r="M59">
        <v>20.2</v>
      </c>
      <c r="AE59">
        <v>61</v>
      </c>
      <c r="AF59">
        <v>17.899999999999999</v>
      </c>
      <c r="AG59">
        <v>16.7</v>
      </c>
    </row>
    <row r="60" spans="1:33" x14ac:dyDescent="0.25">
      <c r="A60" t="s">
        <v>137</v>
      </c>
      <c r="B60" s="4">
        <v>84486</v>
      </c>
      <c r="C60" s="4">
        <v>377631</v>
      </c>
      <c r="D60">
        <v>20.399999999999999</v>
      </c>
      <c r="E60">
        <v>0.4</v>
      </c>
      <c r="F60">
        <v>0.7</v>
      </c>
      <c r="G60">
        <v>5.7</v>
      </c>
      <c r="H60">
        <v>14.5</v>
      </c>
      <c r="I60" s="4">
        <v>83304</v>
      </c>
      <c r="J60">
        <v>87</v>
      </c>
      <c r="K60">
        <v>88</v>
      </c>
      <c r="L60">
        <v>7.5</v>
      </c>
      <c r="M60">
        <v>20.399999999999999</v>
      </c>
      <c r="AE60">
        <v>62</v>
      </c>
      <c r="AF60">
        <v>18</v>
      </c>
      <c r="AG60">
        <v>16.5</v>
      </c>
    </row>
    <row r="61" spans="1:33" x14ac:dyDescent="0.25">
      <c r="A61" t="s">
        <v>138</v>
      </c>
      <c r="B61" s="4">
        <v>70795</v>
      </c>
      <c r="C61" s="4">
        <v>315306</v>
      </c>
      <c r="D61">
        <v>21.2</v>
      </c>
      <c r="E61">
        <v>0.4</v>
      </c>
      <c r="F61">
        <v>0.7</v>
      </c>
      <c r="G61">
        <v>5.5</v>
      </c>
      <c r="H61">
        <v>15.6</v>
      </c>
      <c r="I61" s="4">
        <v>69465</v>
      </c>
      <c r="J61">
        <v>88</v>
      </c>
      <c r="K61">
        <v>89</v>
      </c>
      <c r="L61">
        <v>7.2</v>
      </c>
      <c r="M61">
        <v>21.2</v>
      </c>
      <c r="AE61">
        <v>63</v>
      </c>
      <c r="AF61">
        <v>18.3</v>
      </c>
      <c r="AG61">
        <v>16.399999999999999</v>
      </c>
    </row>
    <row r="62" spans="1:33" x14ac:dyDescent="0.25">
      <c r="A62" t="s">
        <v>139</v>
      </c>
      <c r="B62" s="4">
        <v>65580</v>
      </c>
      <c r="C62" s="4">
        <v>290628</v>
      </c>
      <c r="D62">
        <v>21</v>
      </c>
      <c r="E62">
        <v>0.4</v>
      </c>
      <c r="F62">
        <v>0.7</v>
      </c>
      <c r="G62">
        <v>5.0999999999999996</v>
      </c>
      <c r="H62">
        <v>15.7</v>
      </c>
      <c r="I62" s="4">
        <v>64647</v>
      </c>
      <c r="J62">
        <v>89</v>
      </c>
      <c r="K62">
        <v>90</v>
      </c>
      <c r="L62">
        <v>6.9</v>
      </c>
      <c r="M62">
        <v>21</v>
      </c>
      <c r="AE62">
        <v>64</v>
      </c>
      <c r="AF62">
        <v>18.3</v>
      </c>
      <c r="AG62">
        <v>16.3</v>
      </c>
    </row>
    <row r="63" spans="1:33" x14ac:dyDescent="0.25">
      <c r="A63" t="s">
        <v>140</v>
      </c>
      <c r="B63" s="4">
        <v>67752</v>
      </c>
      <c r="C63" s="4">
        <v>305554</v>
      </c>
      <c r="D63">
        <v>19.899999999999999</v>
      </c>
      <c r="E63">
        <v>0.4</v>
      </c>
      <c r="F63">
        <v>0.6</v>
      </c>
      <c r="G63">
        <v>4.5</v>
      </c>
      <c r="H63">
        <v>15.2</v>
      </c>
      <c r="I63" s="4">
        <v>66336</v>
      </c>
      <c r="J63">
        <v>90</v>
      </c>
      <c r="K63">
        <v>91</v>
      </c>
      <c r="L63">
        <v>6.1</v>
      </c>
      <c r="M63">
        <v>19.899999999999999</v>
      </c>
      <c r="AE63">
        <v>65</v>
      </c>
      <c r="AF63">
        <v>17.899999999999999</v>
      </c>
      <c r="AG63">
        <v>16.2</v>
      </c>
    </row>
    <row r="64" spans="1:33" x14ac:dyDescent="0.25">
      <c r="A64" t="s">
        <v>141</v>
      </c>
      <c r="B64" s="4">
        <v>66029</v>
      </c>
      <c r="C64" s="4">
        <v>291847</v>
      </c>
      <c r="D64">
        <v>20.399999999999999</v>
      </c>
      <c r="E64">
        <v>0.4</v>
      </c>
      <c r="F64">
        <v>0.6</v>
      </c>
      <c r="G64">
        <v>4.0999999999999996</v>
      </c>
      <c r="H64">
        <v>16.100000000000001</v>
      </c>
      <c r="I64" s="4">
        <v>63265</v>
      </c>
      <c r="J64">
        <v>91</v>
      </c>
      <c r="K64">
        <v>92</v>
      </c>
      <c r="L64">
        <v>4.8</v>
      </c>
      <c r="M64">
        <v>20.399999999999999</v>
      </c>
      <c r="AE64">
        <v>66</v>
      </c>
      <c r="AF64">
        <v>17.899999999999999</v>
      </c>
      <c r="AG64">
        <v>16.3</v>
      </c>
    </row>
    <row r="65" spans="1:33" x14ac:dyDescent="0.25">
      <c r="A65" t="s">
        <v>142</v>
      </c>
      <c r="B65" s="4">
        <v>61904</v>
      </c>
      <c r="C65" s="4">
        <v>269912</v>
      </c>
      <c r="D65">
        <v>21.1</v>
      </c>
      <c r="E65">
        <v>0.4</v>
      </c>
      <c r="F65">
        <v>0.6</v>
      </c>
      <c r="G65">
        <v>3.9</v>
      </c>
      <c r="H65">
        <v>17</v>
      </c>
      <c r="I65" s="4">
        <v>57321</v>
      </c>
      <c r="J65">
        <v>92</v>
      </c>
      <c r="K65">
        <v>93</v>
      </c>
      <c r="L65">
        <v>4.5999999999999996</v>
      </c>
      <c r="M65">
        <v>21.1</v>
      </c>
      <c r="AE65">
        <v>67</v>
      </c>
      <c r="AF65">
        <v>17.399999999999999</v>
      </c>
      <c r="AG65">
        <v>16</v>
      </c>
    </row>
    <row r="66" spans="1:33" x14ac:dyDescent="0.25">
      <c r="A66" t="s">
        <v>143</v>
      </c>
      <c r="B66" s="4">
        <v>56367</v>
      </c>
      <c r="C66" s="4">
        <v>242754</v>
      </c>
      <c r="D66">
        <v>19.7</v>
      </c>
      <c r="E66">
        <v>0.4</v>
      </c>
      <c r="F66">
        <v>0.6</v>
      </c>
      <c r="G66">
        <v>3.5</v>
      </c>
      <c r="H66">
        <v>16</v>
      </c>
      <c r="I66" s="4">
        <v>54622</v>
      </c>
      <c r="J66">
        <v>93</v>
      </c>
      <c r="K66">
        <v>94</v>
      </c>
      <c r="L66">
        <v>4.2</v>
      </c>
      <c r="M66">
        <v>19.7</v>
      </c>
      <c r="AE66">
        <v>68</v>
      </c>
      <c r="AF66">
        <v>17.5</v>
      </c>
      <c r="AG66">
        <v>16</v>
      </c>
    </row>
    <row r="67" spans="1:33" x14ac:dyDescent="0.25">
      <c r="A67" t="s">
        <v>144</v>
      </c>
      <c r="B67" s="4">
        <v>41215</v>
      </c>
      <c r="C67" s="4">
        <v>181199</v>
      </c>
      <c r="D67">
        <v>21.1</v>
      </c>
      <c r="E67">
        <v>0.3</v>
      </c>
      <c r="F67">
        <v>0.7</v>
      </c>
      <c r="G67">
        <v>3.4</v>
      </c>
      <c r="H67">
        <v>17.399999999999999</v>
      </c>
      <c r="I67" s="4">
        <v>39114</v>
      </c>
      <c r="J67">
        <v>94</v>
      </c>
      <c r="K67">
        <v>95</v>
      </c>
      <c r="L67">
        <v>4.3</v>
      </c>
      <c r="M67">
        <v>21.1</v>
      </c>
      <c r="AE67">
        <v>69</v>
      </c>
      <c r="AF67">
        <v>17.100000000000001</v>
      </c>
      <c r="AG67">
        <v>15.8</v>
      </c>
    </row>
    <row r="68" spans="1:33" x14ac:dyDescent="0.25">
      <c r="A68" t="s">
        <v>145</v>
      </c>
      <c r="B68" s="4">
        <v>34665</v>
      </c>
      <c r="C68" s="4">
        <v>151337</v>
      </c>
      <c r="D68">
        <v>20.399999999999999</v>
      </c>
      <c r="E68">
        <v>0.3</v>
      </c>
      <c r="F68">
        <v>0.8</v>
      </c>
      <c r="G68">
        <v>3.2</v>
      </c>
      <c r="H68">
        <v>16.8</v>
      </c>
      <c r="I68" s="4">
        <v>33491</v>
      </c>
      <c r="J68">
        <v>95</v>
      </c>
      <c r="K68">
        <v>96</v>
      </c>
      <c r="L68">
        <v>4.4000000000000004</v>
      </c>
      <c r="M68">
        <v>20.399999999999999</v>
      </c>
      <c r="AE68">
        <v>70</v>
      </c>
      <c r="AF68">
        <v>16.5</v>
      </c>
      <c r="AG68">
        <v>15.7</v>
      </c>
    </row>
    <row r="69" spans="1:33" x14ac:dyDescent="0.25">
      <c r="A69" t="s">
        <v>146</v>
      </c>
      <c r="B69" s="4">
        <v>33177</v>
      </c>
      <c r="C69" s="4">
        <v>147767</v>
      </c>
      <c r="D69">
        <v>15.4</v>
      </c>
      <c r="E69">
        <v>0.3</v>
      </c>
      <c r="F69">
        <v>0.8</v>
      </c>
      <c r="G69">
        <v>2.9</v>
      </c>
      <c r="H69">
        <v>11.8</v>
      </c>
      <c r="I69" s="4">
        <v>30517</v>
      </c>
      <c r="J69">
        <v>96</v>
      </c>
      <c r="K69">
        <v>97</v>
      </c>
      <c r="L69">
        <v>3.3</v>
      </c>
      <c r="M69">
        <v>15.4</v>
      </c>
      <c r="AE69">
        <v>71</v>
      </c>
      <c r="AF69">
        <v>16.5</v>
      </c>
      <c r="AG69">
        <v>15.6</v>
      </c>
    </row>
    <row r="70" spans="1:33" x14ac:dyDescent="0.25">
      <c r="A70" t="s">
        <v>147</v>
      </c>
      <c r="B70" s="4">
        <v>29263</v>
      </c>
      <c r="C70" s="4">
        <v>128945</v>
      </c>
      <c r="D70">
        <v>7.7</v>
      </c>
      <c r="E70">
        <v>0.3</v>
      </c>
      <c r="F70">
        <v>0.7</v>
      </c>
      <c r="G70">
        <v>2.4</v>
      </c>
      <c r="H70">
        <v>4.3</v>
      </c>
      <c r="I70" s="4">
        <v>25685</v>
      </c>
      <c r="J70">
        <v>97</v>
      </c>
      <c r="K70">
        <v>98</v>
      </c>
      <c r="L70">
        <v>3.3</v>
      </c>
      <c r="M70">
        <v>7.7</v>
      </c>
      <c r="AE70">
        <v>72</v>
      </c>
      <c r="AF70">
        <v>16.600000000000001</v>
      </c>
      <c r="AG70">
        <v>15.8</v>
      </c>
    </row>
    <row r="71" spans="1:33" x14ac:dyDescent="0.25">
      <c r="A71" t="s">
        <v>148</v>
      </c>
      <c r="B71" s="4">
        <v>20843</v>
      </c>
      <c r="C71" s="4">
        <v>90458</v>
      </c>
      <c r="D71">
        <v>5.9</v>
      </c>
      <c r="E71">
        <v>0.3</v>
      </c>
      <c r="F71">
        <v>0.7</v>
      </c>
      <c r="G71">
        <v>2</v>
      </c>
      <c r="H71">
        <v>3</v>
      </c>
      <c r="I71" s="4">
        <v>20083</v>
      </c>
      <c r="J71">
        <v>98</v>
      </c>
      <c r="K71">
        <v>99</v>
      </c>
      <c r="L71">
        <v>2.9</v>
      </c>
      <c r="M71">
        <v>5.9</v>
      </c>
      <c r="AE71">
        <v>73</v>
      </c>
      <c r="AF71">
        <v>17</v>
      </c>
      <c r="AG71">
        <v>16.100000000000001</v>
      </c>
    </row>
    <row r="72" spans="1:33" x14ac:dyDescent="0.25">
      <c r="A72" t="s">
        <v>72</v>
      </c>
      <c r="B72" s="4">
        <v>16596</v>
      </c>
      <c r="C72" s="4">
        <v>72655</v>
      </c>
      <c r="D72">
        <v>4.8</v>
      </c>
      <c r="E72">
        <v>0.3</v>
      </c>
      <c r="F72">
        <v>0.6</v>
      </c>
      <c r="G72">
        <v>1.7</v>
      </c>
      <c r="H72">
        <v>2.2000000000000002</v>
      </c>
      <c r="I72" s="4">
        <v>15980</v>
      </c>
      <c r="J72">
        <v>99</v>
      </c>
      <c r="K72">
        <v>100</v>
      </c>
      <c r="L72">
        <v>2.8</v>
      </c>
      <c r="M72">
        <v>4.8</v>
      </c>
      <c r="AE72">
        <v>74</v>
      </c>
      <c r="AF72">
        <v>17</v>
      </c>
      <c r="AG72">
        <v>16.3</v>
      </c>
    </row>
    <row r="73" spans="1:33" x14ac:dyDescent="0.25">
      <c r="A73" t="s">
        <v>73</v>
      </c>
      <c r="B73" s="4">
        <v>13425</v>
      </c>
      <c r="C73" s="4">
        <v>59714</v>
      </c>
      <c r="D73">
        <v>4.3</v>
      </c>
      <c r="E73">
        <v>0.3</v>
      </c>
      <c r="F73">
        <v>0.5</v>
      </c>
      <c r="G73">
        <v>1.4</v>
      </c>
      <c r="H73">
        <v>2.2000000000000002</v>
      </c>
      <c r="I73" s="4">
        <v>12831</v>
      </c>
      <c r="J73">
        <v>100</v>
      </c>
      <c r="K73">
        <v>101</v>
      </c>
      <c r="L73">
        <v>1.8</v>
      </c>
      <c r="M73">
        <v>4.3</v>
      </c>
      <c r="AE73">
        <v>75</v>
      </c>
      <c r="AF73">
        <v>17</v>
      </c>
      <c r="AG73">
        <v>16.600000000000001</v>
      </c>
    </row>
    <row r="74" spans="1:33" x14ac:dyDescent="0.25">
      <c r="A74" t="s">
        <v>74</v>
      </c>
      <c r="B74" s="4">
        <v>15372</v>
      </c>
      <c r="C74" s="4">
        <v>67474</v>
      </c>
      <c r="D74">
        <v>4.4000000000000004</v>
      </c>
      <c r="E74">
        <v>0.3</v>
      </c>
      <c r="F74">
        <v>0.5</v>
      </c>
      <c r="G74">
        <v>1.3</v>
      </c>
      <c r="H74">
        <v>2.4</v>
      </c>
      <c r="I74" s="4">
        <v>13115</v>
      </c>
      <c r="J74">
        <v>101</v>
      </c>
      <c r="K74">
        <v>102</v>
      </c>
      <c r="L74">
        <v>1.4</v>
      </c>
      <c r="M74">
        <v>4.4000000000000004</v>
      </c>
      <c r="AE74">
        <v>76</v>
      </c>
      <c r="AF74">
        <v>17.3</v>
      </c>
      <c r="AG74">
        <v>16.600000000000001</v>
      </c>
    </row>
    <row r="75" spans="1:33" x14ac:dyDescent="0.25">
      <c r="A75" t="s">
        <v>75</v>
      </c>
      <c r="B75" s="4">
        <v>15491</v>
      </c>
      <c r="C75" s="4">
        <v>67865</v>
      </c>
      <c r="D75">
        <v>5.4</v>
      </c>
      <c r="E75">
        <v>0.3</v>
      </c>
      <c r="F75">
        <v>0.7</v>
      </c>
      <c r="G75">
        <v>1.5</v>
      </c>
      <c r="H75">
        <v>3</v>
      </c>
      <c r="I75" s="4">
        <v>11091</v>
      </c>
      <c r="J75">
        <v>102</v>
      </c>
      <c r="K75">
        <v>103</v>
      </c>
      <c r="L75">
        <v>1.6</v>
      </c>
      <c r="M75">
        <v>5.4</v>
      </c>
      <c r="AE75">
        <v>77</v>
      </c>
      <c r="AF75">
        <v>18</v>
      </c>
      <c r="AG75">
        <v>17.3</v>
      </c>
    </row>
    <row r="76" spans="1:33" x14ac:dyDescent="0.25">
      <c r="A76" t="s">
        <v>76</v>
      </c>
      <c r="B76" s="4">
        <v>9569</v>
      </c>
      <c r="C76" s="4">
        <v>39428</v>
      </c>
      <c r="D76">
        <v>4.8</v>
      </c>
      <c r="E76">
        <v>0.3</v>
      </c>
      <c r="F76">
        <v>0.6</v>
      </c>
      <c r="G76">
        <v>1.3</v>
      </c>
      <c r="H76">
        <v>2.6</v>
      </c>
      <c r="I76" s="4">
        <v>8867</v>
      </c>
      <c r="J76">
        <v>103</v>
      </c>
      <c r="K76">
        <v>104</v>
      </c>
      <c r="L76">
        <v>1.7</v>
      </c>
      <c r="M76">
        <v>4.8</v>
      </c>
      <c r="AE76">
        <v>78</v>
      </c>
      <c r="AF76">
        <v>18.399999999999999</v>
      </c>
      <c r="AG76">
        <v>17.7</v>
      </c>
    </row>
    <row r="77" spans="1:33" x14ac:dyDescent="0.25">
      <c r="A77" t="s">
        <v>77</v>
      </c>
      <c r="B77" s="4">
        <v>4438</v>
      </c>
      <c r="C77" s="4">
        <v>17741</v>
      </c>
      <c r="D77">
        <v>4.4000000000000004</v>
      </c>
      <c r="E77">
        <v>0.3</v>
      </c>
      <c r="F77">
        <v>0.8</v>
      </c>
      <c r="G77">
        <v>1.3</v>
      </c>
      <c r="H77">
        <v>2</v>
      </c>
      <c r="I77" s="4">
        <v>3896</v>
      </c>
      <c r="J77">
        <v>104</v>
      </c>
      <c r="K77">
        <v>105</v>
      </c>
      <c r="L77">
        <v>1.5</v>
      </c>
      <c r="M77">
        <v>4.4000000000000004</v>
      </c>
      <c r="AE77">
        <v>79</v>
      </c>
      <c r="AF77">
        <v>19.100000000000001</v>
      </c>
      <c r="AG77">
        <v>18.3</v>
      </c>
    </row>
    <row r="78" spans="1:33" x14ac:dyDescent="0.25">
      <c r="A78" t="s">
        <v>78</v>
      </c>
      <c r="B78">
        <v>809</v>
      </c>
      <c r="C78" s="4">
        <v>3186</v>
      </c>
      <c r="D78">
        <v>3.3</v>
      </c>
      <c r="E78">
        <v>0.2</v>
      </c>
      <c r="F78">
        <v>0.3</v>
      </c>
      <c r="G78">
        <v>0.7</v>
      </c>
      <c r="H78">
        <v>2.1</v>
      </c>
      <c r="I78">
        <v>759</v>
      </c>
      <c r="J78">
        <v>105</v>
      </c>
      <c r="K78">
        <v>106</v>
      </c>
      <c r="L78">
        <v>1.8</v>
      </c>
      <c r="M78">
        <v>3.3</v>
      </c>
      <c r="AE78">
        <v>80</v>
      </c>
      <c r="AF78">
        <v>20</v>
      </c>
      <c r="AG78">
        <v>18.899999999999999</v>
      </c>
    </row>
    <row r="79" spans="1:33" x14ac:dyDescent="0.25">
      <c r="AE79">
        <v>81</v>
      </c>
      <c r="AF79">
        <v>20.6</v>
      </c>
      <c r="AG79">
        <v>19.100000000000001</v>
      </c>
    </row>
    <row r="80" spans="1:33" x14ac:dyDescent="0.25">
      <c r="AE80">
        <v>82</v>
      </c>
      <c r="AF80">
        <v>21.2</v>
      </c>
      <c r="AG80">
        <v>19.5</v>
      </c>
    </row>
    <row r="81" spans="31:33" x14ac:dyDescent="0.25">
      <c r="AE81">
        <v>83</v>
      </c>
      <c r="AF81">
        <v>22.1</v>
      </c>
      <c r="AG81">
        <v>20.3</v>
      </c>
    </row>
    <row r="82" spans="31:33" x14ac:dyDescent="0.25">
      <c r="AE82">
        <v>84</v>
      </c>
      <c r="AF82">
        <v>22.2</v>
      </c>
      <c r="AG82">
        <v>20.9</v>
      </c>
    </row>
    <row r="83" spans="31:33" x14ac:dyDescent="0.25">
      <c r="AE83">
        <v>85</v>
      </c>
      <c r="AF83">
        <v>22.7</v>
      </c>
      <c r="AG83">
        <v>21.5</v>
      </c>
    </row>
    <row r="84" spans="31:33" x14ac:dyDescent="0.25">
      <c r="AE84">
        <v>86</v>
      </c>
      <c r="AF84">
        <v>23.1</v>
      </c>
      <c r="AG84">
        <v>22</v>
      </c>
    </row>
    <row r="85" spans="31:33" x14ac:dyDescent="0.25">
      <c r="AE85">
        <v>87</v>
      </c>
      <c r="AF85">
        <v>23.6</v>
      </c>
      <c r="AG85">
        <v>22.7</v>
      </c>
    </row>
    <row r="86" spans="31:33" x14ac:dyDescent="0.25">
      <c r="AE86">
        <v>88</v>
      </c>
      <c r="AF86">
        <v>23.6</v>
      </c>
      <c r="AG86">
        <v>23</v>
      </c>
    </row>
    <row r="87" spans="31:33" x14ac:dyDescent="0.25">
      <c r="AE87">
        <v>89</v>
      </c>
      <c r="AF87">
        <v>24.3</v>
      </c>
      <c r="AG87">
        <v>23.7</v>
      </c>
    </row>
    <row r="88" spans="31:33" x14ac:dyDescent="0.25">
      <c r="AE88">
        <v>90</v>
      </c>
      <c r="AF88">
        <v>24.8</v>
      </c>
      <c r="AG88">
        <v>24.4</v>
      </c>
    </row>
    <row r="89" spans="31:33" x14ac:dyDescent="0.25">
      <c r="AE89">
        <v>91</v>
      </c>
      <c r="AF89">
        <v>25</v>
      </c>
      <c r="AG89">
        <v>24.7</v>
      </c>
    </row>
    <row r="90" spans="31:33" x14ac:dyDescent="0.25">
      <c r="AE90">
        <v>92</v>
      </c>
      <c r="AF90">
        <v>25.1</v>
      </c>
      <c r="AG90">
        <v>25.4</v>
      </c>
    </row>
    <row r="91" spans="31:33" x14ac:dyDescent="0.25">
      <c r="AE91">
        <v>93</v>
      </c>
      <c r="AF91">
        <v>25.1</v>
      </c>
      <c r="AG91">
        <v>25.5</v>
      </c>
    </row>
    <row r="92" spans="31:33" x14ac:dyDescent="0.25">
      <c r="AE92">
        <v>94</v>
      </c>
      <c r="AF92">
        <v>24.9</v>
      </c>
      <c r="AG92">
        <v>25.9</v>
      </c>
    </row>
    <row r="93" spans="31:33" x14ac:dyDescent="0.25">
      <c r="AE93">
        <v>95</v>
      </c>
      <c r="AF93">
        <v>24.6</v>
      </c>
      <c r="AG93">
        <v>26.2</v>
      </c>
    </row>
    <row r="94" spans="31:33" x14ac:dyDescent="0.25">
      <c r="AE94">
        <v>96</v>
      </c>
      <c r="AF94">
        <v>25.5</v>
      </c>
      <c r="AG94">
        <v>26.6</v>
      </c>
    </row>
    <row r="95" spans="31:33" x14ac:dyDescent="0.25">
      <c r="AE95">
        <v>97</v>
      </c>
      <c r="AF95">
        <v>24.5</v>
      </c>
      <c r="AG95">
        <v>26.2</v>
      </c>
    </row>
    <row r="96" spans="31:33" x14ac:dyDescent="0.25">
      <c r="AE96">
        <v>98</v>
      </c>
      <c r="AF96">
        <v>24.6</v>
      </c>
      <c r="AG96">
        <v>26.4</v>
      </c>
    </row>
    <row r="97" spans="31:33" x14ac:dyDescent="0.25">
      <c r="AE97">
        <v>99</v>
      </c>
      <c r="AF97">
        <v>24.6</v>
      </c>
      <c r="AG97">
        <v>26.4</v>
      </c>
    </row>
    <row r="98" spans="31:33" x14ac:dyDescent="0.25">
      <c r="AE98">
        <v>100</v>
      </c>
      <c r="AF98">
        <v>25</v>
      </c>
      <c r="AG98">
        <v>26.3</v>
      </c>
    </row>
    <row r="99" spans="31:33" x14ac:dyDescent="0.25">
      <c r="AE99">
        <v>101</v>
      </c>
      <c r="AF99">
        <v>24</v>
      </c>
      <c r="AG99">
        <v>26.2</v>
      </c>
    </row>
    <row r="100" spans="31:33" x14ac:dyDescent="0.25">
      <c r="AE100">
        <v>102</v>
      </c>
      <c r="AF100">
        <v>23.8</v>
      </c>
      <c r="AG100">
        <v>26.1</v>
      </c>
    </row>
    <row r="101" spans="31:33" x14ac:dyDescent="0.25">
      <c r="AE101">
        <v>103</v>
      </c>
      <c r="AF101">
        <v>23.7</v>
      </c>
      <c r="AG101">
        <v>26.4</v>
      </c>
    </row>
    <row r="102" spans="31:33" x14ac:dyDescent="0.25">
      <c r="AE102">
        <v>104</v>
      </c>
      <c r="AF102">
        <v>23.9</v>
      </c>
      <c r="AG102">
        <v>26.7</v>
      </c>
    </row>
    <row r="103" spans="31:33" x14ac:dyDescent="0.25">
      <c r="AE103">
        <v>105</v>
      </c>
      <c r="AF103">
        <v>25</v>
      </c>
      <c r="AG103">
        <v>26.9</v>
      </c>
    </row>
    <row r="104" spans="31:33" x14ac:dyDescent="0.25">
      <c r="AE104">
        <v>106</v>
      </c>
      <c r="AF104">
        <v>24.5</v>
      </c>
      <c r="AG104">
        <v>26.8</v>
      </c>
    </row>
    <row r="105" spans="31:33" x14ac:dyDescent="0.25">
      <c r="AE105">
        <v>107</v>
      </c>
      <c r="AF105">
        <v>24.9</v>
      </c>
      <c r="AG105">
        <v>26.7</v>
      </c>
    </row>
    <row r="106" spans="31:33" x14ac:dyDescent="0.25">
      <c r="AE106">
        <v>108</v>
      </c>
      <c r="AF106">
        <v>23.7</v>
      </c>
      <c r="AG106">
        <v>26.6</v>
      </c>
    </row>
    <row r="107" spans="31:33" x14ac:dyDescent="0.25">
      <c r="AE107">
        <v>109</v>
      </c>
      <c r="AF107">
        <v>24.9</v>
      </c>
      <c r="AG107">
        <v>27.1</v>
      </c>
    </row>
    <row r="108" spans="31:33" x14ac:dyDescent="0.25">
      <c r="AE108">
        <v>110</v>
      </c>
      <c r="AF108">
        <v>26.6</v>
      </c>
      <c r="AG108">
        <v>27.5</v>
      </c>
    </row>
    <row r="109" spans="31:33" x14ac:dyDescent="0.25">
      <c r="AE109">
        <v>111</v>
      </c>
      <c r="AF109">
        <v>26.7</v>
      </c>
      <c r="AG109">
        <v>27.6</v>
      </c>
    </row>
    <row r="110" spans="31:33" x14ac:dyDescent="0.25">
      <c r="AE110">
        <v>112</v>
      </c>
      <c r="AF110">
        <v>27.4</v>
      </c>
      <c r="AG110">
        <v>26.6</v>
      </c>
    </row>
    <row r="111" spans="31:33" x14ac:dyDescent="0.25">
      <c r="AE111">
        <v>113</v>
      </c>
      <c r="AF111">
        <v>27.3</v>
      </c>
      <c r="AG111">
        <v>26.1</v>
      </c>
    </row>
    <row r="112" spans="31:33" x14ac:dyDescent="0.25">
      <c r="AE112">
        <v>114</v>
      </c>
      <c r="AF112">
        <v>26.6</v>
      </c>
      <c r="AG112">
        <v>26</v>
      </c>
    </row>
    <row r="113" spans="31:33" x14ac:dyDescent="0.25">
      <c r="AE113">
        <v>115</v>
      </c>
      <c r="AF113">
        <v>26.2</v>
      </c>
      <c r="AG113">
        <v>24.8</v>
      </c>
    </row>
    <row r="114" spans="31:33" x14ac:dyDescent="0.25">
      <c r="AE114">
        <v>116</v>
      </c>
      <c r="AF114">
        <v>29.1</v>
      </c>
      <c r="AG114">
        <v>24.7</v>
      </c>
    </row>
    <row r="115" spans="31:33" x14ac:dyDescent="0.25">
      <c r="AE115">
        <v>117</v>
      </c>
      <c r="AF115">
        <v>28.6</v>
      </c>
      <c r="AG115">
        <v>24.4</v>
      </c>
    </row>
    <row r="116" spans="31:33" x14ac:dyDescent="0.25">
      <c r="AE116">
        <v>118</v>
      </c>
      <c r="AF116">
        <v>26.6</v>
      </c>
      <c r="AG116">
        <v>24.3</v>
      </c>
    </row>
    <row r="117" spans="31:33" x14ac:dyDescent="0.25">
      <c r="AE117">
        <v>119</v>
      </c>
      <c r="AF117">
        <v>25.8</v>
      </c>
      <c r="AG117">
        <v>22.8</v>
      </c>
    </row>
    <row r="118" spans="31:33" x14ac:dyDescent="0.25">
      <c r="AE118">
        <v>120</v>
      </c>
      <c r="AF118">
        <v>25.2</v>
      </c>
      <c r="AG118">
        <v>21.8</v>
      </c>
    </row>
    <row r="119" spans="31:33" x14ac:dyDescent="0.25">
      <c r="AE119">
        <v>121</v>
      </c>
      <c r="AF119">
        <v>27.3</v>
      </c>
      <c r="AG119">
        <v>21.7</v>
      </c>
    </row>
    <row r="120" spans="31:33" x14ac:dyDescent="0.25">
      <c r="AE120">
        <v>122</v>
      </c>
      <c r="AF120">
        <v>23.7</v>
      </c>
      <c r="AG120">
        <v>22.6</v>
      </c>
    </row>
    <row r="121" spans="31:33" x14ac:dyDescent="0.25">
      <c r="AE121">
        <v>123</v>
      </c>
      <c r="AF121">
        <v>24</v>
      </c>
      <c r="AG121">
        <v>23.1</v>
      </c>
    </row>
    <row r="122" spans="31:33" x14ac:dyDescent="0.25">
      <c r="AE122">
        <v>124</v>
      </c>
      <c r="AF122">
        <v>28.8</v>
      </c>
      <c r="AG122">
        <v>22.7</v>
      </c>
    </row>
    <row r="123" spans="31:33" x14ac:dyDescent="0.25">
      <c r="AE123">
        <v>125</v>
      </c>
      <c r="AF123">
        <v>26.2</v>
      </c>
      <c r="AG123">
        <v>22</v>
      </c>
    </row>
    <row r="124" spans="31:33" x14ac:dyDescent="0.25">
      <c r="AE124">
        <v>126</v>
      </c>
      <c r="AF124">
        <v>22.1</v>
      </c>
      <c r="AG124">
        <v>19.7</v>
      </c>
    </row>
    <row r="125" spans="31:33" x14ac:dyDescent="0.25">
      <c r="AE125">
        <v>127</v>
      </c>
      <c r="AF125">
        <v>25.1</v>
      </c>
      <c r="AG125">
        <v>20</v>
      </c>
    </row>
    <row r="126" spans="31:33" x14ac:dyDescent="0.25">
      <c r="AE126">
        <v>128</v>
      </c>
      <c r="AF126">
        <v>22.8</v>
      </c>
      <c r="AG126">
        <v>20.6</v>
      </c>
    </row>
    <row r="127" spans="31:33" x14ac:dyDescent="0.25">
      <c r="AE127">
        <v>129</v>
      </c>
      <c r="AF127">
        <v>25</v>
      </c>
      <c r="AG127">
        <v>21.4</v>
      </c>
    </row>
    <row r="128" spans="31:33" x14ac:dyDescent="0.25">
      <c r="AE128">
        <v>130</v>
      </c>
      <c r="AF128">
        <v>27.8</v>
      </c>
      <c r="AG128">
        <v>22.2</v>
      </c>
    </row>
    <row r="129" spans="31:33" x14ac:dyDescent="0.25">
      <c r="AE129">
        <v>131</v>
      </c>
      <c r="AF129">
        <v>34.299999999999997</v>
      </c>
      <c r="AG129">
        <v>21.5</v>
      </c>
    </row>
    <row r="130" spans="31:33" x14ac:dyDescent="0.25">
      <c r="AE130">
        <v>132</v>
      </c>
      <c r="AF130">
        <v>26.7</v>
      </c>
      <c r="AG130">
        <v>22</v>
      </c>
    </row>
    <row r="131" spans="31:33" x14ac:dyDescent="0.25">
      <c r="AE131">
        <v>133</v>
      </c>
      <c r="AF131">
        <v>28.7</v>
      </c>
      <c r="AG131">
        <v>21.5</v>
      </c>
    </row>
    <row r="132" spans="31:33" x14ac:dyDescent="0.25">
      <c r="AE132">
        <v>134</v>
      </c>
      <c r="AF132">
        <v>28.2</v>
      </c>
      <c r="AG132">
        <v>22.5</v>
      </c>
    </row>
    <row r="133" spans="31:33" x14ac:dyDescent="0.25">
      <c r="AE133">
        <v>135</v>
      </c>
      <c r="AF133">
        <v>26.8</v>
      </c>
      <c r="AG133">
        <v>20.399999999999999</v>
      </c>
    </row>
    <row r="134" spans="31:33" x14ac:dyDescent="0.25">
      <c r="AE134">
        <v>136</v>
      </c>
      <c r="AF134">
        <v>26.5</v>
      </c>
      <c r="AG134">
        <v>20.5</v>
      </c>
    </row>
    <row r="135" spans="31:33" x14ac:dyDescent="0.25">
      <c r="AE135">
        <v>137</v>
      </c>
      <c r="AF135">
        <v>24.6</v>
      </c>
      <c r="AG135">
        <v>21</v>
      </c>
    </row>
    <row r="136" spans="31:33" x14ac:dyDescent="0.25">
      <c r="AE136">
        <v>138</v>
      </c>
      <c r="AF136">
        <v>31.5</v>
      </c>
      <c r="AG136">
        <v>21.6</v>
      </c>
    </row>
    <row r="137" spans="31:33" x14ac:dyDescent="0.25">
      <c r="AE137">
        <v>139</v>
      </c>
      <c r="AF137">
        <v>27.4</v>
      </c>
      <c r="AG137">
        <v>21.5</v>
      </c>
    </row>
    <row r="138" spans="31:33" x14ac:dyDescent="0.25">
      <c r="AE138">
        <v>140</v>
      </c>
      <c r="AF138">
        <v>30.7</v>
      </c>
      <c r="AG138">
        <v>21.3</v>
      </c>
    </row>
    <row r="139" spans="31:33" x14ac:dyDescent="0.25">
      <c r="AE139">
        <v>141</v>
      </c>
      <c r="AF139">
        <v>35.700000000000003</v>
      </c>
      <c r="AG139">
        <v>22.7</v>
      </c>
    </row>
    <row r="140" spans="31:33" x14ac:dyDescent="0.25">
      <c r="AE140">
        <v>142</v>
      </c>
      <c r="AF140">
        <v>29.1</v>
      </c>
      <c r="AG140">
        <v>21.5</v>
      </c>
    </row>
    <row r="141" spans="31:33" x14ac:dyDescent="0.25">
      <c r="AE141">
        <v>143</v>
      </c>
      <c r="AF141">
        <v>28.6</v>
      </c>
      <c r="AG141">
        <v>20.9</v>
      </c>
    </row>
    <row r="142" spans="31:33" x14ac:dyDescent="0.25">
      <c r="AE142">
        <v>144</v>
      </c>
      <c r="AF142">
        <v>27.4</v>
      </c>
      <c r="AG142">
        <v>22</v>
      </c>
    </row>
    <row r="143" spans="31:33" x14ac:dyDescent="0.25">
      <c r="AE143">
        <v>145</v>
      </c>
      <c r="AF143">
        <v>26.3</v>
      </c>
      <c r="AG143">
        <v>21.7</v>
      </c>
    </row>
    <row r="144" spans="31:33" x14ac:dyDescent="0.25">
      <c r="AE144">
        <v>146</v>
      </c>
      <c r="AF144">
        <v>27.4</v>
      </c>
      <c r="AG144">
        <v>23.4</v>
      </c>
    </row>
    <row r="145" spans="31:33" x14ac:dyDescent="0.25">
      <c r="AE145">
        <v>147</v>
      </c>
      <c r="AF145">
        <v>25.2</v>
      </c>
      <c r="AG145">
        <v>23.1</v>
      </c>
    </row>
    <row r="146" spans="31:33" x14ac:dyDescent="0.25">
      <c r="AE146">
        <v>148</v>
      </c>
      <c r="AF146">
        <v>26.9</v>
      </c>
      <c r="AG146">
        <v>22.9</v>
      </c>
    </row>
    <row r="147" spans="31:33" x14ac:dyDescent="0.25">
      <c r="AE147">
        <v>149</v>
      </c>
      <c r="AF147">
        <v>28.9</v>
      </c>
      <c r="AG147">
        <v>24.1</v>
      </c>
    </row>
    <row r="148" spans="31:33" x14ac:dyDescent="0.25">
      <c r="AE148">
        <v>150</v>
      </c>
      <c r="AF148">
        <v>35.9</v>
      </c>
      <c r="AG148">
        <v>25.5</v>
      </c>
    </row>
    <row r="149" spans="31:33" x14ac:dyDescent="0.25">
      <c r="AE149">
        <v>151</v>
      </c>
      <c r="AF149">
        <v>31.8</v>
      </c>
      <c r="AG149">
        <v>24.8</v>
      </c>
    </row>
    <row r="150" spans="31:33" x14ac:dyDescent="0.25">
      <c r="AE150">
        <v>152</v>
      </c>
      <c r="AF150">
        <v>39.700000000000003</v>
      </c>
      <c r="AG150">
        <v>24.5</v>
      </c>
    </row>
    <row r="151" spans="31:33" x14ac:dyDescent="0.25">
      <c r="AE151">
        <v>153</v>
      </c>
      <c r="AF151">
        <v>42.6</v>
      </c>
      <c r="AG151">
        <v>25.3</v>
      </c>
    </row>
    <row r="152" spans="31:33" x14ac:dyDescent="0.25">
      <c r="AE152">
        <v>154</v>
      </c>
      <c r="AF152">
        <v>46.2</v>
      </c>
      <c r="AG152">
        <v>25.2</v>
      </c>
    </row>
    <row r="153" spans="31:33" x14ac:dyDescent="0.25">
      <c r="AE153">
        <v>155</v>
      </c>
      <c r="AF153">
        <v>34.9</v>
      </c>
      <c r="AG153">
        <v>24.8</v>
      </c>
    </row>
    <row r="154" spans="31:33" x14ac:dyDescent="0.25">
      <c r="AE154">
        <v>156</v>
      </c>
      <c r="AF154">
        <v>44</v>
      </c>
      <c r="AG154">
        <v>25.1</v>
      </c>
    </row>
    <row r="155" spans="31:33" x14ac:dyDescent="0.25">
      <c r="AE155">
        <v>157</v>
      </c>
      <c r="AF155">
        <v>27.2</v>
      </c>
      <c r="AG155">
        <v>25.9</v>
      </c>
    </row>
    <row r="156" spans="31:33" x14ac:dyDescent="0.25">
      <c r="AE156">
        <v>158</v>
      </c>
      <c r="AF156">
        <v>37</v>
      </c>
      <c r="AG156">
        <v>27</v>
      </c>
    </row>
    <row r="157" spans="31:33" x14ac:dyDescent="0.25">
      <c r="AE157">
        <v>159</v>
      </c>
      <c r="AF157">
        <v>36.4</v>
      </c>
      <c r="AG157">
        <v>27.8</v>
      </c>
    </row>
    <row r="158" spans="31:33" x14ac:dyDescent="0.25">
      <c r="AE158">
        <v>160</v>
      </c>
      <c r="AF158">
        <v>28.8</v>
      </c>
      <c r="AG158">
        <v>26.3</v>
      </c>
    </row>
    <row r="159" spans="31:33" x14ac:dyDescent="0.25">
      <c r="AE159">
        <v>161</v>
      </c>
      <c r="AF159">
        <v>34.799999999999997</v>
      </c>
      <c r="AG159">
        <v>27.8</v>
      </c>
    </row>
    <row r="160" spans="31:33" x14ac:dyDescent="0.25">
      <c r="AE160">
        <v>162</v>
      </c>
      <c r="AF160">
        <v>33.700000000000003</v>
      </c>
      <c r="AG160">
        <v>28.7</v>
      </c>
    </row>
    <row r="161" spans="31:33" x14ac:dyDescent="0.25">
      <c r="AE161">
        <v>163</v>
      </c>
      <c r="AF161">
        <v>31</v>
      </c>
      <c r="AG161">
        <v>28.4</v>
      </c>
    </row>
    <row r="162" spans="31:33" x14ac:dyDescent="0.25">
      <c r="AE162">
        <v>164</v>
      </c>
      <c r="AF162">
        <v>40.299999999999997</v>
      </c>
      <c r="AG162">
        <v>27.7</v>
      </c>
    </row>
    <row r="163" spans="31:33" x14ac:dyDescent="0.25">
      <c r="AE163">
        <v>165</v>
      </c>
      <c r="AF163">
        <v>34.1</v>
      </c>
      <c r="AG163">
        <v>28.4</v>
      </c>
    </row>
    <row r="164" spans="31:33" x14ac:dyDescent="0.25">
      <c r="AE164">
        <v>166</v>
      </c>
      <c r="AF164">
        <v>38.4</v>
      </c>
      <c r="AG164">
        <v>29.1</v>
      </c>
    </row>
    <row r="165" spans="31:33" x14ac:dyDescent="0.25">
      <c r="AE165">
        <v>167</v>
      </c>
      <c r="AF165">
        <v>42</v>
      </c>
      <c r="AG165">
        <v>29.7</v>
      </c>
    </row>
    <row r="166" spans="31:33" x14ac:dyDescent="0.25">
      <c r="AE166">
        <v>168</v>
      </c>
      <c r="AF166">
        <v>28.2</v>
      </c>
      <c r="AG166">
        <v>28.7</v>
      </c>
    </row>
    <row r="167" spans="31:33" x14ac:dyDescent="0.25">
      <c r="AE167">
        <v>169</v>
      </c>
      <c r="AF167">
        <v>34.299999999999997</v>
      </c>
      <c r="AG167">
        <v>28.7</v>
      </c>
    </row>
    <row r="168" spans="31:33" x14ac:dyDescent="0.25">
      <c r="AE168">
        <v>170</v>
      </c>
      <c r="AF168">
        <v>25.6</v>
      </c>
      <c r="AG168">
        <v>29</v>
      </c>
    </row>
  </sheetData>
  <sortState ref="A1:M81">
    <sortCondition ref="J1"/>
  </sortState>
  <pageMargins left="0.7" right="0.7" top="0.75" bottom="0.75" header="0.3" footer="0.3"/>
  <pageSetup scale="2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8"/>
  <sheetViews>
    <sheetView topLeftCell="K1" workbookViewId="0">
      <selection activeCell="V27" sqref="V27"/>
    </sheetView>
  </sheetViews>
  <sheetFormatPr defaultRowHeight="15" x14ac:dyDescent="0.25"/>
  <cols>
    <col min="1" max="1" width="7.7109375" hidden="1" customWidth="1"/>
    <col min="2" max="2" width="19.140625" hidden="1" customWidth="1"/>
    <col min="3" max="3" width="10.85546875" hidden="1" customWidth="1"/>
    <col min="4" max="4" width="15.5703125" hidden="1" customWidth="1"/>
    <col min="5" max="5" width="17" hidden="1" customWidth="1"/>
    <col min="6" max="6" width="17.85546875" hidden="1" customWidth="1"/>
    <col min="7" max="7" width="15.28515625" hidden="1" customWidth="1"/>
    <col min="8" max="8" width="16.140625" hidden="1" customWidth="1"/>
    <col min="9" max="9" width="25.5703125" hidden="1" customWidth="1"/>
    <col min="10" max="10" width="7.7109375" style="6" hidden="1" customWidth="1"/>
    <col min="11" max="11" width="7.7109375" customWidth="1"/>
    <col min="12" max="12" width="5" bestFit="1" customWidth="1"/>
    <col min="13" max="13" width="15.5703125" bestFit="1" customWidth="1"/>
  </cols>
  <sheetData>
    <row r="1" spans="1:13" x14ac:dyDescent="0.25">
      <c r="A1" t="s">
        <v>70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s="6" t="s">
        <v>70</v>
      </c>
      <c r="L1" t="s">
        <v>149</v>
      </c>
      <c r="M1" t="s">
        <v>71</v>
      </c>
    </row>
    <row r="2" spans="1:13" x14ac:dyDescent="0.25">
      <c r="A2" s="5">
        <v>42433</v>
      </c>
      <c r="B2">
        <v>150</v>
      </c>
      <c r="C2" s="4">
        <v>-3593</v>
      </c>
      <c r="D2">
        <v>20.5</v>
      </c>
      <c r="E2">
        <v>1.4</v>
      </c>
      <c r="F2">
        <v>0.2</v>
      </c>
      <c r="G2">
        <v>10.1</v>
      </c>
      <c r="H2">
        <v>10</v>
      </c>
      <c r="I2">
        <v>143</v>
      </c>
      <c r="J2" s="6">
        <v>3</v>
      </c>
      <c r="K2">
        <v>4</v>
      </c>
      <c r="L2">
        <v>76.3</v>
      </c>
      <c r="M2">
        <v>20.5</v>
      </c>
    </row>
    <row r="3" spans="1:13" x14ac:dyDescent="0.25">
      <c r="A3" s="5">
        <v>42465</v>
      </c>
      <c r="B3">
        <v>220</v>
      </c>
      <c r="C3">
        <v>116</v>
      </c>
      <c r="D3">
        <v>20.9</v>
      </c>
      <c r="E3">
        <v>1.4</v>
      </c>
      <c r="F3">
        <v>0.2</v>
      </c>
      <c r="G3">
        <v>10.1</v>
      </c>
      <c r="H3">
        <v>10.4</v>
      </c>
      <c r="I3">
        <v>210</v>
      </c>
      <c r="J3" s="6">
        <v>4</v>
      </c>
      <c r="K3">
        <v>5</v>
      </c>
      <c r="L3">
        <v>72.3</v>
      </c>
      <c r="M3">
        <v>20.9</v>
      </c>
    </row>
    <row r="4" spans="1:13" x14ac:dyDescent="0.25">
      <c r="A4" s="5">
        <v>42496</v>
      </c>
      <c r="B4">
        <v>308</v>
      </c>
      <c r="C4" s="4">
        <v>5451</v>
      </c>
      <c r="D4">
        <v>20.8</v>
      </c>
      <c r="E4">
        <v>1.4</v>
      </c>
      <c r="F4">
        <v>0.2</v>
      </c>
      <c r="G4">
        <v>10.1</v>
      </c>
      <c r="H4">
        <v>10.4</v>
      </c>
      <c r="I4">
        <v>292</v>
      </c>
      <c r="J4" s="6">
        <v>5</v>
      </c>
      <c r="K4">
        <v>6</v>
      </c>
      <c r="L4">
        <v>64.2</v>
      </c>
      <c r="M4">
        <v>20.8</v>
      </c>
    </row>
    <row r="5" spans="1:13" x14ac:dyDescent="0.25">
      <c r="A5" s="5">
        <v>42528</v>
      </c>
      <c r="B5">
        <v>453</v>
      </c>
      <c r="C5" s="4">
        <v>7159</v>
      </c>
      <c r="D5">
        <v>20.7</v>
      </c>
      <c r="E5">
        <v>1.4</v>
      </c>
      <c r="F5">
        <v>0.2</v>
      </c>
      <c r="G5">
        <v>10.1</v>
      </c>
      <c r="H5">
        <v>10.199999999999999</v>
      </c>
      <c r="I5">
        <v>427</v>
      </c>
      <c r="J5" s="6">
        <v>6</v>
      </c>
      <c r="K5">
        <v>7</v>
      </c>
      <c r="L5">
        <v>54.1</v>
      </c>
      <c r="M5">
        <v>20.7</v>
      </c>
    </row>
    <row r="6" spans="1:13" x14ac:dyDescent="0.25">
      <c r="A6" s="5">
        <v>42559</v>
      </c>
      <c r="B6">
        <v>631</v>
      </c>
      <c r="C6" s="4">
        <v>2934</v>
      </c>
      <c r="D6">
        <v>20.7</v>
      </c>
      <c r="E6">
        <v>1.4</v>
      </c>
      <c r="F6">
        <v>0.2</v>
      </c>
      <c r="G6">
        <v>10.1</v>
      </c>
      <c r="H6">
        <v>10.3</v>
      </c>
      <c r="I6">
        <v>599</v>
      </c>
      <c r="J6" s="6">
        <v>7</v>
      </c>
      <c r="K6">
        <v>8</v>
      </c>
      <c r="L6">
        <v>51.1</v>
      </c>
      <c r="M6">
        <v>20.7</v>
      </c>
    </row>
    <row r="7" spans="1:13" x14ac:dyDescent="0.25">
      <c r="A7" s="5">
        <v>42591</v>
      </c>
      <c r="B7">
        <v>830</v>
      </c>
      <c r="C7" s="4">
        <v>13787</v>
      </c>
      <c r="D7">
        <v>20.6</v>
      </c>
      <c r="E7">
        <v>1.4</v>
      </c>
      <c r="F7">
        <v>0.2</v>
      </c>
      <c r="G7">
        <v>10.1</v>
      </c>
      <c r="H7">
        <v>10.1</v>
      </c>
      <c r="I7">
        <v>787</v>
      </c>
      <c r="J7" s="6">
        <v>8</v>
      </c>
      <c r="K7">
        <v>9</v>
      </c>
      <c r="L7">
        <v>44</v>
      </c>
      <c r="M7">
        <v>20.6</v>
      </c>
    </row>
    <row r="8" spans="1:13" x14ac:dyDescent="0.25">
      <c r="A8" s="5">
        <v>42623</v>
      </c>
      <c r="B8" s="4">
        <v>1123</v>
      </c>
      <c r="C8" s="4">
        <v>21268</v>
      </c>
      <c r="D8">
        <v>20.5</v>
      </c>
      <c r="E8">
        <v>1.4</v>
      </c>
      <c r="F8">
        <v>0.2</v>
      </c>
      <c r="G8">
        <v>10.1</v>
      </c>
      <c r="H8">
        <v>10</v>
      </c>
      <c r="I8" s="4">
        <v>1069</v>
      </c>
      <c r="J8" s="6">
        <v>9</v>
      </c>
      <c r="K8">
        <v>10</v>
      </c>
      <c r="L8">
        <v>40.5</v>
      </c>
      <c r="M8">
        <v>20.5</v>
      </c>
    </row>
    <row r="9" spans="1:13" x14ac:dyDescent="0.25">
      <c r="A9" s="5">
        <v>42654</v>
      </c>
      <c r="B9" s="4">
        <v>1583</v>
      </c>
      <c r="C9" s="4">
        <v>25199</v>
      </c>
      <c r="D9">
        <v>20.399999999999999</v>
      </c>
      <c r="E9">
        <v>1.3</v>
      </c>
      <c r="F9">
        <v>0.2</v>
      </c>
      <c r="G9">
        <v>10.1</v>
      </c>
      <c r="H9">
        <v>10</v>
      </c>
      <c r="I9" s="4">
        <v>1512</v>
      </c>
      <c r="J9" s="6">
        <v>10</v>
      </c>
      <c r="K9">
        <v>11</v>
      </c>
      <c r="L9">
        <v>37.799999999999997</v>
      </c>
      <c r="M9">
        <v>20.399999999999999</v>
      </c>
    </row>
    <row r="10" spans="1:13" x14ac:dyDescent="0.25">
      <c r="A10" s="5">
        <v>42686</v>
      </c>
      <c r="B10" s="4">
        <v>2047</v>
      </c>
      <c r="C10" s="4">
        <v>27416</v>
      </c>
      <c r="D10">
        <v>20.7</v>
      </c>
      <c r="E10">
        <v>1.3</v>
      </c>
      <c r="F10">
        <v>0.2</v>
      </c>
      <c r="G10">
        <v>10.1</v>
      </c>
      <c r="H10">
        <v>10.3</v>
      </c>
      <c r="I10" s="4">
        <v>1944</v>
      </c>
      <c r="J10" s="6">
        <v>11</v>
      </c>
      <c r="K10">
        <v>12</v>
      </c>
      <c r="L10">
        <v>33.6</v>
      </c>
      <c r="M10">
        <v>20.7</v>
      </c>
    </row>
    <row r="11" spans="1:13" x14ac:dyDescent="0.25">
      <c r="A11" s="5">
        <v>42717</v>
      </c>
      <c r="B11" s="4">
        <v>2669</v>
      </c>
      <c r="C11" s="4">
        <v>42626</v>
      </c>
      <c r="D11">
        <v>20.7</v>
      </c>
      <c r="E11">
        <v>1.3</v>
      </c>
      <c r="F11">
        <v>0.2</v>
      </c>
      <c r="G11">
        <v>10.1</v>
      </c>
      <c r="H11">
        <v>10.3</v>
      </c>
      <c r="I11" s="4">
        <v>2484</v>
      </c>
      <c r="J11" s="6">
        <v>12</v>
      </c>
      <c r="K11">
        <v>13</v>
      </c>
      <c r="L11">
        <v>31.4</v>
      </c>
      <c r="M11">
        <v>20.7</v>
      </c>
    </row>
    <row r="12" spans="1:13" x14ac:dyDescent="0.25">
      <c r="A12" t="s">
        <v>201</v>
      </c>
      <c r="B12" s="4">
        <v>3474</v>
      </c>
      <c r="C12" s="4">
        <v>63521</v>
      </c>
      <c r="D12">
        <v>20.7</v>
      </c>
      <c r="E12">
        <v>1.3</v>
      </c>
      <c r="F12">
        <v>0.2</v>
      </c>
      <c r="G12">
        <v>10.1</v>
      </c>
      <c r="H12">
        <v>10.3</v>
      </c>
      <c r="I12" s="4">
        <v>3260</v>
      </c>
      <c r="J12" s="6">
        <v>13</v>
      </c>
      <c r="K12">
        <v>14</v>
      </c>
      <c r="L12">
        <v>29.9</v>
      </c>
      <c r="M12">
        <v>20.7</v>
      </c>
    </row>
    <row r="13" spans="1:13" x14ac:dyDescent="0.25">
      <c r="A13" t="s">
        <v>212</v>
      </c>
      <c r="B13" s="4">
        <v>4713</v>
      </c>
      <c r="C13" s="4">
        <v>73788</v>
      </c>
      <c r="D13">
        <v>20.5</v>
      </c>
      <c r="E13">
        <v>1.3</v>
      </c>
      <c r="F13">
        <v>0.3</v>
      </c>
      <c r="G13">
        <v>10.1</v>
      </c>
      <c r="H13">
        <v>10</v>
      </c>
      <c r="I13" s="4">
        <v>4437</v>
      </c>
      <c r="J13" s="6">
        <v>14</v>
      </c>
      <c r="K13">
        <v>15</v>
      </c>
      <c r="L13">
        <v>26.5</v>
      </c>
      <c r="M13">
        <v>20.5</v>
      </c>
    </row>
    <row r="14" spans="1:13" x14ac:dyDescent="0.25">
      <c r="A14" t="s">
        <v>223</v>
      </c>
      <c r="B14" s="4">
        <v>5910</v>
      </c>
      <c r="C14" s="4">
        <v>91482</v>
      </c>
      <c r="D14">
        <v>20.399999999999999</v>
      </c>
      <c r="E14">
        <v>1.3</v>
      </c>
      <c r="F14">
        <v>0.3</v>
      </c>
      <c r="G14">
        <v>10.1</v>
      </c>
      <c r="H14">
        <v>9.9</v>
      </c>
      <c r="I14" s="4">
        <v>5676</v>
      </c>
      <c r="J14" s="6">
        <v>15</v>
      </c>
      <c r="K14">
        <v>16</v>
      </c>
      <c r="L14">
        <v>25.7</v>
      </c>
      <c r="M14">
        <v>20.399999999999999</v>
      </c>
    </row>
    <row r="15" spans="1:13" x14ac:dyDescent="0.25">
      <c r="A15" t="s">
        <v>225</v>
      </c>
      <c r="B15" s="4">
        <v>7871</v>
      </c>
      <c r="C15" s="4">
        <v>122169</v>
      </c>
      <c r="D15">
        <v>20.5</v>
      </c>
      <c r="E15">
        <v>1.2</v>
      </c>
      <c r="F15">
        <v>0.3</v>
      </c>
      <c r="G15">
        <v>10.1</v>
      </c>
      <c r="H15">
        <v>10</v>
      </c>
      <c r="I15" s="4">
        <v>7530</v>
      </c>
      <c r="J15" s="6">
        <v>16</v>
      </c>
      <c r="K15">
        <v>17</v>
      </c>
      <c r="L15">
        <v>23.9</v>
      </c>
      <c r="M15">
        <v>20.5</v>
      </c>
    </row>
    <row r="16" spans="1:13" x14ac:dyDescent="0.25">
      <c r="A16" t="s">
        <v>226</v>
      </c>
      <c r="B16" s="4">
        <v>9917</v>
      </c>
      <c r="C16" s="4">
        <v>152316</v>
      </c>
      <c r="D16">
        <v>20.6</v>
      </c>
      <c r="E16">
        <v>1.2</v>
      </c>
      <c r="F16">
        <v>0.3</v>
      </c>
      <c r="G16">
        <v>10.1</v>
      </c>
      <c r="H16">
        <v>10.1</v>
      </c>
      <c r="I16" s="4">
        <v>9554</v>
      </c>
      <c r="J16" s="6">
        <v>17</v>
      </c>
      <c r="K16">
        <v>18</v>
      </c>
      <c r="L16">
        <v>22.5</v>
      </c>
      <c r="M16">
        <v>20.6</v>
      </c>
    </row>
    <row r="17" spans="1:13" x14ac:dyDescent="0.25">
      <c r="A17" t="s">
        <v>227</v>
      </c>
      <c r="B17" s="4">
        <v>12346</v>
      </c>
      <c r="C17" s="4">
        <v>194097</v>
      </c>
      <c r="D17">
        <v>20.7</v>
      </c>
      <c r="E17">
        <v>1.2</v>
      </c>
      <c r="F17">
        <v>0.3</v>
      </c>
      <c r="G17">
        <v>10.1</v>
      </c>
      <c r="H17">
        <v>10.3</v>
      </c>
      <c r="I17" s="4">
        <v>11912</v>
      </c>
      <c r="J17" s="6">
        <v>18</v>
      </c>
      <c r="K17">
        <v>19</v>
      </c>
      <c r="L17">
        <v>22.4</v>
      </c>
      <c r="M17">
        <v>20.7</v>
      </c>
    </row>
    <row r="18" spans="1:13" x14ac:dyDescent="0.25">
      <c r="A18" t="s">
        <v>228</v>
      </c>
      <c r="B18" s="4">
        <v>15982</v>
      </c>
      <c r="C18" s="4">
        <v>230900</v>
      </c>
      <c r="D18">
        <v>20.8</v>
      </c>
      <c r="E18">
        <v>1.2</v>
      </c>
      <c r="F18">
        <v>0.4</v>
      </c>
      <c r="G18">
        <v>10.1</v>
      </c>
      <c r="H18">
        <v>10.4</v>
      </c>
      <c r="I18" s="4">
        <v>15518</v>
      </c>
      <c r="J18" s="6">
        <v>19</v>
      </c>
      <c r="K18">
        <v>20</v>
      </c>
      <c r="L18">
        <v>21.8</v>
      </c>
      <c r="M18">
        <v>20.8</v>
      </c>
    </row>
    <row r="19" spans="1:13" x14ac:dyDescent="0.25">
      <c r="A19" t="s">
        <v>229</v>
      </c>
      <c r="B19" s="4">
        <v>19668</v>
      </c>
      <c r="C19" s="4">
        <v>275507</v>
      </c>
      <c r="D19">
        <v>21.2</v>
      </c>
      <c r="E19">
        <v>1.1000000000000001</v>
      </c>
      <c r="F19">
        <v>0.4</v>
      </c>
      <c r="G19">
        <v>10.1</v>
      </c>
      <c r="H19">
        <v>10.8</v>
      </c>
      <c r="I19" s="4">
        <v>19021</v>
      </c>
      <c r="J19" s="6">
        <v>20</v>
      </c>
      <c r="K19">
        <v>21</v>
      </c>
      <c r="L19">
        <v>20.7</v>
      </c>
      <c r="M19">
        <v>21.2</v>
      </c>
    </row>
    <row r="20" spans="1:13" x14ac:dyDescent="0.25">
      <c r="A20" t="s">
        <v>230</v>
      </c>
      <c r="B20" s="4">
        <v>24706</v>
      </c>
      <c r="C20" s="4">
        <v>348713</v>
      </c>
      <c r="D20">
        <v>21.1</v>
      </c>
      <c r="E20">
        <v>1.1000000000000001</v>
      </c>
      <c r="F20">
        <v>0.4</v>
      </c>
      <c r="G20">
        <v>10.1</v>
      </c>
      <c r="H20">
        <v>10.7</v>
      </c>
      <c r="I20" s="4">
        <v>24013</v>
      </c>
      <c r="J20" s="6">
        <v>21</v>
      </c>
      <c r="K20">
        <v>22</v>
      </c>
      <c r="L20">
        <v>20.100000000000001</v>
      </c>
      <c r="M20">
        <v>21.1</v>
      </c>
    </row>
    <row r="21" spans="1:13" x14ac:dyDescent="0.25">
      <c r="A21" t="s">
        <v>231</v>
      </c>
      <c r="B21" s="4">
        <v>32497</v>
      </c>
      <c r="C21" s="4">
        <v>450785</v>
      </c>
      <c r="D21">
        <v>21.1</v>
      </c>
      <c r="E21">
        <v>1.1000000000000001</v>
      </c>
      <c r="F21">
        <v>0.4</v>
      </c>
      <c r="G21">
        <v>10.1</v>
      </c>
      <c r="H21">
        <v>10.8</v>
      </c>
      <c r="I21" s="4">
        <v>31714</v>
      </c>
      <c r="J21" s="6">
        <v>22</v>
      </c>
      <c r="K21">
        <v>23</v>
      </c>
      <c r="L21">
        <v>19.7</v>
      </c>
      <c r="M21">
        <v>21.1</v>
      </c>
    </row>
    <row r="22" spans="1:13" x14ac:dyDescent="0.25">
      <c r="A22" t="s">
        <v>232</v>
      </c>
      <c r="B22" s="4">
        <v>38158</v>
      </c>
      <c r="C22" s="4">
        <v>559531</v>
      </c>
      <c r="D22">
        <v>21.7</v>
      </c>
      <c r="E22">
        <v>1.1000000000000001</v>
      </c>
      <c r="F22">
        <v>0.5</v>
      </c>
      <c r="G22">
        <v>10.1</v>
      </c>
      <c r="H22">
        <v>11.4</v>
      </c>
      <c r="I22" s="4">
        <v>37068</v>
      </c>
      <c r="J22" s="6">
        <v>23</v>
      </c>
      <c r="K22">
        <v>24</v>
      </c>
      <c r="L22">
        <v>19.600000000000001</v>
      </c>
      <c r="M22">
        <v>21.7</v>
      </c>
    </row>
    <row r="23" spans="1:13" x14ac:dyDescent="0.25">
      <c r="A23" t="s">
        <v>233</v>
      </c>
      <c r="B23" s="4">
        <v>45553</v>
      </c>
      <c r="C23" s="4">
        <v>629716</v>
      </c>
      <c r="D23">
        <v>22</v>
      </c>
      <c r="E23">
        <v>1.1000000000000001</v>
      </c>
      <c r="F23">
        <v>0.5</v>
      </c>
      <c r="G23">
        <v>10.1</v>
      </c>
      <c r="H23">
        <v>11.7</v>
      </c>
      <c r="I23" s="4">
        <v>44346</v>
      </c>
      <c r="J23" s="6">
        <v>24</v>
      </c>
      <c r="K23">
        <v>25</v>
      </c>
      <c r="L23">
        <v>20.100000000000001</v>
      </c>
      <c r="M23">
        <v>22</v>
      </c>
    </row>
    <row r="24" spans="1:13" x14ac:dyDescent="0.25">
      <c r="A24" t="s">
        <v>234</v>
      </c>
      <c r="B24" s="4">
        <v>52878</v>
      </c>
      <c r="C24" s="4">
        <v>725269</v>
      </c>
      <c r="D24">
        <v>22</v>
      </c>
      <c r="E24">
        <v>1.1000000000000001</v>
      </c>
      <c r="F24">
        <v>0.5</v>
      </c>
      <c r="G24">
        <v>10</v>
      </c>
      <c r="H24">
        <v>11.8</v>
      </c>
      <c r="I24" s="4">
        <v>51731</v>
      </c>
      <c r="J24" s="6">
        <v>25</v>
      </c>
      <c r="K24">
        <v>26</v>
      </c>
      <c r="L24">
        <v>19.899999999999999</v>
      </c>
      <c r="M24">
        <v>22</v>
      </c>
    </row>
    <row r="25" spans="1:13" x14ac:dyDescent="0.25">
      <c r="A25" t="s">
        <v>235</v>
      </c>
      <c r="B25" s="4">
        <v>58830</v>
      </c>
      <c r="C25" s="4">
        <v>787890</v>
      </c>
      <c r="D25">
        <v>22.3</v>
      </c>
      <c r="E25">
        <v>1</v>
      </c>
      <c r="F25">
        <v>0.5</v>
      </c>
      <c r="G25">
        <v>10</v>
      </c>
      <c r="H25">
        <v>12.2</v>
      </c>
      <c r="I25" s="4">
        <v>57723</v>
      </c>
      <c r="J25" s="6">
        <v>26</v>
      </c>
      <c r="K25">
        <v>27</v>
      </c>
      <c r="L25">
        <v>20.399999999999999</v>
      </c>
      <c r="M25">
        <v>22.3</v>
      </c>
    </row>
    <row r="26" spans="1:13" x14ac:dyDescent="0.25">
      <c r="A26" t="s">
        <v>236</v>
      </c>
      <c r="B26" s="4">
        <v>67695</v>
      </c>
      <c r="C26" s="4">
        <v>906905</v>
      </c>
      <c r="D26">
        <v>22.3</v>
      </c>
      <c r="E26">
        <v>1</v>
      </c>
      <c r="F26">
        <v>0.6</v>
      </c>
      <c r="G26">
        <v>10</v>
      </c>
      <c r="H26">
        <v>12.1</v>
      </c>
      <c r="I26" s="4">
        <v>66168</v>
      </c>
      <c r="J26" s="6">
        <v>27</v>
      </c>
      <c r="K26">
        <v>28</v>
      </c>
      <c r="L26">
        <v>20.6</v>
      </c>
      <c r="M26">
        <v>22.3</v>
      </c>
    </row>
    <row r="27" spans="1:13" x14ac:dyDescent="0.25">
      <c r="A27" t="s">
        <v>237</v>
      </c>
      <c r="B27" s="4">
        <v>75426</v>
      </c>
      <c r="C27" s="4">
        <v>967053</v>
      </c>
      <c r="D27">
        <v>22.6</v>
      </c>
      <c r="E27">
        <v>1</v>
      </c>
      <c r="F27">
        <v>0.6</v>
      </c>
      <c r="G27">
        <v>10</v>
      </c>
      <c r="H27">
        <v>12.6</v>
      </c>
      <c r="I27" s="4">
        <v>74431</v>
      </c>
      <c r="J27" s="6">
        <v>28</v>
      </c>
      <c r="K27">
        <v>29</v>
      </c>
      <c r="L27">
        <v>21.4</v>
      </c>
      <c r="M27">
        <v>22.6</v>
      </c>
    </row>
    <row r="28" spans="1:13" x14ac:dyDescent="0.25">
      <c r="A28" t="s">
        <v>79</v>
      </c>
      <c r="B28" s="4">
        <v>84010</v>
      </c>
      <c r="C28" s="4">
        <v>1048131</v>
      </c>
      <c r="D28">
        <v>22.8</v>
      </c>
      <c r="E28">
        <v>1</v>
      </c>
      <c r="F28">
        <v>0.6</v>
      </c>
      <c r="G28">
        <v>10</v>
      </c>
      <c r="H28">
        <v>12.8</v>
      </c>
      <c r="I28" s="4">
        <v>82984</v>
      </c>
      <c r="J28" s="6">
        <v>29</v>
      </c>
      <c r="K28">
        <v>30</v>
      </c>
      <c r="L28">
        <v>21.6</v>
      </c>
      <c r="M28">
        <v>22.8</v>
      </c>
    </row>
    <row r="29" spans="1:13" x14ac:dyDescent="0.25">
      <c r="A29" t="s">
        <v>80</v>
      </c>
      <c r="B29" s="4">
        <v>96629</v>
      </c>
      <c r="C29" s="4">
        <v>1211732</v>
      </c>
      <c r="D29">
        <v>22.8</v>
      </c>
      <c r="E29">
        <v>1</v>
      </c>
      <c r="F29">
        <v>0.6</v>
      </c>
      <c r="G29">
        <v>10</v>
      </c>
      <c r="H29">
        <v>12.8</v>
      </c>
      <c r="I29" s="4">
        <v>95587</v>
      </c>
      <c r="J29" s="6">
        <v>30</v>
      </c>
      <c r="K29">
        <v>31</v>
      </c>
      <c r="L29">
        <v>21.9</v>
      </c>
      <c r="M29">
        <v>22.8</v>
      </c>
    </row>
    <row r="30" spans="1:13" x14ac:dyDescent="0.25">
      <c r="A30" t="s">
        <v>81</v>
      </c>
      <c r="B30" s="4">
        <v>113514</v>
      </c>
      <c r="C30" s="4">
        <v>1388834</v>
      </c>
      <c r="D30">
        <v>22.8</v>
      </c>
      <c r="E30">
        <v>0.9</v>
      </c>
      <c r="F30">
        <v>0.6</v>
      </c>
      <c r="G30">
        <v>9.9</v>
      </c>
      <c r="H30">
        <v>12.8</v>
      </c>
      <c r="I30" s="4">
        <v>112272</v>
      </c>
      <c r="J30" s="6">
        <v>31</v>
      </c>
      <c r="K30">
        <v>32</v>
      </c>
      <c r="L30">
        <v>22.2</v>
      </c>
      <c r="M30">
        <v>22.8</v>
      </c>
    </row>
    <row r="31" spans="1:13" x14ac:dyDescent="0.25">
      <c r="A31" t="s">
        <v>82</v>
      </c>
      <c r="B31" s="4">
        <v>132468</v>
      </c>
      <c r="C31" s="4">
        <v>1595648</v>
      </c>
      <c r="D31">
        <v>22.8</v>
      </c>
      <c r="E31">
        <v>0.9</v>
      </c>
      <c r="F31">
        <v>0.6</v>
      </c>
      <c r="G31">
        <v>9.9</v>
      </c>
      <c r="H31">
        <v>12.9</v>
      </c>
      <c r="I31" s="4">
        <v>130820</v>
      </c>
      <c r="J31" s="6">
        <v>32</v>
      </c>
      <c r="K31">
        <v>33</v>
      </c>
      <c r="L31">
        <v>22.5</v>
      </c>
      <c r="M31">
        <v>22.8</v>
      </c>
    </row>
    <row r="32" spans="1:13" x14ac:dyDescent="0.25">
      <c r="A32" t="s">
        <v>83</v>
      </c>
      <c r="B32" s="4">
        <v>149821</v>
      </c>
      <c r="C32" s="4">
        <v>1792081</v>
      </c>
      <c r="D32">
        <v>22.9</v>
      </c>
      <c r="E32">
        <v>0.9</v>
      </c>
      <c r="F32">
        <v>0.6</v>
      </c>
      <c r="G32">
        <v>9.9</v>
      </c>
      <c r="H32">
        <v>13.1</v>
      </c>
      <c r="I32" s="4">
        <v>147686</v>
      </c>
      <c r="J32" s="6">
        <v>33</v>
      </c>
      <c r="K32">
        <v>34</v>
      </c>
      <c r="L32">
        <v>22.4</v>
      </c>
      <c r="M32">
        <v>22.9</v>
      </c>
    </row>
    <row r="33" spans="1:13" x14ac:dyDescent="0.25">
      <c r="A33" t="s">
        <v>84</v>
      </c>
      <c r="B33" s="4">
        <v>169250</v>
      </c>
      <c r="C33" s="4">
        <v>2003869</v>
      </c>
      <c r="D33">
        <v>22.7</v>
      </c>
      <c r="E33">
        <v>0.9</v>
      </c>
      <c r="F33">
        <v>0.6</v>
      </c>
      <c r="G33">
        <v>9.9</v>
      </c>
      <c r="H33">
        <v>12.8</v>
      </c>
      <c r="I33" s="4">
        <v>166208</v>
      </c>
      <c r="J33" s="6">
        <v>34</v>
      </c>
      <c r="K33">
        <v>35</v>
      </c>
      <c r="L33">
        <v>22</v>
      </c>
      <c r="M33">
        <v>22.7</v>
      </c>
    </row>
    <row r="34" spans="1:13" x14ac:dyDescent="0.25">
      <c r="A34" t="s">
        <v>85</v>
      </c>
      <c r="B34" s="4">
        <v>187602</v>
      </c>
      <c r="C34" s="4">
        <v>2162875</v>
      </c>
      <c r="D34">
        <v>22.6</v>
      </c>
      <c r="E34">
        <v>0.9</v>
      </c>
      <c r="F34">
        <v>0.6</v>
      </c>
      <c r="G34">
        <v>9.9</v>
      </c>
      <c r="H34">
        <v>12.7</v>
      </c>
      <c r="I34" s="4">
        <v>183577</v>
      </c>
      <c r="J34" s="6">
        <v>35</v>
      </c>
      <c r="K34">
        <v>36</v>
      </c>
      <c r="L34">
        <v>21.9</v>
      </c>
      <c r="M34">
        <v>22.6</v>
      </c>
    </row>
    <row r="35" spans="1:13" x14ac:dyDescent="0.25">
      <c r="A35" t="s">
        <v>86</v>
      </c>
      <c r="B35" s="4">
        <v>213095</v>
      </c>
      <c r="C35" s="4">
        <v>2448532</v>
      </c>
      <c r="D35">
        <v>23.2</v>
      </c>
      <c r="E35">
        <v>0.9</v>
      </c>
      <c r="F35">
        <v>0.6</v>
      </c>
      <c r="G35">
        <v>9.8000000000000007</v>
      </c>
      <c r="H35">
        <v>13.4</v>
      </c>
      <c r="I35" s="4">
        <v>208112</v>
      </c>
      <c r="J35" s="6">
        <v>36</v>
      </c>
      <c r="K35">
        <v>37</v>
      </c>
      <c r="L35">
        <v>22.7</v>
      </c>
      <c r="M35">
        <v>23.2</v>
      </c>
    </row>
    <row r="36" spans="1:13" x14ac:dyDescent="0.25">
      <c r="A36" t="s">
        <v>87</v>
      </c>
      <c r="B36" s="4">
        <v>245752</v>
      </c>
      <c r="C36" s="4">
        <v>2796761</v>
      </c>
      <c r="D36">
        <v>23.3</v>
      </c>
      <c r="E36">
        <v>0.9</v>
      </c>
      <c r="F36">
        <v>0.6</v>
      </c>
      <c r="G36">
        <v>9.6999999999999993</v>
      </c>
      <c r="H36">
        <v>13.6</v>
      </c>
      <c r="I36" s="4">
        <v>239130</v>
      </c>
      <c r="J36" s="6">
        <v>37</v>
      </c>
      <c r="K36">
        <v>38</v>
      </c>
      <c r="L36">
        <v>22.7</v>
      </c>
      <c r="M36">
        <v>23.3</v>
      </c>
    </row>
    <row r="37" spans="1:13" x14ac:dyDescent="0.25">
      <c r="A37" t="s">
        <v>88</v>
      </c>
      <c r="B37" s="4">
        <v>251186</v>
      </c>
      <c r="C37" s="4">
        <v>2725885</v>
      </c>
      <c r="D37">
        <v>23.7</v>
      </c>
      <c r="E37">
        <v>0.8</v>
      </c>
      <c r="F37">
        <v>0.7</v>
      </c>
      <c r="G37">
        <v>9.6999999999999993</v>
      </c>
      <c r="H37">
        <v>14</v>
      </c>
      <c r="I37" s="4">
        <v>241756</v>
      </c>
      <c r="J37" s="6">
        <v>38</v>
      </c>
      <c r="K37">
        <v>39</v>
      </c>
      <c r="L37">
        <v>23.3</v>
      </c>
      <c r="M37">
        <v>23.7</v>
      </c>
    </row>
    <row r="38" spans="1:13" x14ac:dyDescent="0.25">
      <c r="A38" t="s">
        <v>89</v>
      </c>
      <c r="B38" s="4">
        <v>275901</v>
      </c>
      <c r="C38" s="4">
        <v>2897047</v>
      </c>
      <c r="D38">
        <v>23.8</v>
      </c>
      <c r="E38">
        <v>0.8</v>
      </c>
      <c r="F38">
        <v>0.7</v>
      </c>
      <c r="G38">
        <v>9.6999999999999993</v>
      </c>
      <c r="H38">
        <v>14.2</v>
      </c>
      <c r="I38" s="4">
        <v>265910</v>
      </c>
      <c r="J38" s="6">
        <v>39</v>
      </c>
      <c r="K38">
        <v>40</v>
      </c>
      <c r="L38">
        <v>23.1</v>
      </c>
      <c r="M38">
        <v>23.8</v>
      </c>
    </row>
    <row r="39" spans="1:13" x14ac:dyDescent="0.25">
      <c r="A39" t="s">
        <v>90</v>
      </c>
      <c r="B39" s="4">
        <v>304519</v>
      </c>
      <c r="C39" s="4">
        <v>3170552</v>
      </c>
      <c r="D39">
        <v>23.8</v>
      </c>
      <c r="E39">
        <v>0.8</v>
      </c>
      <c r="F39">
        <v>0.7</v>
      </c>
      <c r="G39">
        <v>9.6</v>
      </c>
      <c r="H39">
        <v>14.2</v>
      </c>
      <c r="I39" s="4">
        <v>291620</v>
      </c>
      <c r="J39" s="6">
        <v>40</v>
      </c>
      <c r="K39">
        <v>41</v>
      </c>
      <c r="L39">
        <v>23.5</v>
      </c>
      <c r="M39">
        <v>23.8</v>
      </c>
    </row>
    <row r="40" spans="1:13" x14ac:dyDescent="0.25">
      <c r="A40" t="s">
        <v>91</v>
      </c>
      <c r="B40" s="4">
        <v>343263</v>
      </c>
      <c r="C40" s="4">
        <v>3396146</v>
      </c>
      <c r="D40">
        <v>23.6</v>
      </c>
      <c r="E40">
        <v>0.8</v>
      </c>
      <c r="F40">
        <v>0.7</v>
      </c>
      <c r="G40">
        <v>9.5</v>
      </c>
      <c r="H40">
        <v>14.1</v>
      </c>
      <c r="I40" s="4">
        <v>327634</v>
      </c>
      <c r="J40" s="6">
        <v>41</v>
      </c>
      <c r="K40">
        <v>42</v>
      </c>
      <c r="L40">
        <v>23.5</v>
      </c>
      <c r="M40">
        <v>23.6</v>
      </c>
    </row>
    <row r="41" spans="1:13" x14ac:dyDescent="0.25">
      <c r="A41" t="s">
        <v>92</v>
      </c>
      <c r="B41" s="4">
        <v>397306</v>
      </c>
      <c r="C41" s="4">
        <v>3790506</v>
      </c>
      <c r="D41">
        <v>22.8</v>
      </c>
      <c r="E41">
        <v>0.8</v>
      </c>
      <c r="F41">
        <v>0.7</v>
      </c>
      <c r="G41">
        <v>9.5</v>
      </c>
      <c r="H41">
        <v>13.3</v>
      </c>
      <c r="I41" s="4">
        <v>380795</v>
      </c>
      <c r="J41" s="6">
        <v>42</v>
      </c>
      <c r="K41">
        <v>43</v>
      </c>
      <c r="L41">
        <v>22.9</v>
      </c>
      <c r="M41">
        <v>22.8</v>
      </c>
    </row>
    <row r="42" spans="1:13" x14ac:dyDescent="0.25">
      <c r="A42" t="s">
        <v>93</v>
      </c>
      <c r="B42" s="4">
        <v>487211</v>
      </c>
      <c r="C42" s="4">
        <v>4404693</v>
      </c>
      <c r="D42">
        <v>21.5</v>
      </c>
      <c r="E42">
        <v>0.7</v>
      </c>
      <c r="F42">
        <v>0.7</v>
      </c>
      <c r="G42">
        <v>9.4</v>
      </c>
      <c r="H42">
        <v>12</v>
      </c>
      <c r="I42" s="4">
        <v>468953</v>
      </c>
      <c r="J42" s="6">
        <v>43</v>
      </c>
      <c r="K42">
        <v>44</v>
      </c>
      <c r="L42">
        <v>22</v>
      </c>
      <c r="M42">
        <v>21.5</v>
      </c>
    </row>
    <row r="43" spans="1:13" x14ac:dyDescent="0.25">
      <c r="A43" t="s">
        <v>94</v>
      </c>
      <c r="B43" s="4">
        <v>570889</v>
      </c>
      <c r="C43" s="4">
        <v>5007733</v>
      </c>
      <c r="D43">
        <v>21</v>
      </c>
      <c r="E43">
        <v>0.7</v>
      </c>
      <c r="F43">
        <v>0.7</v>
      </c>
      <c r="G43">
        <v>9.1999999999999993</v>
      </c>
      <c r="H43">
        <v>11.6</v>
      </c>
      <c r="I43" s="4">
        <v>548691</v>
      </c>
      <c r="J43" s="6">
        <v>44</v>
      </c>
      <c r="K43">
        <v>45</v>
      </c>
      <c r="L43">
        <v>22.1</v>
      </c>
      <c r="M43">
        <v>21</v>
      </c>
    </row>
    <row r="44" spans="1:13" x14ac:dyDescent="0.25">
      <c r="A44" t="s">
        <v>95</v>
      </c>
      <c r="B44" s="4">
        <v>682304</v>
      </c>
      <c r="C44" s="4">
        <v>5814266</v>
      </c>
      <c r="D44">
        <v>20.3</v>
      </c>
      <c r="E44">
        <v>0.7</v>
      </c>
      <c r="F44">
        <v>0.8</v>
      </c>
      <c r="G44">
        <v>9.1</v>
      </c>
      <c r="H44">
        <v>11</v>
      </c>
      <c r="I44" s="4">
        <v>656549</v>
      </c>
      <c r="J44" s="6">
        <v>45</v>
      </c>
      <c r="K44">
        <v>46</v>
      </c>
      <c r="L44">
        <v>21.6</v>
      </c>
      <c r="M44">
        <v>20.3</v>
      </c>
    </row>
    <row r="45" spans="1:13" x14ac:dyDescent="0.25">
      <c r="A45" t="s">
        <v>96</v>
      </c>
      <c r="B45" s="4">
        <v>871324</v>
      </c>
      <c r="C45" s="4">
        <v>7014619</v>
      </c>
      <c r="D45">
        <v>19.2</v>
      </c>
      <c r="E45">
        <v>0.7</v>
      </c>
      <c r="F45">
        <v>0.7</v>
      </c>
      <c r="G45">
        <v>8.9</v>
      </c>
      <c r="H45">
        <v>9.9</v>
      </c>
      <c r="I45" s="4">
        <v>830040</v>
      </c>
      <c r="J45" s="6">
        <v>46</v>
      </c>
      <c r="K45">
        <v>47</v>
      </c>
      <c r="L45">
        <v>20.399999999999999</v>
      </c>
      <c r="M45">
        <v>19.2</v>
      </c>
    </row>
    <row r="46" spans="1:13" x14ac:dyDescent="0.25">
      <c r="A46" t="s">
        <v>97</v>
      </c>
      <c r="B46" s="4">
        <v>1049573</v>
      </c>
      <c r="C46" s="4">
        <v>8259535</v>
      </c>
      <c r="D46">
        <v>18.600000000000001</v>
      </c>
      <c r="E46">
        <v>0.7</v>
      </c>
      <c r="F46">
        <v>0.8</v>
      </c>
      <c r="G46">
        <v>8.8000000000000007</v>
      </c>
      <c r="H46">
        <v>9.3000000000000007</v>
      </c>
      <c r="I46" s="4">
        <v>1008893</v>
      </c>
      <c r="J46" s="6">
        <v>47</v>
      </c>
      <c r="K46">
        <v>48</v>
      </c>
      <c r="L46">
        <v>20</v>
      </c>
      <c r="M46">
        <v>18.600000000000001</v>
      </c>
    </row>
    <row r="47" spans="1:13" x14ac:dyDescent="0.25">
      <c r="A47" t="s">
        <v>98</v>
      </c>
      <c r="B47" s="4">
        <v>1323201</v>
      </c>
      <c r="C47" s="4">
        <v>10024351</v>
      </c>
      <c r="D47">
        <v>17.8</v>
      </c>
      <c r="E47">
        <v>0.7</v>
      </c>
      <c r="F47">
        <v>0.7</v>
      </c>
      <c r="G47">
        <v>8.6999999999999993</v>
      </c>
      <c r="H47">
        <v>8.6</v>
      </c>
      <c r="I47" s="4">
        <v>1267610</v>
      </c>
      <c r="J47" s="6">
        <v>48</v>
      </c>
      <c r="K47">
        <v>49</v>
      </c>
      <c r="L47">
        <v>19</v>
      </c>
      <c r="M47">
        <v>17.8</v>
      </c>
    </row>
    <row r="48" spans="1:13" x14ac:dyDescent="0.25">
      <c r="A48" t="s">
        <v>99</v>
      </c>
      <c r="B48" s="4">
        <v>1569076</v>
      </c>
      <c r="C48" s="4">
        <v>11555062</v>
      </c>
      <c r="D48">
        <v>17.600000000000001</v>
      </c>
      <c r="E48">
        <v>0.7</v>
      </c>
      <c r="F48">
        <v>0.7</v>
      </c>
      <c r="G48">
        <v>8.6</v>
      </c>
      <c r="H48">
        <v>8.4</v>
      </c>
      <c r="I48" s="4">
        <v>1487659</v>
      </c>
      <c r="J48" s="6">
        <v>49</v>
      </c>
      <c r="K48">
        <v>50</v>
      </c>
      <c r="L48">
        <v>18.7</v>
      </c>
      <c r="M48">
        <v>17.600000000000001</v>
      </c>
    </row>
    <row r="49" spans="1:13" x14ac:dyDescent="0.25">
      <c r="A49" t="s">
        <v>100</v>
      </c>
      <c r="B49" s="4">
        <v>1899452</v>
      </c>
      <c r="C49" s="4">
        <v>13657533</v>
      </c>
      <c r="D49">
        <v>17.100000000000001</v>
      </c>
      <c r="E49">
        <v>0.6</v>
      </c>
      <c r="F49">
        <v>0.7</v>
      </c>
      <c r="G49">
        <v>8.5</v>
      </c>
      <c r="H49">
        <v>8.1</v>
      </c>
      <c r="I49" s="4">
        <v>1810767</v>
      </c>
      <c r="J49" s="6">
        <v>50</v>
      </c>
      <c r="K49">
        <v>51</v>
      </c>
      <c r="L49">
        <v>17.899999999999999</v>
      </c>
      <c r="M49">
        <v>17.100000000000001</v>
      </c>
    </row>
    <row r="50" spans="1:13" x14ac:dyDescent="0.25">
      <c r="A50" t="s">
        <v>101</v>
      </c>
      <c r="B50" s="4">
        <v>2055645</v>
      </c>
      <c r="C50" s="4">
        <v>14707420</v>
      </c>
      <c r="D50">
        <v>17.2</v>
      </c>
      <c r="E50">
        <v>0.6</v>
      </c>
      <c r="F50">
        <v>0.7</v>
      </c>
      <c r="G50">
        <v>8.5</v>
      </c>
      <c r="H50">
        <v>8.3000000000000007</v>
      </c>
      <c r="I50" s="4">
        <v>1968488</v>
      </c>
      <c r="J50" s="6">
        <v>51</v>
      </c>
      <c r="K50">
        <v>52</v>
      </c>
      <c r="L50">
        <v>17.7</v>
      </c>
      <c r="M50">
        <v>17.2</v>
      </c>
    </row>
    <row r="51" spans="1:13" x14ac:dyDescent="0.25">
      <c r="A51" t="s">
        <v>102</v>
      </c>
      <c r="B51" s="4">
        <v>2284358</v>
      </c>
      <c r="C51" s="4">
        <v>16180545</v>
      </c>
      <c r="D51">
        <v>17.3</v>
      </c>
      <c r="E51">
        <v>0.6</v>
      </c>
      <c r="F51">
        <v>0.8</v>
      </c>
      <c r="G51">
        <v>8.4</v>
      </c>
      <c r="H51">
        <v>8.4</v>
      </c>
      <c r="I51" s="4">
        <v>2168627</v>
      </c>
      <c r="J51" s="6">
        <v>52</v>
      </c>
      <c r="K51">
        <v>53</v>
      </c>
      <c r="L51">
        <v>17.2</v>
      </c>
      <c r="M51">
        <v>17.3</v>
      </c>
    </row>
    <row r="52" spans="1:13" x14ac:dyDescent="0.25">
      <c r="A52" t="s">
        <v>103</v>
      </c>
      <c r="B52" s="4">
        <v>2612507</v>
      </c>
      <c r="C52" s="4">
        <v>17915351</v>
      </c>
      <c r="D52">
        <v>17.3</v>
      </c>
      <c r="E52">
        <v>0.6</v>
      </c>
      <c r="F52">
        <v>0.7</v>
      </c>
      <c r="G52">
        <v>8.4</v>
      </c>
      <c r="H52">
        <v>8.3000000000000007</v>
      </c>
      <c r="I52" s="4">
        <v>2455303</v>
      </c>
      <c r="J52" s="6">
        <v>53</v>
      </c>
      <c r="K52">
        <v>54</v>
      </c>
      <c r="L52">
        <v>17</v>
      </c>
      <c r="M52">
        <v>17.3</v>
      </c>
    </row>
    <row r="53" spans="1:13" x14ac:dyDescent="0.25">
      <c r="A53" t="s">
        <v>104</v>
      </c>
      <c r="B53" s="4">
        <v>2874056</v>
      </c>
      <c r="C53" s="4">
        <v>19637640</v>
      </c>
      <c r="D53">
        <v>17.5</v>
      </c>
      <c r="E53">
        <v>0.6</v>
      </c>
      <c r="F53">
        <v>0.8</v>
      </c>
      <c r="G53">
        <v>8.4</v>
      </c>
      <c r="H53">
        <v>8.6</v>
      </c>
      <c r="I53" s="4">
        <v>2712207</v>
      </c>
      <c r="J53" s="6">
        <v>54</v>
      </c>
      <c r="K53">
        <v>55</v>
      </c>
      <c r="L53">
        <v>17.2</v>
      </c>
      <c r="M53">
        <v>17.5</v>
      </c>
    </row>
    <row r="54" spans="1:13" x14ac:dyDescent="0.25">
      <c r="A54" t="s">
        <v>105</v>
      </c>
      <c r="B54" s="4">
        <v>2929167</v>
      </c>
      <c r="C54" s="4">
        <v>20009394</v>
      </c>
      <c r="D54">
        <v>17.7</v>
      </c>
      <c r="E54">
        <v>0.6</v>
      </c>
      <c r="F54">
        <v>0.8</v>
      </c>
      <c r="G54">
        <v>8.3000000000000007</v>
      </c>
      <c r="H54">
        <v>8.9</v>
      </c>
      <c r="I54" s="4">
        <v>2803114</v>
      </c>
      <c r="J54" s="6">
        <v>55</v>
      </c>
      <c r="K54">
        <v>56</v>
      </c>
      <c r="L54">
        <v>17.399999999999999</v>
      </c>
      <c r="M54">
        <v>17.7</v>
      </c>
    </row>
    <row r="55" spans="1:13" x14ac:dyDescent="0.25">
      <c r="A55" t="s">
        <v>106</v>
      </c>
      <c r="B55" s="4">
        <v>3133992</v>
      </c>
      <c r="C55" s="4">
        <v>21217980</v>
      </c>
      <c r="D55">
        <v>17.8</v>
      </c>
      <c r="E55">
        <v>0.6</v>
      </c>
      <c r="F55">
        <v>0.8</v>
      </c>
      <c r="G55">
        <v>8.1999999999999993</v>
      </c>
      <c r="H55">
        <v>9.1</v>
      </c>
      <c r="I55" s="4">
        <v>3028276</v>
      </c>
      <c r="J55" s="6">
        <v>56</v>
      </c>
      <c r="K55">
        <v>57</v>
      </c>
      <c r="L55">
        <v>17.600000000000001</v>
      </c>
      <c r="M55">
        <v>17.8</v>
      </c>
    </row>
    <row r="56" spans="1:13" x14ac:dyDescent="0.25">
      <c r="A56" t="s">
        <v>107</v>
      </c>
      <c r="B56" s="4">
        <v>3337180</v>
      </c>
      <c r="C56" s="4">
        <v>22007926</v>
      </c>
      <c r="D56">
        <v>17.399999999999999</v>
      </c>
      <c r="E56">
        <v>0.6</v>
      </c>
      <c r="F56">
        <v>0.7</v>
      </c>
      <c r="G56">
        <v>8.1999999999999993</v>
      </c>
      <c r="H56">
        <v>8.8000000000000007</v>
      </c>
      <c r="I56" s="4">
        <v>3250545</v>
      </c>
      <c r="J56" s="6">
        <v>57</v>
      </c>
      <c r="K56">
        <v>58</v>
      </c>
      <c r="L56">
        <v>17.100000000000001</v>
      </c>
      <c r="M56">
        <v>17.399999999999999</v>
      </c>
    </row>
    <row r="57" spans="1:13" x14ac:dyDescent="0.25">
      <c r="A57" t="s">
        <v>108</v>
      </c>
      <c r="B57" s="4">
        <v>3582254</v>
      </c>
      <c r="C57" s="4">
        <v>23284519</v>
      </c>
      <c r="D57">
        <v>17.3</v>
      </c>
      <c r="E57">
        <v>0.6</v>
      </c>
      <c r="F57">
        <v>0.7</v>
      </c>
      <c r="G57">
        <v>8.1</v>
      </c>
      <c r="H57">
        <v>8.8000000000000007</v>
      </c>
      <c r="I57" s="4">
        <v>3493746</v>
      </c>
      <c r="J57" s="6">
        <v>58</v>
      </c>
      <c r="K57">
        <v>59</v>
      </c>
      <c r="L57">
        <v>17.3</v>
      </c>
      <c r="M57">
        <v>17.3</v>
      </c>
    </row>
    <row r="58" spans="1:13" x14ac:dyDescent="0.25">
      <c r="A58" t="s">
        <v>109</v>
      </c>
      <c r="B58" s="4">
        <v>3504468</v>
      </c>
      <c r="C58" s="4">
        <v>22761769</v>
      </c>
      <c r="D58">
        <v>17.3</v>
      </c>
      <c r="E58">
        <v>0.6</v>
      </c>
      <c r="F58">
        <v>0.7</v>
      </c>
      <c r="G58">
        <v>8</v>
      </c>
      <c r="H58">
        <v>8.8000000000000007</v>
      </c>
      <c r="I58" s="4">
        <v>3435620</v>
      </c>
      <c r="J58" s="6">
        <v>59</v>
      </c>
      <c r="K58">
        <v>60</v>
      </c>
      <c r="L58">
        <v>17.899999999999999</v>
      </c>
      <c r="M58">
        <v>17.3</v>
      </c>
    </row>
    <row r="59" spans="1:13" x14ac:dyDescent="0.25">
      <c r="A59" t="s">
        <v>110</v>
      </c>
      <c r="B59" s="4">
        <v>3649942</v>
      </c>
      <c r="C59" s="4">
        <v>23180853</v>
      </c>
      <c r="D59">
        <v>16.7</v>
      </c>
      <c r="E59">
        <v>0.6</v>
      </c>
      <c r="F59">
        <v>0.7</v>
      </c>
      <c r="G59">
        <v>7.9</v>
      </c>
      <c r="H59">
        <v>8.3000000000000007</v>
      </c>
      <c r="I59" s="4">
        <v>3549960</v>
      </c>
      <c r="J59" s="6">
        <v>60</v>
      </c>
      <c r="K59">
        <v>61</v>
      </c>
      <c r="L59">
        <v>17.899999999999999</v>
      </c>
      <c r="M59">
        <v>16.7</v>
      </c>
    </row>
    <row r="60" spans="1:13" x14ac:dyDescent="0.25">
      <c r="A60" t="s">
        <v>111</v>
      </c>
      <c r="B60" s="4">
        <v>3928300</v>
      </c>
      <c r="C60" s="4">
        <v>24675130</v>
      </c>
      <c r="D60">
        <v>16.5</v>
      </c>
      <c r="E60">
        <v>0.6</v>
      </c>
      <c r="F60">
        <v>0.7</v>
      </c>
      <c r="G60">
        <v>7.6</v>
      </c>
      <c r="H60">
        <v>8.4</v>
      </c>
      <c r="I60" s="4">
        <v>3833237</v>
      </c>
      <c r="J60" s="6">
        <v>61</v>
      </c>
      <c r="K60">
        <v>62</v>
      </c>
      <c r="L60">
        <v>18</v>
      </c>
      <c r="M60">
        <v>16.5</v>
      </c>
    </row>
    <row r="61" spans="1:13" x14ac:dyDescent="0.25">
      <c r="A61" t="s">
        <v>112</v>
      </c>
      <c r="B61" s="4">
        <v>4116435</v>
      </c>
      <c r="C61" s="4">
        <v>25435013</v>
      </c>
      <c r="D61">
        <v>16.399999999999999</v>
      </c>
      <c r="E61">
        <v>0.5</v>
      </c>
      <c r="F61">
        <v>0.7</v>
      </c>
      <c r="G61">
        <v>7.4</v>
      </c>
      <c r="H61">
        <v>8.6</v>
      </c>
      <c r="I61" s="4">
        <v>4028737</v>
      </c>
      <c r="J61" s="6">
        <v>62</v>
      </c>
      <c r="K61">
        <v>63</v>
      </c>
      <c r="L61">
        <v>18.3</v>
      </c>
      <c r="M61">
        <v>16.399999999999999</v>
      </c>
    </row>
    <row r="62" spans="1:13" x14ac:dyDescent="0.25">
      <c r="A62" t="s">
        <v>113</v>
      </c>
      <c r="B62" s="4">
        <v>4440116</v>
      </c>
      <c r="C62" s="4">
        <v>26559921</v>
      </c>
      <c r="D62">
        <v>16.3</v>
      </c>
      <c r="E62">
        <v>0.5</v>
      </c>
      <c r="F62">
        <v>0.6</v>
      </c>
      <c r="G62">
        <v>7.1</v>
      </c>
      <c r="H62">
        <v>8.8000000000000007</v>
      </c>
      <c r="I62" s="4">
        <v>4350600</v>
      </c>
      <c r="J62" s="6">
        <v>63</v>
      </c>
      <c r="K62">
        <v>64</v>
      </c>
      <c r="L62">
        <v>18.3</v>
      </c>
      <c r="M62">
        <v>16.3</v>
      </c>
    </row>
    <row r="63" spans="1:13" x14ac:dyDescent="0.25">
      <c r="A63" t="s">
        <v>114</v>
      </c>
      <c r="B63" s="4">
        <v>4581941</v>
      </c>
      <c r="C63" s="4">
        <v>27151645</v>
      </c>
      <c r="D63">
        <v>16.2</v>
      </c>
      <c r="E63">
        <v>0.5</v>
      </c>
      <c r="F63">
        <v>0.6</v>
      </c>
      <c r="G63">
        <v>6.9</v>
      </c>
      <c r="H63">
        <v>8.8000000000000007</v>
      </c>
      <c r="I63" s="4">
        <v>4468771</v>
      </c>
      <c r="J63" s="6">
        <v>64</v>
      </c>
      <c r="K63">
        <v>65</v>
      </c>
      <c r="L63">
        <v>17.899999999999999</v>
      </c>
      <c r="M63">
        <v>16.2</v>
      </c>
    </row>
    <row r="64" spans="1:13" x14ac:dyDescent="0.25">
      <c r="A64" t="s">
        <v>115</v>
      </c>
      <c r="B64" s="4">
        <v>4691679</v>
      </c>
      <c r="C64" s="4">
        <v>27507196</v>
      </c>
      <c r="D64">
        <v>16.3</v>
      </c>
      <c r="E64">
        <v>0.5</v>
      </c>
      <c r="F64">
        <v>0.6</v>
      </c>
      <c r="G64">
        <v>6.9</v>
      </c>
      <c r="H64">
        <v>9</v>
      </c>
      <c r="I64" s="4">
        <v>4579109</v>
      </c>
      <c r="J64" s="6">
        <v>65</v>
      </c>
      <c r="K64">
        <v>66</v>
      </c>
      <c r="L64">
        <v>17.899999999999999</v>
      </c>
      <c r="M64">
        <v>16.3</v>
      </c>
    </row>
    <row r="65" spans="1:13" x14ac:dyDescent="0.25">
      <c r="A65" t="s">
        <v>116</v>
      </c>
      <c r="B65" s="4">
        <v>4929321</v>
      </c>
      <c r="C65" s="4">
        <v>28303903</v>
      </c>
      <c r="D65">
        <v>16</v>
      </c>
      <c r="E65">
        <v>0.5</v>
      </c>
      <c r="F65">
        <v>0.6</v>
      </c>
      <c r="G65">
        <v>6.6</v>
      </c>
      <c r="H65">
        <v>9</v>
      </c>
      <c r="I65" s="4">
        <v>4776879</v>
      </c>
      <c r="J65" s="6">
        <v>66</v>
      </c>
      <c r="K65">
        <v>67</v>
      </c>
      <c r="L65">
        <v>17.399999999999999</v>
      </c>
      <c r="M65">
        <v>16</v>
      </c>
    </row>
    <row r="66" spans="1:13" x14ac:dyDescent="0.25">
      <c r="A66" t="s">
        <v>117</v>
      </c>
      <c r="B66" s="4">
        <v>5148286</v>
      </c>
      <c r="C66" s="4">
        <v>29011300</v>
      </c>
      <c r="D66">
        <v>16</v>
      </c>
      <c r="E66">
        <v>0.5</v>
      </c>
      <c r="F66">
        <v>0.6</v>
      </c>
      <c r="G66">
        <v>6.4</v>
      </c>
      <c r="H66">
        <v>9.1999999999999993</v>
      </c>
      <c r="I66" s="4">
        <v>4972761</v>
      </c>
      <c r="J66" s="6">
        <v>67</v>
      </c>
      <c r="K66">
        <v>68</v>
      </c>
      <c r="L66">
        <v>17.5</v>
      </c>
      <c r="M66">
        <v>16</v>
      </c>
    </row>
    <row r="67" spans="1:13" x14ac:dyDescent="0.25">
      <c r="A67" t="s">
        <v>118</v>
      </c>
      <c r="B67" s="4">
        <v>5336397</v>
      </c>
      <c r="C67" s="4">
        <v>29317728</v>
      </c>
      <c r="D67">
        <v>15.8</v>
      </c>
      <c r="E67">
        <v>0.5</v>
      </c>
      <c r="F67">
        <v>0.6</v>
      </c>
      <c r="G67">
        <v>6.1</v>
      </c>
      <c r="H67">
        <v>9.3000000000000007</v>
      </c>
      <c r="I67" s="4">
        <v>5177997</v>
      </c>
      <c r="J67" s="6">
        <v>68</v>
      </c>
      <c r="K67">
        <v>69</v>
      </c>
      <c r="L67">
        <v>17.100000000000001</v>
      </c>
      <c r="M67">
        <v>15.8</v>
      </c>
    </row>
    <row r="68" spans="1:13" x14ac:dyDescent="0.25">
      <c r="A68" t="s">
        <v>119</v>
      </c>
      <c r="B68" s="4">
        <v>5293858</v>
      </c>
      <c r="C68" s="4">
        <v>28823846</v>
      </c>
      <c r="D68">
        <v>15.7</v>
      </c>
      <c r="E68">
        <v>0.5</v>
      </c>
      <c r="F68">
        <v>0.6</v>
      </c>
      <c r="G68">
        <v>6.1</v>
      </c>
      <c r="H68">
        <v>9.1999999999999993</v>
      </c>
      <c r="I68" s="4">
        <v>5039777</v>
      </c>
      <c r="J68" s="6">
        <v>69</v>
      </c>
      <c r="K68">
        <v>70</v>
      </c>
      <c r="L68">
        <v>16.5</v>
      </c>
      <c r="M68">
        <v>15.7</v>
      </c>
    </row>
    <row r="69" spans="1:13" x14ac:dyDescent="0.25">
      <c r="A69" t="s">
        <v>120</v>
      </c>
      <c r="B69" s="4">
        <v>5144205</v>
      </c>
      <c r="C69" s="4">
        <v>27914280</v>
      </c>
      <c r="D69">
        <v>15.6</v>
      </c>
      <c r="E69">
        <v>0.5</v>
      </c>
      <c r="F69">
        <v>0.6</v>
      </c>
      <c r="G69">
        <v>6</v>
      </c>
      <c r="H69">
        <v>9.1999999999999993</v>
      </c>
      <c r="I69" s="4">
        <v>4920407</v>
      </c>
      <c r="J69" s="6">
        <v>70</v>
      </c>
      <c r="K69">
        <v>71</v>
      </c>
      <c r="L69">
        <v>16.5</v>
      </c>
      <c r="M69">
        <v>15.6</v>
      </c>
    </row>
    <row r="70" spans="1:13" x14ac:dyDescent="0.25">
      <c r="A70" t="s">
        <v>121</v>
      </c>
      <c r="B70" s="4">
        <v>4948654</v>
      </c>
      <c r="C70" s="4">
        <v>26703730</v>
      </c>
      <c r="D70">
        <v>15.8</v>
      </c>
      <c r="E70">
        <v>0.5</v>
      </c>
      <c r="F70">
        <v>0.7</v>
      </c>
      <c r="G70">
        <v>5.9</v>
      </c>
      <c r="H70">
        <v>9.4</v>
      </c>
      <c r="I70" s="4">
        <v>4716227</v>
      </c>
      <c r="J70" s="6">
        <v>71</v>
      </c>
      <c r="K70">
        <v>72</v>
      </c>
      <c r="L70">
        <v>16.600000000000001</v>
      </c>
      <c r="M70">
        <v>15.8</v>
      </c>
    </row>
    <row r="71" spans="1:13" x14ac:dyDescent="0.25">
      <c r="A71" t="s">
        <v>122</v>
      </c>
      <c r="B71" s="4">
        <v>4665971</v>
      </c>
      <c r="C71" s="4">
        <v>24936681</v>
      </c>
      <c r="D71">
        <v>16.100000000000001</v>
      </c>
      <c r="E71">
        <v>0.5</v>
      </c>
      <c r="F71">
        <v>0.7</v>
      </c>
      <c r="G71">
        <v>5.9</v>
      </c>
      <c r="H71">
        <v>9.6999999999999993</v>
      </c>
      <c r="I71" s="4">
        <v>4439693</v>
      </c>
      <c r="J71" s="6">
        <v>72</v>
      </c>
      <c r="K71">
        <v>73</v>
      </c>
      <c r="L71">
        <v>17</v>
      </c>
      <c r="M71">
        <v>16.100000000000001</v>
      </c>
    </row>
    <row r="72" spans="1:13" x14ac:dyDescent="0.25">
      <c r="A72" t="s">
        <v>123</v>
      </c>
      <c r="B72" s="4">
        <v>4312751</v>
      </c>
      <c r="C72" s="4">
        <v>22917925</v>
      </c>
      <c r="D72">
        <v>16.3</v>
      </c>
      <c r="E72">
        <v>0.5</v>
      </c>
      <c r="F72">
        <v>0.8</v>
      </c>
      <c r="G72">
        <v>5.8</v>
      </c>
      <c r="H72">
        <v>9.9</v>
      </c>
      <c r="I72" s="4">
        <v>4090770</v>
      </c>
      <c r="J72" s="6">
        <v>73</v>
      </c>
      <c r="K72">
        <v>74</v>
      </c>
      <c r="L72">
        <v>17</v>
      </c>
      <c r="M72">
        <v>16.3</v>
      </c>
    </row>
    <row r="73" spans="1:13" x14ac:dyDescent="0.25">
      <c r="A73" t="s">
        <v>124</v>
      </c>
      <c r="B73" s="4">
        <v>3778621</v>
      </c>
      <c r="C73" s="4">
        <v>20171780</v>
      </c>
      <c r="D73">
        <v>16.600000000000001</v>
      </c>
      <c r="E73">
        <v>0.5</v>
      </c>
      <c r="F73">
        <v>0.8</v>
      </c>
      <c r="G73">
        <v>5.7</v>
      </c>
      <c r="H73">
        <v>10.3</v>
      </c>
      <c r="I73" s="4">
        <v>3575946</v>
      </c>
      <c r="J73" s="6">
        <v>74</v>
      </c>
      <c r="K73">
        <v>75</v>
      </c>
      <c r="L73">
        <v>17</v>
      </c>
      <c r="M73">
        <v>16.600000000000001</v>
      </c>
    </row>
    <row r="74" spans="1:13" x14ac:dyDescent="0.25">
      <c r="A74" t="s">
        <v>125</v>
      </c>
      <c r="B74" s="4">
        <v>3393603</v>
      </c>
      <c r="C74" s="4">
        <v>18183766</v>
      </c>
      <c r="D74">
        <v>16.600000000000001</v>
      </c>
      <c r="E74">
        <v>0.4</v>
      </c>
      <c r="F74">
        <v>0.9</v>
      </c>
      <c r="G74">
        <v>5.7</v>
      </c>
      <c r="H74">
        <v>10.3</v>
      </c>
      <c r="I74" s="4">
        <v>3231521</v>
      </c>
      <c r="J74" s="6">
        <v>75</v>
      </c>
      <c r="K74">
        <v>76</v>
      </c>
      <c r="L74">
        <v>17.3</v>
      </c>
      <c r="M74">
        <v>16.600000000000001</v>
      </c>
    </row>
    <row r="75" spans="1:13" x14ac:dyDescent="0.25">
      <c r="A75" t="s">
        <v>126</v>
      </c>
      <c r="B75" s="4">
        <v>3128446</v>
      </c>
      <c r="C75" s="4">
        <v>16845181</v>
      </c>
      <c r="D75">
        <v>17.3</v>
      </c>
      <c r="E75">
        <v>0.4</v>
      </c>
      <c r="F75">
        <v>1</v>
      </c>
      <c r="G75">
        <v>5.7</v>
      </c>
      <c r="H75">
        <v>11</v>
      </c>
      <c r="I75" s="4">
        <v>2963146</v>
      </c>
      <c r="J75" s="6">
        <v>76</v>
      </c>
      <c r="K75">
        <v>77</v>
      </c>
      <c r="L75">
        <v>18</v>
      </c>
      <c r="M75">
        <v>17.3</v>
      </c>
    </row>
    <row r="76" spans="1:13" x14ac:dyDescent="0.25">
      <c r="A76" t="s">
        <v>127</v>
      </c>
      <c r="B76" s="4">
        <v>2837058</v>
      </c>
      <c r="C76" s="4">
        <v>15244224</v>
      </c>
      <c r="D76">
        <v>17.7</v>
      </c>
      <c r="E76">
        <v>0.4</v>
      </c>
      <c r="F76">
        <v>1.1000000000000001</v>
      </c>
      <c r="G76">
        <v>5.7</v>
      </c>
      <c r="H76">
        <v>11.3</v>
      </c>
      <c r="I76" s="4">
        <v>2713350</v>
      </c>
      <c r="J76" s="6">
        <v>77</v>
      </c>
      <c r="K76">
        <v>78</v>
      </c>
      <c r="L76">
        <v>18.399999999999999</v>
      </c>
      <c r="M76">
        <v>17.7</v>
      </c>
    </row>
    <row r="77" spans="1:13" x14ac:dyDescent="0.25">
      <c r="A77" t="s">
        <v>128</v>
      </c>
      <c r="B77" s="4">
        <v>2515005</v>
      </c>
      <c r="C77" s="4">
        <v>13701773</v>
      </c>
      <c r="D77">
        <v>18.3</v>
      </c>
      <c r="E77">
        <v>0.4</v>
      </c>
      <c r="F77">
        <v>1.2</v>
      </c>
      <c r="G77">
        <v>5.8</v>
      </c>
      <c r="H77">
        <v>11.8</v>
      </c>
      <c r="I77" s="4">
        <v>2439324</v>
      </c>
      <c r="J77" s="6">
        <v>78</v>
      </c>
      <c r="K77">
        <v>79</v>
      </c>
      <c r="L77">
        <v>19.100000000000001</v>
      </c>
      <c r="M77">
        <v>18.3</v>
      </c>
    </row>
    <row r="78" spans="1:13" x14ac:dyDescent="0.25">
      <c r="A78" t="s">
        <v>129</v>
      </c>
      <c r="B78" s="4">
        <v>2303633</v>
      </c>
      <c r="C78" s="4">
        <v>12510043</v>
      </c>
      <c r="D78">
        <v>18.899999999999999</v>
      </c>
      <c r="E78">
        <v>0.4</v>
      </c>
      <c r="F78">
        <v>1.3</v>
      </c>
      <c r="G78">
        <v>5.9</v>
      </c>
      <c r="H78">
        <v>12.3</v>
      </c>
      <c r="I78" s="4">
        <v>2228403</v>
      </c>
      <c r="J78" s="6">
        <v>79</v>
      </c>
      <c r="K78">
        <v>80</v>
      </c>
      <c r="L78">
        <v>20</v>
      </c>
      <c r="M78">
        <v>18.899999999999999</v>
      </c>
    </row>
    <row r="79" spans="1:13" x14ac:dyDescent="0.25">
      <c r="A79" t="s">
        <v>130</v>
      </c>
      <c r="B79" s="4">
        <v>2157360</v>
      </c>
      <c r="C79" s="4">
        <v>11730397</v>
      </c>
      <c r="D79">
        <v>19.100000000000001</v>
      </c>
      <c r="E79">
        <v>0.4</v>
      </c>
      <c r="F79">
        <v>1.4</v>
      </c>
      <c r="G79">
        <v>6</v>
      </c>
      <c r="H79">
        <v>12.2</v>
      </c>
      <c r="I79" s="4">
        <v>2107141</v>
      </c>
      <c r="J79" s="6">
        <v>80</v>
      </c>
      <c r="K79">
        <v>81</v>
      </c>
      <c r="L79">
        <v>20.6</v>
      </c>
      <c r="M79">
        <v>19.100000000000001</v>
      </c>
    </row>
    <row r="80" spans="1:13" x14ac:dyDescent="0.25">
      <c r="A80" t="s">
        <v>131</v>
      </c>
      <c r="B80" s="4">
        <v>1985942</v>
      </c>
      <c r="C80" s="4">
        <v>10813869</v>
      </c>
      <c r="D80">
        <v>19.5</v>
      </c>
      <c r="E80">
        <v>0.4</v>
      </c>
      <c r="F80">
        <v>1.5</v>
      </c>
      <c r="G80">
        <v>6</v>
      </c>
      <c r="H80">
        <v>12.6</v>
      </c>
      <c r="I80" s="4">
        <v>1953410</v>
      </c>
      <c r="J80" s="6">
        <v>81</v>
      </c>
      <c r="K80">
        <v>82</v>
      </c>
      <c r="L80">
        <v>21.2</v>
      </c>
      <c r="M80">
        <v>19.5</v>
      </c>
    </row>
    <row r="81" spans="1:13" x14ac:dyDescent="0.25">
      <c r="A81" t="s">
        <v>132</v>
      </c>
      <c r="B81" s="4">
        <v>1818387</v>
      </c>
      <c r="C81" s="4">
        <v>9937598</v>
      </c>
      <c r="D81">
        <v>20.3</v>
      </c>
      <c r="E81">
        <v>0.4</v>
      </c>
      <c r="F81">
        <v>1.7</v>
      </c>
      <c r="G81">
        <v>6.1</v>
      </c>
      <c r="H81">
        <v>13.2</v>
      </c>
      <c r="I81" s="4">
        <v>1796774</v>
      </c>
      <c r="J81" s="6">
        <v>82</v>
      </c>
      <c r="K81">
        <v>83</v>
      </c>
      <c r="L81">
        <v>22.1</v>
      </c>
      <c r="M81">
        <v>20.3</v>
      </c>
    </row>
    <row r="82" spans="1:13" x14ac:dyDescent="0.25">
      <c r="A82" t="s">
        <v>133</v>
      </c>
      <c r="B82" s="4">
        <v>1662436</v>
      </c>
      <c r="C82" s="4">
        <v>9074987</v>
      </c>
      <c r="D82">
        <v>20.9</v>
      </c>
      <c r="E82">
        <v>0.4</v>
      </c>
      <c r="F82">
        <v>1.8</v>
      </c>
      <c r="G82">
        <v>6</v>
      </c>
      <c r="H82">
        <v>13.8</v>
      </c>
      <c r="I82" s="4">
        <v>1645976</v>
      </c>
      <c r="J82" s="6">
        <v>83</v>
      </c>
      <c r="K82">
        <v>84</v>
      </c>
      <c r="L82">
        <v>22.2</v>
      </c>
      <c r="M82">
        <v>20.9</v>
      </c>
    </row>
    <row r="83" spans="1:13" x14ac:dyDescent="0.25">
      <c r="A83" t="s">
        <v>134</v>
      </c>
      <c r="B83" s="4">
        <v>1553405</v>
      </c>
      <c r="C83" s="4">
        <v>8464702</v>
      </c>
      <c r="D83">
        <v>21.5</v>
      </c>
      <c r="E83">
        <v>0.4</v>
      </c>
      <c r="F83">
        <v>2</v>
      </c>
      <c r="G83">
        <v>6</v>
      </c>
      <c r="H83">
        <v>14.3</v>
      </c>
      <c r="I83" s="4">
        <v>1538763</v>
      </c>
      <c r="J83" s="6">
        <v>84</v>
      </c>
      <c r="K83">
        <v>85</v>
      </c>
      <c r="L83">
        <v>22.7</v>
      </c>
      <c r="M83">
        <v>21.5</v>
      </c>
    </row>
    <row r="84" spans="1:13" x14ac:dyDescent="0.25">
      <c r="A84" t="s">
        <v>135</v>
      </c>
      <c r="B84" s="4">
        <v>1478914</v>
      </c>
      <c r="C84" s="4">
        <v>7980070</v>
      </c>
      <c r="D84">
        <v>22</v>
      </c>
      <c r="E84">
        <v>0.4</v>
      </c>
      <c r="F84">
        <v>2.1</v>
      </c>
      <c r="G84">
        <v>6</v>
      </c>
      <c r="H84">
        <v>14.8</v>
      </c>
      <c r="I84" s="4">
        <v>1464319</v>
      </c>
      <c r="J84" s="6">
        <v>85</v>
      </c>
      <c r="K84">
        <v>86</v>
      </c>
      <c r="L84">
        <v>23.1</v>
      </c>
      <c r="M84">
        <v>22</v>
      </c>
    </row>
    <row r="85" spans="1:13" x14ac:dyDescent="0.25">
      <c r="A85" t="s">
        <v>136</v>
      </c>
      <c r="B85" s="4">
        <v>1377400</v>
      </c>
      <c r="C85" s="4">
        <v>7418647</v>
      </c>
      <c r="D85">
        <v>22.7</v>
      </c>
      <c r="E85">
        <v>0.4</v>
      </c>
      <c r="F85">
        <v>2.2999999999999998</v>
      </c>
      <c r="G85">
        <v>6</v>
      </c>
      <c r="H85">
        <v>15.4</v>
      </c>
      <c r="I85" s="4">
        <v>1368937</v>
      </c>
      <c r="J85" s="6">
        <v>86</v>
      </c>
      <c r="K85">
        <v>87</v>
      </c>
      <c r="L85">
        <v>23.6</v>
      </c>
      <c r="M85">
        <v>22.7</v>
      </c>
    </row>
    <row r="86" spans="1:13" x14ac:dyDescent="0.25">
      <c r="A86" t="s">
        <v>137</v>
      </c>
      <c r="B86" s="4">
        <v>1316996</v>
      </c>
      <c r="C86" s="4">
        <v>7002589</v>
      </c>
      <c r="D86">
        <v>23</v>
      </c>
      <c r="E86">
        <v>0.4</v>
      </c>
      <c r="F86">
        <v>2.5</v>
      </c>
      <c r="G86">
        <v>5.9</v>
      </c>
      <c r="H86">
        <v>15.6</v>
      </c>
      <c r="I86" s="4">
        <v>1311447</v>
      </c>
      <c r="J86" s="6">
        <v>87</v>
      </c>
      <c r="K86">
        <v>88</v>
      </c>
      <c r="L86">
        <v>23.6</v>
      </c>
      <c r="M86">
        <v>23</v>
      </c>
    </row>
    <row r="87" spans="1:13" x14ac:dyDescent="0.25">
      <c r="A87" t="s">
        <v>138</v>
      </c>
      <c r="B87" s="4">
        <v>1191857</v>
      </c>
      <c r="C87" s="4">
        <v>6292200</v>
      </c>
      <c r="D87">
        <v>23.7</v>
      </c>
      <c r="E87">
        <v>0.4</v>
      </c>
      <c r="F87">
        <v>2.7</v>
      </c>
      <c r="G87">
        <v>5.8</v>
      </c>
      <c r="H87">
        <v>16.3</v>
      </c>
      <c r="I87" s="4">
        <v>1187516</v>
      </c>
      <c r="J87" s="6">
        <v>88</v>
      </c>
      <c r="K87">
        <v>89</v>
      </c>
      <c r="L87">
        <v>24.3</v>
      </c>
      <c r="M87">
        <v>23.7</v>
      </c>
    </row>
    <row r="88" spans="1:13" x14ac:dyDescent="0.25">
      <c r="A88" t="s">
        <v>139</v>
      </c>
      <c r="B88" s="4">
        <v>1121482</v>
      </c>
      <c r="C88" s="4">
        <v>5909455</v>
      </c>
      <c r="D88">
        <v>24.4</v>
      </c>
      <c r="E88">
        <v>0.4</v>
      </c>
      <c r="F88">
        <v>3</v>
      </c>
      <c r="G88">
        <v>5.8</v>
      </c>
      <c r="H88">
        <v>16.899999999999999</v>
      </c>
      <c r="I88" s="4">
        <v>1118382</v>
      </c>
      <c r="J88" s="6">
        <v>89</v>
      </c>
      <c r="K88">
        <v>90</v>
      </c>
      <c r="L88">
        <v>24.8</v>
      </c>
      <c r="M88">
        <v>24.4</v>
      </c>
    </row>
    <row r="89" spans="1:13" x14ac:dyDescent="0.25">
      <c r="A89" t="s">
        <v>140</v>
      </c>
      <c r="B89" s="4">
        <v>1020414</v>
      </c>
      <c r="C89" s="4">
        <v>5354454</v>
      </c>
      <c r="D89">
        <v>24.7</v>
      </c>
      <c r="E89">
        <v>0.4</v>
      </c>
      <c r="F89">
        <v>3.3</v>
      </c>
      <c r="G89">
        <v>5.6</v>
      </c>
      <c r="H89">
        <v>17.100000000000001</v>
      </c>
      <c r="I89" s="4">
        <v>1016795</v>
      </c>
      <c r="J89" s="6">
        <v>90</v>
      </c>
      <c r="K89">
        <v>91</v>
      </c>
      <c r="L89">
        <v>25</v>
      </c>
      <c r="M89">
        <v>24.7</v>
      </c>
    </row>
    <row r="90" spans="1:13" x14ac:dyDescent="0.25">
      <c r="A90" t="s">
        <v>141</v>
      </c>
      <c r="B90" s="4">
        <v>938561</v>
      </c>
      <c r="C90" s="4">
        <v>4879715</v>
      </c>
      <c r="D90">
        <v>25.4</v>
      </c>
      <c r="E90">
        <v>0.4</v>
      </c>
      <c r="F90">
        <v>3.6</v>
      </c>
      <c r="G90">
        <v>5.5</v>
      </c>
      <c r="H90">
        <v>17.600000000000001</v>
      </c>
      <c r="I90" s="4">
        <v>933636</v>
      </c>
      <c r="J90" s="6">
        <v>91</v>
      </c>
      <c r="K90">
        <v>92</v>
      </c>
      <c r="L90">
        <v>25.1</v>
      </c>
      <c r="M90">
        <v>25.4</v>
      </c>
    </row>
    <row r="91" spans="1:13" x14ac:dyDescent="0.25">
      <c r="A91" t="s">
        <v>142</v>
      </c>
      <c r="B91" s="4">
        <v>863900</v>
      </c>
      <c r="C91" s="4">
        <v>4465470</v>
      </c>
      <c r="D91">
        <v>25.5</v>
      </c>
      <c r="E91">
        <v>0.4</v>
      </c>
      <c r="F91">
        <v>3.9</v>
      </c>
      <c r="G91">
        <v>5.4</v>
      </c>
      <c r="H91">
        <v>17.600000000000001</v>
      </c>
      <c r="I91" s="4">
        <v>857318</v>
      </c>
      <c r="J91" s="6">
        <v>92</v>
      </c>
      <c r="K91">
        <v>93</v>
      </c>
      <c r="L91">
        <v>25.1</v>
      </c>
      <c r="M91">
        <v>25.5</v>
      </c>
    </row>
    <row r="92" spans="1:13" x14ac:dyDescent="0.25">
      <c r="A92" t="s">
        <v>143</v>
      </c>
      <c r="B92" s="4">
        <v>799643</v>
      </c>
      <c r="C92" s="4">
        <v>4121125</v>
      </c>
      <c r="D92">
        <v>25.9</v>
      </c>
      <c r="E92">
        <v>0.4</v>
      </c>
      <c r="F92">
        <v>4.4000000000000004</v>
      </c>
      <c r="G92">
        <v>5.2</v>
      </c>
      <c r="H92">
        <v>17.8</v>
      </c>
      <c r="I92" s="4">
        <v>794541</v>
      </c>
      <c r="J92" s="6">
        <v>93</v>
      </c>
      <c r="K92">
        <v>94</v>
      </c>
      <c r="L92">
        <v>24.9</v>
      </c>
      <c r="M92">
        <v>25.9</v>
      </c>
    </row>
    <row r="93" spans="1:13" x14ac:dyDescent="0.25">
      <c r="A93" t="s">
        <v>144</v>
      </c>
      <c r="B93" s="4">
        <v>713761</v>
      </c>
      <c r="C93" s="4">
        <v>3686270</v>
      </c>
      <c r="D93">
        <v>26.2</v>
      </c>
      <c r="E93">
        <v>0.4</v>
      </c>
      <c r="F93">
        <v>4.9000000000000004</v>
      </c>
      <c r="G93">
        <v>5</v>
      </c>
      <c r="H93">
        <v>17.899999999999999</v>
      </c>
      <c r="I93" s="4">
        <v>709284</v>
      </c>
      <c r="J93" s="6">
        <v>94</v>
      </c>
      <c r="K93">
        <v>95</v>
      </c>
      <c r="L93">
        <v>24.6</v>
      </c>
      <c r="M93">
        <v>26.2</v>
      </c>
    </row>
    <row r="94" spans="1:13" x14ac:dyDescent="0.25">
      <c r="A94" t="s">
        <v>145</v>
      </c>
      <c r="B94" s="4">
        <v>645452</v>
      </c>
      <c r="C94" s="4">
        <v>3313405</v>
      </c>
      <c r="D94">
        <v>26.6</v>
      </c>
      <c r="E94">
        <v>0.4</v>
      </c>
      <c r="F94">
        <v>5.3</v>
      </c>
      <c r="G94">
        <v>4.9000000000000004</v>
      </c>
      <c r="H94">
        <v>17.899999999999999</v>
      </c>
      <c r="I94" s="4">
        <v>643207</v>
      </c>
      <c r="J94" s="6">
        <v>95</v>
      </c>
      <c r="K94">
        <v>96</v>
      </c>
      <c r="L94">
        <v>25.5</v>
      </c>
      <c r="M94">
        <v>26.6</v>
      </c>
    </row>
    <row r="95" spans="1:13" x14ac:dyDescent="0.25">
      <c r="A95" t="s">
        <v>146</v>
      </c>
      <c r="B95" s="4">
        <v>568098</v>
      </c>
      <c r="C95" s="4">
        <v>2938501</v>
      </c>
      <c r="D95">
        <v>26.2</v>
      </c>
      <c r="E95">
        <v>0.4</v>
      </c>
      <c r="F95">
        <v>5.8</v>
      </c>
      <c r="G95">
        <v>4.5999999999999996</v>
      </c>
      <c r="H95">
        <v>17.3</v>
      </c>
      <c r="I95" s="4">
        <v>564727</v>
      </c>
      <c r="J95" s="6">
        <v>96</v>
      </c>
      <c r="K95">
        <v>97</v>
      </c>
      <c r="L95">
        <v>24.5</v>
      </c>
      <c r="M95">
        <v>26.2</v>
      </c>
    </row>
    <row r="96" spans="1:13" x14ac:dyDescent="0.25">
      <c r="A96" t="s">
        <v>147</v>
      </c>
      <c r="B96" s="4">
        <v>506631</v>
      </c>
      <c r="C96" s="4">
        <v>2615978</v>
      </c>
      <c r="D96">
        <v>26.4</v>
      </c>
      <c r="E96">
        <v>0.4</v>
      </c>
      <c r="F96">
        <v>6.4</v>
      </c>
      <c r="G96">
        <v>4.4000000000000004</v>
      </c>
      <c r="H96">
        <v>17.100000000000001</v>
      </c>
      <c r="I96" s="4">
        <v>501806</v>
      </c>
      <c r="J96" s="6">
        <v>97</v>
      </c>
      <c r="K96">
        <v>98</v>
      </c>
      <c r="L96">
        <v>24.6</v>
      </c>
      <c r="M96">
        <v>26.4</v>
      </c>
    </row>
    <row r="97" spans="1:13" x14ac:dyDescent="0.25">
      <c r="A97" t="s">
        <v>148</v>
      </c>
      <c r="B97" s="4">
        <v>435439</v>
      </c>
      <c r="C97" s="4">
        <v>2253381</v>
      </c>
      <c r="D97">
        <v>26.4</v>
      </c>
      <c r="E97">
        <v>0.4</v>
      </c>
      <c r="F97">
        <v>7</v>
      </c>
      <c r="G97">
        <v>4.2</v>
      </c>
      <c r="H97">
        <v>16.899999999999999</v>
      </c>
      <c r="I97" s="4">
        <v>433199</v>
      </c>
      <c r="J97" s="6">
        <v>98</v>
      </c>
      <c r="K97">
        <v>99</v>
      </c>
      <c r="L97">
        <v>24.6</v>
      </c>
      <c r="M97">
        <v>26.4</v>
      </c>
    </row>
    <row r="98" spans="1:13" x14ac:dyDescent="0.25">
      <c r="A98" t="s">
        <v>72</v>
      </c>
      <c r="B98" s="4">
        <v>376080</v>
      </c>
      <c r="C98" s="4">
        <v>1928368</v>
      </c>
      <c r="D98">
        <v>26.3</v>
      </c>
      <c r="E98">
        <v>0.4</v>
      </c>
      <c r="F98">
        <v>7.5</v>
      </c>
      <c r="G98">
        <v>4</v>
      </c>
      <c r="H98">
        <v>16.5</v>
      </c>
      <c r="I98" s="4">
        <v>374286</v>
      </c>
      <c r="J98" s="6">
        <v>99</v>
      </c>
      <c r="K98">
        <v>100</v>
      </c>
      <c r="L98">
        <v>25</v>
      </c>
      <c r="M98">
        <v>26.3</v>
      </c>
    </row>
    <row r="99" spans="1:13" x14ac:dyDescent="0.25">
      <c r="A99" t="s">
        <v>73</v>
      </c>
      <c r="B99" s="4">
        <v>324603</v>
      </c>
      <c r="C99" s="4">
        <v>1668947</v>
      </c>
      <c r="D99">
        <v>26.2</v>
      </c>
      <c r="E99">
        <v>0.4</v>
      </c>
      <c r="F99">
        <v>7.9</v>
      </c>
      <c r="G99">
        <v>3.8</v>
      </c>
      <c r="H99">
        <v>16.100000000000001</v>
      </c>
      <c r="I99" s="4">
        <v>323103</v>
      </c>
      <c r="J99" s="6">
        <v>100</v>
      </c>
      <c r="K99">
        <v>101</v>
      </c>
      <c r="L99">
        <v>24</v>
      </c>
      <c r="M99">
        <v>26.2</v>
      </c>
    </row>
    <row r="100" spans="1:13" x14ac:dyDescent="0.25">
      <c r="A100" t="s">
        <v>74</v>
      </c>
      <c r="B100" s="4">
        <v>271727</v>
      </c>
      <c r="C100" s="4">
        <v>1401323</v>
      </c>
      <c r="D100">
        <v>26.1</v>
      </c>
      <c r="E100">
        <v>0.4</v>
      </c>
      <c r="F100">
        <v>8.4</v>
      </c>
      <c r="G100">
        <v>3.6</v>
      </c>
      <c r="H100">
        <v>15.9</v>
      </c>
      <c r="I100" s="4">
        <v>268807</v>
      </c>
      <c r="J100" s="6">
        <v>101</v>
      </c>
      <c r="K100">
        <v>102</v>
      </c>
      <c r="L100">
        <v>23.8</v>
      </c>
      <c r="M100">
        <v>26.1</v>
      </c>
    </row>
    <row r="101" spans="1:13" x14ac:dyDescent="0.25">
      <c r="A101" t="s">
        <v>75</v>
      </c>
      <c r="B101" s="4">
        <v>228474</v>
      </c>
      <c r="C101" s="4">
        <v>1194108</v>
      </c>
      <c r="D101">
        <v>26.4</v>
      </c>
      <c r="E101">
        <v>0.4</v>
      </c>
      <c r="F101">
        <v>9</v>
      </c>
      <c r="G101">
        <v>3.4</v>
      </c>
      <c r="H101">
        <v>15.7</v>
      </c>
      <c r="I101" s="4">
        <v>223773</v>
      </c>
      <c r="J101" s="6">
        <v>102</v>
      </c>
      <c r="K101">
        <v>103</v>
      </c>
      <c r="L101">
        <v>23.7</v>
      </c>
      <c r="M101">
        <v>26.4</v>
      </c>
    </row>
    <row r="102" spans="1:13" x14ac:dyDescent="0.25">
      <c r="A102" t="s">
        <v>76</v>
      </c>
      <c r="B102" s="4">
        <v>183312</v>
      </c>
      <c r="C102" s="4">
        <v>965153</v>
      </c>
      <c r="D102">
        <v>26.7</v>
      </c>
      <c r="E102">
        <v>0.4</v>
      </c>
      <c r="F102">
        <v>9.8000000000000007</v>
      </c>
      <c r="G102">
        <v>3.2</v>
      </c>
      <c r="H102">
        <v>15.6</v>
      </c>
      <c r="I102" s="4">
        <v>181754</v>
      </c>
      <c r="J102" s="6">
        <v>103</v>
      </c>
      <c r="K102">
        <v>104</v>
      </c>
      <c r="L102">
        <v>23.9</v>
      </c>
      <c r="M102">
        <v>26.7</v>
      </c>
    </row>
    <row r="103" spans="1:13" x14ac:dyDescent="0.25">
      <c r="A103" t="s">
        <v>77</v>
      </c>
      <c r="B103" s="4">
        <v>153547</v>
      </c>
      <c r="C103" s="4">
        <v>815312</v>
      </c>
      <c r="D103">
        <v>26.9</v>
      </c>
      <c r="E103">
        <v>0.4</v>
      </c>
      <c r="F103">
        <v>10.4</v>
      </c>
      <c r="G103">
        <v>3</v>
      </c>
      <c r="H103">
        <v>15.3</v>
      </c>
      <c r="I103" s="4">
        <v>152672</v>
      </c>
      <c r="J103" s="6">
        <v>104</v>
      </c>
      <c r="K103">
        <v>105</v>
      </c>
      <c r="L103">
        <v>25</v>
      </c>
      <c r="M103">
        <v>26.9</v>
      </c>
    </row>
    <row r="104" spans="1:13" x14ac:dyDescent="0.25">
      <c r="A104" t="s">
        <v>78</v>
      </c>
      <c r="B104" s="4">
        <v>128140</v>
      </c>
      <c r="C104" s="4">
        <v>676415</v>
      </c>
      <c r="D104">
        <v>26.8</v>
      </c>
      <c r="E104">
        <v>0.4</v>
      </c>
      <c r="F104">
        <v>10.8</v>
      </c>
      <c r="G104">
        <v>2.8</v>
      </c>
      <c r="H104">
        <v>15</v>
      </c>
      <c r="I104" s="4">
        <v>128062</v>
      </c>
      <c r="J104" s="6">
        <v>105</v>
      </c>
      <c r="K104">
        <v>106</v>
      </c>
      <c r="L104">
        <v>24.5</v>
      </c>
      <c r="M104">
        <v>26.8</v>
      </c>
    </row>
    <row r="105" spans="1:13" x14ac:dyDescent="0.25">
      <c r="A105" t="s">
        <v>158</v>
      </c>
      <c r="B105" s="4">
        <v>108982</v>
      </c>
      <c r="C105" s="4">
        <v>577298</v>
      </c>
      <c r="D105">
        <v>26.7</v>
      </c>
      <c r="E105">
        <v>0.4</v>
      </c>
      <c r="F105">
        <v>11.2</v>
      </c>
      <c r="G105">
        <v>2.6</v>
      </c>
      <c r="H105">
        <v>14.6</v>
      </c>
      <c r="I105" s="4">
        <v>108979</v>
      </c>
      <c r="J105" s="6">
        <v>106</v>
      </c>
      <c r="K105">
        <v>107</v>
      </c>
      <c r="L105">
        <v>24.9</v>
      </c>
      <c r="M105">
        <v>26.7</v>
      </c>
    </row>
    <row r="106" spans="1:13" x14ac:dyDescent="0.25">
      <c r="A106" t="s">
        <v>159</v>
      </c>
      <c r="B106" s="4">
        <v>84795</v>
      </c>
      <c r="C106" s="4">
        <v>460561</v>
      </c>
      <c r="D106">
        <v>26.6</v>
      </c>
      <c r="E106">
        <v>0.4</v>
      </c>
      <c r="F106">
        <v>11.9</v>
      </c>
      <c r="G106">
        <v>2.4</v>
      </c>
      <c r="H106">
        <v>14.1</v>
      </c>
      <c r="I106" s="4">
        <v>84791</v>
      </c>
      <c r="J106" s="6">
        <v>107</v>
      </c>
      <c r="K106">
        <v>108</v>
      </c>
      <c r="L106">
        <v>23.7</v>
      </c>
      <c r="M106">
        <v>26.6</v>
      </c>
    </row>
    <row r="107" spans="1:13" x14ac:dyDescent="0.25">
      <c r="A107" t="s">
        <v>160</v>
      </c>
      <c r="B107" s="4">
        <v>69509</v>
      </c>
      <c r="C107" s="4">
        <v>376026</v>
      </c>
      <c r="D107">
        <v>27.1</v>
      </c>
      <c r="E107">
        <v>0.4</v>
      </c>
      <c r="F107">
        <v>12.6</v>
      </c>
      <c r="G107">
        <v>2.2000000000000002</v>
      </c>
      <c r="H107">
        <v>14.1</v>
      </c>
      <c r="I107" s="4">
        <v>69509</v>
      </c>
      <c r="J107" s="6">
        <v>108</v>
      </c>
      <c r="K107">
        <v>109</v>
      </c>
      <c r="L107">
        <v>24.9</v>
      </c>
      <c r="M107">
        <v>27.1</v>
      </c>
    </row>
    <row r="108" spans="1:13" x14ac:dyDescent="0.25">
      <c r="A108" t="s">
        <v>161</v>
      </c>
      <c r="B108" s="4">
        <v>57596</v>
      </c>
      <c r="C108" s="4">
        <v>312149</v>
      </c>
      <c r="D108">
        <v>27.5</v>
      </c>
      <c r="E108">
        <v>0.4</v>
      </c>
      <c r="F108">
        <v>13.1</v>
      </c>
      <c r="G108">
        <v>2</v>
      </c>
      <c r="H108">
        <v>14.3</v>
      </c>
      <c r="I108" s="4">
        <v>57596</v>
      </c>
      <c r="J108" s="6">
        <v>109</v>
      </c>
      <c r="K108">
        <v>110</v>
      </c>
      <c r="L108">
        <v>26.6</v>
      </c>
      <c r="M108">
        <v>27.5</v>
      </c>
    </row>
    <row r="109" spans="1:13" x14ac:dyDescent="0.25">
      <c r="A109" t="s">
        <v>162</v>
      </c>
      <c r="B109" s="4">
        <v>47834</v>
      </c>
      <c r="C109" s="4">
        <v>257464</v>
      </c>
      <c r="D109">
        <v>27.6</v>
      </c>
      <c r="E109">
        <v>0.4</v>
      </c>
      <c r="F109">
        <v>13.6</v>
      </c>
      <c r="G109">
        <v>1.9</v>
      </c>
      <c r="H109">
        <v>14.1</v>
      </c>
      <c r="I109" s="4">
        <v>47833</v>
      </c>
      <c r="J109" s="6">
        <v>110</v>
      </c>
      <c r="K109">
        <v>111</v>
      </c>
      <c r="L109">
        <v>26.7</v>
      </c>
      <c r="M109">
        <v>27.6</v>
      </c>
    </row>
    <row r="110" spans="1:13" x14ac:dyDescent="0.25">
      <c r="A110" t="s">
        <v>163</v>
      </c>
      <c r="B110" s="4">
        <v>43093</v>
      </c>
      <c r="C110" s="4">
        <v>226685</v>
      </c>
      <c r="D110">
        <v>26.6</v>
      </c>
      <c r="E110">
        <v>0.4</v>
      </c>
      <c r="F110">
        <v>13.7</v>
      </c>
      <c r="G110">
        <v>1.7</v>
      </c>
      <c r="H110">
        <v>13</v>
      </c>
      <c r="I110" s="4">
        <v>43093</v>
      </c>
      <c r="J110" s="6">
        <v>111</v>
      </c>
      <c r="K110">
        <v>112</v>
      </c>
      <c r="L110">
        <v>27.4</v>
      </c>
      <c r="M110">
        <v>26.6</v>
      </c>
    </row>
    <row r="111" spans="1:13" x14ac:dyDescent="0.25">
      <c r="A111" t="s">
        <v>164</v>
      </c>
      <c r="B111" s="4">
        <v>39056</v>
      </c>
      <c r="C111" s="4">
        <v>202179</v>
      </c>
      <c r="D111">
        <v>26.1</v>
      </c>
      <c r="E111">
        <v>0.4</v>
      </c>
      <c r="F111">
        <v>14</v>
      </c>
      <c r="G111">
        <v>1.5</v>
      </c>
      <c r="H111">
        <v>12.3</v>
      </c>
      <c r="I111" s="4">
        <v>39055</v>
      </c>
      <c r="J111" s="6">
        <v>112</v>
      </c>
      <c r="K111">
        <v>113</v>
      </c>
      <c r="L111">
        <v>27.3</v>
      </c>
      <c r="M111">
        <v>26.1</v>
      </c>
    </row>
    <row r="112" spans="1:13" x14ac:dyDescent="0.25">
      <c r="A112" t="s">
        <v>165</v>
      </c>
      <c r="B112" s="4">
        <v>32259</v>
      </c>
      <c r="C112" s="4">
        <v>169247</v>
      </c>
      <c r="D112">
        <v>26</v>
      </c>
      <c r="E112">
        <v>0.4</v>
      </c>
      <c r="F112">
        <v>14.7</v>
      </c>
      <c r="G112">
        <v>1.3</v>
      </c>
      <c r="H112">
        <v>11.6</v>
      </c>
      <c r="I112" s="4">
        <v>32258</v>
      </c>
      <c r="J112" s="6">
        <v>113</v>
      </c>
      <c r="K112">
        <v>114</v>
      </c>
      <c r="L112">
        <v>26.6</v>
      </c>
      <c r="M112">
        <v>26</v>
      </c>
    </row>
    <row r="113" spans="1:13" x14ac:dyDescent="0.25">
      <c r="A113" t="s">
        <v>166</v>
      </c>
      <c r="B113" s="4">
        <v>27680</v>
      </c>
      <c r="C113" s="4">
        <v>140876</v>
      </c>
      <c r="D113">
        <v>24.8</v>
      </c>
      <c r="E113">
        <v>0.4</v>
      </c>
      <c r="F113">
        <v>14.6</v>
      </c>
      <c r="G113">
        <v>1.1000000000000001</v>
      </c>
      <c r="H113">
        <v>10.4</v>
      </c>
      <c r="I113" s="4">
        <v>27680</v>
      </c>
      <c r="J113" s="6">
        <v>114</v>
      </c>
      <c r="K113">
        <v>115</v>
      </c>
      <c r="L113">
        <v>26.2</v>
      </c>
      <c r="M113">
        <v>24.8</v>
      </c>
    </row>
    <row r="114" spans="1:13" x14ac:dyDescent="0.25">
      <c r="A114" t="s">
        <v>167</v>
      </c>
      <c r="B114" s="4">
        <v>23019</v>
      </c>
      <c r="C114" s="4">
        <v>116614</v>
      </c>
      <c r="D114">
        <v>24.7</v>
      </c>
      <c r="E114">
        <v>0.4</v>
      </c>
      <c r="F114">
        <v>15.2</v>
      </c>
      <c r="G114">
        <v>0.9</v>
      </c>
      <c r="H114">
        <v>9.9</v>
      </c>
      <c r="I114" s="4">
        <v>23019</v>
      </c>
      <c r="J114" s="6">
        <v>115</v>
      </c>
      <c r="K114">
        <v>116</v>
      </c>
      <c r="L114">
        <v>29.1</v>
      </c>
      <c r="M114">
        <v>24.7</v>
      </c>
    </row>
    <row r="115" spans="1:13" x14ac:dyDescent="0.25">
      <c r="A115" t="s">
        <v>168</v>
      </c>
      <c r="B115" s="4">
        <v>19140</v>
      </c>
      <c r="C115" s="4">
        <v>96750</v>
      </c>
      <c r="D115">
        <v>24.4</v>
      </c>
      <c r="E115">
        <v>0.4</v>
      </c>
      <c r="F115">
        <v>15.7</v>
      </c>
      <c r="G115">
        <v>0.8</v>
      </c>
      <c r="H115">
        <v>9.1</v>
      </c>
      <c r="I115" s="4">
        <v>19140</v>
      </c>
      <c r="J115" s="6">
        <v>116</v>
      </c>
      <c r="K115">
        <v>117</v>
      </c>
      <c r="L115">
        <v>28.6</v>
      </c>
      <c r="M115">
        <v>24.4</v>
      </c>
    </row>
    <row r="116" spans="1:13" x14ac:dyDescent="0.25">
      <c r="A116" t="s">
        <v>169</v>
      </c>
      <c r="B116" s="4">
        <v>16492</v>
      </c>
      <c r="C116" s="4">
        <v>83448</v>
      </c>
      <c r="D116">
        <v>24.3</v>
      </c>
      <c r="E116">
        <v>0.4</v>
      </c>
      <c r="F116">
        <v>16.2</v>
      </c>
      <c r="G116">
        <v>0.6</v>
      </c>
      <c r="H116">
        <v>8.5</v>
      </c>
      <c r="I116" s="4">
        <v>16492</v>
      </c>
      <c r="J116" s="6">
        <v>117</v>
      </c>
      <c r="K116">
        <v>118</v>
      </c>
      <c r="L116">
        <v>26.6</v>
      </c>
      <c r="M116">
        <v>24.3</v>
      </c>
    </row>
    <row r="117" spans="1:13" x14ac:dyDescent="0.25">
      <c r="A117" t="s">
        <v>170</v>
      </c>
      <c r="B117" s="4">
        <v>15502</v>
      </c>
      <c r="C117" s="4">
        <v>75353</v>
      </c>
      <c r="D117">
        <v>22.8</v>
      </c>
      <c r="E117">
        <v>0.4</v>
      </c>
      <c r="F117">
        <v>15.6</v>
      </c>
      <c r="G117">
        <v>0.5</v>
      </c>
      <c r="H117">
        <v>7.5</v>
      </c>
      <c r="I117" s="4">
        <v>15502</v>
      </c>
      <c r="J117" s="6">
        <v>118</v>
      </c>
      <c r="K117">
        <v>119</v>
      </c>
      <c r="L117">
        <v>25.8</v>
      </c>
      <c r="M117">
        <v>22.8</v>
      </c>
    </row>
    <row r="118" spans="1:13" x14ac:dyDescent="0.25">
      <c r="A118" t="s">
        <v>171</v>
      </c>
      <c r="B118" s="4">
        <v>15514</v>
      </c>
      <c r="C118" s="4">
        <v>73681</v>
      </c>
      <c r="D118">
        <v>21.8</v>
      </c>
      <c r="E118">
        <v>0.4</v>
      </c>
      <c r="F118">
        <v>15.6</v>
      </c>
      <c r="G118">
        <v>0.4</v>
      </c>
      <c r="H118">
        <v>6.5</v>
      </c>
      <c r="I118" s="4">
        <v>15514</v>
      </c>
      <c r="J118" s="6">
        <v>119</v>
      </c>
      <c r="K118">
        <v>120</v>
      </c>
      <c r="L118">
        <v>25.2</v>
      </c>
      <c r="M118">
        <v>21.8</v>
      </c>
    </row>
    <row r="119" spans="1:13" x14ac:dyDescent="0.25">
      <c r="A119" t="s">
        <v>172</v>
      </c>
      <c r="B119" s="4">
        <v>13078</v>
      </c>
      <c r="C119" s="4">
        <v>62900</v>
      </c>
      <c r="D119">
        <v>21.7</v>
      </c>
      <c r="E119">
        <v>0.4</v>
      </c>
      <c r="F119">
        <v>16.2</v>
      </c>
      <c r="G119">
        <v>0.3</v>
      </c>
      <c r="H119">
        <v>5.8</v>
      </c>
      <c r="I119" s="4">
        <v>13078</v>
      </c>
      <c r="J119" s="6">
        <v>120</v>
      </c>
      <c r="K119">
        <v>121</v>
      </c>
      <c r="L119">
        <v>27.3</v>
      </c>
      <c r="M119">
        <v>21.7</v>
      </c>
    </row>
    <row r="120" spans="1:13" x14ac:dyDescent="0.25">
      <c r="A120" t="s">
        <v>173</v>
      </c>
      <c r="B120" s="4">
        <v>9190</v>
      </c>
      <c r="C120" s="4">
        <v>46028</v>
      </c>
      <c r="D120">
        <v>22.6</v>
      </c>
      <c r="E120">
        <v>0.4</v>
      </c>
      <c r="F120">
        <v>17.8</v>
      </c>
      <c r="G120">
        <v>0.2</v>
      </c>
      <c r="H120">
        <v>5.2</v>
      </c>
      <c r="I120" s="4">
        <v>9190</v>
      </c>
      <c r="J120" s="6">
        <v>121</v>
      </c>
      <c r="K120">
        <v>122</v>
      </c>
      <c r="L120">
        <v>23.7</v>
      </c>
      <c r="M120">
        <v>22.6</v>
      </c>
    </row>
    <row r="121" spans="1:13" x14ac:dyDescent="0.25">
      <c r="A121" t="s">
        <v>174</v>
      </c>
      <c r="B121" s="4">
        <v>6926</v>
      </c>
      <c r="C121" s="4">
        <v>35534</v>
      </c>
      <c r="D121">
        <v>23.1</v>
      </c>
      <c r="E121">
        <v>0.4</v>
      </c>
      <c r="F121">
        <v>18.600000000000001</v>
      </c>
      <c r="G121">
        <v>0.1</v>
      </c>
      <c r="H121">
        <v>4.9000000000000004</v>
      </c>
      <c r="I121" s="4">
        <v>6926</v>
      </c>
      <c r="J121" s="6">
        <v>122</v>
      </c>
      <c r="K121">
        <v>123</v>
      </c>
      <c r="L121">
        <v>24</v>
      </c>
      <c r="M121">
        <v>23.1</v>
      </c>
    </row>
    <row r="122" spans="1:13" x14ac:dyDescent="0.25">
      <c r="A122" t="s">
        <v>175</v>
      </c>
      <c r="B122" s="4">
        <v>5027</v>
      </c>
      <c r="C122" s="4">
        <v>26392</v>
      </c>
      <c r="D122">
        <v>22.7</v>
      </c>
      <c r="E122">
        <v>0.4</v>
      </c>
      <c r="F122">
        <v>18.600000000000001</v>
      </c>
      <c r="G122">
        <v>0.1</v>
      </c>
      <c r="H122">
        <v>4.4000000000000004</v>
      </c>
      <c r="I122" s="4">
        <v>5027</v>
      </c>
      <c r="J122" s="6">
        <v>123</v>
      </c>
      <c r="K122">
        <v>124</v>
      </c>
      <c r="L122">
        <v>28.8</v>
      </c>
      <c r="M122">
        <v>22.7</v>
      </c>
    </row>
    <row r="123" spans="1:13" x14ac:dyDescent="0.25">
      <c r="A123" t="s">
        <v>176</v>
      </c>
      <c r="B123" s="4">
        <v>4499</v>
      </c>
      <c r="C123" s="4">
        <v>22616</v>
      </c>
      <c r="D123">
        <v>22</v>
      </c>
      <c r="E123">
        <v>0.4</v>
      </c>
      <c r="F123">
        <v>18.2</v>
      </c>
      <c r="G123">
        <v>0.1</v>
      </c>
      <c r="H123">
        <v>4.0999999999999996</v>
      </c>
      <c r="I123" s="4">
        <v>4499</v>
      </c>
      <c r="J123" s="6">
        <v>124</v>
      </c>
      <c r="K123">
        <v>125</v>
      </c>
      <c r="L123">
        <v>26.2</v>
      </c>
      <c r="M123">
        <v>22</v>
      </c>
    </row>
    <row r="124" spans="1:13" x14ac:dyDescent="0.25">
      <c r="A124" t="s">
        <v>177</v>
      </c>
      <c r="B124" s="4">
        <v>5831</v>
      </c>
      <c r="C124" s="4">
        <v>27458</v>
      </c>
      <c r="D124">
        <v>19.7</v>
      </c>
      <c r="E124">
        <v>0.4</v>
      </c>
      <c r="F124">
        <v>16.2</v>
      </c>
      <c r="G124">
        <v>0</v>
      </c>
      <c r="H124">
        <v>3.7</v>
      </c>
      <c r="I124" s="4">
        <v>5831</v>
      </c>
      <c r="J124" s="6">
        <v>125</v>
      </c>
      <c r="K124">
        <v>126</v>
      </c>
      <c r="L124">
        <v>22.1</v>
      </c>
      <c r="M124">
        <v>19.7</v>
      </c>
    </row>
    <row r="125" spans="1:13" x14ac:dyDescent="0.25">
      <c r="A125" t="s">
        <v>178</v>
      </c>
      <c r="B125" s="4">
        <v>4052</v>
      </c>
      <c r="C125" s="4">
        <v>19637</v>
      </c>
      <c r="D125">
        <v>20</v>
      </c>
      <c r="E125">
        <v>0.4</v>
      </c>
      <c r="F125">
        <v>17.100000000000001</v>
      </c>
      <c r="G125">
        <v>0</v>
      </c>
      <c r="H125">
        <v>3</v>
      </c>
      <c r="I125" s="4">
        <v>4052</v>
      </c>
      <c r="J125" s="6">
        <v>126</v>
      </c>
      <c r="K125">
        <v>127</v>
      </c>
      <c r="L125">
        <v>25.1</v>
      </c>
      <c r="M125">
        <v>20</v>
      </c>
    </row>
    <row r="126" spans="1:13" x14ac:dyDescent="0.25">
      <c r="A126" t="s">
        <v>179</v>
      </c>
      <c r="B126" s="4">
        <v>3023</v>
      </c>
      <c r="C126" s="4">
        <v>14859</v>
      </c>
      <c r="D126">
        <v>20.6</v>
      </c>
      <c r="E126">
        <v>0.4</v>
      </c>
      <c r="F126">
        <v>18</v>
      </c>
      <c r="G126">
        <v>0</v>
      </c>
      <c r="H126">
        <v>2.7</v>
      </c>
      <c r="I126" s="4">
        <v>3023</v>
      </c>
      <c r="J126" s="6">
        <v>127</v>
      </c>
      <c r="K126">
        <v>128</v>
      </c>
      <c r="L126">
        <v>22.8</v>
      </c>
      <c r="M126">
        <v>20.6</v>
      </c>
    </row>
    <row r="127" spans="1:13" x14ac:dyDescent="0.25">
      <c r="A127" t="s">
        <v>180</v>
      </c>
      <c r="B127" s="4">
        <v>2090</v>
      </c>
      <c r="C127" s="4">
        <v>10830</v>
      </c>
      <c r="D127">
        <v>21.4</v>
      </c>
      <c r="E127">
        <v>0.4</v>
      </c>
      <c r="F127">
        <v>19</v>
      </c>
      <c r="G127">
        <v>0</v>
      </c>
      <c r="H127">
        <v>2.5</v>
      </c>
      <c r="I127" s="4">
        <v>2090</v>
      </c>
      <c r="J127" s="6">
        <v>128</v>
      </c>
      <c r="K127">
        <v>129</v>
      </c>
      <c r="L127">
        <v>25</v>
      </c>
      <c r="M127">
        <v>21.4</v>
      </c>
    </row>
    <row r="128" spans="1:13" x14ac:dyDescent="0.25">
      <c r="A128" t="s">
        <v>181</v>
      </c>
      <c r="B128" s="4">
        <v>1574</v>
      </c>
      <c r="C128" s="4">
        <v>8423</v>
      </c>
      <c r="D128">
        <v>22.2</v>
      </c>
      <c r="E128">
        <v>0.4</v>
      </c>
      <c r="F128">
        <v>20</v>
      </c>
      <c r="G128">
        <v>0</v>
      </c>
      <c r="H128">
        <v>2.4</v>
      </c>
      <c r="I128" s="4">
        <v>1574</v>
      </c>
      <c r="J128" s="6">
        <v>129</v>
      </c>
      <c r="K128">
        <v>130</v>
      </c>
      <c r="L128">
        <v>27.8</v>
      </c>
      <c r="M128">
        <v>22.2</v>
      </c>
    </row>
    <row r="129" spans="1:13" x14ac:dyDescent="0.25">
      <c r="A129" t="s">
        <v>182</v>
      </c>
      <c r="B129" s="4">
        <v>1507</v>
      </c>
      <c r="C129" s="4">
        <v>7995</v>
      </c>
      <c r="D129">
        <v>21.5</v>
      </c>
      <c r="E129">
        <v>0.4</v>
      </c>
      <c r="F129">
        <v>19.399999999999999</v>
      </c>
      <c r="G129">
        <v>0</v>
      </c>
      <c r="H129">
        <v>2.1</v>
      </c>
      <c r="I129" s="4">
        <v>1507</v>
      </c>
      <c r="J129" s="6">
        <v>130</v>
      </c>
      <c r="K129">
        <v>131</v>
      </c>
      <c r="L129">
        <v>34.299999999999997</v>
      </c>
      <c r="M129">
        <v>21.5</v>
      </c>
    </row>
    <row r="130" spans="1:13" x14ac:dyDescent="0.25">
      <c r="A130" t="s">
        <v>183</v>
      </c>
      <c r="B130" s="4">
        <v>1231</v>
      </c>
      <c r="C130" s="4">
        <v>6665</v>
      </c>
      <c r="D130">
        <v>22</v>
      </c>
      <c r="E130">
        <v>0.4</v>
      </c>
      <c r="F130">
        <v>20.100000000000001</v>
      </c>
      <c r="G130">
        <v>0</v>
      </c>
      <c r="H130">
        <v>1.9</v>
      </c>
      <c r="I130" s="4">
        <v>1231</v>
      </c>
      <c r="J130" s="6">
        <v>131</v>
      </c>
      <c r="K130">
        <v>132</v>
      </c>
      <c r="L130">
        <v>26.7</v>
      </c>
      <c r="M130">
        <v>22</v>
      </c>
    </row>
    <row r="131" spans="1:13" x14ac:dyDescent="0.25">
      <c r="A131" t="s">
        <v>184</v>
      </c>
      <c r="B131" s="4">
        <v>1160</v>
      </c>
      <c r="C131" s="4">
        <v>6363</v>
      </c>
      <c r="D131">
        <v>21.5</v>
      </c>
      <c r="E131">
        <v>0.4</v>
      </c>
      <c r="F131">
        <v>19.7</v>
      </c>
      <c r="G131">
        <v>0</v>
      </c>
      <c r="H131">
        <v>1.7</v>
      </c>
      <c r="I131" s="4">
        <v>1160</v>
      </c>
      <c r="J131" s="6">
        <v>132</v>
      </c>
      <c r="K131">
        <v>133</v>
      </c>
      <c r="L131">
        <v>28.7</v>
      </c>
      <c r="M131">
        <v>21.5</v>
      </c>
    </row>
    <row r="132" spans="1:13" x14ac:dyDescent="0.25">
      <c r="A132" t="s">
        <v>185</v>
      </c>
      <c r="B132" s="4">
        <v>1100</v>
      </c>
      <c r="C132" s="4">
        <v>6151</v>
      </c>
      <c r="D132">
        <v>22.5</v>
      </c>
      <c r="E132">
        <v>0.4</v>
      </c>
      <c r="F132">
        <v>20.8</v>
      </c>
      <c r="G132">
        <v>0</v>
      </c>
      <c r="H132">
        <v>1.7</v>
      </c>
      <c r="I132" s="4">
        <v>1100</v>
      </c>
      <c r="J132" s="6">
        <v>133</v>
      </c>
      <c r="K132">
        <v>134</v>
      </c>
      <c r="L132">
        <v>28.2</v>
      </c>
      <c r="M132">
        <v>22.5</v>
      </c>
    </row>
    <row r="133" spans="1:13" x14ac:dyDescent="0.25">
      <c r="A133" t="s">
        <v>186</v>
      </c>
      <c r="B133" s="4">
        <v>1020</v>
      </c>
      <c r="C133" s="4">
        <v>5867</v>
      </c>
      <c r="D133">
        <v>20.399999999999999</v>
      </c>
      <c r="E133">
        <v>0.4</v>
      </c>
      <c r="F133">
        <v>18.8</v>
      </c>
      <c r="G133">
        <v>0</v>
      </c>
      <c r="H133">
        <v>1.5</v>
      </c>
      <c r="I133" s="4">
        <v>1020</v>
      </c>
      <c r="J133" s="6">
        <v>134</v>
      </c>
      <c r="K133">
        <v>135</v>
      </c>
      <c r="L133">
        <v>26.8</v>
      </c>
      <c r="M133">
        <v>20.399999999999999</v>
      </c>
    </row>
    <row r="134" spans="1:13" x14ac:dyDescent="0.25">
      <c r="A134" t="s">
        <v>187</v>
      </c>
      <c r="B134">
        <v>957</v>
      </c>
      <c r="C134" s="4">
        <v>5418</v>
      </c>
      <c r="D134">
        <v>20.5</v>
      </c>
      <c r="E134">
        <v>0.4</v>
      </c>
      <c r="F134">
        <v>19</v>
      </c>
      <c r="G134">
        <v>0</v>
      </c>
      <c r="H134">
        <v>1.5</v>
      </c>
      <c r="I134">
        <v>957</v>
      </c>
      <c r="J134" s="6">
        <v>135</v>
      </c>
      <c r="K134">
        <v>136</v>
      </c>
      <c r="L134">
        <v>26.5</v>
      </c>
      <c r="M134">
        <v>20.5</v>
      </c>
    </row>
    <row r="135" spans="1:13" x14ac:dyDescent="0.25">
      <c r="A135" t="s">
        <v>188</v>
      </c>
      <c r="B135">
        <v>953</v>
      </c>
      <c r="C135" s="4">
        <v>5350</v>
      </c>
      <c r="D135">
        <v>21</v>
      </c>
      <c r="E135">
        <v>0.4</v>
      </c>
      <c r="F135">
        <v>19.600000000000001</v>
      </c>
      <c r="G135">
        <v>0</v>
      </c>
      <c r="H135">
        <v>1.3</v>
      </c>
      <c r="I135">
        <v>953</v>
      </c>
      <c r="J135" s="6">
        <v>136</v>
      </c>
      <c r="K135">
        <v>137</v>
      </c>
      <c r="L135">
        <v>24.6</v>
      </c>
      <c r="M135">
        <v>21</v>
      </c>
    </row>
    <row r="136" spans="1:13" x14ac:dyDescent="0.25">
      <c r="A136" t="s">
        <v>189</v>
      </c>
      <c r="B136">
        <v>790</v>
      </c>
      <c r="C136" s="4">
        <v>4276</v>
      </c>
      <c r="D136">
        <v>21.6</v>
      </c>
      <c r="E136">
        <v>0.4</v>
      </c>
      <c r="F136">
        <v>20.2</v>
      </c>
      <c r="G136">
        <v>0</v>
      </c>
      <c r="H136">
        <v>1.4</v>
      </c>
      <c r="I136">
        <v>790</v>
      </c>
      <c r="J136" s="6">
        <v>137</v>
      </c>
      <c r="K136">
        <v>138</v>
      </c>
      <c r="L136">
        <v>31.5</v>
      </c>
      <c r="M136">
        <v>21.6</v>
      </c>
    </row>
    <row r="137" spans="1:13" x14ac:dyDescent="0.25">
      <c r="A137" t="s">
        <v>190</v>
      </c>
      <c r="B137">
        <v>676</v>
      </c>
      <c r="C137" s="4">
        <v>3814</v>
      </c>
      <c r="D137">
        <v>21.5</v>
      </c>
      <c r="E137">
        <v>0.4</v>
      </c>
      <c r="F137">
        <v>20.100000000000001</v>
      </c>
      <c r="G137">
        <v>0</v>
      </c>
      <c r="H137">
        <v>1.3</v>
      </c>
      <c r="I137">
        <v>676</v>
      </c>
      <c r="J137" s="6">
        <v>138</v>
      </c>
      <c r="K137">
        <v>139</v>
      </c>
      <c r="L137">
        <v>27.4</v>
      </c>
      <c r="M137">
        <v>21.5</v>
      </c>
    </row>
    <row r="138" spans="1:13" x14ac:dyDescent="0.25">
      <c r="A138" t="s">
        <v>191</v>
      </c>
      <c r="B138">
        <v>759</v>
      </c>
      <c r="C138" s="4">
        <v>4233</v>
      </c>
      <c r="D138">
        <v>21.3</v>
      </c>
      <c r="E138">
        <v>0.4</v>
      </c>
      <c r="F138">
        <v>19.899999999999999</v>
      </c>
      <c r="G138">
        <v>0</v>
      </c>
      <c r="H138">
        <v>1.3</v>
      </c>
      <c r="I138">
        <v>759</v>
      </c>
      <c r="J138" s="6">
        <v>139</v>
      </c>
      <c r="K138">
        <v>140</v>
      </c>
      <c r="L138">
        <v>30.7</v>
      </c>
      <c r="M138">
        <v>21.3</v>
      </c>
    </row>
    <row r="139" spans="1:13" x14ac:dyDescent="0.25">
      <c r="A139" t="s">
        <v>192</v>
      </c>
      <c r="B139">
        <v>561</v>
      </c>
      <c r="C139" s="4">
        <v>3125</v>
      </c>
      <c r="D139">
        <v>22.7</v>
      </c>
      <c r="E139">
        <v>0.4</v>
      </c>
      <c r="F139">
        <v>21.4</v>
      </c>
      <c r="G139">
        <v>0</v>
      </c>
      <c r="H139">
        <v>1.2</v>
      </c>
      <c r="I139">
        <v>561</v>
      </c>
      <c r="J139" s="6">
        <v>140</v>
      </c>
      <c r="K139">
        <v>141</v>
      </c>
      <c r="L139">
        <v>35.700000000000003</v>
      </c>
      <c r="M139">
        <v>22.7</v>
      </c>
    </row>
    <row r="140" spans="1:13" x14ac:dyDescent="0.25">
      <c r="A140" t="s">
        <v>193</v>
      </c>
      <c r="B140">
        <v>591</v>
      </c>
      <c r="C140" s="4">
        <v>3201</v>
      </c>
      <c r="D140">
        <v>21.5</v>
      </c>
      <c r="E140">
        <v>0.4</v>
      </c>
      <c r="F140">
        <v>20.2</v>
      </c>
      <c r="G140">
        <v>0</v>
      </c>
      <c r="H140">
        <v>1.2</v>
      </c>
      <c r="I140">
        <v>591</v>
      </c>
      <c r="J140" s="6">
        <v>141</v>
      </c>
      <c r="K140">
        <v>142</v>
      </c>
      <c r="L140">
        <v>29.1</v>
      </c>
      <c r="M140">
        <v>21.5</v>
      </c>
    </row>
    <row r="141" spans="1:13" x14ac:dyDescent="0.25">
      <c r="A141" t="s">
        <v>194</v>
      </c>
      <c r="B141">
        <v>476</v>
      </c>
      <c r="C141" s="4">
        <v>2692</v>
      </c>
      <c r="D141">
        <v>20.9</v>
      </c>
      <c r="E141">
        <v>0.4</v>
      </c>
      <c r="F141">
        <v>19.600000000000001</v>
      </c>
      <c r="G141">
        <v>0</v>
      </c>
      <c r="H141">
        <v>1.2</v>
      </c>
      <c r="I141">
        <v>476</v>
      </c>
      <c r="J141" s="6">
        <v>142</v>
      </c>
      <c r="K141">
        <v>143</v>
      </c>
      <c r="L141">
        <v>28.6</v>
      </c>
      <c r="M141">
        <v>20.9</v>
      </c>
    </row>
    <row r="142" spans="1:13" x14ac:dyDescent="0.25">
      <c r="A142" t="s">
        <v>195</v>
      </c>
      <c r="B142">
        <v>518</v>
      </c>
      <c r="C142" s="4">
        <v>2895</v>
      </c>
      <c r="D142">
        <v>22</v>
      </c>
      <c r="E142">
        <v>0.4</v>
      </c>
      <c r="F142">
        <v>20.8</v>
      </c>
      <c r="G142">
        <v>0</v>
      </c>
      <c r="H142">
        <v>1.1000000000000001</v>
      </c>
      <c r="I142">
        <v>518</v>
      </c>
      <c r="J142" s="6">
        <v>143</v>
      </c>
      <c r="K142">
        <v>144</v>
      </c>
      <c r="L142">
        <v>27.4</v>
      </c>
      <c r="M142">
        <v>22</v>
      </c>
    </row>
    <row r="143" spans="1:13" x14ac:dyDescent="0.25">
      <c r="A143" t="s">
        <v>196</v>
      </c>
      <c r="B143">
        <v>532</v>
      </c>
      <c r="C143" s="4">
        <v>3132</v>
      </c>
      <c r="D143">
        <v>21.7</v>
      </c>
      <c r="E143">
        <v>0.4</v>
      </c>
      <c r="F143">
        <v>20.6</v>
      </c>
      <c r="G143">
        <v>0</v>
      </c>
      <c r="H143">
        <v>1</v>
      </c>
      <c r="I143">
        <v>532</v>
      </c>
      <c r="J143" s="6">
        <v>144</v>
      </c>
      <c r="K143">
        <v>145</v>
      </c>
      <c r="L143">
        <v>26.3</v>
      </c>
      <c r="M143">
        <v>21.7</v>
      </c>
    </row>
    <row r="144" spans="1:13" x14ac:dyDescent="0.25">
      <c r="A144" t="s">
        <v>197</v>
      </c>
      <c r="B144">
        <v>478</v>
      </c>
      <c r="C144" s="4">
        <v>2733</v>
      </c>
      <c r="D144">
        <v>23.4</v>
      </c>
      <c r="E144">
        <v>0.4</v>
      </c>
      <c r="F144">
        <v>22.5</v>
      </c>
      <c r="G144">
        <v>0</v>
      </c>
      <c r="H144">
        <v>0.8</v>
      </c>
      <c r="I144">
        <v>478</v>
      </c>
      <c r="J144" s="6">
        <v>145</v>
      </c>
      <c r="K144">
        <v>146</v>
      </c>
      <c r="L144">
        <v>27.4</v>
      </c>
      <c r="M144">
        <v>23.4</v>
      </c>
    </row>
    <row r="145" spans="1:13" x14ac:dyDescent="0.25">
      <c r="A145" t="s">
        <v>198</v>
      </c>
      <c r="B145">
        <v>478</v>
      </c>
      <c r="C145" s="4">
        <v>2804</v>
      </c>
      <c r="D145">
        <v>23.1</v>
      </c>
      <c r="E145">
        <v>0.4</v>
      </c>
      <c r="F145">
        <v>22.1</v>
      </c>
      <c r="G145">
        <v>0</v>
      </c>
      <c r="H145">
        <v>0.9</v>
      </c>
      <c r="I145">
        <v>478</v>
      </c>
      <c r="J145" s="6">
        <v>146</v>
      </c>
      <c r="K145">
        <v>147</v>
      </c>
      <c r="L145">
        <v>25.2</v>
      </c>
      <c r="M145">
        <v>23.1</v>
      </c>
    </row>
    <row r="146" spans="1:13" x14ac:dyDescent="0.25">
      <c r="A146" t="s">
        <v>199</v>
      </c>
      <c r="B146">
        <v>477</v>
      </c>
      <c r="C146" s="4">
        <v>2833</v>
      </c>
      <c r="D146">
        <v>22.9</v>
      </c>
      <c r="E146">
        <v>0.4</v>
      </c>
      <c r="F146">
        <v>22</v>
      </c>
      <c r="G146">
        <v>0</v>
      </c>
      <c r="H146">
        <v>0.8</v>
      </c>
      <c r="I146">
        <v>477</v>
      </c>
      <c r="J146" s="6">
        <v>147</v>
      </c>
      <c r="K146">
        <v>148</v>
      </c>
      <c r="L146">
        <v>26.9</v>
      </c>
      <c r="M146">
        <v>22.9</v>
      </c>
    </row>
    <row r="147" spans="1:13" x14ac:dyDescent="0.25">
      <c r="A147" t="s">
        <v>200</v>
      </c>
      <c r="B147">
        <v>426</v>
      </c>
      <c r="C147" s="4">
        <v>2541</v>
      </c>
      <c r="D147">
        <v>24.1</v>
      </c>
      <c r="E147">
        <v>0.4</v>
      </c>
      <c r="F147">
        <v>23.2</v>
      </c>
      <c r="G147">
        <v>0</v>
      </c>
      <c r="H147">
        <v>0.8</v>
      </c>
      <c r="I147">
        <v>426</v>
      </c>
      <c r="J147" s="6">
        <v>148</v>
      </c>
      <c r="K147">
        <v>149</v>
      </c>
      <c r="L147">
        <v>28.9</v>
      </c>
      <c r="M147">
        <v>24.1</v>
      </c>
    </row>
    <row r="148" spans="1:13" x14ac:dyDescent="0.25">
      <c r="A148" t="s">
        <v>202</v>
      </c>
      <c r="B148">
        <v>359</v>
      </c>
      <c r="C148" s="4">
        <v>2126</v>
      </c>
      <c r="D148">
        <v>25.5</v>
      </c>
      <c r="E148">
        <v>0.4</v>
      </c>
      <c r="F148">
        <v>24.6</v>
      </c>
      <c r="G148">
        <v>0</v>
      </c>
      <c r="H148">
        <v>0.7</v>
      </c>
      <c r="I148">
        <v>359</v>
      </c>
      <c r="J148" s="6">
        <v>149</v>
      </c>
      <c r="K148">
        <v>150</v>
      </c>
      <c r="L148">
        <v>35.9</v>
      </c>
      <c r="M148">
        <v>25.5</v>
      </c>
    </row>
    <row r="149" spans="1:13" x14ac:dyDescent="0.25">
      <c r="A149" t="s">
        <v>203</v>
      </c>
      <c r="B149">
        <v>354</v>
      </c>
      <c r="C149" s="4">
        <v>2106</v>
      </c>
      <c r="D149">
        <v>24.8</v>
      </c>
      <c r="E149">
        <v>0.4</v>
      </c>
      <c r="F149">
        <v>24</v>
      </c>
      <c r="G149">
        <v>0</v>
      </c>
      <c r="H149">
        <v>0.7</v>
      </c>
      <c r="I149">
        <v>354</v>
      </c>
      <c r="J149" s="6">
        <v>150</v>
      </c>
      <c r="K149">
        <v>151</v>
      </c>
      <c r="L149">
        <v>31.8</v>
      </c>
      <c r="M149">
        <v>24.8</v>
      </c>
    </row>
    <row r="150" spans="1:13" x14ac:dyDescent="0.25">
      <c r="A150" t="s">
        <v>204</v>
      </c>
      <c r="B150">
        <v>360</v>
      </c>
      <c r="C150" s="4">
        <v>2150</v>
      </c>
      <c r="D150">
        <v>24.5</v>
      </c>
      <c r="E150">
        <v>0.4</v>
      </c>
      <c r="F150">
        <v>23.7</v>
      </c>
      <c r="G150">
        <v>0</v>
      </c>
      <c r="H150">
        <v>0.6</v>
      </c>
      <c r="I150">
        <v>360</v>
      </c>
      <c r="J150" s="6">
        <v>151</v>
      </c>
      <c r="K150">
        <v>152</v>
      </c>
      <c r="L150">
        <v>39.700000000000003</v>
      </c>
      <c r="M150">
        <v>24.5</v>
      </c>
    </row>
    <row r="151" spans="1:13" x14ac:dyDescent="0.25">
      <c r="A151" t="s">
        <v>205</v>
      </c>
      <c r="B151">
        <v>323</v>
      </c>
      <c r="C151" s="4">
        <v>1906</v>
      </c>
      <c r="D151">
        <v>25.3</v>
      </c>
      <c r="E151">
        <v>0.4</v>
      </c>
      <c r="F151">
        <v>24.6</v>
      </c>
      <c r="G151">
        <v>0</v>
      </c>
      <c r="H151">
        <v>0.6</v>
      </c>
      <c r="I151">
        <v>323</v>
      </c>
      <c r="J151" s="6">
        <v>152</v>
      </c>
      <c r="K151">
        <v>153</v>
      </c>
      <c r="L151">
        <v>42.6</v>
      </c>
      <c r="M151">
        <v>25.3</v>
      </c>
    </row>
    <row r="152" spans="1:13" x14ac:dyDescent="0.25">
      <c r="A152" t="s">
        <v>206</v>
      </c>
      <c r="B152">
        <v>289</v>
      </c>
      <c r="C152" s="4">
        <v>1716</v>
      </c>
      <c r="D152">
        <v>25.2</v>
      </c>
      <c r="E152">
        <v>0.4</v>
      </c>
      <c r="F152">
        <v>24.3</v>
      </c>
      <c r="G152">
        <v>0</v>
      </c>
      <c r="H152">
        <v>0.8</v>
      </c>
      <c r="I152">
        <v>289</v>
      </c>
      <c r="J152" s="6">
        <v>153</v>
      </c>
      <c r="K152">
        <v>154</v>
      </c>
      <c r="L152">
        <v>46.2</v>
      </c>
      <c r="M152">
        <v>25.2</v>
      </c>
    </row>
    <row r="153" spans="1:13" x14ac:dyDescent="0.25">
      <c r="A153" t="s">
        <v>207</v>
      </c>
      <c r="B153">
        <v>271</v>
      </c>
      <c r="C153" s="4">
        <v>1637</v>
      </c>
      <c r="D153">
        <v>24.8</v>
      </c>
      <c r="E153">
        <v>0.4</v>
      </c>
      <c r="F153">
        <v>24</v>
      </c>
      <c r="G153">
        <v>0</v>
      </c>
      <c r="H153">
        <v>0.6</v>
      </c>
      <c r="I153">
        <v>271</v>
      </c>
      <c r="J153" s="6">
        <v>154</v>
      </c>
      <c r="K153">
        <v>155</v>
      </c>
      <c r="L153">
        <v>34.9</v>
      </c>
      <c r="M153">
        <v>24.8</v>
      </c>
    </row>
    <row r="154" spans="1:13" x14ac:dyDescent="0.25">
      <c r="A154" t="s">
        <v>208</v>
      </c>
      <c r="B154">
        <v>214</v>
      </c>
      <c r="C154" s="4">
        <v>1270</v>
      </c>
      <c r="D154">
        <v>25.1</v>
      </c>
      <c r="E154">
        <v>0.4</v>
      </c>
      <c r="F154">
        <v>24.4</v>
      </c>
      <c r="G154">
        <v>0</v>
      </c>
      <c r="H154">
        <v>0.6</v>
      </c>
      <c r="I154">
        <v>214</v>
      </c>
      <c r="J154" s="6">
        <v>155</v>
      </c>
      <c r="K154">
        <v>156</v>
      </c>
      <c r="L154">
        <v>44</v>
      </c>
      <c r="M154">
        <v>25.1</v>
      </c>
    </row>
    <row r="155" spans="1:13" x14ac:dyDescent="0.25">
      <c r="A155" t="s">
        <v>209</v>
      </c>
      <c r="B155">
        <v>211</v>
      </c>
      <c r="C155" s="4">
        <v>1278</v>
      </c>
      <c r="D155">
        <v>25.9</v>
      </c>
      <c r="E155">
        <v>0.4</v>
      </c>
      <c r="F155">
        <v>25.1</v>
      </c>
      <c r="G155">
        <v>0</v>
      </c>
      <c r="H155">
        <v>0.6</v>
      </c>
      <c r="I155">
        <v>211</v>
      </c>
      <c r="J155" s="6">
        <v>156</v>
      </c>
      <c r="K155">
        <v>157</v>
      </c>
      <c r="L155">
        <v>27.2</v>
      </c>
      <c r="M155">
        <v>25.9</v>
      </c>
    </row>
    <row r="156" spans="1:13" x14ac:dyDescent="0.25">
      <c r="A156" t="s">
        <v>210</v>
      </c>
      <c r="B156">
        <v>172</v>
      </c>
      <c r="C156" s="4">
        <v>1035</v>
      </c>
      <c r="D156">
        <v>27</v>
      </c>
      <c r="E156">
        <v>0.4</v>
      </c>
      <c r="F156">
        <v>26.2</v>
      </c>
      <c r="G156">
        <v>0</v>
      </c>
      <c r="H156">
        <v>0.6</v>
      </c>
      <c r="I156">
        <v>172</v>
      </c>
      <c r="J156" s="6">
        <v>157</v>
      </c>
      <c r="K156">
        <v>158</v>
      </c>
      <c r="L156">
        <v>37</v>
      </c>
      <c r="M156">
        <v>27</v>
      </c>
    </row>
    <row r="157" spans="1:13" x14ac:dyDescent="0.25">
      <c r="A157" t="s">
        <v>211</v>
      </c>
      <c r="B157">
        <v>152</v>
      </c>
      <c r="C157">
        <v>938</v>
      </c>
      <c r="D157">
        <v>27.8</v>
      </c>
      <c r="E157">
        <v>0.4</v>
      </c>
      <c r="F157">
        <v>27</v>
      </c>
      <c r="G157">
        <v>0</v>
      </c>
      <c r="H157">
        <v>0.6</v>
      </c>
      <c r="I157">
        <v>152</v>
      </c>
      <c r="J157" s="6">
        <v>158</v>
      </c>
      <c r="K157">
        <v>159</v>
      </c>
      <c r="L157">
        <v>36.4</v>
      </c>
      <c r="M157">
        <v>27.8</v>
      </c>
    </row>
    <row r="158" spans="1:13" x14ac:dyDescent="0.25">
      <c r="A158" t="s">
        <v>213</v>
      </c>
      <c r="B158">
        <v>187</v>
      </c>
      <c r="C158" s="4">
        <v>1125</v>
      </c>
      <c r="D158">
        <v>26.3</v>
      </c>
      <c r="E158">
        <v>0.4</v>
      </c>
      <c r="F158">
        <v>25.5</v>
      </c>
      <c r="G158">
        <v>0</v>
      </c>
      <c r="H158">
        <v>0.7</v>
      </c>
      <c r="I158">
        <v>187</v>
      </c>
      <c r="J158" s="6">
        <v>159</v>
      </c>
      <c r="K158">
        <v>160</v>
      </c>
      <c r="L158">
        <v>28.8</v>
      </c>
      <c r="M158">
        <v>26.3</v>
      </c>
    </row>
    <row r="159" spans="1:13" x14ac:dyDescent="0.25">
      <c r="A159" t="s">
        <v>214</v>
      </c>
      <c r="B159">
        <v>136</v>
      </c>
      <c r="C159">
        <v>795</v>
      </c>
      <c r="D159">
        <v>27.8</v>
      </c>
      <c r="E159">
        <v>0.4</v>
      </c>
      <c r="F159">
        <v>26.8</v>
      </c>
      <c r="G159">
        <v>0</v>
      </c>
      <c r="H159">
        <v>0.9</v>
      </c>
      <c r="I159">
        <v>136</v>
      </c>
      <c r="J159" s="6">
        <v>160</v>
      </c>
      <c r="K159">
        <v>161</v>
      </c>
      <c r="L159">
        <v>34.799999999999997</v>
      </c>
      <c r="M159">
        <v>27.8</v>
      </c>
    </row>
    <row r="160" spans="1:13" x14ac:dyDescent="0.25">
      <c r="A160" t="s">
        <v>215</v>
      </c>
      <c r="B160">
        <v>132</v>
      </c>
      <c r="C160">
        <v>785</v>
      </c>
      <c r="D160">
        <v>28.7</v>
      </c>
      <c r="E160">
        <v>0.4</v>
      </c>
      <c r="F160">
        <v>27.9</v>
      </c>
      <c r="G160">
        <v>0</v>
      </c>
      <c r="H160">
        <v>0.6</v>
      </c>
      <c r="I160">
        <v>132</v>
      </c>
      <c r="J160" s="6">
        <v>161</v>
      </c>
      <c r="K160">
        <v>162</v>
      </c>
      <c r="L160">
        <v>33.700000000000003</v>
      </c>
      <c r="M160">
        <v>28.7</v>
      </c>
    </row>
    <row r="161" spans="1:13" x14ac:dyDescent="0.25">
      <c r="A161" t="s">
        <v>216</v>
      </c>
      <c r="B161">
        <v>154</v>
      </c>
      <c r="C161">
        <v>902</v>
      </c>
      <c r="D161">
        <v>28.4</v>
      </c>
      <c r="E161">
        <v>0.4</v>
      </c>
      <c r="F161">
        <v>27.7</v>
      </c>
      <c r="G161">
        <v>0</v>
      </c>
      <c r="H161">
        <v>0.6</v>
      </c>
      <c r="I161">
        <v>154</v>
      </c>
      <c r="J161" s="6">
        <v>162</v>
      </c>
      <c r="K161">
        <v>163</v>
      </c>
      <c r="L161">
        <v>31</v>
      </c>
      <c r="M161">
        <v>28.4</v>
      </c>
    </row>
    <row r="162" spans="1:13" x14ac:dyDescent="0.25">
      <c r="A162" t="s">
        <v>217</v>
      </c>
      <c r="B162">
        <v>115</v>
      </c>
      <c r="C162">
        <v>664</v>
      </c>
      <c r="D162">
        <v>27.7</v>
      </c>
      <c r="E162">
        <v>0.4</v>
      </c>
      <c r="F162">
        <v>27</v>
      </c>
      <c r="G162">
        <v>0</v>
      </c>
      <c r="H162">
        <v>0.5</v>
      </c>
      <c r="I162">
        <v>115</v>
      </c>
      <c r="J162" s="6">
        <v>163</v>
      </c>
      <c r="K162">
        <v>164</v>
      </c>
      <c r="L162">
        <v>40.299999999999997</v>
      </c>
      <c r="M162">
        <v>27.7</v>
      </c>
    </row>
    <row r="163" spans="1:13" x14ac:dyDescent="0.25">
      <c r="A163" t="s">
        <v>218</v>
      </c>
      <c r="B163">
        <v>109</v>
      </c>
      <c r="C163">
        <v>621</v>
      </c>
      <c r="D163">
        <v>28.4</v>
      </c>
      <c r="E163">
        <v>0.4</v>
      </c>
      <c r="F163">
        <v>27.7</v>
      </c>
      <c r="G163">
        <v>0</v>
      </c>
      <c r="H163">
        <v>0.6</v>
      </c>
      <c r="I163">
        <v>109</v>
      </c>
      <c r="J163" s="6">
        <v>164</v>
      </c>
      <c r="K163">
        <v>165</v>
      </c>
      <c r="L163">
        <v>34.1</v>
      </c>
      <c r="M163">
        <v>28.4</v>
      </c>
    </row>
    <row r="164" spans="1:13" x14ac:dyDescent="0.25">
      <c r="A164" t="s">
        <v>219</v>
      </c>
      <c r="B164">
        <v>126</v>
      </c>
      <c r="C164">
        <v>715</v>
      </c>
      <c r="D164">
        <v>29.1</v>
      </c>
      <c r="E164">
        <v>0.4</v>
      </c>
      <c r="F164">
        <v>28.4</v>
      </c>
      <c r="G164">
        <v>0</v>
      </c>
      <c r="H164">
        <v>0.6</v>
      </c>
      <c r="I164">
        <v>126</v>
      </c>
      <c r="J164" s="6">
        <v>165</v>
      </c>
      <c r="K164">
        <v>166</v>
      </c>
      <c r="L164">
        <v>38.4</v>
      </c>
      <c r="M164">
        <v>29.1</v>
      </c>
    </row>
    <row r="165" spans="1:13" x14ac:dyDescent="0.25">
      <c r="A165" t="s">
        <v>220</v>
      </c>
      <c r="B165">
        <v>130</v>
      </c>
      <c r="C165">
        <v>739</v>
      </c>
      <c r="D165">
        <v>29.7</v>
      </c>
      <c r="E165">
        <v>0.4</v>
      </c>
      <c r="F165">
        <v>29</v>
      </c>
      <c r="G165">
        <v>0</v>
      </c>
      <c r="H165">
        <v>0.5</v>
      </c>
      <c r="I165">
        <v>130</v>
      </c>
      <c r="J165" s="6">
        <v>166</v>
      </c>
      <c r="K165">
        <v>167</v>
      </c>
      <c r="L165">
        <v>42</v>
      </c>
      <c r="M165">
        <v>29.7</v>
      </c>
    </row>
    <row r="166" spans="1:13" x14ac:dyDescent="0.25">
      <c r="A166" t="s">
        <v>221</v>
      </c>
      <c r="B166">
        <v>129</v>
      </c>
      <c r="C166">
        <v>762</v>
      </c>
      <c r="D166">
        <v>28.7</v>
      </c>
      <c r="E166">
        <v>0.4</v>
      </c>
      <c r="F166">
        <v>28.1</v>
      </c>
      <c r="G166">
        <v>0</v>
      </c>
      <c r="H166">
        <v>0.5</v>
      </c>
      <c r="I166">
        <v>129</v>
      </c>
      <c r="J166" s="6">
        <v>167</v>
      </c>
      <c r="K166">
        <v>168</v>
      </c>
      <c r="L166">
        <v>28.2</v>
      </c>
      <c r="M166">
        <v>28.7</v>
      </c>
    </row>
    <row r="167" spans="1:13" x14ac:dyDescent="0.25">
      <c r="A167" t="s">
        <v>222</v>
      </c>
      <c r="B167">
        <v>135</v>
      </c>
      <c r="C167">
        <v>801</v>
      </c>
      <c r="D167">
        <v>28.7</v>
      </c>
      <c r="E167">
        <v>0.4</v>
      </c>
      <c r="F167">
        <v>28</v>
      </c>
      <c r="G167">
        <v>0</v>
      </c>
      <c r="H167">
        <v>0.5</v>
      </c>
      <c r="I167">
        <v>135</v>
      </c>
      <c r="J167" s="6">
        <v>168</v>
      </c>
      <c r="K167">
        <v>169</v>
      </c>
      <c r="L167">
        <v>34.299999999999997</v>
      </c>
      <c r="M167">
        <v>28.7</v>
      </c>
    </row>
    <row r="168" spans="1:13" x14ac:dyDescent="0.25">
      <c r="A168" t="s">
        <v>224</v>
      </c>
      <c r="B168">
        <v>107</v>
      </c>
      <c r="C168">
        <v>624</v>
      </c>
      <c r="D168">
        <v>29</v>
      </c>
      <c r="E168">
        <v>0.4</v>
      </c>
      <c r="F168">
        <v>28.4</v>
      </c>
      <c r="G168">
        <v>0</v>
      </c>
      <c r="H168">
        <v>0.4</v>
      </c>
      <c r="I168">
        <v>107</v>
      </c>
      <c r="J168" s="6">
        <v>169</v>
      </c>
      <c r="K168">
        <v>170</v>
      </c>
      <c r="L168">
        <v>25.6</v>
      </c>
      <c r="M168">
        <v>29</v>
      </c>
    </row>
  </sheetData>
  <sortState ref="A2:M168">
    <sortCondition ref="K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Balance Check</vt:lpstr>
      <vt:lpstr>CQ 3.5 13</vt:lpstr>
      <vt:lpstr>CQ 3.5 12</vt:lpstr>
      <vt:lpstr>CQ 4.0 13</vt:lpstr>
      <vt:lpstr>CQ 4.0 12</vt:lpstr>
      <vt:lpstr>CQ 4.5 14</vt:lpstr>
      <vt:lpstr>CQ 4.5 13</vt:lpstr>
      <vt:lpstr>CQ 4.5 11</vt:lpstr>
      <vt:lpstr>CR 3.5 13</vt:lpstr>
      <vt:lpstr>CR 3.5 12</vt:lpstr>
      <vt:lpstr>CR 4.0 13</vt:lpstr>
      <vt:lpstr>CR 4.0 12</vt:lpstr>
      <vt:lpstr>CR 4.5 12</vt:lpstr>
      <vt:lpstr>CR</vt:lpstr>
      <vt:lpstr>Conv 3.5 13</vt:lpstr>
      <vt:lpstr>Conv 3.5 12 </vt:lpstr>
      <vt:lpstr>Conv 4.0 13</vt:lpstr>
      <vt:lpstr>Conv 4.0 12</vt:lpstr>
      <vt:lpstr>Conv 4.5 11</vt:lpstr>
      <vt:lpstr>Conv</vt:lpstr>
      <vt:lpstr>CLTV Conv</vt:lpstr>
      <vt:lpstr>Sheet25</vt:lpstr>
      <vt:lpstr>'CLTV Conv'!temp</vt:lpstr>
      <vt:lpstr>Sheet25!temp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2016-01-12T16:43:03Z</cp:lastPrinted>
  <dcterms:created xsi:type="dcterms:W3CDTF">2016-01-11T18:31:57Z</dcterms:created>
  <dcterms:modified xsi:type="dcterms:W3CDTF">2016-01-15T14:38:20Z</dcterms:modified>
</cp:coreProperties>
</file>