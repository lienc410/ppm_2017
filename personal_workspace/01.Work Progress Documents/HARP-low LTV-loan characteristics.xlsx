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4275" windowHeight="18420"/>
  </bookViews>
  <sheets>
    <sheet name="Data" sheetId="1" r:id="rId1"/>
    <sheet name="Chart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T4" i="1" l="1"/>
  <c r="AU4" i="1"/>
  <c r="AT5" i="1"/>
  <c r="AU5" i="1"/>
  <c r="AT6" i="1"/>
  <c r="AU6" i="1"/>
  <c r="AT7" i="1"/>
  <c r="AU7" i="1"/>
  <c r="AT8" i="1"/>
  <c r="AU8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T17" i="1"/>
  <c r="AU17" i="1"/>
  <c r="AT18" i="1"/>
  <c r="AU18" i="1"/>
  <c r="AT19" i="1"/>
  <c r="AU19" i="1"/>
  <c r="AT20" i="1"/>
  <c r="AU20" i="1"/>
  <c r="AT21" i="1"/>
  <c r="AU21" i="1"/>
  <c r="AT22" i="1"/>
  <c r="AU22" i="1"/>
  <c r="AT23" i="1"/>
  <c r="AU23" i="1"/>
  <c r="AT24" i="1"/>
  <c r="AU24" i="1"/>
  <c r="AT25" i="1"/>
  <c r="AU25" i="1"/>
  <c r="AT26" i="1"/>
  <c r="AU26" i="1"/>
  <c r="AT27" i="1"/>
  <c r="AU27" i="1"/>
  <c r="AT28" i="1"/>
  <c r="AU28" i="1"/>
  <c r="AT29" i="1"/>
  <c r="AU29" i="1"/>
  <c r="AT30" i="1"/>
  <c r="AU30" i="1"/>
  <c r="AT31" i="1"/>
  <c r="AU31" i="1"/>
  <c r="AT32" i="1"/>
  <c r="AU32" i="1"/>
  <c r="AT33" i="1"/>
  <c r="AU33" i="1"/>
  <c r="AT34" i="1"/>
  <c r="AU34" i="1"/>
  <c r="AT35" i="1"/>
  <c r="AU35" i="1"/>
  <c r="AT36" i="1"/>
  <c r="AU36" i="1"/>
  <c r="AT37" i="1"/>
  <c r="AU37" i="1"/>
  <c r="AT38" i="1"/>
  <c r="AU38" i="1"/>
  <c r="AT39" i="1"/>
  <c r="AU39" i="1"/>
  <c r="AT40" i="1"/>
  <c r="AU40" i="1"/>
  <c r="AT41" i="1"/>
  <c r="AU41" i="1"/>
  <c r="AT42" i="1"/>
  <c r="AU42" i="1"/>
  <c r="AT43" i="1"/>
  <c r="AU43" i="1"/>
  <c r="AT44" i="1"/>
  <c r="AU44" i="1"/>
  <c r="AT45" i="1"/>
  <c r="AU45" i="1"/>
  <c r="AT46" i="1"/>
  <c r="AU46" i="1"/>
  <c r="AT47" i="1"/>
  <c r="AU47" i="1"/>
  <c r="AT48" i="1"/>
  <c r="AU48" i="1"/>
  <c r="AT49" i="1"/>
  <c r="AU49" i="1"/>
  <c r="AT50" i="1"/>
  <c r="AU50" i="1"/>
  <c r="AT51" i="1"/>
  <c r="AU51" i="1"/>
  <c r="AT52" i="1"/>
  <c r="AU52" i="1"/>
  <c r="AT53" i="1"/>
  <c r="AU53" i="1"/>
  <c r="AT54" i="1"/>
  <c r="AU54" i="1"/>
  <c r="AT55" i="1"/>
  <c r="AU55" i="1"/>
  <c r="AT56" i="1"/>
  <c r="AU56" i="1"/>
  <c r="AT57" i="1"/>
  <c r="AU57" i="1"/>
  <c r="AT58" i="1"/>
  <c r="AU58" i="1"/>
  <c r="AT59" i="1"/>
  <c r="AU59" i="1"/>
  <c r="AT60" i="1"/>
  <c r="AU60" i="1"/>
  <c r="AU3" i="1"/>
  <c r="AT3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5" i="1"/>
  <c r="AS4" i="1"/>
  <c r="AS3" i="1"/>
  <c r="AP4" i="1"/>
  <c r="AQ4" i="1"/>
  <c r="AP5" i="1"/>
  <c r="AQ5" i="1"/>
  <c r="AP6" i="1"/>
  <c r="AQ6" i="1"/>
  <c r="AP7" i="1"/>
  <c r="AQ7" i="1"/>
  <c r="AP8" i="1"/>
  <c r="AQ8" i="1"/>
  <c r="AP9" i="1"/>
  <c r="AQ9" i="1"/>
  <c r="AP10" i="1"/>
  <c r="AQ10" i="1"/>
  <c r="AP11" i="1"/>
  <c r="AQ11" i="1"/>
  <c r="AP12" i="1"/>
  <c r="AQ12" i="1"/>
  <c r="AP13" i="1"/>
  <c r="AQ13" i="1"/>
  <c r="AP14" i="1"/>
  <c r="AQ14" i="1"/>
  <c r="AP15" i="1"/>
  <c r="AQ15" i="1"/>
  <c r="AP16" i="1"/>
  <c r="AQ16" i="1"/>
  <c r="AP17" i="1"/>
  <c r="AQ17" i="1"/>
  <c r="AP18" i="1"/>
  <c r="AQ18" i="1"/>
  <c r="AP19" i="1"/>
  <c r="AQ19" i="1"/>
  <c r="AP20" i="1"/>
  <c r="AQ20" i="1"/>
  <c r="AP21" i="1"/>
  <c r="AQ21" i="1"/>
  <c r="AP22" i="1"/>
  <c r="AQ22" i="1"/>
  <c r="AP23" i="1"/>
  <c r="AQ23" i="1"/>
  <c r="AP24" i="1"/>
  <c r="AQ24" i="1"/>
  <c r="AP25" i="1"/>
  <c r="AQ25" i="1"/>
  <c r="AP26" i="1"/>
  <c r="AQ26" i="1"/>
  <c r="AP27" i="1"/>
  <c r="AQ27" i="1"/>
  <c r="AP28" i="1"/>
  <c r="AQ28" i="1"/>
  <c r="AP29" i="1"/>
  <c r="AQ29" i="1"/>
  <c r="AP30" i="1"/>
  <c r="AQ30" i="1"/>
  <c r="AP31" i="1"/>
  <c r="AQ31" i="1"/>
  <c r="AP32" i="1"/>
  <c r="AQ32" i="1"/>
  <c r="AP33" i="1"/>
  <c r="AQ33" i="1"/>
  <c r="AP34" i="1"/>
  <c r="AQ34" i="1"/>
  <c r="AP35" i="1"/>
  <c r="AQ35" i="1"/>
  <c r="AP36" i="1"/>
  <c r="AQ36" i="1"/>
  <c r="AP37" i="1"/>
  <c r="AQ37" i="1"/>
  <c r="AP38" i="1"/>
  <c r="AQ38" i="1"/>
  <c r="AP39" i="1"/>
  <c r="AQ39" i="1"/>
  <c r="AP40" i="1"/>
  <c r="AQ40" i="1"/>
  <c r="AP41" i="1"/>
  <c r="AQ41" i="1"/>
  <c r="AP42" i="1"/>
  <c r="AQ42" i="1"/>
  <c r="AP43" i="1"/>
  <c r="AQ43" i="1"/>
  <c r="AP44" i="1"/>
  <c r="AQ44" i="1"/>
  <c r="AP45" i="1"/>
  <c r="AQ45" i="1"/>
  <c r="AP46" i="1"/>
  <c r="AQ46" i="1"/>
  <c r="AP47" i="1"/>
  <c r="AQ47" i="1"/>
  <c r="AP48" i="1"/>
  <c r="AQ48" i="1"/>
  <c r="AP49" i="1"/>
  <c r="AQ49" i="1"/>
  <c r="AP50" i="1"/>
  <c r="AQ50" i="1"/>
  <c r="AP51" i="1"/>
  <c r="AQ51" i="1"/>
  <c r="AP52" i="1"/>
  <c r="AQ52" i="1"/>
  <c r="AP53" i="1"/>
  <c r="AQ53" i="1"/>
  <c r="AP54" i="1"/>
  <c r="AQ54" i="1"/>
  <c r="AP55" i="1"/>
  <c r="AQ55" i="1"/>
  <c r="AP56" i="1"/>
  <c r="AQ56" i="1"/>
  <c r="AP57" i="1"/>
  <c r="AQ57" i="1"/>
  <c r="AP58" i="1"/>
  <c r="AQ58" i="1"/>
  <c r="AP59" i="1"/>
  <c r="AQ59" i="1"/>
  <c r="AP60" i="1"/>
  <c r="AQ60" i="1"/>
  <c r="AQ3" i="1"/>
  <c r="AP3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O3" i="1"/>
  <c r="AL4" i="1"/>
  <c r="AM4" i="1"/>
  <c r="AL5" i="1"/>
  <c r="AM5" i="1"/>
  <c r="AL6" i="1"/>
  <c r="AM6" i="1"/>
  <c r="AL7" i="1"/>
  <c r="AM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M3" i="1"/>
  <c r="AL3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H4" i="1"/>
  <c r="AI4" i="1"/>
  <c r="AH5" i="1"/>
  <c r="AI5" i="1"/>
  <c r="AH6" i="1"/>
  <c r="AI6" i="1"/>
  <c r="AH7" i="1"/>
  <c r="AI7" i="1"/>
  <c r="AH8" i="1"/>
  <c r="AI8" i="1"/>
  <c r="AH9" i="1"/>
  <c r="AI9" i="1"/>
  <c r="AH10" i="1"/>
  <c r="AI10" i="1"/>
  <c r="AH11" i="1"/>
  <c r="AI11" i="1"/>
  <c r="AH12" i="1"/>
  <c r="AI12" i="1"/>
  <c r="AH13" i="1"/>
  <c r="AI13" i="1"/>
  <c r="AH14" i="1"/>
  <c r="AI14" i="1"/>
  <c r="AH15" i="1"/>
  <c r="AI15" i="1"/>
  <c r="AH16" i="1"/>
  <c r="AI16" i="1"/>
  <c r="AH17" i="1"/>
  <c r="AI17" i="1"/>
  <c r="AH18" i="1"/>
  <c r="AI18" i="1"/>
  <c r="AH19" i="1"/>
  <c r="AI19" i="1"/>
  <c r="AH20" i="1"/>
  <c r="AI20" i="1"/>
  <c r="AH21" i="1"/>
  <c r="AI21" i="1"/>
  <c r="AH22" i="1"/>
  <c r="AI22" i="1"/>
  <c r="AH23" i="1"/>
  <c r="AI23" i="1"/>
  <c r="AH24" i="1"/>
  <c r="AI24" i="1"/>
  <c r="AH25" i="1"/>
  <c r="AI25" i="1"/>
  <c r="AH26" i="1"/>
  <c r="AI26" i="1"/>
  <c r="AH27" i="1"/>
  <c r="AI27" i="1"/>
  <c r="AH28" i="1"/>
  <c r="AI28" i="1"/>
  <c r="AH29" i="1"/>
  <c r="AI29" i="1"/>
  <c r="AH30" i="1"/>
  <c r="AI30" i="1"/>
  <c r="AH31" i="1"/>
  <c r="AI31" i="1"/>
  <c r="AH32" i="1"/>
  <c r="AI32" i="1"/>
  <c r="AH33" i="1"/>
  <c r="AI33" i="1"/>
  <c r="AH34" i="1"/>
  <c r="AI34" i="1"/>
  <c r="AH35" i="1"/>
  <c r="AI35" i="1"/>
  <c r="AH36" i="1"/>
  <c r="AI36" i="1"/>
  <c r="AH37" i="1"/>
  <c r="AI37" i="1"/>
  <c r="AH38" i="1"/>
  <c r="AI38" i="1"/>
  <c r="AH39" i="1"/>
  <c r="AI39" i="1"/>
  <c r="AH40" i="1"/>
  <c r="AI40" i="1"/>
  <c r="AH41" i="1"/>
  <c r="AI41" i="1"/>
  <c r="AH42" i="1"/>
  <c r="AI42" i="1"/>
  <c r="AH43" i="1"/>
  <c r="AI43" i="1"/>
  <c r="AH44" i="1"/>
  <c r="AI44" i="1"/>
  <c r="AH45" i="1"/>
  <c r="AI45" i="1"/>
  <c r="AH46" i="1"/>
  <c r="AI46" i="1"/>
  <c r="AH47" i="1"/>
  <c r="AI47" i="1"/>
  <c r="AH48" i="1"/>
  <c r="AI48" i="1"/>
  <c r="AH49" i="1"/>
  <c r="AI49" i="1"/>
  <c r="AH50" i="1"/>
  <c r="AI50" i="1"/>
  <c r="AH51" i="1"/>
  <c r="AI51" i="1"/>
  <c r="AH52" i="1"/>
  <c r="AI52" i="1"/>
  <c r="AH53" i="1"/>
  <c r="AI53" i="1"/>
  <c r="AH54" i="1"/>
  <c r="AI54" i="1"/>
  <c r="AH55" i="1"/>
  <c r="AI55" i="1"/>
  <c r="AH56" i="1"/>
  <c r="AI56" i="1"/>
  <c r="AH57" i="1"/>
  <c r="AI57" i="1"/>
  <c r="AH58" i="1"/>
  <c r="AI58" i="1"/>
  <c r="AH59" i="1"/>
  <c r="AI59" i="1"/>
  <c r="AH60" i="1"/>
  <c r="AI60" i="1"/>
  <c r="AI3" i="1"/>
  <c r="AH3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D4" i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D49" i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E55" i="1"/>
  <c r="AD56" i="1"/>
  <c r="AE56" i="1"/>
  <c r="AD57" i="1"/>
  <c r="AE57" i="1"/>
  <c r="AD58" i="1"/>
  <c r="AE58" i="1"/>
  <c r="AD59" i="1"/>
  <c r="AE59" i="1"/>
  <c r="AD60" i="1"/>
  <c r="AE60" i="1"/>
  <c r="AE3" i="1"/>
  <c r="AD3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AA3" i="1"/>
  <c r="Z3" i="1"/>
  <c r="Y5" i="1"/>
  <c r="Y6" i="1"/>
  <c r="Y7" i="1"/>
  <c r="Y8" i="1"/>
  <c r="Y13" i="1"/>
  <c r="Y14" i="1"/>
  <c r="Y15" i="1"/>
  <c r="Y16" i="1"/>
  <c r="Y21" i="1"/>
  <c r="Y22" i="1"/>
  <c r="Y23" i="1"/>
  <c r="Y24" i="1"/>
  <c r="Y29" i="1"/>
  <c r="Y30" i="1"/>
  <c r="Y31" i="1"/>
  <c r="Y32" i="1"/>
  <c r="Y37" i="1"/>
  <c r="Y38" i="1"/>
  <c r="Y39" i="1"/>
  <c r="Y40" i="1"/>
  <c r="Y45" i="1"/>
  <c r="Y46" i="1"/>
  <c r="Y47" i="1"/>
  <c r="Y48" i="1"/>
  <c r="Y53" i="1"/>
  <c r="Y54" i="1"/>
  <c r="Y55" i="1"/>
  <c r="Y56" i="1"/>
  <c r="Y3" i="1"/>
  <c r="U4" i="1"/>
  <c r="Y4" i="1" s="1"/>
  <c r="U5" i="1"/>
  <c r="U6" i="1"/>
  <c r="U7" i="1"/>
  <c r="U8" i="1"/>
  <c r="U9" i="1"/>
  <c r="Y9" i="1" s="1"/>
  <c r="U10" i="1"/>
  <c r="Y10" i="1" s="1"/>
  <c r="U11" i="1"/>
  <c r="Y11" i="1" s="1"/>
  <c r="U12" i="1"/>
  <c r="Y12" i="1" s="1"/>
  <c r="U13" i="1"/>
  <c r="U14" i="1"/>
  <c r="U15" i="1"/>
  <c r="U16" i="1"/>
  <c r="U17" i="1"/>
  <c r="Y17" i="1" s="1"/>
  <c r="U18" i="1"/>
  <c r="Y18" i="1" s="1"/>
  <c r="U19" i="1"/>
  <c r="Y19" i="1" s="1"/>
  <c r="U20" i="1"/>
  <c r="Y20" i="1" s="1"/>
  <c r="U21" i="1"/>
  <c r="U22" i="1"/>
  <c r="U23" i="1"/>
  <c r="U24" i="1"/>
  <c r="U25" i="1"/>
  <c r="Y25" i="1" s="1"/>
  <c r="U26" i="1"/>
  <c r="Y26" i="1" s="1"/>
  <c r="U27" i="1"/>
  <c r="Y27" i="1" s="1"/>
  <c r="U28" i="1"/>
  <c r="Y28" i="1" s="1"/>
  <c r="U29" i="1"/>
  <c r="U30" i="1"/>
  <c r="U31" i="1"/>
  <c r="U32" i="1"/>
  <c r="U33" i="1"/>
  <c r="Y33" i="1" s="1"/>
  <c r="U34" i="1"/>
  <c r="Y34" i="1" s="1"/>
  <c r="U35" i="1"/>
  <c r="Y35" i="1" s="1"/>
  <c r="U36" i="1"/>
  <c r="Y36" i="1" s="1"/>
  <c r="U37" i="1"/>
  <c r="U38" i="1"/>
  <c r="U39" i="1"/>
  <c r="U40" i="1"/>
  <c r="U41" i="1"/>
  <c r="Y41" i="1" s="1"/>
  <c r="U42" i="1"/>
  <c r="Y42" i="1" s="1"/>
  <c r="U43" i="1"/>
  <c r="Y43" i="1" s="1"/>
  <c r="U44" i="1"/>
  <c r="Y44" i="1" s="1"/>
  <c r="U45" i="1"/>
  <c r="U46" i="1"/>
  <c r="U47" i="1"/>
  <c r="U48" i="1"/>
  <c r="U49" i="1"/>
  <c r="Y49" i="1" s="1"/>
  <c r="U50" i="1"/>
  <c r="Y50" i="1" s="1"/>
  <c r="U51" i="1"/>
  <c r="Y51" i="1" s="1"/>
  <c r="U52" i="1"/>
  <c r="Y52" i="1" s="1"/>
  <c r="U53" i="1"/>
  <c r="U54" i="1"/>
  <c r="U55" i="1"/>
  <c r="U56" i="1"/>
  <c r="U57" i="1"/>
  <c r="Y57" i="1" s="1"/>
  <c r="U58" i="1"/>
  <c r="Y58" i="1" s="1"/>
  <c r="U59" i="1"/>
  <c r="Y59" i="1" s="1"/>
  <c r="U60" i="1"/>
  <c r="Y60" i="1" s="1"/>
  <c r="U3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V59" i="1"/>
  <c r="W59" i="1"/>
  <c r="V60" i="1"/>
  <c r="W60" i="1"/>
  <c r="W3" i="1"/>
  <c r="V3" i="1"/>
</calcChain>
</file>

<file path=xl/sharedStrings.xml><?xml version="1.0" encoding="utf-8"?>
<sst xmlns="http://schemas.openxmlformats.org/spreadsheetml/2006/main" count="39" uniqueCount="11">
  <si>
    <t>pmtdate</t>
  </si>
  <si>
    <t>cs</t>
  </si>
  <si>
    <t>OLTV</t>
  </si>
  <si>
    <t>origNoteRate</t>
  </si>
  <si>
    <t>coupon</t>
  </si>
  <si>
    <t>originalLoanAmount</t>
  </si>
  <si>
    <t>dti</t>
  </si>
  <si>
    <t>HARP</t>
  </si>
  <si>
    <t>Non-HARP</t>
  </si>
  <si>
    <t>SATO</t>
  </si>
  <si>
    <t>DTI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</si>
</sst>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Data!$V$2</c:f>
              <c:strCache>
                <c:ptCount val="1"/>
                <c:pt idx="0">
                  <c:v>HARP</c:v>
                </c:pt>
              </c:strCache>
            </c:strRef>
          </c:tx>
          <c:marker>
            <c:symbol val="none"/>
          </c:marker>
          <c:cat>
            <c:numRef>
              <c:f>Data!$U$3:$U$60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Data!$V$3:$V$60</c:f>
              <c:numCache>
                <c:formatCode>General</c:formatCode>
                <c:ptCount val="58"/>
                <c:pt idx="0">
                  <c:v>763.44803479881898</c:v>
                </c:pt>
                <c:pt idx="1">
                  <c:v>748.85217794253902</c:v>
                </c:pt>
                <c:pt idx="2">
                  <c:v>748.31585859691302</c:v>
                </c:pt>
                <c:pt idx="3">
                  <c:v>744.96769957983099</c:v>
                </c:pt>
                <c:pt idx="4">
                  <c:v>742.422205323193</c:v>
                </c:pt>
                <c:pt idx="5">
                  <c:v>744.665506439262</c:v>
                </c:pt>
                <c:pt idx="6">
                  <c:v>750.60391705069105</c:v>
                </c:pt>
                <c:pt idx="7">
                  <c:v>756.61588654950401</c:v>
                </c:pt>
                <c:pt idx="8">
                  <c:v>752.71083556203905</c:v>
                </c:pt>
                <c:pt idx="9">
                  <c:v>751.20426964301498</c:v>
                </c:pt>
                <c:pt idx="10">
                  <c:v>747.60791772330197</c:v>
                </c:pt>
                <c:pt idx="11">
                  <c:v>747.84507678410102</c:v>
                </c:pt>
                <c:pt idx="12">
                  <c:v>748.57011093107303</c:v>
                </c:pt>
                <c:pt idx="13">
                  <c:v>748.311917606669</c:v>
                </c:pt>
                <c:pt idx="14">
                  <c:v>755.90011676042798</c:v>
                </c:pt>
                <c:pt idx="15">
                  <c:v>760.65455498951098</c:v>
                </c:pt>
                <c:pt idx="16">
                  <c:v>761.49351264885297</c:v>
                </c:pt>
                <c:pt idx="17">
                  <c:v>762.61747061405595</c:v>
                </c:pt>
                <c:pt idx="18">
                  <c:v>760.71850938018395</c:v>
                </c:pt>
                <c:pt idx="19">
                  <c:v>763.21232137460595</c:v>
                </c:pt>
                <c:pt idx="20">
                  <c:v>760.28839689347296</c:v>
                </c:pt>
                <c:pt idx="21">
                  <c:v>757.29668351450505</c:v>
                </c:pt>
                <c:pt idx="22">
                  <c:v>751.31910499139406</c:v>
                </c:pt>
                <c:pt idx="23">
                  <c:v>748.52641707487703</c:v>
                </c:pt>
                <c:pt idx="24">
                  <c:v>747.09690201729097</c:v>
                </c:pt>
                <c:pt idx="25">
                  <c:v>748.21629279810998</c:v>
                </c:pt>
                <c:pt idx="26">
                  <c:v>752.123436538855</c:v>
                </c:pt>
                <c:pt idx="27">
                  <c:v>751.64336978810604</c:v>
                </c:pt>
                <c:pt idx="28">
                  <c:v>751.80593723494405</c:v>
                </c:pt>
                <c:pt idx="29">
                  <c:v>761.44453761379896</c:v>
                </c:pt>
                <c:pt idx="30">
                  <c:v>762.40291986359705</c:v>
                </c:pt>
                <c:pt idx="31">
                  <c:v>763.29066391984202</c:v>
                </c:pt>
                <c:pt idx="32">
                  <c:v>759.60950508788096</c:v>
                </c:pt>
                <c:pt idx="33">
                  <c:v>756.03659268146305</c:v>
                </c:pt>
                <c:pt idx="34">
                  <c:v>757.17911158747097</c:v>
                </c:pt>
                <c:pt idx="35">
                  <c:v>758.30195773369599</c:v>
                </c:pt>
                <c:pt idx="36">
                  <c:v>755.25581751377797</c:v>
                </c:pt>
                <c:pt idx="37">
                  <c:v>750.08319185059395</c:v>
                </c:pt>
                <c:pt idx="38">
                  <c:v>753.95176848874496</c:v>
                </c:pt>
                <c:pt idx="39">
                  <c:v>752.21651992585703</c:v>
                </c:pt>
                <c:pt idx="40">
                  <c:v>753.43206984667802</c:v>
                </c:pt>
                <c:pt idx="41">
                  <c:v>755.10740641948905</c:v>
                </c:pt>
                <c:pt idx="42">
                  <c:v>751.83982346832795</c:v>
                </c:pt>
                <c:pt idx="43">
                  <c:v>751.33318035796196</c:v>
                </c:pt>
                <c:pt idx="44">
                  <c:v>747.24607094746204</c:v>
                </c:pt>
                <c:pt idx="45">
                  <c:v>741.62530120481904</c:v>
                </c:pt>
                <c:pt idx="46">
                  <c:v>737.17224392729702</c:v>
                </c:pt>
                <c:pt idx="47">
                  <c:v>738.90295968702105</c:v>
                </c:pt>
                <c:pt idx="48">
                  <c:v>736.78366445916095</c:v>
                </c:pt>
                <c:pt idx="49">
                  <c:v>738.97299813780205</c:v>
                </c:pt>
                <c:pt idx="50">
                  <c:v>737.36641559592294</c:v>
                </c:pt>
                <c:pt idx="51">
                  <c:v>731.68392370572201</c:v>
                </c:pt>
                <c:pt idx="52">
                  <c:v>724.429657122658</c:v>
                </c:pt>
                <c:pt idx="53">
                  <c:v>720.69764733286695</c:v>
                </c:pt>
                <c:pt idx="54">
                  <c:v>718.20496894409905</c:v>
                </c:pt>
                <c:pt idx="55">
                  <c:v>719.38729899154998</c:v>
                </c:pt>
                <c:pt idx="56">
                  <c:v>717.13746784795603</c:v>
                </c:pt>
                <c:pt idx="57">
                  <c:v>717.69597315436204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Data!$W$2</c:f>
              <c:strCache>
                <c:ptCount val="1"/>
                <c:pt idx="0">
                  <c:v>Non-HARP</c:v>
                </c:pt>
              </c:strCache>
            </c:strRef>
          </c:tx>
          <c:marker>
            <c:symbol val="none"/>
          </c:marker>
          <c:cat>
            <c:numRef>
              <c:f>Data!$U$3:$U$60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Data!$W$3:$W$60</c:f>
              <c:numCache>
                <c:formatCode>General</c:formatCode>
                <c:ptCount val="58"/>
                <c:pt idx="0">
                  <c:v>769.15101842542197</c:v>
                </c:pt>
                <c:pt idx="1">
                  <c:v>769.56960707475901</c:v>
                </c:pt>
                <c:pt idx="2">
                  <c:v>768.07715341298399</c:v>
                </c:pt>
                <c:pt idx="3">
                  <c:v>764.71535893155203</c:v>
                </c:pt>
                <c:pt idx="4">
                  <c:v>760.641653837695</c:v>
                </c:pt>
                <c:pt idx="5">
                  <c:v>759.982510129763</c:v>
                </c:pt>
                <c:pt idx="6">
                  <c:v>763.54573442437004</c:v>
                </c:pt>
                <c:pt idx="7">
                  <c:v>764.19850231318105</c:v>
                </c:pt>
                <c:pt idx="8">
                  <c:v>764.41551276503606</c:v>
                </c:pt>
                <c:pt idx="9">
                  <c:v>763.60242772582899</c:v>
                </c:pt>
                <c:pt idx="10">
                  <c:v>760.79481432119701</c:v>
                </c:pt>
                <c:pt idx="11">
                  <c:v>760.08582137779501</c:v>
                </c:pt>
                <c:pt idx="12">
                  <c:v>760.01108878469802</c:v>
                </c:pt>
                <c:pt idx="13">
                  <c:v>759.26911454994899</c:v>
                </c:pt>
                <c:pt idx="14">
                  <c:v>763.93901381196997</c:v>
                </c:pt>
                <c:pt idx="15">
                  <c:v>767.63086486753105</c:v>
                </c:pt>
                <c:pt idx="16">
                  <c:v>770.07938718662899</c:v>
                </c:pt>
                <c:pt idx="17">
                  <c:v>771.21294498381803</c:v>
                </c:pt>
                <c:pt idx="18">
                  <c:v>770.19708703827598</c:v>
                </c:pt>
                <c:pt idx="19">
                  <c:v>769.16949322294101</c:v>
                </c:pt>
                <c:pt idx="20">
                  <c:v>767.03270103998796</c:v>
                </c:pt>
                <c:pt idx="21">
                  <c:v>763.05498146692105</c:v>
                </c:pt>
                <c:pt idx="22">
                  <c:v>760.05841432224997</c:v>
                </c:pt>
                <c:pt idx="23">
                  <c:v>757.85410262473295</c:v>
                </c:pt>
                <c:pt idx="24">
                  <c:v>756.54269848416595</c:v>
                </c:pt>
                <c:pt idx="25">
                  <c:v>756.44264384559301</c:v>
                </c:pt>
                <c:pt idx="26">
                  <c:v>759.37252901415604</c:v>
                </c:pt>
                <c:pt idx="27">
                  <c:v>761.43547826086899</c:v>
                </c:pt>
                <c:pt idx="28">
                  <c:v>763.92591113330002</c:v>
                </c:pt>
                <c:pt idx="29">
                  <c:v>771.19027032399094</c:v>
                </c:pt>
                <c:pt idx="30">
                  <c:v>773.19155645981596</c:v>
                </c:pt>
                <c:pt idx="31">
                  <c:v>772.55254886553303</c:v>
                </c:pt>
                <c:pt idx="32">
                  <c:v>771.53495799789903</c:v>
                </c:pt>
                <c:pt idx="33">
                  <c:v>773.11927377065399</c:v>
                </c:pt>
                <c:pt idx="34">
                  <c:v>773.14267765604495</c:v>
                </c:pt>
                <c:pt idx="35">
                  <c:v>772.20421702237002</c:v>
                </c:pt>
                <c:pt idx="36">
                  <c:v>769.411985018726</c:v>
                </c:pt>
                <c:pt idx="37">
                  <c:v>770.104014498325</c:v>
                </c:pt>
                <c:pt idx="38">
                  <c:v>770.33520497165205</c:v>
                </c:pt>
                <c:pt idx="39">
                  <c:v>772.126882206647</c:v>
                </c:pt>
                <c:pt idx="40">
                  <c:v>772.22018035250699</c:v>
                </c:pt>
                <c:pt idx="41">
                  <c:v>771.39452165621606</c:v>
                </c:pt>
                <c:pt idx="42">
                  <c:v>769.95832734174996</c:v>
                </c:pt>
                <c:pt idx="43">
                  <c:v>770.49259103141901</c:v>
                </c:pt>
                <c:pt idx="44">
                  <c:v>769.48198079897202</c:v>
                </c:pt>
                <c:pt idx="45">
                  <c:v>769.48457270275799</c:v>
                </c:pt>
                <c:pt idx="46">
                  <c:v>768.97870664760899</c:v>
                </c:pt>
                <c:pt idx="47">
                  <c:v>765.52392541707502</c:v>
                </c:pt>
                <c:pt idx="48">
                  <c:v>762.93271749620806</c:v>
                </c:pt>
                <c:pt idx="49">
                  <c:v>763.93838827838795</c:v>
                </c:pt>
                <c:pt idx="50">
                  <c:v>763.55107052082803</c:v>
                </c:pt>
                <c:pt idx="51">
                  <c:v>758.81091024421096</c:v>
                </c:pt>
                <c:pt idx="52">
                  <c:v>753.80922886342501</c:v>
                </c:pt>
                <c:pt idx="53">
                  <c:v>749.99377750796702</c:v>
                </c:pt>
                <c:pt idx="54">
                  <c:v>748.04606151537803</c:v>
                </c:pt>
                <c:pt idx="55">
                  <c:v>749.35770301037098</c:v>
                </c:pt>
                <c:pt idx="56">
                  <c:v>749.654103958517</c:v>
                </c:pt>
                <c:pt idx="57">
                  <c:v>748.61100849648994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71552"/>
        <c:axId val="139281536"/>
      </c:lineChart>
      <c:dateAx>
        <c:axId val="139271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9281536"/>
        <c:crosses val="autoZero"/>
        <c:auto val="1"/>
        <c:lblOffset val="100"/>
        <c:baseTimeUnit val="months"/>
      </c:dateAx>
      <c:valAx>
        <c:axId val="139281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271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OLTV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Data!$Z$2</c:f>
              <c:strCache>
                <c:ptCount val="1"/>
                <c:pt idx="0">
                  <c:v>HARP</c:v>
                </c:pt>
              </c:strCache>
            </c:strRef>
          </c:tx>
          <c:marker>
            <c:symbol val="none"/>
          </c:marker>
          <c:cat>
            <c:numRef>
              <c:f>Data!$Y$3:$Y$60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Data!$Z$3:$Z$60</c:f>
              <c:numCache>
                <c:formatCode>General</c:formatCode>
                <c:ptCount val="58"/>
                <c:pt idx="0">
                  <c:v>63.511263010719198</c:v>
                </c:pt>
                <c:pt idx="1">
                  <c:v>64.971269694161194</c:v>
                </c:pt>
                <c:pt idx="2">
                  <c:v>64.760971872605793</c:v>
                </c:pt>
                <c:pt idx="3">
                  <c:v>64.312893907562994</c:v>
                </c:pt>
                <c:pt idx="4">
                  <c:v>63.551178707224302</c:v>
                </c:pt>
                <c:pt idx="5">
                  <c:v>62.5405499477897</c:v>
                </c:pt>
                <c:pt idx="6">
                  <c:v>62.394470046082901</c:v>
                </c:pt>
                <c:pt idx="7">
                  <c:v>60.2905863929006</c:v>
                </c:pt>
                <c:pt idx="8">
                  <c:v>61.0310397925277</c:v>
                </c:pt>
                <c:pt idx="9">
                  <c:v>61.030206395606299</c:v>
                </c:pt>
                <c:pt idx="10">
                  <c:v>61.344040574809803</c:v>
                </c:pt>
                <c:pt idx="11">
                  <c:v>62.023599819331501</c:v>
                </c:pt>
                <c:pt idx="12">
                  <c:v>61.605135236195899</c:v>
                </c:pt>
                <c:pt idx="13">
                  <c:v>62.015203531142703</c:v>
                </c:pt>
                <c:pt idx="14">
                  <c:v>60.874535611930703</c:v>
                </c:pt>
                <c:pt idx="15">
                  <c:v>61.116571771051802</c:v>
                </c:pt>
                <c:pt idx="16">
                  <c:v>61.350435452337202</c:v>
                </c:pt>
                <c:pt idx="17">
                  <c:v>61.373506316148799</c:v>
                </c:pt>
                <c:pt idx="18">
                  <c:v>60.640745309907601</c:v>
                </c:pt>
                <c:pt idx="19">
                  <c:v>60.390450287095703</c:v>
                </c:pt>
                <c:pt idx="20">
                  <c:v>61.075170974846401</c:v>
                </c:pt>
                <c:pt idx="21">
                  <c:v>60.349027210413297</c:v>
                </c:pt>
                <c:pt idx="22">
                  <c:v>60.914056224899497</c:v>
                </c:pt>
                <c:pt idx="23">
                  <c:v>60.5955213435969</c:v>
                </c:pt>
                <c:pt idx="24">
                  <c:v>60.499279538904801</c:v>
                </c:pt>
                <c:pt idx="25">
                  <c:v>61.834474616292702</c:v>
                </c:pt>
                <c:pt idx="26">
                  <c:v>61.0311667008406</c:v>
                </c:pt>
                <c:pt idx="27">
                  <c:v>61.407894736842103</c:v>
                </c:pt>
                <c:pt idx="28">
                  <c:v>60.722307039864198</c:v>
                </c:pt>
                <c:pt idx="29">
                  <c:v>60.774436990896</c:v>
                </c:pt>
                <c:pt idx="30">
                  <c:v>60.857203751065597</c:v>
                </c:pt>
                <c:pt idx="31">
                  <c:v>60.914130536567001</c:v>
                </c:pt>
                <c:pt idx="32">
                  <c:v>61.425069380203503</c:v>
                </c:pt>
                <c:pt idx="33">
                  <c:v>61.650029994001102</c:v>
                </c:pt>
                <c:pt idx="34">
                  <c:v>61.766345123258297</c:v>
                </c:pt>
                <c:pt idx="35">
                  <c:v>61.721638791650399</c:v>
                </c:pt>
                <c:pt idx="36">
                  <c:v>61.8764543784445</c:v>
                </c:pt>
                <c:pt idx="37">
                  <c:v>62.719401142151497</c:v>
                </c:pt>
                <c:pt idx="38">
                  <c:v>61.514469453376201</c:v>
                </c:pt>
                <c:pt idx="39">
                  <c:v>61.759267840593097</c:v>
                </c:pt>
                <c:pt idx="40">
                  <c:v>62.059838160136202</c:v>
                </c:pt>
                <c:pt idx="41">
                  <c:v>61.583177736285201</c:v>
                </c:pt>
                <c:pt idx="42">
                  <c:v>61.777864312910999</c:v>
                </c:pt>
                <c:pt idx="43">
                  <c:v>61.891601652134</c:v>
                </c:pt>
                <c:pt idx="44">
                  <c:v>62.008352043107301</c:v>
                </c:pt>
                <c:pt idx="45">
                  <c:v>62.346213425129001</c:v>
                </c:pt>
                <c:pt idx="46">
                  <c:v>62.413028707321203</c:v>
                </c:pt>
                <c:pt idx="47">
                  <c:v>61.9494812042864</c:v>
                </c:pt>
                <c:pt idx="48">
                  <c:v>62.394131714495899</c:v>
                </c:pt>
                <c:pt idx="49">
                  <c:v>62.386033519553003</c:v>
                </c:pt>
                <c:pt idx="50">
                  <c:v>62.616858661940597</c:v>
                </c:pt>
                <c:pt idx="51">
                  <c:v>62.665888153626497</c:v>
                </c:pt>
                <c:pt idx="52">
                  <c:v>62.792329445033502</c:v>
                </c:pt>
                <c:pt idx="53">
                  <c:v>62.259259259259203</c:v>
                </c:pt>
                <c:pt idx="54">
                  <c:v>63.428571428571402</c:v>
                </c:pt>
                <c:pt idx="55">
                  <c:v>63.394112837285299</c:v>
                </c:pt>
                <c:pt idx="56">
                  <c:v>63.481851957702197</c:v>
                </c:pt>
                <c:pt idx="57">
                  <c:v>62.759060402684497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Data!$AA$2</c:f>
              <c:strCache>
                <c:ptCount val="1"/>
                <c:pt idx="0">
                  <c:v>Non-HARP</c:v>
                </c:pt>
              </c:strCache>
            </c:strRef>
          </c:tx>
          <c:marker>
            <c:symbol val="none"/>
          </c:marker>
          <c:cat>
            <c:numRef>
              <c:f>Data!$Y$3:$Y$60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Data!$AA$3:$AA$60</c:f>
              <c:numCache>
                <c:formatCode>General</c:formatCode>
                <c:ptCount val="58"/>
                <c:pt idx="0">
                  <c:v>63.059444864944197</c:v>
                </c:pt>
                <c:pt idx="1">
                  <c:v>62.599167124825897</c:v>
                </c:pt>
                <c:pt idx="2">
                  <c:v>62.333104907189401</c:v>
                </c:pt>
                <c:pt idx="3">
                  <c:v>62.329191509658898</c:v>
                </c:pt>
                <c:pt idx="4">
                  <c:v>62.719771277765503</c:v>
                </c:pt>
                <c:pt idx="5">
                  <c:v>63.184028312048</c:v>
                </c:pt>
                <c:pt idx="6">
                  <c:v>63.459774771125304</c:v>
                </c:pt>
                <c:pt idx="7">
                  <c:v>63.503018897514302</c:v>
                </c:pt>
                <c:pt idx="8">
                  <c:v>64.097396509447506</c:v>
                </c:pt>
                <c:pt idx="9">
                  <c:v>63.683537788453201</c:v>
                </c:pt>
                <c:pt idx="10">
                  <c:v>63.801235839340798</c:v>
                </c:pt>
                <c:pt idx="11">
                  <c:v>64.185924777045301</c:v>
                </c:pt>
                <c:pt idx="12">
                  <c:v>64.765795936592895</c:v>
                </c:pt>
                <c:pt idx="13">
                  <c:v>64.427158685102</c:v>
                </c:pt>
                <c:pt idx="14">
                  <c:v>65.305931807566495</c:v>
                </c:pt>
                <c:pt idx="15">
                  <c:v>65.123242389856401</c:v>
                </c:pt>
                <c:pt idx="16">
                  <c:v>64.751209500073301</c:v>
                </c:pt>
                <c:pt idx="17">
                  <c:v>65.211470693994897</c:v>
                </c:pt>
                <c:pt idx="18">
                  <c:v>65.597985785766596</c:v>
                </c:pt>
                <c:pt idx="19">
                  <c:v>65.321659878480304</c:v>
                </c:pt>
                <c:pt idx="20">
                  <c:v>65.094880621063396</c:v>
                </c:pt>
                <c:pt idx="21">
                  <c:v>64.842693474109794</c:v>
                </c:pt>
                <c:pt idx="22">
                  <c:v>63.222404092071599</c:v>
                </c:pt>
                <c:pt idx="23">
                  <c:v>64.542326791203493</c:v>
                </c:pt>
                <c:pt idx="24">
                  <c:v>65.645955275401406</c:v>
                </c:pt>
                <c:pt idx="25">
                  <c:v>65.873270211216294</c:v>
                </c:pt>
                <c:pt idx="26">
                  <c:v>65.591506185435506</c:v>
                </c:pt>
                <c:pt idx="27">
                  <c:v>65.801739130434697</c:v>
                </c:pt>
                <c:pt idx="28">
                  <c:v>66.219271093359893</c:v>
                </c:pt>
                <c:pt idx="29">
                  <c:v>65.264211886304906</c:v>
                </c:pt>
                <c:pt idx="30">
                  <c:v>64.167548321464906</c:v>
                </c:pt>
                <c:pt idx="31">
                  <c:v>64.382870052057697</c:v>
                </c:pt>
                <c:pt idx="32">
                  <c:v>64.480311515575707</c:v>
                </c:pt>
                <c:pt idx="33">
                  <c:v>64.411051746314399</c:v>
                </c:pt>
                <c:pt idx="34">
                  <c:v>64.692381143833501</c:v>
                </c:pt>
                <c:pt idx="35">
                  <c:v>64.747492928773397</c:v>
                </c:pt>
                <c:pt idx="36">
                  <c:v>64.893350524958507</c:v>
                </c:pt>
                <c:pt idx="37">
                  <c:v>64.896260091163697</c:v>
                </c:pt>
                <c:pt idx="38">
                  <c:v>65.114042738770095</c:v>
                </c:pt>
                <c:pt idx="39">
                  <c:v>64.706262717612404</c:v>
                </c:pt>
                <c:pt idx="40">
                  <c:v>64.697294712392406</c:v>
                </c:pt>
                <c:pt idx="41">
                  <c:v>65.006530093328294</c:v>
                </c:pt>
                <c:pt idx="42">
                  <c:v>65.040004601535699</c:v>
                </c:pt>
                <c:pt idx="43">
                  <c:v>65.4705100353425</c:v>
                </c:pt>
                <c:pt idx="44">
                  <c:v>65.011380548017101</c:v>
                </c:pt>
                <c:pt idx="45">
                  <c:v>64.891490354698107</c:v>
                </c:pt>
                <c:pt idx="46">
                  <c:v>64.722369687600207</c:v>
                </c:pt>
                <c:pt idx="47">
                  <c:v>64.862453385672197</c:v>
                </c:pt>
                <c:pt idx="48">
                  <c:v>65.640562525851294</c:v>
                </c:pt>
                <c:pt idx="49">
                  <c:v>65.601391941391896</c:v>
                </c:pt>
                <c:pt idx="50">
                  <c:v>65.699694136906004</c:v>
                </c:pt>
                <c:pt idx="51">
                  <c:v>65.829241991753804</c:v>
                </c:pt>
                <c:pt idx="52">
                  <c:v>66.200474863218702</c:v>
                </c:pt>
                <c:pt idx="53">
                  <c:v>66.161633024738194</c:v>
                </c:pt>
                <c:pt idx="54">
                  <c:v>67.325881470367506</c:v>
                </c:pt>
                <c:pt idx="55">
                  <c:v>67.367062990134002</c:v>
                </c:pt>
                <c:pt idx="56">
                  <c:v>67.493360313646093</c:v>
                </c:pt>
                <c:pt idx="57">
                  <c:v>67.224787587735506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24032"/>
        <c:axId val="139325824"/>
      </c:lineChart>
      <c:dateAx>
        <c:axId val="1393240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9325824"/>
        <c:crosses val="autoZero"/>
        <c:auto val="1"/>
        <c:lblOffset val="100"/>
        <c:baseTimeUnit val="months"/>
      </c:dateAx>
      <c:valAx>
        <c:axId val="139325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324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OrigNoteRate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Data!$AD$2</c:f>
              <c:strCache>
                <c:ptCount val="1"/>
                <c:pt idx="0">
                  <c:v>HARP</c:v>
                </c:pt>
              </c:strCache>
            </c:strRef>
          </c:tx>
          <c:marker>
            <c:symbol val="none"/>
          </c:marker>
          <c:cat>
            <c:numRef>
              <c:f>Data!$AC$3:$AC$60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Data!$AD$3:$AD$60</c:f>
              <c:numCache>
                <c:formatCode>General</c:formatCode>
                <c:ptCount val="58"/>
                <c:pt idx="0">
                  <c:v>4.8848312878670104</c:v>
                </c:pt>
                <c:pt idx="1">
                  <c:v>4.9665352177942497</c:v>
                </c:pt>
                <c:pt idx="2">
                  <c:v>5.0434390937944604</c:v>
                </c:pt>
                <c:pt idx="3">
                  <c:v>5.1906730567226802</c:v>
                </c:pt>
                <c:pt idx="4">
                  <c:v>5.3877866159695804</c:v>
                </c:pt>
                <c:pt idx="5">
                  <c:v>5.45411486251305</c:v>
                </c:pt>
                <c:pt idx="6">
                  <c:v>5.2589059907834104</c:v>
                </c:pt>
                <c:pt idx="7">
                  <c:v>5.2115643814163901</c:v>
                </c:pt>
                <c:pt idx="8">
                  <c:v>5.1717513574843901</c:v>
                </c:pt>
                <c:pt idx="9">
                  <c:v>5.1731106386748102</c:v>
                </c:pt>
                <c:pt idx="10">
                  <c:v>5.2649747816286201</c:v>
                </c:pt>
                <c:pt idx="11">
                  <c:v>5.2897128500451602</c:v>
                </c:pt>
                <c:pt idx="12">
                  <c:v>5.2809653496198399</c:v>
                </c:pt>
                <c:pt idx="13">
                  <c:v>5.3279655059669704</c:v>
                </c:pt>
                <c:pt idx="14">
                  <c:v>5.1307051268442798</c:v>
                </c:pt>
                <c:pt idx="15">
                  <c:v>4.9748019928079099</c:v>
                </c:pt>
                <c:pt idx="16">
                  <c:v>4.83444558326915</c:v>
                </c:pt>
                <c:pt idx="17">
                  <c:v>4.7182735209481503</c:v>
                </c:pt>
                <c:pt idx="18">
                  <c:v>4.6490099970221603</c:v>
                </c:pt>
                <c:pt idx="19">
                  <c:v>4.5301092259206399</c:v>
                </c:pt>
                <c:pt idx="20">
                  <c:v>4.5791946794946004</c:v>
                </c:pt>
                <c:pt idx="21">
                  <c:v>4.7949886450183401</c:v>
                </c:pt>
                <c:pt idx="22">
                  <c:v>4.9165227768215702</c:v>
                </c:pt>
                <c:pt idx="23">
                  <c:v>5.0973425472358196</c:v>
                </c:pt>
                <c:pt idx="24">
                  <c:v>5.0893427593659899</c:v>
                </c:pt>
                <c:pt idx="25">
                  <c:v>5.1410146399055403</c:v>
                </c:pt>
                <c:pt idx="26">
                  <c:v>4.9469911831043598</c:v>
                </c:pt>
                <c:pt idx="27">
                  <c:v>4.8444560833902903</c:v>
                </c:pt>
                <c:pt idx="28">
                  <c:v>4.7947674300254404</c:v>
                </c:pt>
                <c:pt idx="29">
                  <c:v>4.5310003593675097</c:v>
                </c:pt>
                <c:pt idx="30">
                  <c:v>4.39996845694799</c:v>
                </c:pt>
                <c:pt idx="31">
                  <c:v>4.34801573181009</c:v>
                </c:pt>
                <c:pt idx="32">
                  <c:v>4.3427737049028599</c:v>
                </c:pt>
                <c:pt idx="33">
                  <c:v>4.2875769646070703</c:v>
                </c:pt>
                <c:pt idx="34">
                  <c:v>4.2481201619625999</c:v>
                </c:pt>
                <c:pt idx="35">
                  <c:v>4.294668481784</c:v>
                </c:pt>
                <c:pt idx="36">
                  <c:v>4.3666253827311596</c:v>
                </c:pt>
                <c:pt idx="37">
                  <c:v>4.2993762926377501</c:v>
                </c:pt>
                <c:pt idx="38">
                  <c:v>4.1959282373574904</c:v>
                </c:pt>
                <c:pt idx="39">
                  <c:v>4.1516171223354901</c:v>
                </c:pt>
                <c:pt idx="40">
                  <c:v>4.0341475724020404</c:v>
                </c:pt>
                <c:pt idx="41">
                  <c:v>3.9959125989152602</c:v>
                </c:pt>
                <c:pt idx="42">
                  <c:v>3.9853035652474902</c:v>
                </c:pt>
                <c:pt idx="43">
                  <c:v>3.90646131252868</c:v>
                </c:pt>
                <c:pt idx="44">
                  <c:v>3.85609788953749</c:v>
                </c:pt>
                <c:pt idx="45">
                  <c:v>3.87583158347676</c:v>
                </c:pt>
                <c:pt idx="46">
                  <c:v>3.9174500594530302</c:v>
                </c:pt>
                <c:pt idx="47">
                  <c:v>3.99206370130974</c:v>
                </c:pt>
                <c:pt idx="48">
                  <c:v>4.05322912067696</c:v>
                </c:pt>
                <c:pt idx="49">
                  <c:v>4.01398072625698</c:v>
                </c:pt>
                <c:pt idx="50">
                  <c:v>4.0238543420469597</c:v>
                </c:pt>
                <c:pt idx="51">
                  <c:v>4.2644220838199001</c:v>
                </c:pt>
                <c:pt idx="52">
                  <c:v>4.5820943796394404</c:v>
                </c:pt>
                <c:pt idx="53">
                  <c:v>4.7866405776845999</c:v>
                </c:pt>
                <c:pt idx="54">
                  <c:v>4.8775152795030996</c:v>
                </c:pt>
                <c:pt idx="55">
                  <c:v>4.7613791223766597</c:v>
                </c:pt>
                <c:pt idx="56">
                  <c:v>4.7723726779079696</c:v>
                </c:pt>
                <c:pt idx="57">
                  <c:v>4.8843127516778502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Data!$AE$2</c:f>
              <c:strCache>
                <c:ptCount val="1"/>
                <c:pt idx="0">
                  <c:v>Non-HARP</c:v>
                </c:pt>
              </c:strCache>
            </c:strRef>
          </c:tx>
          <c:marker>
            <c:symbol val="none"/>
          </c:marker>
          <c:cat>
            <c:numRef>
              <c:f>Data!$AC$3:$AC$60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Data!$AE$3:$AE$60</c:f>
              <c:numCache>
                <c:formatCode>General</c:formatCode>
                <c:ptCount val="58"/>
                <c:pt idx="0">
                  <c:v>4.8909398886114799</c:v>
                </c:pt>
                <c:pt idx="1">
                  <c:v>4.8665753155450497</c:v>
                </c:pt>
                <c:pt idx="2">
                  <c:v>4.8868156005124597</c:v>
                </c:pt>
                <c:pt idx="3">
                  <c:v>5.0268051275936001</c:v>
                </c:pt>
                <c:pt idx="4">
                  <c:v>5.1558358038266903</c:v>
                </c:pt>
                <c:pt idx="5">
                  <c:v>5.1691169410678501</c:v>
                </c:pt>
                <c:pt idx="6">
                  <c:v>5.0589312565826701</c:v>
                </c:pt>
                <c:pt idx="7">
                  <c:v>5.0218919861993196</c:v>
                </c:pt>
                <c:pt idx="8">
                  <c:v>4.9650949084090499</c:v>
                </c:pt>
                <c:pt idx="9">
                  <c:v>5.0039252380543804</c:v>
                </c:pt>
                <c:pt idx="10">
                  <c:v>5.0815444962742999</c:v>
                </c:pt>
                <c:pt idx="11">
                  <c:v>5.0930788419283903</c:v>
                </c:pt>
                <c:pt idx="12">
                  <c:v>5.1066514102850302</c:v>
                </c:pt>
                <c:pt idx="13">
                  <c:v>5.1396853767969901</c:v>
                </c:pt>
                <c:pt idx="14">
                  <c:v>4.9629459531593998</c:v>
                </c:pt>
                <c:pt idx="15">
                  <c:v>4.8036721101189004</c:v>
                </c:pt>
                <c:pt idx="16">
                  <c:v>4.63092361823779</c:v>
                </c:pt>
                <c:pt idx="17">
                  <c:v>4.4984149946062502</c:v>
                </c:pt>
                <c:pt idx="18">
                  <c:v>4.4260022309334799</c:v>
                </c:pt>
                <c:pt idx="19">
                  <c:v>4.3610624624424101</c:v>
                </c:pt>
                <c:pt idx="20">
                  <c:v>4.4152246594404501</c:v>
                </c:pt>
                <c:pt idx="21">
                  <c:v>4.6276004717510899</c:v>
                </c:pt>
                <c:pt idx="22">
                  <c:v>4.8160804092071601</c:v>
                </c:pt>
                <c:pt idx="23">
                  <c:v>4.9491216599668899</c:v>
                </c:pt>
                <c:pt idx="24">
                  <c:v>4.9829174546000301</c:v>
                </c:pt>
                <c:pt idx="25">
                  <c:v>4.9496793517844102</c:v>
                </c:pt>
                <c:pt idx="26">
                  <c:v>4.7847723504655004</c:v>
                </c:pt>
                <c:pt idx="27">
                  <c:v>4.6940287536231802</c:v>
                </c:pt>
                <c:pt idx="28">
                  <c:v>4.53832880678981</c:v>
                </c:pt>
                <c:pt idx="29">
                  <c:v>4.2709428046114004</c:v>
                </c:pt>
                <c:pt idx="30">
                  <c:v>4.1416407934893096</c:v>
                </c:pt>
                <c:pt idx="31">
                  <c:v>4.1020820646301903</c:v>
                </c:pt>
                <c:pt idx="32">
                  <c:v>4.1103662495624702</c:v>
                </c:pt>
                <c:pt idx="33">
                  <c:v>4.0432832195508004</c:v>
                </c:pt>
                <c:pt idx="34">
                  <c:v>3.9721829329580798</c:v>
                </c:pt>
                <c:pt idx="35">
                  <c:v>3.95772707636924</c:v>
                </c:pt>
                <c:pt idx="36">
                  <c:v>4.0092983974949297</c:v>
                </c:pt>
                <c:pt idx="37">
                  <c:v>3.99482816189796</c:v>
                </c:pt>
                <c:pt idx="38">
                  <c:v>3.9058253379851702</c:v>
                </c:pt>
                <c:pt idx="39">
                  <c:v>3.8171006104453902</c:v>
                </c:pt>
                <c:pt idx="40">
                  <c:v>3.71757507856264</c:v>
                </c:pt>
                <c:pt idx="41">
                  <c:v>3.6995615591320101</c:v>
                </c:pt>
                <c:pt idx="42">
                  <c:v>3.65121031894394</c:v>
                </c:pt>
                <c:pt idx="43">
                  <c:v>3.5731454557245201</c:v>
                </c:pt>
                <c:pt idx="44">
                  <c:v>3.5676144620502401</c:v>
                </c:pt>
                <c:pt idx="45">
                  <c:v>3.54998981020535</c:v>
                </c:pt>
                <c:pt idx="46">
                  <c:v>3.59111437155441</c:v>
                </c:pt>
                <c:pt idx="47">
                  <c:v>3.6994281844946002</c:v>
                </c:pt>
                <c:pt idx="48">
                  <c:v>3.7650221977112901</c:v>
                </c:pt>
                <c:pt idx="49">
                  <c:v>3.7047581318681302</c:v>
                </c:pt>
                <c:pt idx="50">
                  <c:v>3.7297250678499099</c:v>
                </c:pt>
                <c:pt idx="51">
                  <c:v>3.98750041230574</c:v>
                </c:pt>
                <c:pt idx="52">
                  <c:v>4.2991726024568999</c:v>
                </c:pt>
                <c:pt idx="53">
                  <c:v>4.5143340415844504</c:v>
                </c:pt>
                <c:pt idx="54">
                  <c:v>4.5812144036009004</c:v>
                </c:pt>
                <c:pt idx="55">
                  <c:v>4.4637589172780103</c:v>
                </c:pt>
                <c:pt idx="56">
                  <c:v>4.5032411787024103</c:v>
                </c:pt>
                <c:pt idx="57">
                  <c:v>4.6104687846324302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584960"/>
        <c:axId val="322586496"/>
      </c:lineChart>
      <c:dateAx>
        <c:axId val="322584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2586496"/>
        <c:crosses val="autoZero"/>
        <c:auto val="1"/>
        <c:lblOffset val="100"/>
        <c:baseTimeUnit val="months"/>
      </c:dateAx>
      <c:valAx>
        <c:axId val="322586496"/>
        <c:scaling>
          <c:orientation val="minMax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584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Coupon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Data!$AH$2</c:f>
              <c:strCache>
                <c:ptCount val="1"/>
                <c:pt idx="0">
                  <c:v>HARP</c:v>
                </c:pt>
              </c:strCache>
            </c:strRef>
          </c:tx>
          <c:marker>
            <c:symbol val="none"/>
          </c:marker>
          <c:cat>
            <c:numRef>
              <c:f>Data!$AG$3:$AG$60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Data!$AH$3:$AH$60</c:f>
              <c:numCache>
                <c:formatCode>General</c:formatCode>
                <c:ptCount val="58"/>
                <c:pt idx="0">
                  <c:v>4.3430946092900404</c:v>
                </c:pt>
                <c:pt idx="1">
                  <c:v>4.5400834105653303</c:v>
                </c:pt>
                <c:pt idx="2">
                  <c:v>4.6200612892634298</c:v>
                </c:pt>
                <c:pt idx="3">
                  <c:v>4.7450761554621801</c:v>
                </c:pt>
                <c:pt idx="4">
                  <c:v>4.9057034220532296</c:v>
                </c:pt>
                <c:pt idx="5">
                  <c:v>4.97894187260703</c:v>
                </c:pt>
                <c:pt idx="6">
                  <c:v>4.81129032258064</c:v>
                </c:pt>
                <c:pt idx="7">
                  <c:v>4.7708804593701002</c:v>
                </c:pt>
                <c:pt idx="8">
                  <c:v>4.74357727530594</c:v>
                </c:pt>
                <c:pt idx="9">
                  <c:v>4.7464788732394299</c:v>
                </c:pt>
                <c:pt idx="10">
                  <c:v>4.8276979430825504</c:v>
                </c:pt>
                <c:pt idx="11">
                  <c:v>4.8637646793134497</c:v>
                </c:pt>
                <c:pt idx="12">
                  <c:v>4.8501184095724703</c:v>
                </c:pt>
                <c:pt idx="13">
                  <c:v>4.88989700833742</c:v>
                </c:pt>
                <c:pt idx="14">
                  <c:v>4.6164419912960399</c:v>
                </c:pt>
                <c:pt idx="15">
                  <c:v>4.4759139946059303</c:v>
                </c:pt>
                <c:pt idx="16">
                  <c:v>4.2835179809230404</c:v>
                </c:pt>
                <c:pt idx="17">
                  <c:v>4.1525386528800601</c:v>
                </c:pt>
                <c:pt idx="18">
                  <c:v>4.1760326711192404</c:v>
                </c:pt>
                <c:pt idx="19">
                  <c:v>4.0954755428916796</c:v>
                </c:pt>
                <c:pt idx="20">
                  <c:v>4.1470963254897404</c:v>
                </c:pt>
                <c:pt idx="21">
                  <c:v>4.3652288305753597</c:v>
                </c:pt>
                <c:pt idx="22">
                  <c:v>4.49667240390131</c:v>
                </c:pt>
                <c:pt idx="23">
                  <c:v>4.6761721483554899</c:v>
                </c:pt>
                <c:pt idx="24">
                  <c:v>4.6462536023054701</c:v>
                </c:pt>
                <c:pt idx="25">
                  <c:v>4.6970484061393103</c:v>
                </c:pt>
                <c:pt idx="26">
                  <c:v>4.51137994668853</c:v>
                </c:pt>
                <c:pt idx="27">
                  <c:v>4.3350991114149</c:v>
                </c:pt>
                <c:pt idx="28">
                  <c:v>4.2505513146734497</c:v>
                </c:pt>
                <c:pt idx="29">
                  <c:v>3.97855773838045</c:v>
                </c:pt>
                <c:pt idx="30">
                  <c:v>3.8888533674339301</c:v>
                </c:pt>
                <c:pt idx="31">
                  <c:v>3.8692293285888102</c:v>
                </c:pt>
                <c:pt idx="32">
                  <c:v>3.85805966697502</c:v>
                </c:pt>
                <c:pt idx="33">
                  <c:v>3.7779844031193699</c:v>
                </c:pt>
                <c:pt idx="34">
                  <c:v>3.7526497558651801</c:v>
                </c:pt>
                <c:pt idx="35">
                  <c:v>3.7428367690911402</c:v>
                </c:pt>
                <c:pt idx="36">
                  <c:v>3.8010563380281601</c:v>
                </c:pt>
                <c:pt idx="37">
                  <c:v>3.72140762463343</c:v>
                </c:pt>
                <c:pt idx="38">
                  <c:v>3.6471061093247501</c:v>
                </c:pt>
                <c:pt idx="39">
                  <c:v>3.6160217794253899</c:v>
                </c:pt>
                <c:pt idx="40">
                  <c:v>3.46401192504258</c:v>
                </c:pt>
                <c:pt idx="41">
                  <c:v>3.3839246021161098</c:v>
                </c:pt>
                <c:pt idx="42">
                  <c:v>3.3701540325372101</c:v>
                </c:pt>
                <c:pt idx="43">
                  <c:v>3.30917852225791</c:v>
                </c:pt>
                <c:pt idx="44">
                  <c:v>3.2816793893129699</c:v>
                </c:pt>
                <c:pt idx="45">
                  <c:v>3.2842943201376902</c:v>
                </c:pt>
                <c:pt idx="46">
                  <c:v>3.3198997791744498</c:v>
                </c:pt>
                <c:pt idx="47">
                  <c:v>3.36069059363837</c:v>
                </c:pt>
                <c:pt idx="48">
                  <c:v>3.42752023546725</c:v>
                </c:pt>
                <c:pt idx="49">
                  <c:v>3.4815642458100502</c:v>
                </c:pt>
                <c:pt idx="50">
                  <c:v>3.4995569339831598</c:v>
                </c:pt>
                <c:pt idx="51">
                  <c:v>3.7074088490982202</c:v>
                </c:pt>
                <c:pt idx="52">
                  <c:v>3.9438847649345998</c:v>
                </c:pt>
                <c:pt idx="53">
                  <c:v>4.0670859538783999</c:v>
                </c:pt>
                <c:pt idx="54">
                  <c:v>4.1814906832298098</c:v>
                </c:pt>
                <c:pt idx="55">
                  <c:v>4.10316162442082</c:v>
                </c:pt>
                <c:pt idx="56">
                  <c:v>4.10774507002</c:v>
                </c:pt>
                <c:pt idx="57">
                  <c:v>4.1776845637583797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Data!$AI$2</c:f>
              <c:strCache>
                <c:ptCount val="1"/>
                <c:pt idx="0">
                  <c:v>Non-HARP</c:v>
                </c:pt>
              </c:strCache>
            </c:strRef>
          </c:tx>
          <c:marker>
            <c:symbol val="none"/>
          </c:marker>
          <c:cat>
            <c:numRef>
              <c:f>Data!$AG$3:$AG$60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Data!$AI$3:$AI$60</c:f>
              <c:numCache>
                <c:formatCode>General</c:formatCode>
                <c:ptCount val="58"/>
                <c:pt idx="0">
                  <c:v>4.4137642765959804</c:v>
                </c:pt>
                <c:pt idx="1">
                  <c:v>4.4507644437165803</c:v>
                </c:pt>
                <c:pt idx="2">
                  <c:v>4.4959032267675703</c:v>
                </c:pt>
                <c:pt idx="3">
                  <c:v>4.6210350584307101</c:v>
                </c:pt>
                <c:pt idx="4">
                  <c:v>4.7309874642621503</c:v>
                </c:pt>
                <c:pt idx="5">
                  <c:v>4.7260091296096798</c:v>
                </c:pt>
                <c:pt idx="6">
                  <c:v>4.6167665883496696</c:v>
                </c:pt>
                <c:pt idx="7">
                  <c:v>4.5950364620089301</c:v>
                </c:pt>
                <c:pt idx="8">
                  <c:v>4.5685309389874504</c:v>
                </c:pt>
                <c:pt idx="9">
                  <c:v>4.6127648623144797</c:v>
                </c:pt>
                <c:pt idx="10">
                  <c:v>4.6614466589931496</c:v>
                </c:pt>
                <c:pt idx="11">
                  <c:v>4.6501227866097903</c:v>
                </c:pt>
                <c:pt idx="12">
                  <c:v>4.65833147279898</c:v>
                </c:pt>
                <c:pt idx="13">
                  <c:v>4.6948081677501996</c:v>
                </c:pt>
                <c:pt idx="14">
                  <c:v>4.5095416027223498</c:v>
                </c:pt>
                <c:pt idx="15">
                  <c:v>4.3179732596575997</c:v>
                </c:pt>
                <c:pt idx="16">
                  <c:v>4.1252015833455502</c:v>
                </c:pt>
                <c:pt idx="17">
                  <c:v>4.0560050341603704</c:v>
                </c:pt>
                <c:pt idx="18">
                  <c:v>4.0130350256557303</c:v>
                </c:pt>
                <c:pt idx="19">
                  <c:v>3.9631101021566399</c:v>
                </c:pt>
                <c:pt idx="20">
                  <c:v>4.00838582100483</c:v>
                </c:pt>
                <c:pt idx="21">
                  <c:v>4.2266651690441401</c:v>
                </c:pt>
                <c:pt idx="22">
                  <c:v>4.4289514066496096</c:v>
                </c:pt>
                <c:pt idx="23">
                  <c:v>4.5537361078269001</c:v>
                </c:pt>
                <c:pt idx="24">
                  <c:v>4.5855470508779801</c:v>
                </c:pt>
                <c:pt idx="25">
                  <c:v>4.5535324107793098</c:v>
                </c:pt>
                <c:pt idx="26">
                  <c:v>4.3565234026272099</c:v>
                </c:pt>
                <c:pt idx="27">
                  <c:v>4.2180869565217298</c:v>
                </c:pt>
                <c:pt idx="28">
                  <c:v>4.0041437843235101</c:v>
                </c:pt>
                <c:pt idx="29">
                  <c:v>3.7392417014510002</c:v>
                </c:pt>
                <c:pt idx="30">
                  <c:v>3.6574771108850399</c:v>
                </c:pt>
                <c:pt idx="31">
                  <c:v>3.6386897161378999</c:v>
                </c:pt>
                <c:pt idx="32">
                  <c:v>3.6282157857892798</c:v>
                </c:pt>
                <c:pt idx="33">
                  <c:v>3.5713119620065301</c:v>
                </c:pt>
                <c:pt idx="34">
                  <c:v>3.5346014674841602</c:v>
                </c:pt>
                <c:pt idx="35">
                  <c:v>3.5178452044227302</c:v>
                </c:pt>
                <c:pt idx="36">
                  <c:v>3.52925646220912</c:v>
                </c:pt>
                <c:pt idx="37">
                  <c:v>3.5007963095172698</c:v>
                </c:pt>
                <c:pt idx="38">
                  <c:v>3.38860117749672</c:v>
                </c:pt>
                <c:pt idx="39">
                  <c:v>3.2900746099932099</c:v>
                </c:pt>
                <c:pt idx="40">
                  <c:v>3.1659892061756998</c:v>
                </c:pt>
                <c:pt idx="41">
                  <c:v>3.0979658470340001</c:v>
                </c:pt>
                <c:pt idx="42">
                  <c:v>3.0653561876276201</c:v>
                </c:pt>
                <c:pt idx="43">
                  <c:v>3.0133912648746701</c:v>
                </c:pt>
                <c:pt idx="44">
                  <c:v>3.0249058916221601</c:v>
                </c:pt>
                <c:pt idx="45">
                  <c:v>3.0336418792781501</c:v>
                </c:pt>
                <c:pt idx="46">
                  <c:v>3.05238748067555</c:v>
                </c:pt>
                <c:pt idx="47">
                  <c:v>3.1244749754661401</c:v>
                </c:pt>
                <c:pt idx="48">
                  <c:v>3.1927708074819598</c:v>
                </c:pt>
                <c:pt idx="49">
                  <c:v>3.2044322344322298</c:v>
                </c:pt>
                <c:pt idx="50">
                  <c:v>3.2462628699435601</c:v>
                </c:pt>
                <c:pt idx="51">
                  <c:v>3.4690770694576498</c:v>
                </c:pt>
                <c:pt idx="52">
                  <c:v>3.7299989676886498</c:v>
                </c:pt>
                <c:pt idx="53">
                  <c:v>3.8894369403551301</c:v>
                </c:pt>
                <c:pt idx="54">
                  <c:v>3.96534133533383</c:v>
                </c:pt>
                <c:pt idx="55">
                  <c:v>3.8910953706045999</c:v>
                </c:pt>
                <c:pt idx="56">
                  <c:v>3.9269002149993599</c:v>
                </c:pt>
                <c:pt idx="57">
                  <c:v>4.00147765053564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680320"/>
        <c:axId val="322681856"/>
      </c:lineChart>
      <c:dateAx>
        <c:axId val="322680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2681856"/>
        <c:crosses val="autoZero"/>
        <c:auto val="1"/>
        <c:lblOffset val="100"/>
        <c:baseTimeUnit val="months"/>
      </c:dateAx>
      <c:valAx>
        <c:axId val="322681856"/>
        <c:scaling>
          <c:orientation val="minMax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2680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SATO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Data!$AL$2</c:f>
              <c:strCache>
                <c:ptCount val="1"/>
                <c:pt idx="0">
                  <c:v>HARP</c:v>
                </c:pt>
              </c:strCache>
            </c:strRef>
          </c:tx>
          <c:marker>
            <c:symbol val="none"/>
          </c:marker>
          <c:cat>
            <c:numRef>
              <c:f>Data!$AK$3:$AK$60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Data!$AL$3:$AL$60</c:f>
              <c:numCache>
                <c:formatCode>General</c:formatCode>
                <c:ptCount val="58"/>
                <c:pt idx="0">
                  <c:v>0.54173667857697605</c:v>
                </c:pt>
                <c:pt idx="1">
                  <c:v>0.42645180722891501</c:v>
                </c:pt>
                <c:pt idx="2">
                  <c:v>0.42337780453102702</c:v>
                </c:pt>
                <c:pt idx="3">
                  <c:v>0.445596901260504</c:v>
                </c:pt>
                <c:pt idx="4">
                  <c:v>0.48208319391634902</c:v>
                </c:pt>
                <c:pt idx="5">
                  <c:v>0.47517298990602103</c:v>
                </c:pt>
                <c:pt idx="6">
                  <c:v>0.44761566820276399</c:v>
                </c:pt>
                <c:pt idx="7">
                  <c:v>0.44068392204628498</c:v>
                </c:pt>
                <c:pt idx="8">
                  <c:v>0.42817408217845798</c:v>
                </c:pt>
                <c:pt idx="9">
                  <c:v>0.42663176543537901</c:v>
                </c:pt>
                <c:pt idx="10">
                  <c:v>0.43727683854606902</c:v>
                </c:pt>
                <c:pt idx="11">
                  <c:v>0.42594817073170699</c:v>
                </c:pt>
                <c:pt idx="12">
                  <c:v>0.43084694004736301</c:v>
                </c:pt>
                <c:pt idx="13">
                  <c:v>0.43806849762955602</c:v>
                </c:pt>
                <c:pt idx="14">
                  <c:v>0.51426313554824299</c:v>
                </c:pt>
                <c:pt idx="15">
                  <c:v>0.49888799820197699</c:v>
                </c:pt>
                <c:pt idx="16">
                  <c:v>0.55092760234611005</c:v>
                </c:pt>
                <c:pt idx="17">
                  <c:v>0.56573486806808704</c:v>
                </c:pt>
                <c:pt idx="18">
                  <c:v>0.47297732590292202</c:v>
                </c:pt>
                <c:pt idx="19">
                  <c:v>0.43463368302896799</c:v>
                </c:pt>
                <c:pt idx="20">
                  <c:v>0.43209835400486801</c:v>
                </c:pt>
                <c:pt idx="21">
                  <c:v>0.429759814442982</c:v>
                </c:pt>
                <c:pt idx="22">
                  <c:v>0.41985037292025201</c:v>
                </c:pt>
                <c:pt idx="23">
                  <c:v>0.42117039888033497</c:v>
                </c:pt>
                <c:pt idx="24">
                  <c:v>0.44308915706051799</c:v>
                </c:pt>
                <c:pt idx="25">
                  <c:v>0.44396623376623301</c:v>
                </c:pt>
                <c:pt idx="26">
                  <c:v>0.435611236415829</c:v>
                </c:pt>
                <c:pt idx="27">
                  <c:v>0.50935697197539298</c:v>
                </c:pt>
                <c:pt idx="28">
                  <c:v>0.54421611535199299</c:v>
                </c:pt>
                <c:pt idx="29">
                  <c:v>0.55244262098706198</c:v>
                </c:pt>
                <c:pt idx="30">
                  <c:v>0.51111508951406603</c:v>
                </c:pt>
                <c:pt idx="31">
                  <c:v>0.47878640322127503</c:v>
                </c:pt>
                <c:pt idx="32">
                  <c:v>0.48471403792784401</c:v>
                </c:pt>
                <c:pt idx="33">
                  <c:v>0.50959256148770204</c:v>
                </c:pt>
                <c:pt idx="34">
                  <c:v>0.49547040609741499</c:v>
                </c:pt>
                <c:pt idx="35">
                  <c:v>0.55183171269285602</c:v>
                </c:pt>
                <c:pt idx="36">
                  <c:v>0.56556904470299996</c:v>
                </c:pt>
                <c:pt idx="37">
                  <c:v>0.57796866800432101</c:v>
                </c:pt>
                <c:pt idx="38">
                  <c:v>0.548822128032738</c:v>
                </c:pt>
                <c:pt idx="39">
                  <c:v>0.53559534291010102</c:v>
                </c:pt>
                <c:pt idx="40">
                  <c:v>0.57013564735945399</c:v>
                </c:pt>
                <c:pt idx="41">
                  <c:v>0.61198799679914595</c:v>
                </c:pt>
                <c:pt idx="42">
                  <c:v>0.61514953271027994</c:v>
                </c:pt>
                <c:pt idx="43">
                  <c:v>0.59728279027076603</c:v>
                </c:pt>
                <c:pt idx="44">
                  <c:v>0.57441850022451701</c:v>
                </c:pt>
                <c:pt idx="45">
                  <c:v>0.59153726333906997</c:v>
                </c:pt>
                <c:pt idx="46">
                  <c:v>0.59755028027857904</c:v>
                </c:pt>
                <c:pt idx="47">
                  <c:v>0.631373107671372</c:v>
                </c:pt>
                <c:pt idx="48">
                  <c:v>0.62570888520971302</c:v>
                </c:pt>
                <c:pt idx="49">
                  <c:v>0.53241648044692702</c:v>
                </c:pt>
                <c:pt idx="50">
                  <c:v>0.52429740806380098</c:v>
                </c:pt>
                <c:pt idx="51">
                  <c:v>0.55701323472168096</c:v>
                </c:pt>
                <c:pt idx="52">
                  <c:v>0.63820961470484205</c:v>
                </c:pt>
                <c:pt idx="53">
                  <c:v>0.71955462380619595</c:v>
                </c:pt>
                <c:pt idx="54">
                  <c:v>0.69602459627329105</c:v>
                </c:pt>
                <c:pt idx="55">
                  <c:v>0.65821749795584605</c:v>
                </c:pt>
                <c:pt idx="56">
                  <c:v>0.66462760788796704</c:v>
                </c:pt>
                <c:pt idx="57">
                  <c:v>0.70662818791946302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Data!$AM$2</c:f>
              <c:strCache>
                <c:ptCount val="1"/>
                <c:pt idx="0">
                  <c:v>Non-HARP</c:v>
                </c:pt>
              </c:strCache>
            </c:strRef>
          </c:tx>
          <c:marker>
            <c:symbol val="none"/>
          </c:marker>
          <c:cat>
            <c:numRef>
              <c:f>Data!$AK$3:$AK$60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Data!$AM$3:$AM$60</c:f>
              <c:numCache>
                <c:formatCode>General</c:formatCode>
                <c:ptCount val="58"/>
                <c:pt idx="0">
                  <c:v>0.47717561201549902</c:v>
                </c:pt>
                <c:pt idx="1">
                  <c:v>0.41581087182846499</c:v>
                </c:pt>
                <c:pt idx="2">
                  <c:v>0.39091237374489701</c:v>
                </c:pt>
                <c:pt idx="3">
                  <c:v>0.40577006916288999</c:v>
                </c:pt>
                <c:pt idx="4">
                  <c:v>0.42484833956454798</c:v>
                </c:pt>
                <c:pt idx="5">
                  <c:v>0.44310781145817302</c:v>
                </c:pt>
                <c:pt idx="6">
                  <c:v>0.44216466823300599</c:v>
                </c:pt>
                <c:pt idx="7">
                  <c:v>0.42685552419038603</c:v>
                </c:pt>
                <c:pt idx="8">
                  <c:v>0.39656396942160599</c:v>
                </c:pt>
                <c:pt idx="9">
                  <c:v>0.39116037573989798</c:v>
                </c:pt>
                <c:pt idx="10">
                  <c:v>0.42009783728115302</c:v>
                </c:pt>
                <c:pt idx="11">
                  <c:v>0.442956055318598</c:v>
                </c:pt>
                <c:pt idx="12">
                  <c:v>0.44831993748604498</c:v>
                </c:pt>
                <c:pt idx="13">
                  <c:v>0.44487720904679001</c:v>
                </c:pt>
                <c:pt idx="14">
                  <c:v>0.45340435043704502</c:v>
                </c:pt>
                <c:pt idx="15">
                  <c:v>0.48569885046129502</c:v>
                </c:pt>
                <c:pt idx="16">
                  <c:v>0.50572203489224399</c:v>
                </c:pt>
                <c:pt idx="17">
                  <c:v>0.44240996044588199</c:v>
                </c:pt>
                <c:pt idx="18">
                  <c:v>0.41296720527775099</c:v>
                </c:pt>
                <c:pt idx="19">
                  <c:v>0.39795236028577102</c:v>
                </c:pt>
                <c:pt idx="20">
                  <c:v>0.40683883843562302</c:v>
                </c:pt>
                <c:pt idx="21">
                  <c:v>0.40093530270695199</c:v>
                </c:pt>
                <c:pt idx="22">
                  <c:v>0.38712900255754401</c:v>
                </c:pt>
                <c:pt idx="23">
                  <c:v>0.395385552139985</c:v>
                </c:pt>
                <c:pt idx="24">
                  <c:v>0.39737040372204702</c:v>
                </c:pt>
                <c:pt idx="25">
                  <c:v>0.39614694100509801</c:v>
                </c:pt>
                <c:pt idx="26">
                  <c:v>0.42824894783828499</c:v>
                </c:pt>
                <c:pt idx="27">
                  <c:v>0.47594179710144902</c:v>
                </c:pt>
                <c:pt idx="28">
                  <c:v>0.53418502246629995</c:v>
                </c:pt>
                <c:pt idx="29">
                  <c:v>0.53170110316040498</c:v>
                </c:pt>
                <c:pt idx="30">
                  <c:v>0.48416368260427201</c:v>
                </c:pt>
                <c:pt idx="31">
                  <c:v>0.463392348492289</c:v>
                </c:pt>
                <c:pt idx="32">
                  <c:v>0.48215046377318799</c:v>
                </c:pt>
                <c:pt idx="33">
                  <c:v>0.47197125754427599</c:v>
                </c:pt>
                <c:pt idx="34">
                  <c:v>0.43758146547391602</c:v>
                </c:pt>
                <c:pt idx="35">
                  <c:v>0.43988187194651501</c:v>
                </c:pt>
                <c:pt idx="36">
                  <c:v>0.48004193528581002</c:v>
                </c:pt>
                <c:pt idx="37">
                  <c:v>0.49403185238068997</c:v>
                </c:pt>
                <c:pt idx="38">
                  <c:v>0.517224160488443</c:v>
                </c:pt>
                <c:pt idx="39">
                  <c:v>0.52702600045218095</c:v>
                </c:pt>
                <c:pt idx="40">
                  <c:v>0.55158587238693801</c:v>
                </c:pt>
                <c:pt idx="41">
                  <c:v>0.60159571209800899</c:v>
                </c:pt>
                <c:pt idx="42">
                  <c:v>0.58585413131632602</c:v>
                </c:pt>
                <c:pt idx="43">
                  <c:v>0.55975419084984201</c:v>
                </c:pt>
                <c:pt idx="44">
                  <c:v>0.54270857042808296</c:v>
                </c:pt>
                <c:pt idx="45">
                  <c:v>0.516347930927193</c:v>
                </c:pt>
                <c:pt idx="46">
                  <c:v>0.53872689087886105</c:v>
                </c:pt>
                <c:pt idx="47">
                  <c:v>0.57495320902845903</c:v>
                </c:pt>
                <c:pt idx="48">
                  <c:v>0.57225139022933003</c:v>
                </c:pt>
                <c:pt idx="49">
                  <c:v>0.50032589743589695</c:v>
                </c:pt>
                <c:pt idx="50">
                  <c:v>0.48346219790634498</c:v>
                </c:pt>
                <c:pt idx="51">
                  <c:v>0.518423342848081</c:v>
                </c:pt>
                <c:pt idx="52">
                  <c:v>0.56917363476824601</c:v>
                </c:pt>
                <c:pt idx="53">
                  <c:v>0.62489710122932096</c:v>
                </c:pt>
                <c:pt idx="54">
                  <c:v>0.615873068267066</c:v>
                </c:pt>
                <c:pt idx="55">
                  <c:v>0.57266354667341202</c:v>
                </c:pt>
                <c:pt idx="56">
                  <c:v>0.57634096370304699</c:v>
                </c:pt>
                <c:pt idx="57">
                  <c:v>0.60899113409678596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124864"/>
        <c:axId val="325126784"/>
      </c:lineChart>
      <c:dateAx>
        <c:axId val="325124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5126784"/>
        <c:crosses val="autoZero"/>
        <c:auto val="1"/>
        <c:lblOffset val="100"/>
        <c:baseTimeUnit val="months"/>
      </c:dateAx>
      <c:valAx>
        <c:axId val="325126784"/>
        <c:scaling>
          <c:orientation val="minMax"/>
          <c:min val="0.3000000000000000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5124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Loan Size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Data!$AP$2</c:f>
              <c:strCache>
                <c:ptCount val="1"/>
                <c:pt idx="0">
                  <c:v>HARP</c:v>
                </c:pt>
              </c:strCache>
            </c:strRef>
          </c:tx>
          <c:marker>
            <c:symbol val="none"/>
          </c:marker>
          <c:cat>
            <c:numRef>
              <c:f>Data!$AO$3:$AO$60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Data!$AP$3:$AP$60</c:f>
              <c:numCache>
                <c:formatCode>General</c:formatCode>
                <c:ptCount val="58"/>
                <c:pt idx="0">
                  <c:v>218640.01102998201</c:v>
                </c:pt>
                <c:pt idx="1">
                  <c:v>183183.72690763001</c:v>
                </c:pt>
                <c:pt idx="2">
                  <c:v>192566.150158695</c:v>
                </c:pt>
                <c:pt idx="3">
                  <c:v>200527.335477941</c:v>
                </c:pt>
                <c:pt idx="4">
                  <c:v>196185.435589353</c:v>
                </c:pt>
                <c:pt idx="5">
                  <c:v>195592.46571528001</c:v>
                </c:pt>
                <c:pt idx="6">
                  <c:v>197083.21866359399</c:v>
                </c:pt>
                <c:pt idx="7">
                  <c:v>197966.87028014599</c:v>
                </c:pt>
                <c:pt idx="8">
                  <c:v>202986.15455061101</c:v>
                </c:pt>
                <c:pt idx="9">
                  <c:v>202965.67348746501</c:v>
                </c:pt>
                <c:pt idx="10">
                  <c:v>200744.98436179201</c:v>
                </c:pt>
                <c:pt idx="11">
                  <c:v>199795.29550587101</c:v>
                </c:pt>
                <c:pt idx="12">
                  <c:v>202851.73102330699</c:v>
                </c:pt>
                <c:pt idx="13">
                  <c:v>193541.48062775799</c:v>
                </c:pt>
                <c:pt idx="14">
                  <c:v>198300.394862541</c:v>
                </c:pt>
                <c:pt idx="15">
                  <c:v>203133.45969433599</c:v>
                </c:pt>
                <c:pt idx="16">
                  <c:v>202207.30576455899</c:v>
                </c:pt>
                <c:pt idx="17">
                  <c:v>199784.478759205</c:v>
                </c:pt>
                <c:pt idx="18">
                  <c:v>197391.836729484</c:v>
                </c:pt>
                <c:pt idx="19">
                  <c:v>194300.74100936801</c:v>
                </c:pt>
                <c:pt idx="20">
                  <c:v>190582.856844789</c:v>
                </c:pt>
                <c:pt idx="21">
                  <c:v>180803.91324517</c:v>
                </c:pt>
                <c:pt idx="22">
                  <c:v>179252.42271944901</c:v>
                </c:pt>
                <c:pt idx="23">
                  <c:v>174135.920573827</c:v>
                </c:pt>
                <c:pt idx="24">
                  <c:v>168880.703350144</c:v>
                </c:pt>
                <c:pt idx="25">
                  <c:v>163310.6824085</c:v>
                </c:pt>
                <c:pt idx="26">
                  <c:v>175380.84929259701</c:v>
                </c:pt>
                <c:pt idx="27">
                  <c:v>175803.40823649999</c:v>
                </c:pt>
                <c:pt idx="28">
                  <c:v>173726.26463104301</c:v>
                </c:pt>
                <c:pt idx="29">
                  <c:v>185459.28461907001</c:v>
                </c:pt>
                <c:pt idx="30">
                  <c:v>186061.19650468801</c:v>
                </c:pt>
                <c:pt idx="31">
                  <c:v>178044.52298904301</c:v>
                </c:pt>
                <c:pt idx="32">
                  <c:v>177349.30839500399</c:v>
                </c:pt>
                <c:pt idx="33">
                  <c:v>179647.31505698801</c:v>
                </c:pt>
                <c:pt idx="34">
                  <c:v>173066.23043944201</c:v>
                </c:pt>
                <c:pt idx="35">
                  <c:v>168714.70050563899</c:v>
                </c:pt>
                <c:pt idx="36">
                  <c:v>163305.776331904</c:v>
                </c:pt>
                <c:pt idx="37">
                  <c:v>166947.917734218</c:v>
                </c:pt>
                <c:pt idx="38">
                  <c:v>167265.88365974801</c:v>
                </c:pt>
                <c:pt idx="39">
                  <c:v>163825.20296570801</c:v>
                </c:pt>
                <c:pt idx="40">
                  <c:v>165272.377342419</c:v>
                </c:pt>
                <c:pt idx="41">
                  <c:v>154648.76535965101</c:v>
                </c:pt>
                <c:pt idx="42">
                  <c:v>154940.16857043901</c:v>
                </c:pt>
                <c:pt idx="43">
                  <c:v>154647.384580082</c:v>
                </c:pt>
                <c:pt idx="44">
                  <c:v>154072.35931746699</c:v>
                </c:pt>
                <c:pt idx="45">
                  <c:v>156241.78881239201</c:v>
                </c:pt>
                <c:pt idx="46">
                  <c:v>152519.20978427</c:v>
                </c:pt>
                <c:pt idx="47">
                  <c:v>151203.06166014599</c:v>
                </c:pt>
                <c:pt idx="48">
                  <c:v>155353.348785871</c:v>
                </c:pt>
                <c:pt idx="49">
                  <c:v>158072.668901303</c:v>
                </c:pt>
                <c:pt idx="50">
                  <c:v>160669.57554275499</c:v>
                </c:pt>
                <c:pt idx="51">
                  <c:v>160994.82314778701</c:v>
                </c:pt>
                <c:pt idx="52">
                  <c:v>156956.130965005</c:v>
                </c:pt>
                <c:pt idx="53">
                  <c:v>153605.14232471399</c:v>
                </c:pt>
                <c:pt idx="54">
                  <c:v>155838.69689440899</c:v>
                </c:pt>
                <c:pt idx="55">
                  <c:v>166595.902425729</c:v>
                </c:pt>
                <c:pt idx="56">
                  <c:v>158284.184052586</c:v>
                </c:pt>
                <c:pt idx="57">
                  <c:v>155670.65369127499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Data!$AQ$2</c:f>
              <c:strCache>
                <c:ptCount val="1"/>
                <c:pt idx="0">
                  <c:v>Non-HARP</c:v>
                </c:pt>
              </c:strCache>
            </c:strRef>
          </c:tx>
          <c:marker>
            <c:symbol val="none"/>
          </c:marker>
          <c:cat>
            <c:numRef>
              <c:f>Data!$AO$3:$AO$60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Data!$AQ$3:$AQ$60</c:f>
              <c:numCache>
                <c:formatCode>General</c:formatCode>
                <c:ptCount val="58"/>
                <c:pt idx="0">
                  <c:v>243696.56669189601</c:v>
                </c:pt>
                <c:pt idx="1">
                  <c:v>240461.51817235301</c:v>
                </c:pt>
                <c:pt idx="2">
                  <c:v>239970.59435986</c:v>
                </c:pt>
                <c:pt idx="3">
                  <c:v>248616.718602432</c:v>
                </c:pt>
                <c:pt idx="4">
                  <c:v>237044.622960193</c:v>
                </c:pt>
                <c:pt idx="5">
                  <c:v>241844.942401395</c:v>
                </c:pt>
                <c:pt idx="6">
                  <c:v>251944.707445515</c:v>
                </c:pt>
                <c:pt idx="7">
                  <c:v>251649.34976084001</c:v>
                </c:pt>
                <c:pt idx="8">
                  <c:v>253622.01593826601</c:v>
                </c:pt>
                <c:pt idx="9">
                  <c:v>251489.06352406199</c:v>
                </c:pt>
                <c:pt idx="10">
                  <c:v>248771.68589083399</c:v>
                </c:pt>
                <c:pt idx="11">
                  <c:v>239752.27006591699</c:v>
                </c:pt>
                <c:pt idx="12">
                  <c:v>238886.53449430599</c:v>
                </c:pt>
                <c:pt idx="13">
                  <c:v>236884.95504074701</c:v>
                </c:pt>
                <c:pt idx="14">
                  <c:v>248875.78688196401</c:v>
                </c:pt>
                <c:pt idx="15">
                  <c:v>248936.595539987</c:v>
                </c:pt>
                <c:pt idx="16">
                  <c:v>246700.82227679199</c:v>
                </c:pt>
                <c:pt idx="17">
                  <c:v>242033.35760517701</c:v>
                </c:pt>
                <c:pt idx="18">
                  <c:v>252851.384836026</c:v>
                </c:pt>
                <c:pt idx="19">
                  <c:v>255642.44141016199</c:v>
                </c:pt>
                <c:pt idx="20">
                  <c:v>251939.10041013599</c:v>
                </c:pt>
                <c:pt idx="21">
                  <c:v>237391.86931371401</c:v>
                </c:pt>
                <c:pt idx="22">
                  <c:v>238558.455038363</c:v>
                </c:pt>
                <c:pt idx="23">
                  <c:v>240983.34984629901</c:v>
                </c:pt>
                <c:pt idx="24">
                  <c:v>238539.88368602699</c:v>
                </c:pt>
                <c:pt idx="25">
                  <c:v>234291.75928623401</c:v>
                </c:pt>
                <c:pt idx="26">
                  <c:v>247231.74263486799</c:v>
                </c:pt>
                <c:pt idx="27">
                  <c:v>251379.158724637</c:v>
                </c:pt>
                <c:pt idx="28">
                  <c:v>258983.06350474199</c:v>
                </c:pt>
                <c:pt idx="29">
                  <c:v>286308.25546611001</c:v>
                </c:pt>
                <c:pt idx="30">
                  <c:v>265011.58001017198</c:v>
                </c:pt>
                <c:pt idx="31">
                  <c:v>258200.41160003899</c:v>
                </c:pt>
                <c:pt idx="32">
                  <c:v>265756.02121981001</c:v>
                </c:pt>
                <c:pt idx="33">
                  <c:v>264552.28678143799</c:v>
                </c:pt>
                <c:pt idx="34">
                  <c:v>253912.23806412701</c:v>
                </c:pt>
                <c:pt idx="35">
                  <c:v>249454.53149910001</c:v>
                </c:pt>
                <c:pt idx="36">
                  <c:v>241787.18659053199</c:v>
                </c:pt>
                <c:pt idx="37">
                  <c:v>257694.28579273901</c:v>
                </c:pt>
                <c:pt idx="38">
                  <c:v>262324.54530091502</c:v>
                </c:pt>
                <c:pt idx="39">
                  <c:v>258497.986072801</c:v>
                </c:pt>
                <c:pt idx="40">
                  <c:v>263312.14872250299</c:v>
                </c:pt>
                <c:pt idx="41">
                  <c:v>267909.46970441198</c:v>
                </c:pt>
                <c:pt idx="42">
                  <c:v>258783.34327456701</c:v>
                </c:pt>
                <c:pt idx="43">
                  <c:v>257798.900619305</c:v>
                </c:pt>
                <c:pt idx="44">
                  <c:v>252323.29434766099</c:v>
                </c:pt>
                <c:pt idx="45">
                  <c:v>253937.88244140201</c:v>
                </c:pt>
                <c:pt idx="46">
                  <c:v>251905.35565732201</c:v>
                </c:pt>
                <c:pt idx="47">
                  <c:v>241279.432227674</c:v>
                </c:pt>
                <c:pt idx="48">
                  <c:v>244637.008732018</c:v>
                </c:pt>
                <c:pt idx="49">
                  <c:v>256053.04054945</c:v>
                </c:pt>
                <c:pt idx="50">
                  <c:v>254280.70839615699</c:v>
                </c:pt>
                <c:pt idx="51">
                  <c:v>241594.886901363</c:v>
                </c:pt>
                <c:pt idx="52">
                  <c:v>237396.622999896</c:v>
                </c:pt>
                <c:pt idx="53">
                  <c:v>231707.587190772</c:v>
                </c:pt>
                <c:pt idx="54">
                  <c:v>243013.57884471101</c:v>
                </c:pt>
                <c:pt idx="55">
                  <c:v>249791.86971920001</c:v>
                </c:pt>
                <c:pt idx="56">
                  <c:v>242476.80321234299</c:v>
                </c:pt>
                <c:pt idx="57">
                  <c:v>234194.76948651599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526336"/>
        <c:axId val="400832000"/>
      </c:lineChart>
      <c:dateAx>
        <c:axId val="400526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0832000"/>
        <c:crosses val="autoZero"/>
        <c:auto val="1"/>
        <c:lblOffset val="100"/>
        <c:baseTimeUnit val="months"/>
      </c:dateAx>
      <c:valAx>
        <c:axId val="400832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0526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DTI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Data!$AT$2</c:f>
              <c:strCache>
                <c:ptCount val="1"/>
                <c:pt idx="0">
                  <c:v>HARP</c:v>
                </c:pt>
              </c:strCache>
            </c:strRef>
          </c:tx>
          <c:marker>
            <c:symbol val="none"/>
          </c:marker>
          <c:cat>
            <c:numRef>
              <c:f>Data!$AS$3:$AS$60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Data!$AT$3:$AT$60</c:f>
              <c:numCache>
                <c:formatCode>General</c:formatCode>
                <c:ptCount val="58"/>
                <c:pt idx="0">
                  <c:v>30.5365853658536</c:v>
                </c:pt>
                <c:pt idx="1">
                  <c:v>30.175162187210301</c:v>
                </c:pt>
                <c:pt idx="2">
                  <c:v>28.614096530589901</c:v>
                </c:pt>
                <c:pt idx="3">
                  <c:v>29.1513918067226</c:v>
                </c:pt>
                <c:pt idx="4">
                  <c:v>27.547072243346001</c:v>
                </c:pt>
                <c:pt idx="5">
                  <c:v>25.816916115558602</c:v>
                </c:pt>
                <c:pt idx="6">
                  <c:v>23.669815668202698</c:v>
                </c:pt>
                <c:pt idx="7">
                  <c:v>21.8546198016356</c:v>
                </c:pt>
                <c:pt idx="8">
                  <c:v>21.995218413161499</c:v>
                </c:pt>
                <c:pt idx="9">
                  <c:v>22.986535565594799</c:v>
                </c:pt>
                <c:pt idx="10">
                  <c:v>25.642716258100801</c:v>
                </c:pt>
                <c:pt idx="11">
                  <c:v>25.153229448961099</c:v>
                </c:pt>
                <c:pt idx="12">
                  <c:v>26.228218870746598</c:v>
                </c:pt>
                <c:pt idx="13">
                  <c:v>29.0009808729769</c:v>
                </c:pt>
                <c:pt idx="14">
                  <c:v>26.386901602802201</c:v>
                </c:pt>
                <c:pt idx="15">
                  <c:v>25.9408151033862</c:v>
                </c:pt>
                <c:pt idx="16">
                  <c:v>25.546063155400201</c:v>
                </c:pt>
                <c:pt idx="17">
                  <c:v>24.405062673755001</c:v>
                </c:pt>
                <c:pt idx="18">
                  <c:v>22.947887863189599</c:v>
                </c:pt>
                <c:pt idx="19">
                  <c:v>23.1362517808574</c:v>
                </c:pt>
                <c:pt idx="20">
                  <c:v>25.760171554422101</c:v>
                </c:pt>
                <c:pt idx="21">
                  <c:v>27.057121096725002</c:v>
                </c:pt>
                <c:pt idx="22">
                  <c:v>29.9474469305794</c:v>
                </c:pt>
                <c:pt idx="23">
                  <c:v>30.945766270118899</c:v>
                </c:pt>
                <c:pt idx="24">
                  <c:v>29.900936599423598</c:v>
                </c:pt>
                <c:pt idx="25">
                  <c:v>31.808972845336399</c:v>
                </c:pt>
                <c:pt idx="26">
                  <c:v>30.715808898913199</c:v>
                </c:pt>
                <c:pt idx="27">
                  <c:v>30.7862269309637</c:v>
                </c:pt>
                <c:pt idx="28">
                  <c:v>29.680576759966002</c:v>
                </c:pt>
                <c:pt idx="29">
                  <c:v>26.9335170100622</c:v>
                </c:pt>
                <c:pt idx="30">
                  <c:v>26.805093776641002</c:v>
                </c:pt>
                <c:pt idx="31">
                  <c:v>25.6313325217717</c:v>
                </c:pt>
                <c:pt idx="32">
                  <c:v>27.079324699352401</c:v>
                </c:pt>
                <c:pt idx="33">
                  <c:v>27.874505098980201</c:v>
                </c:pt>
                <c:pt idx="34">
                  <c:v>27.748838871025299</c:v>
                </c:pt>
                <c:pt idx="35">
                  <c:v>28.719694023077899</c:v>
                </c:pt>
                <c:pt idx="36">
                  <c:v>29.9032455603184</c:v>
                </c:pt>
                <c:pt idx="37">
                  <c:v>30.179348664917399</c:v>
                </c:pt>
                <c:pt idx="38">
                  <c:v>30.2508038585209</c:v>
                </c:pt>
                <c:pt idx="39">
                  <c:v>29.731811862835901</c:v>
                </c:pt>
                <c:pt idx="40">
                  <c:v>30.1011499148211</c:v>
                </c:pt>
                <c:pt idx="41">
                  <c:v>28.934026851604798</c:v>
                </c:pt>
                <c:pt idx="42">
                  <c:v>30.527604707511198</c:v>
                </c:pt>
                <c:pt idx="43">
                  <c:v>29.8965580541532</c:v>
                </c:pt>
                <c:pt idx="44">
                  <c:v>31.094566681634401</c:v>
                </c:pt>
                <c:pt idx="45">
                  <c:v>32.521256454388897</c:v>
                </c:pt>
                <c:pt idx="46">
                  <c:v>32.046967895362599</c:v>
                </c:pt>
                <c:pt idx="47">
                  <c:v>32.293842490219397</c:v>
                </c:pt>
                <c:pt idx="48">
                  <c:v>33.225073583517201</c:v>
                </c:pt>
                <c:pt idx="49">
                  <c:v>32.729143389199201</c:v>
                </c:pt>
                <c:pt idx="50">
                  <c:v>33.381812140008797</c:v>
                </c:pt>
                <c:pt idx="51">
                  <c:v>34.537303749837797</c:v>
                </c:pt>
                <c:pt idx="52">
                  <c:v>34.842523860021203</c:v>
                </c:pt>
                <c:pt idx="53">
                  <c:v>35.111344048450903</c:v>
                </c:pt>
                <c:pt idx="54">
                  <c:v>36.406956521739097</c:v>
                </c:pt>
                <c:pt idx="55">
                  <c:v>36.220223494140001</c:v>
                </c:pt>
                <c:pt idx="56">
                  <c:v>35.569877107745</c:v>
                </c:pt>
                <c:pt idx="57">
                  <c:v>36.124496644295299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Data!$AU$2</c:f>
              <c:strCache>
                <c:ptCount val="1"/>
                <c:pt idx="0">
                  <c:v>Non-HARP</c:v>
                </c:pt>
              </c:strCache>
            </c:strRef>
          </c:tx>
          <c:marker>
            <c:symbol val="none"/>
          </c:marker>
          <c:cat>
            <c:numRef>
              <c:f>Data!$AS$3:$AS$60</c:f>
              <c:numCache>
                <c:formatCode>m/d/yyyy</c:formatCode>
                <c:ptCount val="58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</c:numCache>
            </c:numRef>
          </c:cat>
          <c:val>
            <c:numRef>
              <c:f>Data!$AU$3:$AU$60</c:f>
              <c:numCache>
                <c:formatCode>General</c:formatCode>
                <c:ptCount val="58"/>
                <c:pt idx="0">
                  <c:v>29.832713880635701</c:v>
                </c:pt>
                <c:pt idx="1">
                  <c:v>29.598968264180499</c:v>
                </c:pt>
                <c:pt idx="2">
                  <c:v>30.475940768107701</c:v>
                </c:pt>
                <c:pt idx="3">
                  <c:v>31.715716670641498</c:v>
                </c:pt>
                <c:pt idx="4">
                  <c:v>32.352584121398699</c:v>
                </c:pt>
                <c:pt idx="5">
                  <c:v>32.469046519977397</c:v>
                </c:pt>
                <c:pt idx="6">
                  <c:v>31.828931378109001</c:v>
                </c:pt>
                <c:pt idx="7">
                  <c:v>31.714969026895599</c:v>
                </c:pt>
                <c:pt idx="8">
                  <c:v>31.800447136881498</c:v>
                </c:pt>
                <c:pt idx="9">
                  <c:v>31.9761087758428</c:v>
                </c:pt>
                <c:pt idx="10">
                  <c:v>32.488459441449002</c:v>
                </c:pt>
                <c:pt idx="11">
                  <c:v>32.780664340183499</c:v>
                </c:pt>
                <c:pt idx="12">
                  <c:v>32.9560169680732</c:v>
                </c:pt>
                <c:pt idx="13">
                  <c:v>33.004669902023601</c:v>
                </c:pt>
                <c:pt idx="14">
                  <c:v>32.053312871155001</c:v>
                </c:pt>
                <c:pt idx="15">
                  <c:v>31.1319256006709</c:v>
                </c:pt>
                <c:pt idx="16">
                  <c:v>30.679152616918302</c:v>
                </c:pt>
                <c:pt idx="17">
                  <c:v>30.387882056814</c:v>
                </c:pt>
                <c:pt idx="18">
                  <c:v>30.531376485961001</c:v>
                </c:pt>
                <c:pt idx="19">
                  <c:v>30.794518261334002</c:v>
                </c:pt>
                <c:pt idx="20">
                  <c:v>31.046469898930699</c:v>
                </c:pt>
                <c:pt idx="21">
                  <c:v>31.611366954958999</c:v>
                </c:pt>
                <c:pt idx="22">
                  <c:v>32.727877237851601</c:v>
                </c:pt>
                <c:pt idx="23">
                  <c:v>33.334003310475197</c:v>
                </c:pt>
                <c:pt idx="24">
                  <c:v>33.490769923457897</c:v>
                </c:pt>
                <c:pt idx="25">
                  <c:v>33.649126001456601</c:v>
                </c:pt>
                <c:pt idx="26">
                  <c:v>32.902563448539702</c:v>
                </c:pt>
                <c:pt idx="27">
                  <c:v>32.729623188405697</c:v>
                </c:pt>
                <c:pt idx="28">
                  <c:v>32.251023464802699</c:v>
                </c:pt>
                <c:pt idx="29">
                  <c:v>30.906976744186</c:v>
                </c:pt>
                <c:pt idx="30">
                  <c:v>30.631434384537101</c:v>
                </c:pt>
                <c:pt idx="31">
                  <c:v>30.766329437186901</c:v>
                </c:pt>
                <c:pt idx="32">
                  <c:v>31.085229261462999</c:v>
                </c:pt>
                <c:pt idx="33">
                  <c:v>30.7475512021371</c:v>
                </c:pt>
                <c:pt idx="34">
                  <c:v>30.667403759171702</c:v>
                </c:pt>
                <c:pt idx="35">
                  <c:v>30.7991257392645</c:v>
                </c:pt>
                <c:pt idx="36">
                  <c:v>31.2926874194142</c:v>
                </c:pt>
                <c:pt idx="37">
                  <c:v>31.2081388324454</c:v>
                </c:pt>
                <c:pt idx="38">
                  <c:v>30.955189707806301</c:v>
                </c:pt>
                <c:pt idx="39">
                  <c:v>30.550486095410299</c:v>
                </c:pt>
                <c:pt idx="40">
                  <c:v>30.4496515917475</c:v>
                </c:pt>
                <c:pt idx="41">
                  <c:v>30.449478459360201</c:v>
                </c:pt>
                <c:pt idx="42">
                  <c:v>30.6033476172672</c:v>
                </c:pt>
                <c:pt idx="43">
                  <c:v>30.551311565772799</c:v>
                </c:pt>
                <c:pt idx="44">
                  <c:v>30.535265108407</c:v>
                </c:pt>
                <c:pt idx="45">
                  <c:v>30.481616884463801</c:v>
                </c:pt>
                <c:pt idx="46">
                  <c:v>30.519441122422101</c:v>
                </c:pt>
                <c:pt idx="47">
                  <c:v>31.379744847889999</c:v>
                </c:pt>
                <c:pt idx="48">
                  <c:v>31.9071188933314</c:v>
                </c:pt>
                <c:pt idx="49">
                  <c:v>31.524652014651998</c:v>
                </c:pt>
                <c:pt idx="50">
                  <c:v>31.432774738293102</c:v>
                </c:pt>
                <c:pt idx="51">
                  <c:v>32.209831906121103</c:v>
                </c:pt>
                <c:pt idx="52">
                  <c:v>33.282233921750802</c:v>
                </c:pt>
                <c:pt idx="53">
                  <c:v>33.738200030353603</c:v>
                </c:pt>
                <c:pt idx="54">
                  <c:v>34.162790697674403</c:v>
                </c:pt>
                <c:pt idx="55">
                  <c:v>33.707690361750501</c:v>
                </c:pt>
                <c:pt idx="56">
                  <c:v>33.897559124826103</c:v>
                </c:pt>
                <c:pt idx="57">
                  <c:v>34.093646102696702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2352768"/>
        <c:axId val="402354560"/>
      </c:lineChart>
      <c:dateAx>
        <c:axId val="4023527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02354560"/>
        <c:crosses val="autoZero"/>
        <c:auto val="1"/>
        <c:lblOffset val="100"/>
        <c:baseTimeUnit val="months"/>
      </c:dateAx>
      <c:valAx>
        <c:axId val="402354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2352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62</xdr:row>
      <xdr:rowOff>171450</xdr:rowOff>
    </xdr:from>
    <xdr:to>
      <xdr:col>8</xdr:col>
      <xdr:colOff>485775</xdr:colOff>
      <xdr:row>84</xdr:row>
      <xdr:rowOff>123825</xdr:rowOff>
    </xdr:to>
    <xdr:sp macro="" textlink="">
      <xdr:nvSpPr>
        <xdr:cNvPr id="9" name="TextBox 8"/>
        <xdr:cNvSpPr txBox="1"/>
      </xdr:nvSpPr>
      <xdr:spPr>
        <a:xfrm>
          <a:off x="657225" y="11982450"/>
          <a:ext cx="4705350" cy="414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(firstPaymtDt - day(firstPaymtDt) + 1) as pmtdate, </a:t>
          </a:r>
        </a:p>
        <a:p>
          <a:r>
            <a:rPr lang="en-US" sz="1100"/>
            <a:t>        avg(cs) AS cs,</a:t>
          </a:r>
        </a:p>
        <a:p>
          <a:r>
            <a:rPr lang="en-US" sz="1100"/>
            <a:t>        avg(origLTV) AS OLTV,</a:t>
          </a:r>
        </a:p>
        <a:p>
          <a:r>
            <a:rPr lang="en-US" sz="1100"/>
            <a:t>        avg(origNoteRate) AS origNoteRate,</a:t>
          </a:r>
        </a:p>
        <a:p>
          <a:r>
            <a:rPr lang="en-US" sz="1100"/>
            <a:t>        avg(coupon) AS coupon,</a:t>
          </a:r>
        </a:p>
        <a:p>
          <a:r>
            <a:rPr lang="en-US" sz="1100"/>
            <a:t>        avg(l.origNoteRate - l.coupon) AS SATO,</a:t>
          </a:r>
        </a:p>
        <a:p>
          <a:r>
            <a:rPr lang="en-US" sz="1100"/>
            <a:t>        avg(originalLoanAmount) AS originalLoanAmount,</a:t>
          </a:r>
        </a:p>
        <a:p>
          <a:r>
            <a:rPr lang="en-US" sz="1100"/>
            <a:t>        avg(dti) AS dti</a:t>
          </a:r>
        </a:p>
        <a:p>
          <a:r>
            <a:rPr lang="en-US" sz="1100"/>
            <a:t>from fhl.cello_loan l</a:t>
          </a:r>
        </a:p>
        <a:p>
          <a:r>
            <a:rPr lang="en-US" sz="1100"/>
            <a:t>where firstPaymtDt &gt;= '2005-01-01'</a:t>
          </a:r>
        </a:p>
        <a:p>
          <a:r>
            <a:rPr lang="en-US" sz="1100"/>
            <a:t>and marketticker = 'FGLMC'</a:t>
          </a:r>
        </a:p>
        <a:p>
          <a:r>
            <a:rPr lang="en-US" sz="1100"/>
            <a:t>and origLTV &lt;=80</a:t>
          </a:r>
        </a:p>
        <a:p>
          <a:r>
            <a:rPr lang="en-US" sz="1100"/>
            <a:t>and HARPStatus = 'HARP'</a:t>
          </a:r>
        </a:p>
        <a:p>
          <a:r>
            <a:rPr lang="en-US" sz="1100"/>
            <a:t>and l.cs &gt; 300</a:t>
          </a:r>
        </a:p>
        <a:p>
          <a:r>
            <a:rPr lang="en-US" sz="1100"/>
            <a:t>and l.origNoteRate &gt; 0</a:t>
          </a:r>
        </a:p>
        <a:p>
          <a:r>
            <a:rPr lang="en-US" sz="1100"/>
            <a:t>and l.coupon &gt; 0</a:t>
          </a:r>
        </a:p>
        <a:p>
          <a:r>
            <a:rPr lang="en-US" sz="1100"/>
            <a:t>and l.originalLoanAmount &gt; 0</a:t>
          </a:r>
        </a:p>
        <a:p>
          <a:r>
            <a:rPr lang="en-US" sz="1100"/>
            <a:t>and l.dti &gt; 0</a:t>
          </a:r>
        </a:p>
        <a:p>
          <a:r>
            <a:rPr lang="en-US" sz="1100"/>
            <a:t>and l.origLTV &gt; 0</a:t>
          </a:r>
        </a:p>
        <a:p>
          <a:r>
            <a:rPr lang="en-US" sz="1100"/>
            <a:t>group by pmtdate</a:t>
          </a:r>
        </a:p>
        <a:p>
          <a:r>
            <a:rPr lang="en-US" sz="1100"/>
            <a:t>order by pmtdate</a:t>
          </a:r>
        </a:p>
      </xdr:txBody>
    </xdr:sp>
    <xdr:clientData/>
  </xdr:twoCellAnchor>
  <xdr:twoCellAnchor>
    <xdr:from>
      <xdr:col>11</xdr:col>
      <xdr:colOff>0</xdr:colOff>
      <xdr:row>63</xdr:row>
      <xdr:rowOff>0</xdr:rowOff>
    </xdr:from>
    <xdr:to>
      <xdr:col>18</xdr:col>
      <xdr:colOff>438150</xdr:colOff>
      <xdr:row>84</xdr:row>
      <xdr:rowOff>142875</xdr:rowOff>
    </xdr:to>
    <xdr:sp macro="" textlink="">
      <xdr:nvSpPr>
        <xdr:cNvPr id="10" name="TextBox 9"/>
        <xdr:cNvSpPr txBox="1"/>
      </xdr:nvSpPr>
      <xdr:spPr>
        <a:xfrm>
          <a:off x="6705600" y="12001500"/>
          <a:ext cx="4705350" cy="414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(firstPaymtDt - day(firstPaymtDt) + 1) as pmtdate, </a:t>
          </a:r>
        </a:p>
        <a:p>
          <a:r>
            <a:rPr lang="en-US" sz="1100"/>
            <a:t>        avg(cs) AS cs,</a:t>
          </a:r>
        </a:p>
        <a:p>
          <a:r>
            <a:rPr lang="en-US" sz="1100"/>
            <a:t>        avg(origLTV) AS OLTV,</a:t>
          </a:r>
        </a:p>
        <a:p>
          <a:r>
            <a:rPr lang="en-US" sz="1100"/>
            <a:t>        avg(origNoteRate) AS origNoteRate,</a:t>
          </a:r>
        </a:p>
        <a:p>
          <a:r>
            <a:rPr lang="en-US" sz="1100"/>
            <a:t>        avg(coupon) AS coupon,</a:t>
          </a:r>
        </a:p>
        <a:p>
          <a:r>
            <a:rPr lang="en-US" sz="1100"/>
            <a:t>        avg(l.origNoteRate - l.coupon) AS SATO,</a:t>
          </a:r>
        </a:p>
        <a:p>
          <a:r>
            <a:rPr lang="en-US" sz="1100"/>
            <a:t>        avg(originalLoanAmount) AS originalLoanAmount,</a:t>
          </a:r>
        </a:p>
        <a:p>
          <a:r>
            <a:rPr lang="en-US" sz="1100"/>
            <a:t>        avg(dti) AS dti</a:t>
          </a:r>
        </a:p>
        <a:p>
          <a:r>
            <a:rPr lang="en-US" sz="1100"/>
            <a:t>from fhl.cello_loan l</a:t>
          </a:r>
        </a:p>
        <a:p>
          <a:r>
            <a:rPr lang="en-US" sz="1100"/>
            <a:t>where firstPaymtDt &gt;= '2005-01-01'</a:t>
          </a:r>
        </a:p>
        <a:p>
          <a:r>
            <a:rPr lang="en-US" sz="1100"/>
            <a:t>and marketticker = 'FGLMC'</a:t>
          </a:r>
        </a:p>
        <a:p>
          <a:r>
            <a:rPr lang="en-US" sz="1100"/>
            <a:t>and origLTV &lt;=80</a:t>
          </a:r>
        </a:p>
        <a:p>
          <a:r>
            <a:rPr lang="en-US" sz="1100"/>
            <a:t>and HARPStatus = 'NON-HARP'</a:t>
          </a:r>
        </a:p>
        <a:p>
          <a:r>
            <a:rPr lang="en-US" sz="1100"/>
            <a:t>and l.cs &gt; 300</a:t>
          </a:r>
        </a:p>
        <a:p>
          <a:r>
            <a:rPr lang="en-US" sz="1100"/>
            <a:t>and l.origNoteRate &gt; 0</a:t>
          </a:r>
        </a:p>
        <a:p>
          <a:r>
            <a:rPr lang="en-US" sz="1100"/>
            <a:t>and l.coupon &gt; 0</a:t>
          </a:r>
        </a:p>
        <a:p>
          <a:r>
            <a:rPr lang="en-US" sz="1100"/>
            <a:t>and l.originalLoanAmount &gt; 0</a:t>
          </a:r>
        </a:p>
        <a:p>
          <a:r>
            <a:rPr lang="en-US" sz="1100"/>
            <a:t>and l.dti &gt; 0</a:t>
          </a:r>
        </a:p>
        <a:p>
          <a:r>
            <a:rPr lang="en-US" sz="1100"/>
            <a:t>and l.origLTV &gt; 0</a:t>
          </a:r>
        </a:p>
        <a:p>
          <a:r>
            <a:rPr lang="en-US" sz="1100"/>
            <a:t>group by pmtdate</a:t>
          </a:r>
        </a:p>
        <a:p>
          <a:r>
            <a:rPr lang="en-US" sz="1100"/>
            <a:t>order by pmtdate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0</xdr:row>
      <xdr:rowOff>47625</xdr:rowOff>
    </xdr:from>
    <xdr:to>
      <xdr:col>8</xdr:col>
      <xdr:colOff>95250</xdr:colOff>
      <xdr:row>14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0</xdr:row>
      <xdr:rowOff>0</xdr:rowOff>
    </xdr:from>
    <xdr:to>
      <xdr:col>16</xdr:col>
      <xdr:colOff>323850</xdr:colOff>
      <xdr:row>14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428625</xdr:colOff>
      <xdr:row>16</xdr:row>
      <xdr:rowOff>28575</xdr:rowOff>
    </xdr:from>
    <xdr:to>
      <xdr:col>8</xdr:col>
      <xdr:colOff>123825</xdr:colOff>
      <xdr:row>30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</xdr:colOff>
      <xdr:row>15</xdr:row>
      <xdr:rowOff>152400</xdr:rowOff>
    </xdr:from>
    <xdr:to>
      <xdr:col>16</xdr:col>
      <xdr:colOff>342900</xdr:colOff>
      <xdr:row>30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400050</xdr:colOff>
      <xdr:row>31</xdr:row>
      <xdr:rowOff>133350</xdr:rowOff>
    </xdr:from>
    <xdr:to>
      <xdr:col>8</xdr:col>
      <xdr:colOff>95250</xdr:colOff>
      <xdr:row>46</xdr:row>
      <xdr:rowOff>19050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31</xdr:row>
      <xdr:rowOff>152400</xdr:rowOff>
    </xdr:from>
    <xdr:to>
      <xdr:col>16</xdr:col>
      <xdr:colOff>304800</xdr:colOff>
      <xdr:row>46</xdr:row>
      <xdr:rowOff>38100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9525</xdr:colOff>
      <xdr:row>32</xdr:row>
      <xdr:rowOff>47625</xdr:rowOff>
    </xdr:from>
    <xdr:to>
      <xdr:col>25</xdr:col>
      <xdr:colOff>314325</xdr:colOff>
      <xdr:row>46</xdr:row>
      <xdr:rowOff>123825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0"/>
  <sheetViews>
    <sheetView tabSelected="1" topLeftCell="A30" workbookViewId="0">
      <selection activeCell="I90" sqref="I90"/>
    </sheetView>
  </sheetViews>
  <sheetFormatPr defaultRowHeight="15" x14ac:dyDescent="0.25"/>
  <sheetData>
    <row r="1" spans="1:47" x14ac:dyDescent="0.25">
      <c r="U1" t="s">
        <v>1</v>
      </c>
      <c r="Y1" t="s">
        <v>2</v>
      </c>
      <c r="AC1" t="s">
        <v>3</v>
      </c>
      <c r="AG1" t="s">
        <v>4</v>
      </c>
      <c r="AK1" t="s">
        <v>9</v>
      </c>
      <c r="AO1" t="s">
        <v>5</v>
      </c>
      <c r="AS1" t="s">
        <v>10</v>
      </c>
    </row>
    <row r="2" spans="1:47" x14ac:dyDescent="0.25">
      <c r="A2" t="s">
        <v>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9</v>
      </c>
      <c r="H2" t="s">
        <v>5</v>
      </c>
      <c r="I2" t="s">
        <v>6</v>
      </c>
      <c r="K2" t="s">
        <v>8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9</v>
      </c>
      <c r="R2" t="s">
        <v>5</v>
      </c>
      <c r="S2" t="s">
        <v>6</v>
      </c>
      <c r="V2" t="s">
        <v>7</v>
      </c>
      <c r="W2" t="s">
        <v>8</v>
      </c>
      <c r="Z2" t="s">
        <v>7</v>
      </c>
      <c r="AA2" t="s">
        <v>8</v>
      </c>
      <c r="AD2" t="s">
        <v>7</v>
      </c>
      <c r="AE2" t="s">
        <v>8</v>
      </c>
      <c r="AH2" t="s">
        <v>7</v>
      </c>
      <c r="AI2" t="s">
        <v>8</v>
      </c>
      <c r="AL2" t="s">
        <v>7</v>
      </c>
      <c r="AM2" t="s">
        <v>8</v>
      </c>
      <c r="AP2" t="s">
        <v>7</v>
      </c>
      <c r="AQ2" t="s">
        <v>8</v>
      </c>
      <c r="AT2" t="s">
        <v>7</v>
      </c>
      <c r="AU2" t="s">
        <v>8</v>
      </c>
    </row>
    <row r="3" spans="1:47" x14ac:dyDescent="0.25">
      <c r="B3" s="1">
        <v>39965</v>
      </c>
      <c r="C3">
        <v>763.44803479881898</v>
      </c>
      <c r="D3">
        <v>63.511263010719198</v>
      </c>
      <c r="E3">
        <v>4.8848312878670104</v>
      </c>
      <c r="F3">
        <v>4.3430946092900404</v>
      </c>
      <c r="G3">
        <v>0.54173667857697605</v>
      </c>
      <c r="H3">
        <v>218640.01102998201</v>
      </c>
      <c r="I3">
        <v>30.5365853658536</v>
      </c>
      <c r="L3" s="1">
        <v>39965</v>
      </c>
      <c r="M3">
        <v>769.15101842542197</v>
      </c>
      <c r="N3">
        <v>63.059444864944197</v>
      </c>
      <c r="O3">
        <v>4.8909398886114799</v>
      </c>
      <c r="P3">
        <v>4.4137642765959804</v>
      </c>
      <c r="Q3">
        <v>0.47717561201549902</v>
      </c>
      <c r="R3">
        <v>243696.56669189601</v>
      </c>
      <c r="S3">
        <v>29.832713880635701</v>
      </c>
      <c r="U3" s="1">
        <f>B3</f>
        <v>39965</v>
      </c>
      <c r="V3">
        <f>C3</f>
        <v>763.44803479881898</v>
      </c>
      <c r="W3">
        <f>M3</f>
        <v>769.15101842542197</v>
      </c>
      <c r="Y3" s="1">
        <f>U3</f>
        <v>39965</v>
      </c>
      <c r="Z3">
        <f>D3</f>
        <v>63.511263010719198</v>
      </c>
      <c r="AA3">
        <f>N3</f>
        <v>63.059444864944197</v>
      </c>
      <c r="AC3" s="1">
        <f>Y3</f>
        <v>39965</v>
      </c>
      <c r="AD3">
        <f>E3</f>
        <v>4.8848312878670104</v>
      </c>
      <c r="AE3">
        <f>O3</f>
        <v>4.8909398886114799</v>
      </c>
      <c r="AG3" s="1">
        <f>AC3</f>
        <v>39965</v>
      </c>
      <c r="AH3">
        <f>F3</f>
        <v>4.3430946092900404</v>
      </c>
      <c r="AI3">
        <f>P3</f>
        <v>4.4137642765959804</v>
      </c>
      <c r="AK3" s="1">
        <f>AG3</f>
        <v>39965</v>
      </c>
      <c r="AL3">
        <f>G3</f>
        <v>0.54173667857697605</v>
      </c>
      <c r="AM3">
        <f>Q3</f>
        <v>0.47717561201549902</v>
      </c>
      <c r="AO3" s="1">
        <f>AK3</f>
        <v>39965</v>
      </c>
      <c r="AP3">
        <f>H3</f>
        <v>218640.01102998201</v>
      </c>
      <c r="AQ3">
        <f>R3</f>
        <v>243696.56669189601</v>
      </c>
      <c r="AS3" s="1">
        <f>AO3</f>
        <v>39965</v>
      </c>
      <c r="AT3">
        <f>I3</f>
        <v>30.5365853658536</v>
      </c>
      <c r="AU3">
        <f>S3</f>
        <v>29.832713880635701</v>
      </c>
    </row>
    <row r="4" spans="1:47" x14ac:dyDescent="0.25">
      <c r="B4" s="1">
        <v>39995</v>
      </c>
      <c r="C4">
        <v>748.85217794253902</v>
      </c>
      <c r="D4">
        <v>64.971269694161194</v>
      </c>
      <c r="E4">
        <v>4.9665352177942497</v>
      </c>
      <c r="F4">
        <v>4.5400834105653303</v>
      </c>
      <c r="G4">
        <v>0.42645180722891501</v>
      </c>
      <c r="H4">
        <v>183183.72690763001</v>
      </c>
      <c r="I4">
        <v>30.175162187210301</v>
      </c>
      <c r="L4" s="1">
        <v>39995</v>
      </c>
      <c r="M4">
        <v>769.56960707475901</v>
      </c>
      <c r="N4">
        <v>62.599167124825897</v>
      </c>
      <c r="O4">
        <v>4.8665753155450497</v>
      </c>
      <c r="P4">
        <v>4.4507644437165803</v>
      </c>
      <c r="Q4">
        <v>0.41581087182846499</v>
      </c>
      <c r="R4">
        <v>240461.51817235301</v>
      </c>
      <c r="S4">
        <v>29.598968264180499</v>
      </c>
      <c r="U4" s="1">
        <f t="shared" ref="U4:U60" si="0">B4</f>
        <v>39995</v>
      </c>
      <c r="V4">
        <f t="shared" ref="V4:V60" si="1">C4</f>
        <v>748.85217794253902</v>
      </c>
      <c r="W4">
        <f t="shared" ref="W4:W60" si="2">M4</f>
        <v>769.56960707475901</v>
      </c>
      <c r="Y4" s="1">
        <f t="shared" ref="Y4:Y60" si="3">U4</f>
        <v>39995</v>
      </c>
      <c r="Z4">
        <f t="shared" ref="Z4:Z60" si="4">D4</f>
        <v>64.971269694161194</v>
      </c>
      <c r="AA4">
        <f t="shared" ref="AA4:AA60" si="5">N4</f>
        <v>62.599167124825897</v>
      </c>
      <c r="AC4" s="1">
        <f t="shared" ref="AC4:AC60" si="6">Y4</f>
        <v>39995</v>
      </c>
      <c r="AD4">
        <f t="shared" ref="AD4:AD60" si="7">E4</f>
        <v>4.9665352177942497</v>
      </c>
      <c r="AE4">
        <f t="shared" ref="AE4:AE60" si="8">O4</f>
        <v>4.8665753155450497</v>
      </c>
      <c r="AG4" s="1">
        <f t="shared" ref="AG4:AG60" si="9">AC4</f>
        <v>39995</v>
      </c>
      <c r="AH4">
        <f t="shared" ref="AH4:AH60" si="10">F4</f>
        <v>4.5400834105653303</v>
      </c>
      <c r="AI4">
        <f t="shared" ref="AI4:AI60" si="11">P4</f>
        <v>4.4507644437165803</v>
      </c>
      <c r="AK4" s="1">
        <f t="shared" ref="AK4:AK60" si="12">AG4</f>
        <v>39995</v>
      </c>
      <c r="AL4">
        <f t="shared" ref="AL4:AL60" si="13">G4</f>
        <v>0.42645180722891501</v>
      </c>
      <c r="AM4">
        <f t="shared" ref="AM4:AM60" si="14">Q4</f>
        <v>0.41581087182846499</v>
      </c>
      <c r="AO4" s="1">
        <f t="shared" ref="AO4:AO60" si="15">AK4</f>
        <v>39995</v>
      </c>
      <c r="AP4">
        <f t="shared" ref="AP4:AP60" si="16">H4</f>
        <v>183183.72690763001</v>
      </c>
      <c r="AQ4">
        <f t="shared" ref="AQ4:AQ60" si="17">R4</f>
        <v>240461.51817235301</v>
      </c>
      <c r="AS4" s="1">
        <f t="shared" ref="AS4:AS60" si="18">AO4</f>
        <v>39995</v>
      </c>
      <c r="AT4">
        <f t="shared" ref="AT4:AT60" si="19">I4</f>
        <v>30.175162187210301</v>
      </c>
      <c r="AU4">
        <f t="shared" ref="AU4:AU60" si="20">S4</f>
        <v>29.598968264180499</v>
      </c>
    </row>
    <row r="5" spans="1:47" x14ac:dyDescent="0.25">
      <c r="B5" s="1">
        <v>40026</v>
      </c>
      <c r="C5">
        <v>748.31585859691302</v>
      </c>
      <c r="D5">
        <v>64.760971872605793</v>
      </c>
      <c r="E5">
        <v>5.0434390937944604</v>
      </c>
      <c r="F5">
        <v>4.6200612892634298</v>
      </c>
      <c r="G5">
        <v>0.42337780453102702</v>
      </c>
      <c r="H5">
        <v>192566.150158695</v>
      </c>
      <c r="I5">
        <v>28.614096530589901</v>
      </c>
      <c r="L5" s="1">
        <v>40026</v>
      </c>
      <c r="M5">
        <v>768.07715341298399</v>
      </c>
      <c r="N5">
        <v>62.333104907189401</v>
      </c>
      <c r="O5">
        <v>4.8868156005124597</v>
      </c>
      <c r="P5">
        <v>4.4959032267675703</v>
      </c>
      <c r="Q5">
        <v>0.39091237374489701</v>
      </c>
      <c r="R5">
        <v>239970.59435986</v>
      </c>
      <c r="S5">
        <v>30.475940768107701</v>
      </c>
      <c r="U5" s="1">
        <f t="shared" si="0"/>
        <v>40026</v>
      </c>
      <c r="V5">
        <f t="shared" si="1"/>
        <v>748.31585859691302</v>
      </c>
      <c r="W5">
        <f t="shared" si="2"/>
        <v>768.07715341298399</v>
      </c>
      <c r="Y5" s="1">
        <f t="shared" si="3"/>
        <v>40026</v>
      </c>
      <c r="Z5">
        <f t="shared" si="4"/>
        <v>64.760971872605793</v>
      </c>
      <c r="AA5">
        <f t="shared" si="5"/>
        <v>62.333104907189401</v>
      </c>
      <c r="AC5" s="1">
        <f t="shared" si="6"/>
        <v>40026</v>
      </c>
      <c r="AD5">
        <f t="shared" si="7"/>
        <v>5.0434390937944604</v>
      </c>
      <c r="AE5">
        <f t="shared" si="8"/>
        <v>4.8868156005124597</v>
      </c>
      <c r="AG5" s="1">
        <f t="shared" si="9"/>
        <v>40026</v>
      </c>
      <c r="AH5">
        <f t="shared" si="10"/>
        <v>4.6200612892634298</v>
      </c>
      <c r="AI5">
        <f t="shared" si="11"/>
        <v>4.4959032267675703</v>
      </c>
      <c r="AK5" s="1">
        <f t="shared" si="12"/>
        <v>40026</v>
      </c>
      <c r="AL5">
        <f t="shared" si="13"/>
        <v>0.42337780453102702</v>
      </c>
      <c r="AM5">
        <f t="shared" si="14"/>
        <v>0.39091237374489701</v>
      </c>
      <c r="AO5" s="1">
        <f t="shared" si="15"/>
        <v>40026</v>
      </c>
      <c r="AP5">
        <f t="shared" si="16"/>
        <v>192566.150158695</v>
      </c>
      <c r="AQ5">
        <f t="shared" si="17"/>
        <v>239970.59435986</v>
      </c>
      <c r="AS5" s="1">
        <f t="shared" si="18"/>
        <v>40026</v>
      </c>
      <c r="AT5">
        <f t="shared" si="19"/>
        <v>28.614096530589901</v>
      </c>
      <c r="AU5">
        <f t="shared" si="20"/>
        <v>30.475940768107701</v>
      </c>
    </row>
    <row r="6" spans="1:47" x14ac:dyDescent="0.25">
      <c r="B6" s="1">
        <v>40057</v>
      </c>
      <c r="C6">
        <v>744.96769957983099</v>
      </c>
      <c r="D6">
        <v>64.312893907562994</v>
      </c>
      <c r="E6">
        <v>5.1906730567226802</v>
      </c>
      <c r="F6">
        <v>4.7450761554621801</v>
      </c>
      <c r="G6">
        <v>0.445596901260504</v>
      </c>
      <c r="H6">
        <v>200527.335477941</v>
      </c>
      <c r="I6">
        <v>29.1513918067226</v>
      </c>
      <c r="L6" s="1">
        <v>40057</v>
      </c>
      <c r="M6">
        <v>764.71535893155203</v>
      </c>
      <c r="N6">
        <v>62.329191509658898</v>
      </c>
      <c r="O6">
        <v>5.0268051275936001</v>
      </c>
      <c r="P6">
        <v>4.6210350584307101</v>
      </c>
      <c r="Q6">
        <v>0.40577006916288999</v>
      </c>
      <c r="R6">
        <v>248616.718602432</v>
      </c>
      <c r="S6">
        <v>31.715716670641498</v>
      </c>
      <c r="U6" s="1">
        <f t="shared" si="0"/>
        <v>40057</v>
      </c>
      <c r="V6">
        <f t="shared" si="1"/>
        <v>744.96769957983099</v>
      </c>
      <c r="W6">
        <f t="shared" si="2"/>
        <v>764.71535893155203</v>
      </c>
      <c r="Y6" s="1">
        <f t="shared" si="3"/>
        <v>40057</v>
      </c>
      <c r="Z6">
        <f t="shared" si="4"/>
        <v>64.312893907562994</v>
      </c>
      <c r="AA6">
        <f t="shared" si="5"/>
        <v>62.329191509658898</v>
      </c>
      <c r="AC6" s="1">
        <f t="shared" si="6"/>
        <v>40057</v>
      </c>
      <c r="AD6">
        <f t="shared" si="7"/>
        <v>5.1906730567226802</v>
      </c>
      <c r="AE6">
        <f t="shared" si="8"/>
        <v>5.0268051275936001</v>
      </c>
      <c r="AG6" s="1">
        <f t="shared" si="9"/>
        <v>40057</v>
      </c>
      <c r="AH6">
        <f t="shared" si="10"/>
        <v>4.7450761554621801</v>
      </c>
      <c r="AI6">
        <f t="shared" si="11"/>
        <v>4.6210350584307101</v>
      </c>
      <c r="AK6" s="1">
        <f t="shared" si="12"/>
        <v>40057</v>
      </c>
      <c r="AL6">
        <f t="shared" si="13"/>
        <v>0.445596901260504</v>
      </c>
      <c r="AM6">
        <f t="shared" si="14"/>
        <v>0.40577006916288999</v>
      </c>
      <c r="AO6" s="1">
        <f t="shared" si="15"/>
        <v>40057</v>
      </c>
      <c r="AP6">
        <f t="shared" si="16"/>
        <v>200527.335477941</v>
      </c>
      <c r="AQ6">
        <f t="shared" si="17"/>
        <v>248616.718602432</v>
      </c>
      <c r="AS6" s="1">
        <f t="shared" si="18"/>
        <v>40057</v>
      </c>
      <c r="AT6">
        <f t="shared" si="19"/>
        <v>29.1513918067226</v>
      </c>
      <c r="AU6">
        <f t="shared" si="20"/>
        <v>31.715716670641498</v>
      </c>
    </row>
    <row r="7" spans="1:47" x14ac:dyDescent="0.25">
      <c r="B7" s="1">
        <v>40087</v>
      </c>
      <c r="C7">
        <v>742.422205323193</v>
      </c>
      <c r="D7">
        <v>63.551178707224302</v>
      </c>
      <c r="E7">
        <v>5.3877866159695804</v>
      </c>
      <c r="F7">
        <v>4.9057034220532296</v>
      </c>
      <c r="G7">
        <v>0.48208319391634902</v>
      </c>
      <c r="H7">
        <v>196185.435589353</v>
      </c>
      <c r="I7">
        <v>27.547072243346001</v>
      </c>
      <c r="L7" s="1">
        <v>40087</v>
      </c>
      <c r="M7">
        <v>760.641653837695</v>
      </c>
      <c r="N7">
        <v>62.719771277765503</v>
      </c>
      <c r="O7">
        <v>5.1558358038266903</v>
      </c>
      <c r="P7">
        <v>4.7309874642621503</v>
      </c>
      <c r="Q7">
        <v>0.42484833956454798</v>
      </c>
      <c r="R7">
        <v>237044.622960193</v>
      </c>
      <c r="S7">
        <v>32.352584121398699</v>
      </c>
      <c r="U7" s="1">
        <f t="shared" si="0"/>
        <v>40087</v>
      </c>
      <c r="V7">
        <f t="shared" si="1"/>
        <v>742.422205323193</v>
      </c>
      <c r="W7">
        <f t="shared" si="2"/>
        <v>760.641653837695</v>
      </c>
      <c r="Y7" s="1">
        <f t="shared" si="3"/>
        <v>40087</v>
      </c>
      <c r="Z7">
        <f t="shared" si="4"/>
        <v>63.551178707224302</v>
      </c>
      <c r="AA7">
        <f t="shared" si="5"/>
        <v>62.719771277765503</v>
      </c>
      <c r="AC7" s="1">
        <f t="shared" si="6"/>
        <v>40087</v>
      </c>
      <c r="AD7">
        <f t="shared" si="7"/>
        <v>5.3877866159695804</v>
      </c>
      <c r="AE7">
        <f t="shared" si="8"/>
        <v>5.1558358038266903</v>
      </c>
      <c r="AG7" s="1">
        <f t="shared" si="9"/>
        <v>40087</v>
      </c>
      <c r="AH7">
        <f t="shared" si="10"/>
        <v>4.9057034220532296</v>
      </c>
      <c r="AI7">
        <f t="shared" si="11"/>
        <v>4.7309874642621503</v>
      </c>
      <c r="AK7" s="1">
        <f t="shared" si="12"/>
        <v>40087</v>
      </c>
      <c r="AL7">
        <f t="shared" si="13"/>
        <v>0.48208319391634902</v>
      </c>
      <c r="AM7">
        <f t="shared" si="14"/>
        <v>0.42484833956454798</v>
      </c>
      <c r="AO7" s="1">
        <f t="shared" si="15"/>
        <v>40087</v>
      </c>
      <c r="AP7">
        <f t="shared" si="16"/>
        <v>196185.435589353</v>
      </c>
      <c r="AQ7">
        <f t="shared" si="17"/>
        <v>237044.622960193</v>
      </c>
      <c r="AS7" s="1">
        <f t="shared" si="18"/>
        <v>40087</v>
      </c>
      <c r="AT7">
        <f t="shared" si="19"/>
        <v>27.547072243346001</v>
      </c>
      <c r="AU7">
        <f t="shared" si="20"/>
        <v>32.352584121398699</v>
      </c>
    </row>
    <row r="8" spans="1:47" x14ac:dyDescent="0.25">
      <c r="B8" s="1">
        <v>40118</v>
      </c>
      <c r="C8">
        <v>744.665506439262</v>
      </c>
      <c r="D8">
        <v>62.5405499477897</v>
      </c>
      <c r="E8">
        <v>5.45411486251305</v>
      </c>
      <c r="F8">
        <v>4.97894187260703</v>
      </c>
      <c r="G8">
        <v>0.47517298990602103</v>
      </c>
      <c r="H8">
        <v>195592.46571528001</v>
      </c>
      <c r="I8">
        <v>25.816916115558602</v>
      </c>
      <c r="L8" s="1">
        <v>40118</v>
      </c>
      <c r="M8">
        <v>759.982510129763</v>
      </c>
      <c r="N8">
        <v>63.184028312048</v>
      </c>
      <c r="O8">
        <v>5.1691169410678501</v>
      </c>
      <c r="P8">
        <v>4.7260091296096798</v>
      </c>
      <c r="Q8">
        <v>0.44310781145817302</v>
      </c>
      <c r="R8">
        <v>241844.942401395</v>
      </c>
      <c r="S8">
        <v>32.469046519977397</v>
      </c>
      <c r="U8" s="1">
        <f t="shared" si="0"/>
        <v>40118</v>
      </c>
      <c r="V8">
        <f t="shared" si="1"/>
        <v>744.665506439262</v>
      </c>
      <c r="W8">
        <f t="shared" si="2"/>
        <v>759.982510129763</v>
      </c>
      <c r="Y8" s="1">
        <f t="shared" si="3"/>
        <v>40118</v>
      </c>
      <c r="Z8">
        <f t="shared" si="4"/>
        <v>62.5405499477897</v>
      </c>
      <c r="AA8">
        <f t="shared" si="5"/>
        <v>63.184028312048</v>
      </c>
      <c r="AC8" s="1">
        <f t="shared" si="6"/>
        <v>40118</v>
      </c>
      <c r="AD8">
        <f t="shared" si="7"/>
        <v>5.45411486251305</v>
      </c>
      <c r="AE8">
        <f t="shared" si="8"/>
        <v>5.1691169410678501</v>
      </c>
      <c r="AG8" s="1">
        <f t="shared" si="9"/>
        <v>40118</v>
      </c>
      <c r="AH8">
        <f t="shared" si="10"/>
        <v>4.97894187260703</v>
      </c>
      <c r="AI8">
        <f t="shared" si="11"/>
        <v>4.7260091296096798</v>
      </c>
      <c r="AK8" s="1">
        <f t="shared" si="12"/>
        <v>40118</v>
      </c>
      <c r="AL8">
        <f t="shared" si="13"/>
        <v>0.47517298990602103</v>
      </c>
      <c r="AM8">
        <f t="shared" si="14"/>
        <v>0.44310781145817302</v>
      </c>
      <c r="AO8" s="1">
        <f t="shared" si="15"/>
        <v>40118</v>
      </c>
      <c r="AP8">
        <f t="shared" si="16"/>
        <v>195592.46571528001</v>
      </c>
      <c r="AQ8">
        <f t="shared" si="17"/>
        <v>241844.942401395</v>
      </c>
      <c r="AS8" s="1">
        <f t="shared" si="18"/>
        <v>40118</v>
      </c>
      <c r="AT8">
        <f t="shared" si="19"/>
        <v>25.816916115558602</v>
      </c>
      <c r="AU8">
        <f t="shared" si="20"/>
        <v>32.469046519977397</v>
      </c>
    </row>
    <row r="9" spans="1:47" x14ac:dyDescent="0.25">
      <c r="B9" s="1">
        <v>40148</v>
      </c>
      <c r="C9">
        <v>750.60391705069105</v>
      </c>
      <c r="D9">
        <v>62.394470046082901</v>
      </c>
      <c r="E9">
        <v>5.2589059907834104</v>
      </c>
      <c r="F9">
        <v>4.81129032258064</v>
      </c>
      <c r="G9">
        <v>0.44761566820276399</v>
      </c>
      <c r="H9">
        <v>197083.21866359399</v>
      </c>
      <c r="I9">
        <v>23.669815668202698</v>
      </c>
      <c r="L9" s="1">
        <v>40148</v>
      </c>
      <c r="M9">
        <v>763.54573442437004</v>
      </c>
      <c r="N9">
        <v>63.459774771125304</v>
      </c>
      <c r="O9">
        <v>5.0589312565826701</v>
      </c>
      <c r="P9">
        <v>4.6167665883496696</v>
      </c>
      <c r="Q9">
        <v>0.44216466823300599</v>
      </c>
      <c r="R9">
        <v>251944.707445515</v>
      </c>
      <c r="S9">
        <v>31.828931378109001</v>
      </c>
      <c r="U9" s="1">
        <f t="shared" si="0"/>
        <v>40148</v>
      </c>
      <c r="V9">
        <f t="shared" si="1"/>
        <v>750.60391705069105</v>
      </c>
      <c r="W9">
        <f t="shared" si="2"/>
        <v>763.54573442437004</v>
      </c>
      <c r="Y9" s="1">
        <f t="shared" si="3"/>
        <v>40148</v>
      </c>
      <c r="Z9">
        <f t="shared" si="4"/>
        <v>62.394470046082901</v>
      </c>
      <c r="AA9">
        <f t="shared" si="5"/>
        <v>63.459774771125304</v>
      </c>
      <c r="AC9" s="1">
        <f t="shared" si="6"/>
        <v>40148</v>
      </c>
      <c r="AD9">
        <f t="shared" si="7"/>
        <v>5.2589059907834104</v>
      </c>
      <c r="AE9">
        <f t="shared" si="8"/>
        <v>5.0589312565826701</v>
      </c>
      <c r="AG9" s="1">
        <f t="shared" si="9"/>
        <v>40148</v>
      </c>
      <c r="AH9">
        <f t="shared" si="10"/>
        <v>4.81129032258064</v>
      </c>
      <c r="AI9">
        <f t="shared" si="11"/>
        <v>4.6167665883496696</v>
      </c>
      <c r="AK9" s="1">
        <f t="shared" si="12"/>
        <v>40148</v>
      </c>
      <c r="AL9">
        <f t="shared" si="13"/>
        <v>0.44761566820276399</v>
      </c>
      <c r="AM9">
        <f t="shared" si="14"/>
        <v>0.44216466823300599</v>
      </c>
      <c r="AO9" s="1">
        <f t="shared" si="15"/>
        <v>40148</v>
      </c>
      <c r="AP9">
        <f t="shared" si="16"/>
        <v>197083.21866359399</v>
      </c>
      <c r="AQ9">
        <f t="shared" si="17"/>
        <v>251944.707445515</v>
      </c>
      <c r="AS9" s="1">
        <f t="shared" si="18"/>
        <v>40148</v>
      </c>
      <c r="AT9">
        <f t="shared" si="19"/>
        <v>23.669815668202698</v>
      </c>
      <c r="AU9">
        <f t="shared" si="20"/>
        <v>31.828931378109001</v>
      </c>
    </row>
    <row r="10" spans="1:47" x14ac:dyDescent="0.25">
      <c r="B10" s="1">
        <v>40179</v>
      </c>
      <c r="C10">
        <v>756.61588654950401</v>
      </c>
      <c r="D10">
        <v>60.2905863929006</v>
      </c>
      <c r="E10">
        <v>5.2115643814163901</v>
      </c>
      <c r="F10">
        <v>4.7708804593701002</v>
      </c>
      <c r="G10">
        <v>0.44068392204628498</v>
      </c>
      <c r="H10">
        <v>197966.87028014599</v>
      </c>
      <c r="I10">
        <v>21.8546198016356</v>
      </c>
      <c r="L10" s="1">
        <v>40179</v>
      </c>
      <c r="M10">
        <v>764.19850231318105</v>
      </c>
      <c r="N10">
        <v>63.503018897514302</v>
      </c>
      <c r="O10">
        <v>5.0218919861993196</v>
      </c>
      <c r="P10">
        <v>4.5950364620089301</v>
      </c>
      <c r="Q10">
        <v>0.42685552419038603</v>
      </c>
      <c r="R10">
        <v>251649.34976084001</v>
      </c>
      <c r="S10">
        <v>31.714969026895599</v>
      </c>
      <c r="U10" s="1">
        <f t="shared" si="0"/>
        <v>40179</v>
      </c>
      <c r="V10">
        <f t="shared" si="1"/>
        <v>756.61588654950401</v>
      </c>
      <c r="W10">
        <f t="shared" si="2"/>
        <v>764.19850231318105</v>
      </c>
      <c r="Y10" s="1">
        <f t="shared" si="3"/>
        <v>40179</v>
      </c>
      <c r="Z10">
        <f t="shared" si="4"/>
        <v>60.2905863929006</v>
      </c>
      <c r="AA10">
        <f t="shared" si="5"/>
        <v>63.503018897514302</v>
      </c>
      <c r="AC10" s="1">
        <f t="shared" si="6"/>
        <v>40179</v>
      </c>
      <c r="AD10">
        <f t="shared" si="7"/>
        <v>5.2115643814163901</v>
      </c>
      <c r="AE10">
        <f t="shared" si="8"/>
        <v>5.0218919861993196</v>
      </c>
      <c r="AG10" s="1">
        <f t="shared" si="9"/>
        <v>40179</v>
      </c>
      <c r="AH10">
        <f t="shared" si="10"/>
        <v>4.7708804593701002</v>
      </c>
      <c r="AI10">
        <f t="shared" si="11"/>
        <v>4.5950364620089301</v>
      </c>
      <c r="AK10" s="1">
        <f t="shared" si="12"/>
        <v>40179</v>
      </c>
      <c r="AL10">
        <f t="shared" si="13"/>
        <v>0.44068392204628498</v>
      </c>
      <c r="AM10">
        <f t="shared" si="14"/>
        <v>0.42685552419038603</v>
      </c>
      <c r="AO10" s="1">
        <f t="shared" si="15"/>
        <v>40179</v>
      </c>
      <c r="AP10">
        <f t="shared" si="16"/>
        <v>197966.87028014599</v>
      </c>
      <c r="AQ10">
        <f t="shared" si="17"/>
        <v>251649.34976084001</v>
      </c>
      <c r="AS10" s="1">
        <f t="shared" si="18"/>
        <v>40179</v>
      </c>
      <c r="AT10">
        <f t="shared" si="19"/>
        <v>21.8546198016356</v>
      </c>
      <c r="AU10">
        <f t="shared" si="20"/>
        <v>31.714969026895599</v>
      </c>
    </row>
    <row r="11" spans="1:47" x14ac:dyDescent="0.25">
      <c r="B11" s="1">
        <v>40210</v>
      </c>
      <c r="C11">
        <v>752.71083556203905</v>
      </c>
      <c r="D11">
        <v>61.0310397925277</v>
      </c>
      <c r="E11">
        <v>5.1717513574843901</v>
      </c>
      <c r="F11">
        <v>4.74357727530594</v>
      </c>
      <c r="G11">
        <v>0.42817408217845798</v>
      </c>
      <c r="H11">
        <v>202986.15455061101</v>
      </c>
      <c r="I11">
        <v>21.995218413161499</v>
      </c>
      <c r="L11" s="1">
        <v>40210</v>
      </c>
      <c r="M11">
        <v>764.41551276503606</v>
      </c>
      <c r="N11">
        <v>64.097396509447506</v>
      </c>
      <c r="O11">
        <v>4.9650949084090499</v>
      </c>
      <c r="P11">
        <v>4.5685309389874504</v>
      </c>
      <c r="Q11">
        <v>0.39656396942160599</v>
      </c>
      <c r="R11">
        <v>253622.01593826601</v>
      </c>
      <c r="S11">
        <v>31.800447136881498</v>
      </c>
      <c r="U11" s="1">
        <f t="shared" si="0"/>
        <v>40210</v>
      </c>
      <c r="V11">
        <f t="shared" si="1"/>
        <v>752.71083556203905</v>
      </c>
      <c r="W11">
        <f t="shared" si="2"/>
        <v>764.41551276503606</v>
      </c>
      <c r="Y11" s="1">
        <f t="shared" si="3"/>
        <v>40210</v>
      </c>
      <c r="Z11">
        <f t="shared" si="4"/>
        <v>61.0310397925277</v>
      </c>
      <c r="AA11">
        <f t="shared" si="5"/>
        <v>64.097396509447506</v>
      </c>
      <c r="AC11" s="1">
        <f t="shared" si="6"/>
        <v>40210</v>
      </c>
      <c r="AD11">
        <f t="shared" si="7"/>
        <v>5.1717513574843901</v>
      </c>
      <c r="AE11">
        <f t="shared" si="8"/>
        <v>4.9650949084090499</v>
      </c>
      <c r="AG11" s="1">
        <f t="shared" si="9"/>
        <v>40210</v>
      </c>
      <c r="AH11">
        <f t="shared" si="10"/>
        <v>4.74357727530594</v>
      </c>
      <c r="AI11">
        <f t="shared" si="11"/>
        <v>4.5685309389874504</v>
      </c>
      <c r="AK11" s="1">
        <f t="shared" si="12"/>
        <v>40210</v>
      </c>
      <c r="AL11">
        <f t="shared" si="13"/>
        <v>0.42817408217845798</v>
      </c>
      <c r="AM11">
        <f t="shared" si="14"/>
        <v>0.39656396942160599</v>
      </c>
      <c r="AO11" s="1">
        <f t="shared" si="15"/>
        <v>40210</v>
      </c>
      <c r="AP11">
        <f t="shared" si="16"/>
        <v>202986.15455061101</v>
      </c>
      <c r="AQ11">
        <f t="shared" si="17"/>
        <v>253622.01593826601</v>
      </c>
      <c r="AS11" s="1">
        <f t="shared" si="18"/>
        <v>40210</v>
      </c>
      <c r="AT11">
        <f t="shared" si="19"/>
        <v>21.995218413161499</v>
      </c>
      <c r="AU11">
        <f t="shared" si="20"/>
        <v>31.800447136881498</v>
      </c>
    </row>
    <row r="12" spans="1:47" x14ac:dyDescent="0.25">
      <c r="B12" s="1">
        <v>40238</v>
      </c>
      <c r="C12">
        <v>751.20426964301498</v>
      </c>
      <c r="D12">
        <v>61.030206395606299</v>
      </c>
      <c r="E12">
        <v>5.1731106386748102</v>
      </c>
      <c r="F12">
        <v>4.7464788732394299</v>
      </c>
      <c r="G12">
        <v>0.42663176543537901</v>
      </c>
      <c r="H12">
        <v>202965.67348746501</v>
      </c>
      <c r="I12">
        <v>22.986535565594799</v>
      </c>
      <c r="L12" s="1">
        <v>40238</v>
      </c>
      <c r="M12">
        <v>763.60242772582899</v>
      </c>
      <c r="N12">
        <v>63.683537788453201</v>
      </c>
      <c r="O12">
        <v>5.0039252380543804</v>
      </c>
      <c r="P12">
        <v>4.6127648623144797</v>
      </c>
      <c r="Q12">
        <v>0.39116037573989798</v>
      </c>
      <c r="R12">
        <v>251489.06352406199</v>
      </c>
      <c r="S12">
        <v>31.9761087758428</v>
      </c>
      <c r="U12" s="1">
        <f t="shared" si="0"/>
        <v>40238</v>
      </c>
      <c r="V12">
        <f t="shared" si="1"/>
        <v>751.20426964301498</v>
      </c>
      <c r="W12">
        <f t="shared" si="2"/>
        <v>763.60242772582899</v>
      </c>
      <c r="Y12" s="1">
        <f t="shared" si="3"/>
        <v>40238</v>
      </c>
      <c r="Z12">
        <f t="shared" si="4"/>
        <v>61.030206395606299</v>
      </c>
      <c r="AA12">
        <f t="shared" si="5"/>
        <v>63.683537788453201</v>
      </c>
      <c r="AC12" s="1">
        <f t="shared" si="6"/>
        <v>40238</v>
      </c>
      <c r="AD12">
        <f t="shared" si="7"/>
        <v>5.1731106386748102</v>
      </c>
      <c r="AE12">
        <f t="shared" si="8"/>
        <v>5.0039252380543804</v>
      </c>
      <c r="AG12" s="1">
        <f t="shared" si="9"/>
        <v>40238</v>
      </c>
      <c r="AH12">
        <f t="shared" si="10"/>
        <v>4.7464788732394299</v>
      </c>
      <c r="AI12">
        <f t="shared" si="11"/>
        <v>4.6127648623144797</v>
      </c>
      <c r="AK12" s="1">
        <f t="shared" si="12"/>
        <v>40238</v>
      </c>
      <c r="AL12">
        <f t="shared" si="13"/>
        <v>0.42663176543537901</v>
      </c>
      <c r="AM12">
        <f t="shared" si="14"/>
        <v>0.39116037573989798</v>
      </c>
      <c r="AO12" s="1">
        <f t="shared" si="15"/>
        <v>40238</v>
      </c>
      <c r="AP12">
        <f t="shared" si="16"/>
        <v>202965.67348746501</v>
      </c>
      <c r="AQ12">
        <f t="shared" si="17"/>
        <v>251489.06352406199</v>
      </c>
      <c r="AS12" s="1">
        <f t="shared" si="18"/>
        <v>40238</v>
      </c>
      <c r="AT12">
        <f t="shared" si="19"/>
        <v>22.986535565594799</v>
      </c>
      <c r="AU12">
        <f t="shared" si="20"/>
        <v>31.9761087758428</v>
      </c>
    </row>
    <row r="13" spans="1:47" x14ac:dyDescent="0.25">
      <c r="B13" s="1">
        <v>40269</v>
      </c>
      <c r="C13">
        <v>747.60791772330197</v>
      </c>
      <c r="D13">
        <v>61.344040574809803</v>
      </c>
      <c r="E13">
        <v>5.2649747816286201</v>
      </c>
      <c r="F13">
        <v>4.8276979430825504</v>
      </c>
      <c r="G13">
        <v>0.43727683854606902</v>
      </c>
      <c r="H13">
        <v>200744.98436179201</v>
      </c>
      <c r="I13">
        <v>25.642716258100801</v>
      </c>
      <c r="L13" s="1">
        <v>40269</v>
      </c>
      <c r="M13">
        <v>760.79481432119701</v>
      </c>
      <c r="N13">
        <v>63.801235839340798</v>
      </c>
      <c r="O13">
        <v>5.0815444962742999</v>
      </c>
      <c r="P13">
        <v>4.6614466589931496</v>
      </c>
      <c r="Q13">
        <v>0.42009783728115302</v>
      </c>
      <c r="R13">
        <v>248771.68589083399</v>
      </c>
      <c r="S13">
        <v>32.488459441449002</v>
      </c>
      <c r="U13" s="1">
        <f t="shared" si="0"/>
        <v>40269</v>
      </c>
      <c r="V13">
        <f t="shared" si="1"/>
        <v>747.60791772330197</v>
      </c>
      <c r="W13">
        <f t="shared" si="2"/>
        <v>760.79481432119701</v>
      </c>
      <c r="Y13" s="1">
        <f t="shared" si="3"/>
        <v>40269</v>
      </c>
      <c r="Z13">
        <f t="shared" si="4"/>
        <v>61.344040574809803</v>
      </c>
      <c r="AA13">
        <f t="shared" si="5"/>
        <v>63.801235839340798</v>
      </c>
      <c r="AC13" s="1">
        <f t="shared" si="6"/>
        <v>40269</v>
      </c>
      <c r="AD13">
        <f t="shared" si="7"/>
        <v>5.2649747816286201</v>
      </c>
      <c r="AE13">
        <f t="shared" si="8"/>
        <v>5.0815444962742999</v>
      </c>
      <c r="AG13" s="1">
        <f t="shared" si="9"/>
        <v>40269</v>
      </c>
      <c r="AH13">
        <f t="shared" si="10"/>
        <v>4.8276979430825504</v>
      </c>
      <c r="AI13">
        <f t="shared" si="11"/>
        <v>4.6614466589931496</v>
      </c>
      <c r="AK13" s="1">
        <f t="shared" si="12"/>
        <v>40269</v>
      </c>
      <c r="AL13">
        <f t="shared" si="13"/>
        <v>0.43727683854606902</v>
      </c>
      <c r="AM13">
        <f t="shared" si="14"/>
        <v>0.42009783728115302</v>
      </c>
      <c r="AO13" s="1">
        <f t="shared" si="15"/>
        <v>40269</v>
      </c>
      <c r="AP13">
        <f t="shared" si="16"/>
        <v>200744.98436179201</v>
      </c>
      <c r="AQ13">
        <f t="shared" si="17"/>
        <v>248771.68589083399</v>
      </c>
      <c r="AS13" s="1">
        <f t="shared" si="18"/>
        <v>40269</v>
      </c>
      <c r="AT13">
        <f t="shared" si="19"/>
        <v>25.642716258100801</v>
      </c>
      <c r="AU13">
        <f t="shared" si="20"/>
        <v>32.488459441449002</v>
      </c>
    </row>
    <row r="14" spans="1:47" x14ac:dyDescent="0.25">
      <c r="B14" s="1">
        <v>40299</v>
      </c>
      <c r="C14">
        <v>747.84507678410102</v>
      </c>
      <c r="D14">
        <v>62.023599819331501</v>
      </c>
      <c r="E14">
        <v>5.2897128500451602</v>
      </c>
      <c r="F14">
        <v>4.8637646793134497</v>
      </c>
      <c r="G14">
        <v>0.42594817073170699</v>
      </c>
      <c r="H14">
        <v>199795.29550587101</v>
      </c>
      <c r="I14">
        <v>25.153229448961099</v>
      </c>
      <c r="L14" s="1">
        <v>40299</v>
      </c>
      <c r="M14">
        <v>760.08582137779501</v>
      </c>
      <c r="N14">
        <v>64.185924777045301</v>
      </c>
      <c r="O14">
        <v>5.0930788419283903</v>
      </c>
      <c r="P14">
        <v>4.6501227866097903</v>
      </c>
      <c r="Q14">
        <v>0.442956055318598</v>
      </c>
      <c r="R14">
        <v>239752.27006591699</v>
      </c>
      <c r="S14">
        <v>32.780664340183499</v>
      </c>
      <c r="U14" s="1">
        <f t="shared" si="0"/>
        <v>40299</v>
      </c>
      <c r="V14">
        <f t="shared" si="1"/>
        <v>747.84507678410102</v>
      </c>
      <c r="W14">
        <f t="shared" si="2"/>
        <v>760.08582137779501</v>
      </c>
      <c r="Y14" s="1">
        <f t="shared" si="3"/>
        <v>40299</v>
      </c>
      <c r="Z14">
        <f t="shared" si="4"/>
        <v>62.023599819331501</v>
      </c>
      <c r="AA14">
        <f t="shared" si="5"/>
        <v>64.185924777045301</v>
      </c>
      <c r="AC14" s="1">
        <f t="shared" si="6"/>
        <v>40299</v>
      </c>
      <c r="AD14">
        <f t="shared" si="7"/>
        <v>5.2897128500451602</v>
      </c>
      <c r="AE14">
        <f t="shared" si="8"/>
        <v>5.0930788419283903</v>
      </c>
      <c r="AG14" s="1">
        <f t="shared" si="9"/>
        <v>40299</v>
      </c>
      <c r="AH14">
        <f t="shared" si="10"/>
        <v>4.8637646793134497</v>
      </c>
      <c r="AI14">
        <f t="shared" si="11"/>
        <v>4.6501227866097903</v>
      </c>
      <c r="AK14" s="1">
        <f t="shared" si="12"/>
        <v>40299</v>
      </c>
      <c r="AL14">
        <f t="shared" si="13"/>
        <v>0.42594817073170699</v>
      </c>
      <c r="AM14">
        <f t="shared" si="14"/>
        <v>0.442956055318598</v>
      </c>
      <c r="AO14" s="1">
        <f t="shared" si="15"/>
        <v>40299</v>
      </c>
      <c r="AP14">
        <f t="shared" si="16"/>
        <v>199795.29550587101</v>
      </c>
      <c r="AQ14">
        <f t="shared" si="17"/>
        <v>239752.27006591699</v>
      </c>
      <c r="AS14" s="1">
        <f t="shared" si="18"/>
        <v>40299</v>
      </c>
      <c r="AT14">
        <f t="shared" si="19"/>
        <v>25.153229448961099</v>
      </c>
      <c r="AU14">
        <f t="shared" si="20"/>
        <v>32.780664340183499</v>
      </c>
    </row>
    <row r="15" spans="1:47" x14ac:dyDescent="0.25">
      <c r="B15" s="1">
        <v>40330</v>
      </c>
      <c r="C15">
        <v>748.57011093107303</v>
      </c>
      <c r="D15">
        <v>61.605135236195899</v>
      </c>
      <c r="E15">
        <v>5.2809653496198399</v>
      </c>
      <c r="F15">
        <v>4.8501184095724703</v>
      </c>
      <c r="G15">
        <v>0.43084694004736301</v>
      </c>
      <c r="H15">
        <v>202851.73102330699</v>
      </c>
      <c r="I15">
        <v>26.228218870746598</v>
      </c>
      <c r="L15" s="1">
        <v>40330</v>
      </c>
      <c r="M15">
        <v>760.01108878469802</v>
      </c>
      <c r="N15">
        <v>64.765795936592895</v>
      </c>
      <c r="O15">
        <v>5.1066514102850302</v>
      </c>
      <c r="P15">
        <v>4.65833147279898</v>
      </c>
      <c r="Q15">
        <v>0.44831993748604498</v>
      </c>
      <c r="R15">
        <v>238886.53449430599</v>
      </c>
      <c r="S15">
        <v>32.9560169680732</v>
      </c>
      <c r="U15" s="1">
        <f t="shared" si="0"/>
        <v>40330</v>
      </c>
      <c r="V15">
        <f t="shared" si="1"/>
        <v>748.57011093107303</v>
      </c>
      <c r="W15">
        <f t="shared" si="2"/>
        <v>760.01108878469802</v>
      </c>
      <c r="Y15" s="1">
        <f t="shared" si="3"/>
        <v>40330</v>
      </c>
      <c r="Z15">
        <f t="shared" si="4"/>
        <v>61.605135236195899</v>
      </c>
      <c r="AA15">
        <f t="shared" si="5"/>
        <v>64.765795936592895</v>
      </c>
      <c r="AC15" s="1">
        <f t="shared" si="6"/>
        <v>40330</v>
      </c>
      <c r="AD15">
        <f t="shared" si="7"/>
        <v>5.2809653496198399</v>
      </c>
      <c r="AE15">
        <f t="shared" si="8"/>
        <v>5.1066514102850302</v>
      </c>
      <c r="AG15" s="1">
        <f t="shared" si="9"/>
        <v>40330</v>
      </c>
      <c r="AH15">
        <f t="shared" si="10"/>
        <v>4.8501184095724703</v>
      </c>
      <c r="AI15">
        <f t="shared" si="11"/>
        <v>4.65833147279898</v>
      </c>
      <c r="AK15" s="1">
        <f t="shared" si="12"/>
        <v>40330</v>
      </c>
      <c r="AL15">
        <f t="shared" si="13"/>
        <v>0.43084694004736301</v>
      </c>
      <c r="AM15">
        <f t="shared" si="14"/>
        <v>0.44831993748604498</v>
      </c>
      <c r="AO15" s="1">
        <f t="shared" si="15"/>
        <v>40330</v>
      </c>
      <c r="AP15">
        <f t="shared" si="16"/>
        <v>202851.73102330699</v>
      </c>
      <c r="AQ15">
        <f t="shared" si="17"/>
        <v>238886.53449430599</v>
      </c>
      <c r="AS15" s="1">
        <f t="shared" si="18"/>
        <v>40330</v>
      </c>
      <c r="AT15">
        <f t="shared" si="19"/>
        <v>26.228218870746598</v>
      </c>
      <c r="AU15">
        <f t="shared" si="20"/>
        <v>32.9560169680732</v>
      </c>
    </row>
    <row r="16" spans="1:47" x14ac:dyDescent="0.25">
      <c r="B16" s="1">
        <v>40360</v>
      </c>
      <c r="C16">
        <v>748.311917606669</v>
      </c>
      <c r="D16">
        <v>62.015203531142703</v>
      </c>
      <c r="E16">
        <v>5.3279655059669704</v>
      </c>
      <c r="F16">
        <v>4.88989700833742</v>
      </c>
      <c r="G16">
        <v>0.43806849762955602</v>
      </c>
      <c r="H16">
        <v>193541.48062775799</v>
      </c>
      <c r="I16">
        <v>29.0009808729769</v>
      </c>
      <c r="L16" s="1">
        <v>40360</v>
      </c>
      <c r="M16">
        <v>759.26911454994899</v>
      </c>
      <c r="N16">
        <v>64.427158685102</v>
      </c>
      <c r="O16">
        <v>5.1396853767969901</v>
      </c>
      <c r="P16">
        <v>4.6948081677501996</v>
      </c>
      <c r="Q16">
        <v>0.44487720904679001</v>
      </c>
      <c r="R16">
        <v>236884.95504074701</v>
      </c>
      <c r="S16">
        <v>33.004669902023601</v>
      </c>
      <c r="U16" s="1">
        <f t="shared" si="0"/>
        <v>40360</v>
      </c>
      <c r="V16">
        <f t="shared" si="1"/>
        <v>748.311917606669</v>
      </c>
      <c r="W16">
        <f t="shared" si="2"/>
        <v>759.26911454994899</v>
      </c>
      <c r="Y16" s="1">
        <f t="shared" si="3"/>
        <v>40360</v>
      </c>
      <c r="Z16">
        <f t="shared" si="4"/>
        <v>62.015203531142703</v>
      </c>
      <c r="AA16">
        <f t="shared" si="5"/>
        <v>64.427158685102</v>
      </c>
      <c r="AC16" s="1">
        <f t="shared" si="6"/>
        <v>40360</v>
      </c>
      <c r="AD16">
        <f t="shared" si="7"/>
        <v>5.3279655059669704</v>
      </c>
      <c r="AE16">
        <f t="shared" si="8"/>
        <v>5.1396853767969901</v>
      </c>
      <c r="AG16" s="1">
        <f t="shared" si="9"/>
        <v>40360</v>
      </c>
      <c r="AH16">
        <f t="shared" si="10"/>
        <v>4.88989700833742</v>
      </c>
      <c r="AI16">
        <f t="shared" si="11"/>
        <v>4.6948081677501996</v>
      </c>
      <c r="AK16" s="1">
        <f t="shared" si="12"/>
        <v>40360</v>
      </c>
      <c r="AL16">
        <f t="shared" si="13"/>
        <v>0.43806849762955602</v>
      </c>
      <c r="AM16">
        <f t="shared" si="14"/>
        <v>0.44487720904679001</v>
      </c>
      <c r="AO16" s="1">
        <f t="shared" si="15"/>
        <v>40360</v>
      </c>
      <c r="AP16">
        <f t="shared" si="16"/>
        <v>193541.48062775799</v>
      </c>
      <c r="AQ16">
        <f t="shared" si="17"/>
        <v>236884.95504074701</v>
      </c>
      <c r="AS16" s="1">
        <f t="shared" si="18"/>
        <v>40360</v>
      </c>
      <c r="AT16">
        <f t="shared" si="19"/>
        <v>29.0009808729769</v>
      </c>
      <c r="AU16">
        <f t="shared" si="20"/>
        <v>33.004669902023601</v>
      </c>
    </row>
    <row r="17" spans="2:47" x14ac:dyDescent="0.25">
      <c r="B17" s="1">
        <v>40391</v>
      </c>
      <c r="C17">
        <v>755.90011676042798</v>
      </c>
      <c r="D17">
        <v>60.874535611930703</v>
      </c>
      <c r="E17">
        <v>5.1307051268442798</v>
      </c>
      <c r="F17">
        <v>4.6164419912960399</v>
      </c>
      <c r="G17">
        <v>0.51426313554824299</v>
      </c>
      <c r="H17">
        <v>198300.394862541</v>
      </c>
      <c r="I17">
        <v>26.386901602802201</v>
      </c>
      <c r="L17" s="1">
        <v>40391</v>
      </c>
      <c r="M17">
        <v>763.93901381196997</v>
      </c>
      <c r="N17">
        <v>65.305931807566495</v>
      </c>
      <c r="O17">
        <v>4.9629459531593998</v>
      </c>
      <c r="P17">
        <v>4.5095416027223498</v>
      </c>
      <c r="Q17">
        <v>0.45340435043704502</v>
      </c>
      <c r="R17">
        <v>248875.78688196401</v>
      </c>
      <c r="S17">
        <v>32.053312871155001</v>
      </c>
      <c r="U17" s="1">
        <f t="shared" si="0"/>
        <v>40391</v>
      </c>
      <c r="V17">
        <f t="shared" si="1"/>
        <v>755.90011676042798</v>
      </c>
      <c r="W17">
        <f t="shared" si="2"/>
        <v>763.93901381196997</v>
      </c>
      <c r="Y17" s="1">
        <f t="shared" si="3"/>
        <v>40391</v>
      </c>
      <c r="Z17">
        <f t="shared" si="4"/>
        <v>60.874535611930703</v>
      </c>
      <c r="AA17">
        <f t="shared" si="5"/>
        <v>65.305931807566495</v>
      </c>
      <c r="AC17" s="1">
        <f t="shared" si="6"/>
        <v>40391</v>
      </c>
      <c r="AD17">
        <f t="shared" si="7"/>
        <v>5.1307051268442798</v>
      </c>
      <c r="AE17">
        <f t="shared" si="8"/>
        <v>4.9629459531593998</v>
      </c>
      <c r="AG17" s="1">
        <f t="shared" si="9"/>
        <v>40391</v>
      </c>
      <c r="AH17">
        <f t="shared" si="10"/>
        <v>4.6164419912960399</v>
      </c>
      <c r="AI17">
        <f t="shared" si="11"/>
        <v>4.5095416027223498</v>
      </c>
      <c r="AK17" s="1">
        <f t="shared" si="12"/>
        <v>40391</v>
      </c>
      <c r="AL17">
        <f t="shared" si="13"/>
        <v>0.51426313554824299</v>
      </c>
      <c r="AM17">
        <f t="shared" si="14"/>
        <v>0.45340435043704502</v>
      </c>
      <c r="AO17" s="1">
        <f t="shared" si="15"/>
        <v>40391</v>
      </c>
      <c r="AP17">
        <f t="shared" si="16"/>
        <v>198300.394862541</v>
      </c>
      <c r="AQ17">
        <f t="shared" si="17"/>
        <v>248875.78688196401</v>
      </c>
      <c r="AS17" s="1">
        <f t="shared" si="18"/>
        <v>40391</v>
      </c>
      <c r="AT17">
        <f t="shared" si="19"/>
        <v>26.386901602802201</v>
      </c>
      <c r="AU17">
        <f t="shared" si="20"/>
        <v>32.053312871155001</v>
      </c>
    </row>
    <row r="18" spans="2:47" x14ac:dyDescent="0.25">
      <c r="B18" s="1">
        <v>40422</v>
      </c>
      <c r="C18">
        <v>760.65455498951098</v>
      </c>
      <c r="D18">
        <v>61.116571771051802</v>
      </c>
      <c r="E18">
        <v>4.9748019928079099</v>
      </c>
      <c r="F18">
        <v>4.4759139946059303</v>
      </c>
      <c r="G18">
        <v>0.49888799820197699</v>
      </c>
      <c r="H18">
        <v>203133.45969433599</v>
      </c>
      <c r="I18">
        <v>25.9408151033862</v>
      </c>
      <c r="L18" s="1">
        <v>40422</v>
      </c>
      <c r="M18">
        <v>767.63086486753105</v>
      </c>
      <c r="N18">
        <v>65.123242389856401</v>
      </c>
      <c r="O18">
        <v>4.8036721101189004</v>
      </c>
      <c r="P18">
        <v>4.3179732596575997</v>
      </c>
      <c r="Q18">
        <v>0.48569885046129502</v>
      </c>
      <c r="R18">
        <v>248936.595539987</v>
      </c>
      <c r="S18">
        <v>31.1319256006709</v>
      </c>
      <c r="U18" s="1">
        <f t="shared" si="0"/>
        <v>40422</v>
      </c>
      <c r="V18">
        <f t="shared" si="1"/>
        <v>760.65455498951098</v>
      </c>
      <c r="W18">
        <f t="shared" si="2"/>
        <v>767.63086486753105</v>
      </c>
      <c r="Y18" s="1">
        <f t="shared" si="3"/>
        <v>40422</v>
      </c>
      <c r="Z18">
        <f t="shared" si="4"/>
        <v>61.116571771051802</v>
      </c>
      <c r="AA18">
        <f t="shared" si="5"/>
        <v>65.123242389856401</v>
      </c>
      <c r="AC18" s="1">
        <f t="shared" si="6"/>
        <v>40422</v>
      </c>
      <c r="AD18">
        <f t="shared" si="7"/>
        <v>4.9748019928079099</v>
      </c>
      <c r="AE18">
        <f t="shared" si="8"/>
        <v>4.8036721101189004</v>
      </c>
      <c r="AG18" s="1">
        <f t="shared" si="9"/>
        <v>40422</v>
      </c>
      <c r="AH18">
        <f t="shared" si="10"/>
        <v>4.4759139946059303</v>
      </c>
      <c r="AI18">
        <f t="shared" si="11"/>
        <v>4.3179732596575997</v>
      </c>
      <c r="AK18" s="1">
        <f t="shared" si="12"/>
        <v>40422</v>
      </c>
      <c r="AL18">
        <f t="shared" si="13"/>
        <v>0.49888799820197699</v>
      </c>
      <c r="AM18">
        <f t="shared" si="14"/>
        <v>0.48569885046129502</v>
      </c>
      <c r="AO18" s="1">
        <f t="shared" si="15"/>
        <v>40422</v>
      </c>
      <c r="AP18">
        <f t="shared" si="16"/>
        <v>203133.45969433599</v>
      </c>
      <c r="AQ18">
        <f t="shared" si="17"/>
        <v>248936.595539987</v>
      </c>
      <c r="AS18" s="1">
        <f t="shared" si="18"/>
        <v>40422</v>
      </c>
      <c r="AT18">
        <f t="shared" si="19"/>
        <v>25.9408151033862</v>
      </c>
      <c r="AU18">
        <f t="shared" si="20"/>
        <v>31.1319256006709</v>
      </c>
    </row>
    <row r="19" spans="2:47" x14ac:dyDescent="0.25">
      <c r="B19" s="1">
        <v>40452</v>
      </c>
      <c r="C19">
        <v>761.49351264885297</v>
      </c>
      <c r="D19">
        <v>61.350435452337202</v>
      </c>
      <c r="E19">
        <v>4.83444558326915</v>
      </c>
      <c r="F19">
        <v>4.2835179809230404</v>
      </c>
      <c r="G19">
        <v>0.55092760234611005</v>
      </c>
      <c r="H19">
        <v>202207.30576455899</v>
      </c>
      <c r="I19">
        <v>25.546063155400201</v>
      </c>
      <c r="L19" s="1">
        <v>40452</v>
      </c>
      <c r="M19">
        <v>770.07938718662899</v>
      </c>
      <c r="N19">
        <v>64.751209500073301</v>
      </c>
      <c r="O19">
        <v>4.63092361823779</v>
      </c>
      <c r="P19">
        <v>4.1252015833455502</v>
      </c>
      <c r="Q19">
        <v>0.50572203489224399</v>
      </c>
      <c r="R19">
        <v>246700.82227679199</v>
      </c>
      <c r="S19">
        <v>30.679152616918302</v>
      </c>
      <c r="U19" s="1">
        <f t="shared" si="0"/>
        <v>40452</v>
      </c>
      <c r="V19">
        <f t="shared" si="1"/>
        <v>761.49351264885297</v>
      </c>
      <c r="W19">
        <f t="shared" si="2"/>
        <v>770.07938718662899</v>
      </c>
      <c r="Y19" s="1">
        <f t="shared" si="3"/>
        <v>40452</v>
      </c>
      <c r="Z19">
        <f t="shared" si="4"/>
        <v>61.350435452337202</v>
      </c>
      <c r="AA19">
        <f t="shared" si="5"/>
        <v>64.751209500073301</v>
      </c>
      <c r="AC19" s="1">
        <f t="shared" si="6"/>
        <v>40452</v>
      </c>
      <c r="AD19">
        <f t="shared" si="7"/>
        <v>4.83444558326915</v>
      </c>
      <c r="AE19">
        <f t="shared" si="8"/>
        <v>4.63092361823779</v>
      </c>
      <c r="AG19" s="1">
        <f t="shared" si="9"/>
        <v>40452</v>
      </c>
      <c r="AH19">
        <f t="shared" si="10"/>
        <v>4.2835179809230404</v>
      </c>
      <c r="AI19">
        <f t="shared" si="11"/>
        <v>4.1252015833455502</v>
      </c>
      <c r="AK19" s="1">
        <f t="shared" si="12"/>
        <v>40452</v>
      </c>
      <c r="AL19">
        <f t="shared" si="13"/>
        <v>0.55092760234611005</v>
      </c>
      <c r="AM19">
        <f t="shared" si="14"/>
        <v>0.50572203489224399</v>
      </c>
      <c r="AO19" s="1">
        <f t="shared" si="15"/>
        <v>40452</v>
      </c>
      <c r="AP19">
        <f t="shared" si="16"/>
        <v>202207.30576455899</v>
      </c>
      <c r="AQ19">
        <f t="shared" si="17"/>
        <v>246700.82227679199</v>
      </c>
      <c r="AS19" s="1">
        <f t="shared" si="18"/>
        <v>40452</v>
      </c>
      <c r="AT19">
        <f t="shared" si="19"/>
        <v>25.546063155400201</v>
      </c>
      <c r="AU19">
        <f t="shared" si="20"/>
        <v>30.679152616918302</v>
      </c>
    </row>
    <row r="20" spans="2:47" x14ac:dyDescent="0.25">
      <c r="B20" s="1">
        <v>40483</v>
      </c>
      <c r="C20">
        <v>762.61747061405595</v>
      </c>
      <c r="D20">
        <v>61.373506316148799</v>
      </c>
      <c r="E20">
        <v>4.7182735209481503</v>
      </c>
      <c r="F20">
        <v>4.1525386528800601</v>
      </c>
      <c r="G20">
        <v>0.56573486806808704</v>
      </c>
      <c r="H20">
        <v>199784.478759205</v>
      </c>
      <c r="I20">
        <v>24.405062673755001</v>
      </c>
      <c r="L20" s="1">
        <v>40483</v>
      </c>
      <c r="M20">
        <v>771.21294498381803</v>
      </c>
      <c r="N20">
        <v>65.211470693994897</v>
      </c>
      <c r="O20">
        <v>4.4984149946062502</v>
      </c>
      <c r="P20">
        <v>4.0560050341603704</v>
      </c>
      <c r="Q20">
        <v>0.44240996044588199</v>
      </c>
      <c r="R20">
        <v>242033.35760517701</v>
      </c>
      <c r="S20">
        <v>30.387882056814</v>
      </c>
      <c r="U20" s="1">
        <f t="shared" si="0"/>
        <v>40483</v>
      </c>
      <c r="V20">
        <f t="shared" si="1"/>
        <v>762.61747061405595</v>
      </c>
      <c r="W20">
        <f t="shared" si="2"/>
        <v>771.21294498381803</v>
      </c>
      <c r="Y20" s="1">
        <f t="shared" si="3"/>
        <v>40483</v>
      </c>
      <c r="Z20">
        <f t="shared" si="4"/>
        <v>61.373506316148799</v>
      </c>
      <c r="AA20">
        <f t="shared" si="5"/>
        <v>65.211470693994897</v>
      </c>
      <c r="AC20" s="1">
        <f t="shared" si="6"/>
        <v>40483</v>
      </c>
      <c r="AD20">
        <f t="shared" si="7"/>
        <v>4.7182735209481503</v>
      </c>
      <c r="AE20">
        <f t="shared" si="8"/>
        <v>4.4984149946062502</v>
      </c>
      <c r="AG20" s="1">
        <f t="shared" si="9"/>
        <v>40483</v>
      </c>
      <c r="AH20">
        <f t="shared" si="10"/>
        <v>4.1525386528800601</v>
      </c>
      <c r="AI20">
        <f t="shared" si="11"/>
        <v>4.0560050341603704</v>
      </c>
      <c r="AK20" s="1">
        <f t="shared" si="12"/>
        <v>40483</v>
      </c>
      <c r="AL20">
        <f t="shared" si="13"/>
        <v>0.56573486806808704</v>
      </c>
      <c r="AM20">
        <f t="shared" si="14"/>
        <v>0.44240996044588199</v>
      </c>
      <c r="AO20" s="1">
        <f t="shared" si="15"/>
        <v>40483</v>
      </c>
      <c r="AP20">
        <f t="shared" si="16"/>
        <v>199784.478759205</v>
      </c>
      <c r="AQ20">
        <f t="shared" si="17"/>
        <v>242033.35760517701</v>
      </c>
      <c r="AS20" s="1">
        <f t="shared" si="18"/>
        <v>40483</v>
      </c>
      <c r="AT20">
        <f t="shared" si="19"/>
        <v>24.405062673755001</v>
      </c>
      <c r="AU20">
        <f t="shared" si="20"/>
        <v>30.387882056814</v>
      </c>
    </row>
    <row r="21" spans="2:47" x14ac:dyDescent="0.25">
      <c r="B21" s="1">
        <v>40513</v>
      </c>
      <c r="C21">
        <v>760.71850938018395</v>
      </c>
      <c r="D21">
        <v>60.640745309907601</v>
      </c>
      <c r="E21">
        <v>4.6490099970221603</v>
      </c>
      <c r="F21">
        <v>4.1760326711192404</v>
      </c>
      <c r="G21">
        <v>0.47297732590292202</v>
      </c>
      <c r="H21">
        <v>197391.836729484</v>
      </c>
      <c r="I21">
        <v>22.947887863189599</v>
      </c>
      <c r="L21" s="1">
        <v>40513</v>
      </c>
      <c r="M21">
        <v>770.19708703827598</v>
      </c>
      <c r="N21">
        <v>65.597985785766596</v>
      </c>
      <c r="O21">
        <v>4.4260022309334799</v>
      </c>
      <c r="P21">
        <v>4.0130350256557303</v>
      </c>
      <c r="Q21">
        <v>0.41296720527775099</v>
      </c>
      <c r="R21">
        <v>252851.384836026</v>
      </c>
      <c r="S21">
        <v>30.531376485961001</v>
      </c>
      <c r="U21" s="1">
        <f t="shared" si="0"/>
        <v>40513</v>
      </c>
      <c r="V21">
        <f t="shared" si="1"/>
        <v>760.71850938018395</v>
      </c>
      <c r="W21">
        <f t="shared" si="2"/>
        <v>770.19708703827598</v>
      </c>
      <c r="Y21" s="1">
        <f t="shared" si="3"/>
        <v>40513</v>
      </c>
      <c r="Z21">
        <f t="shared" si="4"/>
        <v>60.640745309907601</v>
      </c>
      <c r="AA21">
        <f t="shared" si="5"/>
        <v>65.597985785766596</v>
      </c>
      <c r="AC21" s="1">
        <f t="shared" si="6"/>
        <v>40513</v>
      </c>
      <c r="AD21">
        <f t="shared" si="7"/>
        <v>4.6490099970221603</v>
      </c>
      <c r="AE21">
        <f t="shared" si="8"/>
        <v>4.4260022309334799</v>
      </c>
      <c r="AG21" s="1">
        <f t="shared" si="9"/>
        <v>40513</v>
      </c>
      <c r="AH21">
        <f t="shared" si="10"/>
        <v>4.1760326711192404</v>
      </c>
      <c r="AI21">
        <f t="shared" si="11"/>
        <v>4.0130350256557303</v>
      </c>
      <c r="AK21" s="1">
        <f t="shared" si="12"/>
        <v>40513</v>
      </c>
      <c r="AL21">
        <f t="shared" si="13"/>
        <v>0.47297732590292202</v>
      </c>
      <c r="AM21">
        <f t="shared" si="14"/>
        <v>0.41296720527775099</v>
      </c>
      <c r="AO21" s="1">
        <f t="shared" si="15"/>
        <v>40513</v>
      </c>
      <c r="AP21">
        <f t="shared" si="16"/>
        <v>197391.836729484</v>
      </c>
      <c r="AQ21">
        <f t="shared" si="17"/>
        <v>252851.384836026</v>
      </c>
      <c r="AS21" s="1">
        <f t="shared" si="18"/>
        <v>40513</v>
      </c>
      <c r="AT21">
        <f t="shared" si="19"/>
        <v>22.947887863189599</v>
      </c>
      <c r="AU21">
        <f t="shared" si="20"/>
        <v>30.531376485961001</v>
      </c>
    </row>
    <row r="22" spans="2:47" x14ac:dyDescent="0.25">
      <c r="B22" s="1">
        <v>40544</v>
      </c>
      <c r="C22">
        <v>763.21232137460595</v>
      </c>
      <c r="D22">
        <v>60.390450287095703</v>
      </c>
      <c r="E22">
        <v>4.5301092259206399</v>
      </c>
      <c r="F22">
        <v>4.0954755428916796</v>
      </c>
      <c r="G22">
        <v>0.43463368302896799</v>
      </c>
      <c r="H22">
        <v>194300.74100936801</v>
      </c>
      <c r="I22">
        <v>23.1362517808574</v>
      </c>
      <c r="L22" s="1">
        <v>40544</v>
      </c>
      <c r="M22">
        <v>769.16949322294101</v>
      </c>
      <c r="N22">
        <v>65.321659878480304</v>
      </c>
      <c r="O22">
        <v>4.3610624624424101</v>
      </c>
      <c r="P22">
        <v>3.9631101021566399</v>
      </c>
      <c r="Q22">
        <v>0.39795236028577102</v>
      </c>
      <c r="R22">
        <v>255642.44141016199</v>
      </c>
      <c r="S22">
        <v>30.794518261334002</v>
      </c>
      <c r="U22" s="1">
        <f t="shared" si="0"/>
        <v>40544</v>
      </c>
      <c r="V22">
        <f t="shared" si="1"/>
        <v>763.21232137460595</v>
      </c>
      <c r="W22">
        <f t="shared" si="2"/>
        <v>769.16949322294101</v>
      </c>
      <c r="Y22" s="1">
        <f t="shared" si="3"/>
        <v>40544</v>
      </c>
      <c r="Z22">
        <f t="shared" si="4"/>
        <v>60.390450287095703</v>
      </c>
      <c r="AA22">
        <f t="shared" si="5"/>
        <v>65.321659878480304</v>
      </c>
      <c r="AC22" s="1">
        <f t="shared" si="6"/>
        <v>40544</v>
      </c>
      <c r="AD22">
        <f t="shared" si="7"/>
        <v>4.5301092259206399</v>
      </c>
      <c r="AE22">
        <f t="shared" si="8"/>
        <v>4.3610624624424101</v>
      </c>
      <c r="AG22" s="1">
        <f t="shared" si="9"/>
        <v>40544</v>
      </c>
      <c r="AH22">
        <f t="shared" si="10"/>
        <v>4.0954755428916796</v>
      </c>
      <c r="AI22">
        <f t="shared" si="11"/>
        <v>3.9631101021566399</v>
      </c>
      <c r="AK22" s="1">
        <f t="shared" si="12"/>
        <v>40544</v>
      </c>
      <c r="AL22">
        <f t="shared" si="13"/>
        <v>0.43463368302896799</v>
      </c>
      <c r="AM22">
        <f t="shared" si="14"/>
        <v>0.39795236028577102</v>
      </c>
      <c r="AO22" s="1">
        <f t="shared" si="15"/>
        <v>40544</v>
      </c>
      <c r="AP22">
        <f t="shared" si="16"/>
        <v>194300.74100936801</v>
      </c>
      <c r="AQ22">
        <f t="shared" si="17"/>
        <v>255642.44141016199</v>
      </c>
      <c r="AS22" s="1">
        <f t="shared" si="18"/>
        <v>40544</v>
      </c>
      <c r="AT22">
        <f t="shared" si="19"/>
        <v>23.1362517808574</v>
      </c>
      <c r="AU22">
        <f t="shared" si="20"/>
        <v>30.794518261334002</v>
      </c>
    </row>
    <row r="23" spans="2:47" x14ac:dyDescent="0.25">
      <c r="B23" s="1">
        <v>40575</v>
      </c>
      <c r="C23">
        <v>760.28839689347296</v>
      </c>
      <c r="D23">
        <v>61.075170974846401</v>
      </c>
      <c r="E23">
        <v>4.5791946794946004</v>
      </c>
      <c r="F23">
        <v>4.1470963254897404</v>
      </c>
      <c r="G23">
        <v>0.43209835400486801</v>
      </c>
      <c r="H23">
        <v>190582.856844789</v>
      </c>
      <c r="I23">
        <v>25.760171554422101</v>
      </c>
      <c r="L23" s="1">
        <v>40575</v>
      </c>
      <c r="M23">
        <v>767.03270103998796</v>
      </c>
      <c r="N23">
        <v>65.094880621063396</v>
      </c>
      <c r="O23">
        <v>4.4152246594404501</v>
      </c>
      <c r="P23">
        <v>4.00838582100483</v>
      </c>
      <c r="Q23">
        <v>0.40683883843562302</v>
      </c>
      <c r="R23">
        <v>251939.10041013599</v>
      </c>
      <c r="S23">
        <v>31.046469898930699</v>
      </c>
      <c r="U23" s="1">
        <f t="shared" si="0"/>
        <v>40575</v>
      </c>
      <c r="V23">
        <f t="shared" si="1"/>
        <v>760.28839689347296</v>
      </c>
      <c r="W23">
        <f t="shared" si="2"/>
        <v>767.03270103998796</v>
      </c>
      <c r="Y23" s="1">
        <f t="shared" si="3"/>
        <v>40575</v>
      </c>
      <c r="Z23">
        <f t="shared" si="4"/>
        <v>61.075170974846401</v>
      </c>
      <c r="AA23">
        <f t="shared" si="5"/>
        <v>65.094880621063396</v>
      </c>
      <c r="AC23" s="1">
        <f t="shared" si="6"/>
        <v>40575</v>
      </c>
      <c r="AD23">
        <f t="shared" si="7"/>
        <v>4.5791946794946004</v>
      </c>
      <c r="AE23">
        <f t="shared" si="8"/>
        <v>4.4152246594404501</v>
      </c>
      <c r="AG23" s="1">
        <f t="shared" si="9"/>
        <v>40575</v>
      </c>
      <c r="AH23">
        <f t="shared" si="10"/>
        <v>4.1470963254897404</v>
      </c>
      <c r="AI23">
        <f t="shared" si="11"/>
        <v>4.00838582100483</v>
      </c>
      <c r="AK23" s="1">
        <f t="shared" si="12"/>
        <v>40575</v>
      </c>
      <c r="AL23">
        <f t="shared" si="13"/>
        <v>0.43209835400486801</v>
      </c>
      <c r="AM23">
        <f t="shared" si="14"/>
        <v>0.40683883843562302</v>
      </c>
      <c r="AO23" s="1">
        <f t="shared" si="15"/>
        <v>40575</v>
      </c>
      <c r="AP23">
        <f t="shared" si="16"/>
        <v>190582.856844789</v>
      </c>
      <c r="AQ23">
        <f t="shared" si="17"/>
        <v>251939.10041013599</v>
      </c>
      <c r="AS23" s="1">
        <f t="shared" si="18"/>
        <v>40575</v>
      </c>
      <c r="AT23">
        <f t="shared" si="19"/>
        <v>25.760171554422101</v>
      </c>
      <c r="AU23">
        <f t="shared" si="20"/>
        <v>31.046469898930699</v>
      </c>
    </row>
    <row r="24" spans="2:47" x14ac:dyDescent="0.25">
      <c r="B24" s="1">
        <v>40603</v>
      </c>
      <c r="C24">
        <v>757.29668351450505</v>
      </c>
      <c r="D24">
        <v>60.349027210413297</v>
      </c>
      <c r="E24">
        <v>4.7949886450183401</v>
      </c>
      <c r="F24">
        <v>4.3652288305753597</v>
      </c>
      <c r="G24">
        <v>0.429759814442982</v>
      </c>
      <c r="H24">
        <v>180803.91324517</v>
      </c>
      <c r="I24">
        <v>27.057121096725002</v>
      </c>
      <c r="L24" s="1">
        <v>40603</v>
      </c>
      <c r="M24">
        <v>763.05498146692105</v>
      </c>
      <c r="N24">
        <v>64.842693474109794</v>
      </c>
      <c r="O24">
        <v>4.6276004717510899</v>
      </c>
      <c r="P24">
        <v>4.2266651690441401</v>
      </c>
      <c r="Q24">
        <v>0.40093530270695199</v>
      </c>
      <c r="R24">
        <v>237391.86931371401</v>
      </c>
      <c r="S24">
        <v>31.611366954958999</v>
      </c>
      <c r="U24" s="1">
        <f t="shared" si="0"/>
        <v>40603</v>
      </c>
      <c r="V24">
        <f t="shared" si="1"/>
        <v>757.29668351450505</v>
      </c>
      <c r="W24">
        <f t="shared" si="2"/>
        <v>763.05498146692105</v>
      </c>
      <c r="Y24" s="1">
        <f t="shared" si="3"/>
        <v>40603</v>
      </c>
      <c r="Z24">
        <f t="shared" si="4"/>
        <v>60.349027210413297</v>
      </c>
      <c r="AA24">
        <f t="shared" si="5"/>
        <v>64.842693474109794</v>
      </c>
      <c r="AC24" s="1">
        <f t="shared" si="6"/>
        <v>40603</v>
      </c>
      <c r="AD24">
        <f t="shared" si="7"/>
        <v>4.7949886450183401</v>
      </c>
      <c r="AE24">
        <f t="shared" si="8"/>
        <v>4.6276004717510899</v>
      </c>
      <c r="AG24" s="1">
        <f t="shared" si="9"/>
        <v>40603</v>
      </c>
      <c r="AH24">
        <f t="shared" si="10"/>
        <v>4.3652288305753597</v>
      </c>
      <c r="AI24">
        <f t="shared" si="11"/>
        <v>4.2266651690441401</v>
      </c>
      <c r="AK24" s="1">
        <f t="shared" si="12"/>
        <v>40603</v>
      </c>
      <c r="AL24">
        <f t="shared" si="13"/>
        <v>0.429759814442982</v>
      </c>
      <c r="AM24">
        <f t="shared" si="14"/>
        <v>0.40093530270695199</v>
      </c>
      <c r="AO24" s="1">
        <f t="shared" si="15"/>
        <v>40603</v>
      </c>
      <c r="AP24">
        <f t="shared" si="16"/>
        <v>180803.91324517</v>
      </c>
      <c r="AQ24">
        <f t="shared" si="17"/>
        <v>237391.86931371401</v>
      </c>
      <c r="AS24" s="1">
        <f t="shared" si="18"/>
        <v>40603</v>
      </c>
      <c r="AT24">
        <f t="shared" si="19"/>
        <v>27.057121096725002</v>
      </c>
      <c r="AU24">
        <f t="shared" si="20"/>
        <v>31.611366954958999</v>
      </c>
    </row>
    <row r="25" spans="2:47" x14ac:dyDescent="0.25">
      <c r="B25" s="1">
        <v>40634</v>
      </c>
      <c r="C25">
        <v>751.31910499139406</v>
      </c>
      <c r="D25">
        <v>60.914056224899497</v>
      </c>
      <c r="E25">
        <v>4.9165227768215702</v>
      </c>
      <c r="F25">
        <v>4.49667240390131</v>
      </c>
      <c r="G25">
        <v>0.41985037292025201</v>
      </c>
      <c r="H25">
        <v>179252.42271944901</v>
      </c>
      <c r="I25">
        <v>29.9474469305794</v>
      </c>
      <c r="L25" s="1">
        <v>40634</v>
      </c>
      <c r="M25">
        <v>760.05841432224997</v>
      </c>
      <c r="N25">
        <v>63.222404092071599</v>
      </c>
      <c r="O25">
        <v>4.8160804092071601</v>
      </c>
      <c r="P25">
        <v>4.4289514066496096</v>
      </c>
      <c r="Q25">
        <v>0.38712900255754401</v>
      </c>
      <c r="R25">
        <v>238558.455038363</v>
      </c>
      <c r="S25">
        <v>32.727877237851601</v>
      </c>
      <c r="U25" s="1">
        <f t="shared" si="0"/>
        <v>40634</v>
      </c>
      <c r="V25">
        <f t="shared" si="1"/>
        <v>751.31910499139406</v>
      </c>
      <c r="W25">
        <f t="shared" si="2"/>
        <v>760.05841432224997</v>
      </c>
      <c r="Y25" s="1">
        <f t="shared" si="3"/>
        <v>40634</v>
      </c>
      <c r="Z25">
        <f t="shared" si="4"/>
        <v>60.914056224899497</v>
      </c>
      <c r="AA25">
        <f t="shared" si="5"/>
        <v>63.222404092071599</v>
      </c>
      <c r="AC25" s="1">
        <f t="shared" si="6"/>
        <v>40634</v>
      </c>
      <c r="AD25">
        <f t="shared" si="7"/>
        <v>4.9165227768215702</v>
      </c>
      <c r="AE25">
        <f t="shared" si="8"/>
        <v>4.8160804092071601</v>
      </c>
      <c r="AG25" s="1">
        <f t="shared" si="9"/>
        <v>40634</v>
      </c>
      <c r="AH25">
        <f t="shared" si="10"/>
        <v>4.49667240390131</v>
      </c>
      <c r="AI25">
        <f t="shared" si="11"/>
        <v>4.4289514066496096</v>
      </c>
      <c r="AK25" s="1">
        <f t="shared" si="12"/>
        <v>40634</v>
      </c>
      <c r="AL25">
        <f t="shared" si="13"/>
        <v>0.41985037292025201</v>
      </c>
      <c r="AM25">
        <f t="shared" si="14"/>
        <v>0.38712900255754401</v>
      </c>
      <c r="AO25" s="1">
        <f t="shared" si="15"/>
        <v>40634</v>
      </c>
      <c r="AP25">
        <f t="shared" si="16"/>
        <v>179252.42271944901</v>
      </c>
      <c r="AQ25">
        <f t="shared" si="17"/>
        <v>238558.455038363</v>
      </c>
      <c r="AS25" s="1">
        <f t="shared" si="18"/>
        <v>40634</v>
      </c>
      <c r="AT25">
        <f t="shared" si="19"/>
        <v>29.9474469305794</v>
      </c>
      <c r="AU25">
        <f t="shared" si="20"/>
        <v>32.727877237851601</v>
      </c>
    </row>
    <row r="26" spans="2:47" x14ac:dyDescent="0.25">
      <c r="B26" s="1">
        <v>40664</v>
      </c>
      <c r="C26">
        <v>748.52641707487703</v>
      </c>
      <c r="D26">
        <v>60.5955213435969</v>
      </c>
      <c r="E26">
        <v>5.0973425472358196</v>
      </c>
      <c r="F26">
        <v>4.6761721483554899</v>
      </c>
      <c r="G26">
        <v>0.42117039888033497</v>
      </c>
      <c r="H26">
        <v>174135.920573827</v>
      </c>
      <c r="I26">
        <v>30.945766270118899</v>
      </c>
      <c r="L26" s="1">
        <v>40664</v>
      </c>
      <c r="M26">
        <v>757.85410262473295</v>
      </c>
      <c r="N26">
        <v>64.542326791203493</v>
      </c>
      <c r="O26">
        <v>4.9491216599668899</v>
      </c>
      <c r="P26">
        <v>4.5537361078269001</v>
      </c>
      <c r="Q26">
        <v>0.395385552139985</v>
      </c>
      <c r="R26">
        <v>240983.34984629901</v>
      </c>
      <c r="S26">
        <v>33.334003310475197</v>
      </c>
      <c r="U26" s="1">
        <f t="shared" si="0"/>
        <v>40664</v>
      </c>
      <c r="V26">
        <f t="shared" si="1"/>
        <v>748.52641707487703</v>
      </c>
      <c r="W26">
        <f t="shared" si="2"/>
        <v>757.85410262473295</v>
      </c>
      <c r="Y26" s="1">
        <f t="shared" si="3"/>
        <v>40664</v>
      </c>
      <c r="Z26">
        <f t="shared" si="4"/>
        <v>60.5955213435969</v>
      </c>
      <c r="AA26">
        <f t="shared" si="5"/>
        <v>64.542326791203493</v>
      </c>
      <c r="AC26" s="1">
        <f t="shared" si="6"/>
        <v>40664</v>
      </c>
      <c r="AD26">
        <f t="shared" si="7"/>
        <v>5.0973425472358196</v>
      </c>
      <c r="AE26">
        <f t="shared" si="8"/>
        <v>4.9491216599668899</v>
      </c>
      <c r="AG26" s="1">
        <f t="shared" si="9"/>
        <v>40664</v>
      </c>
      <c r="AH26">
        <f t="shared" si="10"/>
        <v>4.6761721483554899</v>
      </c>
      <c r="AI26">
        <f t="shared" si="11"/>
        <v>4.5537361078269001</v>
      </c>
      <c r="AK26" s="1">
        <f t="shared" si="12"/>
        <v>40664</v>
      </c>
      <c r="AL26">
        <f t="shared" si="13"/>
        <v>0.42117039888033497</v>
      </c>
      <c r="AM26">
        <f t="shared" si="14"/>
        <v>0.395385552139985</v>
      </c>
      <c r="AO26" s="1">
        <f t="shared" si="15"/>
        <v>40664</v>
      </c>
      <c r="AP26">
        <f t="shared" si="16"/>
        <v>174135.920573827</v>
      </c>
      <c r="AQ26">
        <f t="shared" si="17"/>
        <v>240983.34984629901</v>
      </c>
      <c r="AS26" s="1">
        <f t="shared" si="18"/>
        <v>40664</v>
      </c>
      <c r="AT26">
        <f t="shared" si="19"/>
        <v>30.945766270118899</v>
      </c>
      <c r="AU26">
        <f t="shared" si="20"/>
        <v>33.334003310475197</v>
      </c>
    </row>
    <row r="27" spans="2:47" x14ac:dyDescent="0.25">
      <c r="B27" s="1">
        <v>40695</v>
      </c>
      <c r="C27">
        <v>747.09690201729097</v>
      </c>
      <c r="D27">
        <v>60.499279538904801</v>
      </c>
      <c r="E27">
        <v>5.0893427593659899</v>
      </c>
      <c r="F27">
        <v>4.6462536023054701</v>
      </c>
      <c r="G27">
        <v>0.44308915706051799</v>
      </c>
      <c r="H27">
        <v>168880.703350144</v>
      </c>
      <c r="I27">
        <v>29.900936599423598</v>
      </c>
      <c r="L27" s="1">
        <v>40695</v>
      </c>
      <c r="M27">
        <v>756.54269848416595</v>
      </c>
      <c r="N27">
        <v>65.645955275401406</v>
      </c>
      <c r="O27">
        <v>4.9829174546000301</v>
      </c>
      <c r="P27">
        <v>4.5855470508779801</v>
      </c>
      <c r="Q27">
        <v>0.39737040372204702</v>
      </c>
      <c r="R27">
        <v>238539.88368602699</v>
      </c>
      <c r="S27">
        <v>33.490769923457897</v>
      </c>
      <c r="U27" s="1">
        <f t="shared" si="0"/>
        <v>40695</v>
      </c>
      <c r="V27">
        <f t="shared" si="1"/>
        <v>747.09690201729097</v>
      </c>
      <c r="W27">
        <f t="shared" si="2"/>
        <v>756.54269848416595</v>
      </c>
      <c r="Y27" s="1">
        <f t="shared" si="3"/>
        <v>40695</v>
      </c>
      <c r="Z27">
        <f t="shared" si="4"/>
        <v>60.499279538904801</v>
      </c>
      <c r="AA27">
        <f t="shared" si="5"/>
        <v>65.645955275401406</v>
      </c>
      <c r="AC27" s="1">
        <f t="shared" si="6"/>
        <v>40695</v>
      </c>
      <c r="AD27">
        <f t="shared" si="7"/>
        <v>5.0893427593659899</v>
      </c>
      <c r="AE27">
        <f t="shared" si="8"/>
        <v>4.9829174546000301</v>
      </c>
      <c r="AG27" s="1">
        <f t="shared" si="9"/>
        <v>40695</v>
      </c>
      <c r="AH27">
        <f t="shared" si="10"/>
        <v>4.6462536023054701</v>
      </c>
      <c r="AI27">
        <f t="shared" si="11"/>
        <v>4.5855470508779801</v>
      </c>
      <c r="AK27" s="1">
        <f t="shared" si="12"/>
        <v>40695</v>
      </c>
      <c r="AL27">
        <f t="shared" si="13"/>
        <v>0.44308915706051799</v>
      </c>
      <c r="AM27">
        <f t="shared" si="14"/>
        <v>0.39737040372204702</v>
      </c>
      <c r="AO27" s="1">
        <f t="shared" si="15"/>
        <v>40695</v>
      </c>
      <c r="AP27">
        <f t="shared" si="16"/>
        <v>168880.703350144</v>
      </c>
      <c r="AQ27">
        <f t="shared" si="17"/>
        <v>238539.88368602699</v>
      </c>
      <c r="AS27" s="1">
        <f t="shared" si="18"/>
        <v>40695</v>
      </c>
      <c r="AT27">
        <f t="shared" si="19"/>
        <v>29.900936599423598</v>
      </c>
      <c r="AU27">
        <f t="shared" si="20"/>
        <v>33.490769923457897</v>
      </c>
    </row>
    <row r="28" spans="2:47" x14ac:dyDescent="0.25">
      <c r="B28" s="1">
        <v>40725</v>
      </c>
      <c r="C28">
        <v>748.21629279810998</v>
      </c>
      <c r="D28">
        <v>61.834474616292702</v>
      </c>
      <c r="E28">
        <v>5.1410146399055403</v>
      </c>
      <c r="F28">
        <v>4.6970484061393103</v>
      </c>
      <c r="G28">
        <v>0.44396623376623301</v>
      </c>
      <c r="H28">
        <v>163310.6824085</v>
      </c>
      <c r="I28">
        <v>31.808972845336399</v>
      </c>
      <c r="L28" s="1">
        <v>40725</v>
      </c>
      <c r="M28">
        <v>756.44264384559301</v>
      </c>
      <c r="N28">
        <v>65.873270211216294</v>
      </c>
      <c r="O28">
        <v>4.9496793517844102</v>
      </c>
      <c r="P28">
        <v>4.5535324107793098</v>
      </c>
      <c r="Q28">
        <v>0.39614694100509801</v>
      </c>
      <c r="R28">
        <v>234291.75928623401</v>
      </c>
      <c r="S28">
        <v>33.649126001456601</v>
      </c>
      <c r="U28" s="1">
        <f t="shared" si="0"/>
        <v>40725</v>
      </c>
      <c r="V28">
        <f t="shared" si="1"/>
        <v>748.21629279810998</v>
      </c>
      <c r="W28">
        <f t="shared" si="2"/>
        <v>756.44264384559301</v>
      </c>
      <c r="Y28" s="1">
        <f t="shared" si="3"/>
        <v>40725</v>
      </c>
      <c r="Z28">
        <f t="shared" si="4"/>
        <v>61.834474616292702</v>
      </c>
      <c r="AA28">
        <f t="shared" si="5"/>
        <v>65.873270211216294</v>
      </c>
      <c r="AC28" s="1">
        <f t="shared" si="6"/>
        <v>40725</v>
      </c>
      <c r="AD28">
        <f t="shared" si="7"/>
        <v>5.1410146399055403</v>
      </c>
      <c r="AE28">
        <f t="shared" si="8"/>
        <v>4.9496793517844102</v>
      </c>
      <c r="AG28" s="1">
        <f t="shared" si="9"/>
        <v>40725</v>
      </c>
      <c r="AH28">
        <f t="shared" si="10"/>
        <v>4.6970484061393103</v>
      </c>
      <c r="AI28">
        <f t="shared" si="11"/>
        <v>4.5535324107793098</v>
      </c>
      <c r="AK28" s="1">
        <f t="shared" si="12"/>
        <v>40725</v>
      </c>
      <c r="AL28">
        <f t="shared" si="13"/>
        <v>0.44396623376623301</v>
      </c>
      <c r="AM28">
        <f t="shared" si="14"/>
        <v>0.39614694100509801</v>
      </c>
      <c r="AO28" s="1">
        <f t="shared" si="15"/>
        <v>40725</v>
      </c>
      <c r="AP28">
        <f t="shared" si="16"/>
        <v>163310.6824085</v>
      </c>
      <c r="AQ28">
        <f t="shared" si="17"/>
        <v>234291.75928623401</v>
      </c>
      <c r="AS28" s="1">
        <f t="shared" si="18"/>
        <v>40725</v>
      </c>
      <c r="AT28">
        <f t="shared" si="19"/>
        <v>31.808972845336399</v>
      </c>
      <c r="AU28">
        <f t="shared" si="20"/>
        <v>33.649126001456601</v>
      </c>
    </row>
    <row r="29" spans="2:47" x14ac:dyDescent="0.25">
      <c r="B29" s="1">
        <v>40756</v>
      </c>
      <c r="C29">
        <v>752.123436538855</v>
      </c>
      <c r="D29">
        <v>61.0311667008406</v>
      </c>
      <c r="E29">
        <v>4.9469911831043598</v>
      </c>
      <c r="F29">
        <v>4.51137994668853</v>
      </c>
      <c r="G29">
        <v>0.435611236415829</v>
      </c>
      <c r="H29">
        <v>175380.84929259701</v>
      </c>
      <c r="I29">
        <v>30.715808898913199</v>
      </c>
      <c r="L29" s="1">
        <v>40756</v>
      </c>
      <c r="M29">
        <v>759.37252901415604</v>
      </c>
      <c r="N29">
        <v>65.591506185435506</v>
      </c>
      <c r="O29">
        <v>4.7847723504655004</v>
      </c>
      <c r="P29">
        <v>4.3565234026272099</v>
      </c>
      <c r="Q29">
        <v>0.42824894783828499</v>
      </c>
      <c r="R29">
        <v>247231.74263486799</v>
      </c>
      <c r="S29">
        <v>32.902563448539702</v>
      </c>
      <c r="U29" s="1">
        <f t="shared" si="0"/>
        <v>40756</v>
      </c>
      <c r="V29">
        <f t="shared" si="1"/>
        <v>752.123436538855</v>
      </c>
      <c r="W29">
        <f t="shared" si="2"/>
        <v>759.37252901415604</v>
      </c>
      <c r="Y29" s="1">
        <f t="shared" si="3"/>
        <v>40756</v>
      </c>
      <c r="Z29">
        <f t="shared" si="4"/>
        <v>61.0311667008406</v>
      </c>
      <c r="AA29">
        <f t="shared" si="5"/>
        <v>65.591506185435506</v>
      </c>
      <c r="AC29" s="1">
        <f t="shared" si="6"/>
        <v>40756</v>
      </c>
      <c r="AD29">
        <f t="shared" si="7"/>
        <v>4.9469911831043598</v>
      </c>
      <c r="AE29">
        <f t="shared" si="8"/>
        <v>4.7847723504655004</v>
      </c>
      <c r="AG29" s="1">
        <f t="shared" si="9"/>
        <v>40756</v>
      </c>
      <c r="AH29">
        <f t="shared" si="10"/>
        <v>4.51137994668853</v>
      </c>
      <c r="AI29">
        <f t="shared" si="11"/>
        <v>4.3565234026272099</v>
      </c>
      <c r="AK29" s="1">
        <f t="shared" si="12"/>
        <v>40756</v>
      </c>
      <c r="AL29">
        <f t="shared" si="13"/>
        <v>0.435611236415829</v>
      </c>
      <c r="AM29">
        <f t="shared" si="14"/>
        <v>0.42824894783828499</v>
      </c>
      <c r="AO29" s="1">
        <f t="shared" si="15"/>
        <v>40756</v>
      </c>
      <c r="AP29">
        <f t="shared" si="16"/>
        <v>175380.84929259701</v>
      </c>
      <c r="AQ29">
        <f t="shared" si="17"/>
        <v>247231.74263486799</v>
      </c>
      <c r="AS29" s="1">
        <f t="shared" si="18"/>
        <v>40756</v>
      </c>
      <c r="AT29">
        <f t="shared" si="19"/>
        <v>30.715808898913199</v>
      </c>
      <c r="AU29">
        <f t="shared" si="20"/>
        <v>32.902563448539702</v>
      </c>
    </row>
    <row r="30" spans="2:47" x14ac:dyDescent="0.25">
      <c r="B30" s="1">
        <v>40787</v>
      </c>
      <c r="C30">
        <v>751.64336978810604</v>
      </c>
      <c r="D30">
        <v>61.407894736842103</v>
      </c>
      <c r="E30">
        <v>4.8444560833902903</v>
      </c>
      <c r="F30">
        <v>4.3350991114149</v>
      </c>
      <c r="G30">
        <v>0.50935697197539298</v>
      </c>
      <c r="H30">
        <v>175803.40823649999</v>
      </c>
      <c r="I30">
        <v>30.7862269309637</v>
      </c>
      <c r="L30" s="1">
        <v>40787</v>
      </c>
      <c r="M30">
        <v>761.43547826086899</v>
      </c>
      <c r="N30">
        <v>65.801739130434697</v>
      </c>
      <c r="O30">
        <v>4.6940287536231802</v>
      </c>
      <c r="P30">
        <v>4.2180869565217298</v>
      </c>
      <c r="Q30">
        <v>0.47594179710144902</v>
      </c>
      <c r="R30">
        <v>251379.158724637</v>
      </c>
      <c r="S30">
        <v>32.729623188405697</v>
      </c>
      <c r="U30" s="1">
        <f t="shared" si="0"/>
        <v>40787</v>
      </c>
      <c r="V30">
        <f t="shared" si="1"/>
        <v>751.64336978810604</v>
      </c>
      <c r="W30">
        <f t="shared" si="2"/>
        <v>761.43547826086899</v>
      </c>
      <c r="Y30" s="1">
        <f t="shared" si="3"/>
        <v>40787</v>
      </c>
      <c r="Z30">
        <f t="shared" si="4"/>
        <v>61.407894736842103</v>
      </c>
      <c r="AA30">
        <f t="shared" si="5"/>
        <v>65.801739130434697</v>
      </c>
      <c r="AC30" s="1">
        <f t="shared" si="6"/>
        <v>40787</v>
      </c>
      <c r="AD30">
        <f t="shared" si="7"/>
        <v>4.8444560833902903</v>
      </c>
      <c r="AE30">
        <f t="shared" si="8"/>
        <v>4.6940287536231802</v>
      </c>
      <c r="AG30" s="1">
        <f t="shared" si="9"/>
        <v>40787</v>
      </c>
      <c r="AH30">
        <f t="shared" si="10"/>
        <v>4.3350991114149</v>
      </c>
      <c r="AI30">
        <f t="shared" si="11"/>
        <v>4.2180869565217298</v>
      </c>
      <c r="AK30" s="1">
        <f t="shared" si="12"/>
        <v>40787</v>
      </c>
      <c r="AL30">
        <f t="shared" si="13"/>
        <v>0.50935697197539298</v>
      </c>
      <c r="AM30">
        <f t="shared" si="14"/>
        <v>0.47594179710144902</v>
      </c>
      <c r="AO30" s="1">
        <f t="shared" si="15"/>
        <v>40787</v>
      </c>
      <c r="AP30">
        <f t="shared" si="16"/>
        <v>175803.40823649999</v>
      </c>
      <c r="AQ30">
        <f t="shared" si="17"/>
        <v>251379.158724637</v>
      </c>
      <c r="AS30" s="1">
        <f t="shared" si="18"/>
        <v>40787</v>
      </c>
      <c r="AT30">
        <f t="shared" si="19"/>
        <v>30.7862269309637</v>
      </c>
      <c r="AU30">
        <f t="shared" si="20"/>
        <v>32.729623188405697</v>
      </c>
    </row>
    <row r="31" spans="2:47" x14ac:dyDescent="0.25">
      <c r="B31" s="1">
        <v>40817</v>
      </c>
      <c r="C31">
        <v>751.80593723494405</v>
      </c>
      <c r="D31">
        <v>60.722307039864198</v>
      </c>
      <c r="E31">
        <v>4.7947674300254404</v>
      </c>
      <c r="F31">
        <v>4.2505513146734497</v>
      </c>
      <c r="G31">
        <v>0.54421611535199299</v>
      </c>
      <c r="H31">
        <v>173726.26463104301</v>
      </c>
      <c r="I31">
        <v>29.680576759966002</v>
      </c>
      <c r="L31" s="1">
        <v>40817</v>
      </c>
      <c r="M31">
        <v>763.92591113330002</v>
      </c>
      <c r="N31">
        <v>66.219271093359893</v>
      </c>
      <c r="O31">
        <v>4.53832880678981</v>
      </c>
      <c r="P31">
        <v>4.0041437843235101</v>
      </c>
      <c r="Q31">
        <v>0.53418502246629995</v>
      </c>
      <c r="R31">
        <v>258983.06350474199</v>
      </c>
      <c r="S31">
        <v>32.251023464802699</v>
      </c>
      <c r="U31" s="1">
        <f t="shared" si="0"/>
        <v>40817</v>
      </c>
      <c r="V31">
        <f t="shared" si="1"/>
        <v>751.80593723494405</v>
      </c>
      <c r="W31">
        <f t="shared" si="2"/>
        <v>763.92591113330002</v>
      </c>
      <c r="Y31" s="1">
        <f t="shared" si="3"/>
        <v>40817</v>
      </c>
      <c r="Z31">
        <f t="shared" si="4"/>
        <v>60.722307039864198</v>
      </c>
      <c r="AA31">
        <f t="shared" si="5"/>
        <v>66.219271093359893</v>
      </c>
      <c r="AC31" s="1">
        <f t="shared" si="6"/>
        <v>40817</v>
      </c>
      <c r="AD31">
        <f t="shared" si="7"/>
        <v>4.7947674300254404</v>
      </c>
      <c r="AE31">
        <f t="shared" si="8"/>
        <v>4.53832880678981</v>
      </c>
      <c r="AG31" s="1">
        <f t="shared" si="9"/>
        <v>40817</v>
      </c>
      <c r="AH31">
        <f t="shared" si="10"/>
        <v>4.2505513146734497</v>
      </c>
      <c r="AI31">
        <f t="shared" si="11"/>
        <v>4.0041437843235101</v>
      </c>
      <c r="AK31" s="1">
        <f t="shared" si="12"/>
        <v>40817</v>
      </c>
      <c r="AL31">
        <f t="shared" si="13"/>
        <v>0.54421611535199299</v>
      </c>
      <c r="AM31">
        <f t="shared" si="14"/>
        <v>0.53418502246629995</v>
      </c>
      <c r="AO31" s="1">
        <f t="shared" si="15"/>
        <v>40817</v>
      </c>
      <c r="AP31">
        <f t="shared" si="16"/>
        <v>173726.26463104301</v>
      </c>
      <c r="AQ31">
        <f t="shared" si="17"/>
        <v>258983.06350474199</v>
      </c>
      <c r="AS31" s="1">
        <f t="shared" si="18"/>
        <v>40817</v>
      </c>
      <c r="AT31">
        <f t="shared" si="19"/>
        <v>29.680576759966002</v>
      </c>
      <c r="AU31">
        <f t="shared" si="20"/>
        <v>32.251023464802699</v>
      </c>
    </row>
    <row r="32" spans="2:47" x14ac:dyDescent="0.25">
      <c r="B32" s="1">
        <v>40848</v>
      </c>
      <c r="C32">
        <v>761.44453761379896</v>
      </c>
      <c r="D32">
        <v>60.774436990896</v>
      </c>
      <c r="E32">
        <v>4.5310003593675097</v>
      </c>
      <c r="F32">
        <v>3.97855773838045</v>
      </c>
      <c r="G32">
        <v>0.55244262098706198</v>
      </c>
      <c r="H32">
        <v>185459.28461907001</v>
      </c>
      <c r="I32">
        <v>26.9335170100622</v>
      </c>
      <c r="L32" s="1">
        <v>40848</v>
      </c>
      <c r="M32">
        <v>771.19027032399094</v>
      </c>
      <c r="N32">
        <v>65.264211886304906</v>
      </c>
      <c r="O32">
        <v>4.2709428046114004</v>
      </c>
      <c r="P32">
        <v>3.7392417014510002</v>
      </c>
      <c r="Q32">
        <v>0.53170110316040498</v>
      </c>
      <c r="R32">
        <v>286308.25546611001</v>
      </c>
      <c r="S32">
        <v>30.906976744186</v>
      </c>
      <c r="U32" s="1">
        <f t="shared" si="0"/>
        <v>40848</v>
      </c>
      <c r="V32">
        <f t="shared" si="1"/>
        <v>761.44453761379896</v>
      </c>
      <c r="W32">
        <f t="shared" si="2"/>
        <v>771.19027032399094</v>
      </c>
      <c r="Y32" s="1">
        <f t="shared" si="3"/>
        <v>40848</v>
      </c>
      <c r="Z32">
        <f t="shared" si="4"/>
        <v>60.774436990896</v>
      </c>
      <c r="AA32">
        <f t="shared" si="5"/>
        <v>65.264211886304906</v>
      </c>
      <c r="AC32" s="1">
        <f t="shared" si="6"/>
        <v>40848</v>
      </c>
      <c r="AD32">
        <f t="shared" si="7"/>
        <v>4.5310003593675097</v>
      </c>
      <c r="AE32">
        <f t="shared" si="8"/>
        <v>4.2709428046114004</v>
      </c>
      <c r="AG32" s="1">
        <f t="shared" si="9"/>
        <v>40848</v>
      </c>
      <c r="AH32">
        <f t="shared" si="10"/>
        <v>3.97855773838045</v>
      </c>
      <c r="AI32">
        <f t="shared" si="11"/>
        <v>3.7392417014510002</v>
      </c>
      <c r="AK32" s="1">
        <f t="shared" si="12"/>
        <v>40848</v>
      </c>
      <c r="AL32">
        <f t="shared" si="13"/>
        <v>0.55244262098706198</v>
      </c>
      <c r="AM32">
        <f t="shared" si="14"/>
        <v>0.53170110316040498</v>
      </c>
      <c r="AO32" s="1">
        <f t="shared" si="15"/>
        <v>40848</v>
      </c>
      <c r="AP32">
        <f t="shared" si="16"/>
        <v>185459.28461907001</v>
      </c>
      <c r="AQ32">
        <f t="shared" si="17"/>
        <v>286308.25546611001</v>
      </c>
      <c r="AS32" s="1">
        <f t="shared" si="18"/>
        <v>40848</v>
      </c>
      <c r="AT32">
        <f t="shared" si="19"/>
        <v>26.9335170100622</v>
      </c>
      <c r="AU32">
        <f t="shared" si="20"/>
        <v>30.906976744186</v>
      </c>
    </row>
    <row r="33" spans="2:47" x14ac:dyDescent="0.25">
      <c r="B33" s="1">
        <v>40878</v>
      </c>
      <c r="C33">
        <v>762.40291986359705</v>
      </c>
      <c r="D33">
        <v>60.857203751065597</v>
      </c>
      <c r="E33">
        <v>4.39996845694799</v>
      </c>
      <c r="F33">
        <v>3.8888533674339301</v>
      </c>
      <c r="G33">
        <v>0.51111508951406603</v>
      </c>
      <c r="H33">
        <v>186061.19650468801</v>
      </c>
      <c r="I33">
        <v>26.805093776641002</v>
      </c>
      <c r="L33" s="1">
        <v>40878</v>
      </c>
      <c r="M33">
        <v>773.19155645981596</v>
      </c>
      <c r="N33">
        <v>64.167548321464906</v>
      </c>
      <c r="O33">
        <v>4.1416407934893096</v>
      </c>
      <c r="P33">
        <v>3.6574771108850399</v>
      </c>
      <c r="Q33">
        <v>0.48416368260427201</v>
      </c>
      <c r="R33">
        <v>265011.58001017198</v>
      </c>
      <c r="S33">
        <v>30.631434384537101</v>
      </c>
      <c r="U33" s="1">
        <f t="shared" si="0"/>
        <v>40878</v>
      </c>
      <c r="V33">
        <f t="shared" si="1"/>
        <v>762.40291986359705</v>
      </c>
      <c r="W33">
        <f t="shared" si="2"/>
        <v>773.19155645981596</v>
      </c>
      <c r="Y33" s="1">
        <f t="shared" si="3"/>
        <v>40878</v>
      </c>
      <c r="Z33">
        <f t="shared" si="4"/>
        <v>60.857203751065597</v>
      </c>
      <c r="AA33">
        <f t="shared" si="5"/>
        <v>64.167548321464906</v>
      </c>
      <c r="AC33" s="1">
        <f t="shared" si="6"/>
        <v>40878</v>
      </c>
      <c r="AD33">
        <f t="shared" si="7"/>
        <v>4.39996845694799</v>
      </c>
      <c r="AE33">
        <f t="shared" si="8"/>
        <v>4.1416407934893096</v>
      </c>
      <c r="AG33" s="1">
        <f t="shared" si="9"/>
        <v>40878</v>
      </c>
      <c r="AH33">
        <f t="shared" si="10"/>
        <v>3.8888533674339301</v>
      </c>
      <c r="AI33">
        <f t="shared" si="11"/>
        <v>3.6574771108850399</v>
      </c>
      <c r="AK33" s="1">
        <f t="shared" si="12"/>
        <v>40878</v>
      </c>
      <c r="AL33">
        <f t="shared" si="13"/>
        <v>0.51111508951406603</v>
      </c>
      <c r="AM33">
        <f t="shared" si="14"/>
        <v>0.48416368260427201</v>
      </c>
      <c r="AO33" s="1">
        <f t="shared" si="15"/>
        <v>40878</v>
      </c>
      <c r="AP33">
        <f t="shared" si="16"/>
        <v>186061.19650468801</v>
      </c>
      <c r="AQ33">
        <f t="shared" si="17"/>
        <v>265011.58001017198</v>
      </c>
      <c r="AS33" s="1">
        <f t="shared" si="18"/>
        <v>40878</v>
      </c>
      <c r="AT33">
        <f t="shared" si="19"/>
        <v>26.805093776641002</v>
      </c>
      <c r="AU33">
        <f t="shared" si="20"/>
        <v>30.631434384537101</v>
      </c>
    </row>
    <row r="34" spans="2:47" x14ac:dyDescent="0.25">
      <c r="B34" s="1">
        <v>40909</v>
      </c>
      <c r="C34">
        <v>763.29066391984202</v>
      </c>
      <c r="D34">
        <v>60.914130536567001</v>
      </c>
      <c r="E34">
        <v>4.34801573181009</v>
      </c>
      <c r="F34">
        <v>3.8692293285888102</v>
      </c>
      <c r="G34">
        <v>0.47878640322127503</v>
      </c>
      <c r="H34">
        <v>178044.52298904301</v>
      </c>
      <c r="I34">
        <v>25.6313325217717</v>
      </c>
      <c r="L34" s="1">
        <v>40909</v>
      </c>
      <c r="M34">
        <v>772.55254886553303</v>
      </c>
      <c r="N34">
        <v>64.382870052057697</v>
      </c>
      <c r="O34">
        <v>4.1020820646301903</v>
      </c>
      <c r="P34">
        <v>3.6386897161378999</v>
      </c>
      <c r="Q34">
        <v>0.463392348492289</v>
      </c>
      <c r="R34">
        <v>258200.41160003899</v>
      </c>
      <c r="S34">
        <v>30.766329437186901</v>
      </c>
      <c r="U34" s="1">
        <f t="shared" si="0"/>
        <v>40909</v>
      </c>
      <c r="V34">
        <f t="shared" si="1"/>
        <v>763.29066391984202</v>
      </c>
      <c r="W34">
        <f t="shared" si="2"/>
        <v>772.55254886553303</v>
      </c>
      <c r="Y34" s="1">
        <f t="shared" si="3"/>
        <v>40909</v>
      </c>
      <c r="Z34">
        <f t="shared" si="4"/>
        <v>60.914130536567001</v>
      </c>
      <c r="AA34">
        <f t="shared" si="5"/>
        <v>64.382870052057697</v>
      </c>
      <c r="AC34" s="1">
        <f t="shared" si="6"/>
        <v>40909</v>
      </c>
      <c r="AD34">
        <f t="shared" si="7"/>
        <v>4.34801573181009</v>
      </c>
      <c r="AE34">
        <f t="shared" si="8"/>
        <v>4.1020820646301903</v>
      </c>
      <c r="AG34" s="1">
        <f t="shared" si="9"/>
        <v>40909</v>
      </c>
      <c r="AH34">
        <f t="shared" si="10"/>
        <v>3.8692293285888102</v>
      </c>
      <c r="AI34">
        <f t="shared" si="11"/>
        <v>3.6386897161378999</v>
      </c>
      <c r="AK34" s="1">
        <f t="shared" si="12"/>
        <v>40909</v>
      </c>
      <c r="AL34">
        <f t="shared" si="13"/>
        <v>0.47878640322127503</v>
      </c>
      <c r="AM34">
        <f t="shared" si="14"/>
        <v>0.463392348492289</v>
      </c>
      <c r="AO34" s="1">
        <f t="shared" si="15"/>
        <v>40909</v>
      </c>
      <c r="AP34">
        <f t="shared" si="16"/>
        <v>178044.52298904301</v>
      </c>
      <c r="AQ34">
        <f t="shared" si="17"/>
        <v>258200.41160003899</v>
      </c>
      <c r="AS34" s="1">
        <f t="shared" si="18"/>
        <v>40909</v>
      </c>
      <c r="AT34">
        <f t="shared" si="19"/>
        <v>25.6313325217717</v>
      </c>
      <c r="AU34">
        <f t="shared" si="20"/>
        <v>30.766329437186901</v>
      </c>
    </row>
    <row r="35" spans="2:47" x14ac:dyDescent="0.25">
      <c r="B35" s="1">
        <v>40940</v>
      </c>
      <c r="C35">
        <v>759.60950508788096</v>
      </c>
      <c r="D35">
        <v>61.425069380203503</v>
      </c>
      <c r="E35">
        <v>4.3427737049028599</v>
      </c>
      <c r="F35">
        <v>3.85805966697502</v>
      </c>
      <c r="G35">
        <v>0.48471403792784401</v>
      </c>
      <c r="H35">
        <v>177349.30839500399</v>
      </c>
      <c r="I35">
        <v>27.079324699352401</v>
      </c>
      <c r="L35" s="1">
        <v>40940</v>
      </c>
      <c r="M35">
        <v>771.53495799789903</v>
      </c>
      <c r="N35">
        <v>64.480311515575707</v>
      </c>
      <c r="O35">
        <v>4.1103662495624702</v>
      </c>
      <c r="P35">
        <v>3.6282157857892798</v>
      </c>
      <c r="Q35">
        <v>0.48215046377318799</v>
      </c>
      <c r="R35">
        <v>265756.02121981001</v>
      </c>
      <c r="S35">
        <v>31.085229261462999</v>
      </c>
      <c r="U35" s="1">
        <f t="shared" si="0"/>
        <v>40940</v>
      </c>
      <c r="V35">
        <f t="shared" si="1"/>
        <v>759.60950508788096</v>
      </c>
      <c r="W35">
        <f t="shared" si="2"/>
        <v>771.53495799789903</v>
      </c>
      <c r="Y35" s="1">
        <f t="shared" si="3"/>
        <v>40940</v>
      </c>
      <c r="Z35">
        <f t="shared" si="4"/>
        <v>61.425069380203503</v>
      </c>
      <c r="AA35">
        <f t="shared" si="5"/>
        <v>64.480311515575707</v>
      </c>
      <c r="AC35" s="1">
        <f t="shared" si="6"/>
        <v>40940</v>
      </c>
      <c r="AD35">
        <f t="shared" si="7"/>
        <v>4.3427737049028599</v>
      </c>
      <c r="AE35">
        <f t="shared" si="8"/>
        <v>4.1103662495624702</v>
      </c>
      <c r="AG35" s="1">
        <f t="shared" si="9"/>
        <v>40940</v>
      </c>
      <c r="AH35">
        <f t="shared" si="10"/>
        <v>3.85805966697502</v>
      </c>
      <c r="AI35">
        <f t="shared" si="11"/>
        <v>3.6282157857892798</v>
      </c>
      <c r="AK35" s="1">
        <f t="shared" si="12"/>
        <v>40940</v>
      </c>
      <c r="AL35">
        <f t="shared" si="13"/>
        <v>0.48471403792784401</v>
      </c>
      <c r="AM35">
        <f t="shared" si="14"/>
        <v>0.48215046377318799</v>
      </c>
      <c r="AO35" s="1">
        <f t="shared" si="15"/>
        <v>40940</v>
      </c>
      <c r="AP35">
        <f t="shared" si="16"/>
        <v>177349.30839500399</v>
      </c>
      <c r="AQ35">
        <f t="shared" si="17"/>
        <v>265756.02121981001</v>
      </c>
      <c r="AS35" s="1">
        <f t="shared" si="18"/>
        <v>40940</v>
      </c>
      <c r="AT35">
        <f t="shared" si="19"/>
        <v>27.079324699352401</v>
      </c>
      <c r="AU35">
        <f t="shared" si="20"/>
        <v>31.085229261462999</v>
      </c>
    </row>
    <row r="36" spans="2:47" x14ac:dyDescent="0.25">
      <c r="B36" s="1">
        <v>40969</v>
      </c>
      <c r="C36">
        <v>756.03659268146305</v>
      </c>
      <c r="D36">
        <v>61.650029994001102</v>
      </c>
      <c r="E36">
        <v>4.2875769646070703</v>
      </c>
      <c r="F36">
        <v>3.7779844031193699</v>
      </c>
      <c r="G36">
        <v>0.50959256148770204</v>
      </c>
      <c r="H36">
        <v>179647.31505698801</v>
      </c>
      <c r="I36">
        <v>27.874505098980201</v>
      </c>
      <c r="L36" s="1">
        <v>40969</v>
      </c>
      <c r="M36">
        <v>773.11927377065399</v>
      </c>
      <c r="N36">
        <v>64.411051746314399</v>
      </c>
      <c r="O36">
        <v>4.0432832195508004</v>
      </c>
      <c r="P36">
        <v>3.5713119620065301</v>
      </c>
      <c r="Q36">
        <v>0.47197125754427599</v>
      </c>
      <c r="R36">
        <v>264552.28678143799</v>
      </c>
      <c r="S36">
        <v>30.7475512021371</v>
      </c>
      <c r="U36" s="1">
        <f t="shared" si="0"/>
        <v>40969</v>
      </c>
      <c r="V36">
        <f t="shared" si="1"/>
        <v>756.03659268146305</v>
      </c>
      <c r="W36">
        <f t="shared" si="2"/>
        <v>773.11927377065399</v>
      </c>
      <c r="Y36" s="1">
        <f t="shared" si="3"/>
        <v>40969</v>
      </c>
      <c r="Z36">
        <f t="shared" si="4"/>
        <v>61.650029994001102</v>
      </c>
      <c r="AA36">
        <f t="shared" si="5"/>
        <v>64.411051746314399</v>
      </c>
      <c r="AC36" s="1">
        <f t="shared" si="6"/>
        <v>40969</v>
      </c>
      <c r="AD36">
        <f t="shared" si="7"/>
        <v>4.2875769646070703</v>
      </c>
      <c r="AE36">
        <f t="shared" si="8"/>
        <v>4.0432832195508004</v>
      </c>
      <c r="AG36" s="1">
        <f t="shared" si="9"/>
        <v>40969</v>
      </c>
      <c r="AH36">
        <f t="shared" si="10"/>
        <v>3.7779844031193699</v>
      </c>
      <c r="AI36">
        <f t="shared" si="11"/>
        <v>3.5713119620065301</v>
      </c>
      <c r="AK36" s="1">
        <f t="shared" si="12"/>
        <v>40969</v>
      </c>
      <c r="AL36">
        <f t="shared" si="13"/>
        <v>0.50959256148770204</v>
      </c>
      <c r="AM36">
        <f t="shared" si="14"/>
        <v>0.47197125754427599</v>
      </c>
      <c r="AO36" s="1">
        <f t="shared" si="15"/>
        <v>40969</v>
      </c>
      <c r="AP36">
        <f t="shared" si="16"/>
        <v>179647.31505698801</v>
      </c>
      <c r="AQ36">
        <f t="shared" si="17"/>
        <v>264552.28678143799</v>
      </c>
      <c r="AS36" s="1">
        <f t="shared" si="18"/>
        <v>40969</v>
      </c>
      <c r="AT36">
        <f t="shared" si="19"/>
        <v>27.874505098980201</v>
      </c>
      <c r="AU36">
        <f t="shared" si="20"/>
        <v>30.7475512021371</v>
      </c>
    </row>
    <row r="37" spans="2:47" x14ac:dyDescent="0.25">
      <c r="B37" s="1">
        <v>41000</v>
      </c>
      <c r="C37">
        <v>757.17911158747097</v>
      </c>
      <c r="D37">
        <v>61.766345123258297</v>
      </c>
      <c r="E37">
        <v>4.2481201619625999</v>
      </c>
      <c r="F37">
        <v>3.7526497558651801</v>
      </c>
      <c r="G37">
        <v>0.49547040609741499</v>
      </c>
      <c r="H37">
        <v>173066.23043944201</v>
      </c>
      <c r="I37">
        <v>27.748838871025299</v>
      </c>
      <c r="L37" s="1">
        <v>41000</v>
      </c>
      <c r="M37">
        <v>773.14267765604495</v>
      </c>
      <c r="N37">
        <v>64.692381143833501</v>
      </c>
      <c r="O37">
        <v>3.9721829329580798</v>
      </c>
      <c r="P37">
        <v>3.5346014674841602</v>
      </c>
      <c r="Q37">
        <v>0.43758146547391602</v>
      </c>
      <c r="R37">
        <v>253912.23806412701</v>
      </c>
      <c r="S37">
        <v>30.667403759171702</v>
      </c>
      <c r="U37" s="1">
        <f t="shared" si="0"/>
        <v>41000</v>
      </c>
      <c r="V37">
        <f t="shared" si="1"/>
        <v>757.17911158747097</v>
      </c>
      <c r="W37">
        <f t="shared" si="2"/>
        <v>773.14267765604495</v>
      </c>
      <c r="Y37" s="1">
        <f t="shared" si="3"/>
        <v>41000</v>
      </c>
      <c r="Z37">
        <f t="shared" si="4"/>
        <v>61.766345123258297</v>
      </c>
      <c r="AA37">
        <f t="shared" si="5"/>
        <v>64.692381143833501</v>
      </c>
      <c r="AC37" s="1">
        <f t="shared" si="6"/>
        <v>41000</v>
      </c>
      <c r="AD37">
        <f t="shared" si="7"/>
        <v>4.2481201619625999</v>
      </c>
      <c r="AE37">
        <f t="shared" si="8"/>
        <v>3.9721829329580798</v>
      </c>
      <c r="AG37" s="1">
        <f t="shared" si="9"/>
        <v>41000</v>
      </c>
      <c r="AH37">
        <f t="shared" si="10"/>
        <v>3.7526497558651801</v>
      </c>
      <c r="AI37">
        <f t="shared" si="11"/>
        <v>3.5346014674841602</v>
      </c>
      <c r="AK37" s="1">
        <f t="shared" si="12"/>
        <v>41000</v>
      </c>
      <c r="AL37">
        <f t="shared" si="13"/>
        <v>0.49547040609741499</v>
      </c>
      <c r="AM37">
        <f t="shared" si="14"/>
        <v>0.43758146547391602</v>
      </c>
      <c r="AO37" s="1">
        <f t="shared" si="15"/>
        <v>41000</v>
      </c>
      <c r="AP37">
        <f t="shared" si="16"/>
        <v>173066.23043944201</v>
      </c>
      <c r="AQ37">
        <f t="shared" si="17"/>
        <v>253912.23806412701</v>
      </c>
      <c r="AS37" s="1">
        <f t="shared" si="18"/>
        <v>41000</v>
      </c>
      <c r="AT37">
        <f t="shared" si="19"/>
        <v>27.748838871025299</v>
      </c>
      <c r="AU37">
        <f t="shared" si="20"/>
        <v>30.667403759171702</v>
      </c>
    </row>
    <row r="38" spans="2:47" x14ac:dyDescent="0.25">
      <c r="B38" s="1">
        <v>41030</v>
      </c>
      <c r="C38">
        <v>758.30195773369599</v>
      </c>
      <c r="D38">
        <v>61.721638791650399</v>
      </c>
      <c r="E38">
        <v>4.294668481784</v>
      </c>
      <c r="F38">
        <v>3.7428367690911402</v>
      </c>
      <c r="G38">
        <v>0.55183171269285602</v>
      </c>
      <c r="H38">
        <v>168714.70050563899</v>
      </c>
      <c r="I38">
        <v>28.719694023077899</v>
      </c>
      <c r="L38" s="1">
        <v>41030</v>
      </c>
      <c r="M38">
        <v>772.20421702237002</v>
      </c>
      <c r="N38">
        <v>64.747492928773397</v>
      </c>
      <c r="O38">
        <v>3.95772707636924</v>
      </c>
      <c r="P38">
        <v>3.5178452044227302</v>
      </c>
      <c r="Q38">
        <v>0.43988187194651501</v>
      </c>
      <c r="R38">
        <v>249454.53149910001</v>
      </c>
      <c r="S38">
        <v>30.7991257392645</v>
      </c>
      <c r="U38" s="1">
        <f t="shared" si="0"/>
        <v>41030</v>
      </c>
      <c r="V38">
        <f t="shared" si="1"/>
        <v>758.30195773369599</v>
      </c>
      <c r="W38">
        <f t="shared" si="2"/>
        <v>772.20421702237002</v>
      </c>
      <c r="Y38" s="1">
        <f t="shared" si="3"/>
        <v>41030</v>
      </c>
      <c r="Z38">
        <f t="shared" si="4"/>
        <v>61.721638791650399</v>
      </c>
      <c r="AA38">
        <f t="shared" si="5"/>
        <v>64.747492928773397</v>
      </c>
      <c r="AC38" s="1">
        <f t="shared" si="6"/>
        <v>41030</v>
      </c>
      <c r="AD38">
        <f t="shared" si="7"/>
        <v>4.294668481784</v>
      </c>
      <c r="AE38">
        <f t="shared" si="8"/>
        <v>3.95772707636924</v>
      </c>
      <c r="AG38" s="1">
        <f t="shared" si="9"/>
        <v>41030</v>
      </c>
      <c r="AH38">
        <f t="shared" si="10"/>
        <v>3.7428367690911402</v>
      </c>
      <c r="AI38">
        <f t="shared" si="11"/>
        <v>3.5178452044227302</v>
      </c>
      <c r="AK38" s="1">
        <f t="shared" si="12"/>
        <v>41030</v>
      </c>
      <c r="AL38">
        <f t="shared" si="13"/>
        <v>0.55183171269285602</v>
      </c>
      <c r="AM38">
        <f t="shared" si="14"/>
        <v>0.43988187194651501</v>
      </c>
      <c r="AO38" s="1">
        <f t="shared" si="15"/>
        <v>41030</v>
      </c>
      <c r="AP38">
        <f t="shared" si="16"/>
        <v>168714.70050563899</v>
      </c>
      <c r="AQ38">
        <f t="shared" si="17"/>
        <v>249454.53149910001</v>
      </c>
      <c r="AS38" s="1">
        <f t="shared" si="18"/>
        <v>41030</v>
      </c>
      <c r="AT38">
        <f t="shared" si="19"/>
        <v>28.719694023077899</v>
      </c>
      <c r="AU38">
        <f t="shared" si="20"/>
        <v>30.7991257392645</v>
      </c>
    </row>
    <row r="39" spans="2:47" x14ac:dyDescent="0.25">
      <c r="B39" s="1">
        <v>41061</v>
      </c>
      <c r="C39">
        <v>755.25581751377797</v>
      </c>
      <c r="D39">
        <v>61.8764543784445</v>
      </c>
      <c r="E39">
        <v>4.3666253827311596</v>
      </c>
      <c r="F39">
        <v>3.8010563380281601</v>
      </c>
      <c r="G39">
        <v>0.56556904470299996</v>
      </c>
      <c r="H39">
        <v>163305.776331904</v>
      </c>
      <c r="I39">
        <v>29.9032455603184</v>
      </c>
      <c r="L39" s="1">
        <v>41061</v>
      </c>
      <c r="M39">
        <v>769.411985018726</v>
      </c>
      <c r="N39">
        <v>64.893350524958507</v>
      </c>
      <c r="O39">
        <v>4.0092983974949297</v>
      </c>
      <c r="P39">
        <v>3.52925646220912</v>
      </c>
      <c r="Q39">
        <v>0.48004193528581002</v>
      </c>
      <c r="R39">
        <v>241787.18659053199</v>
      </c>
      <c r="S39">
        <v>31.2926874194142</v>
      </c>
      <c r="U39" s="1">
        <f t="shared" si="0"/>
        <v>41061</v>
      </c>
      <c r="V39">
        <f t="shared" si="1"/>
        <v>755.25581751377797</v>
      </c>
      <c r="W39">
        <f t="shared" si="2"/>
        <v>769.411985018726</v>
      </c>
      <c r="Y39" s="1">
        <f t="shared" si="3"/>
        <v>41061</v>
      </c>
      <c r="Z39">
        <f t="shared" si="4"/>
        <v>61.8764543784445</v>
      </c>
      <c r="AA39">
        <f t="shared" si="5"/>
        <v>64.893350524958507</v>
      </c>
      <c r="AC39" s="1">
        <f t="shared" si="6"/>
        <v>41061</v>
      </c>
      <c r="AD39">
        <f t="shared" si="7"/>
        <v>4.3666253827311596</v>
      </c>
      <c r="AE39">
        <f t="shared" si="8"/>
        <v>4.0092983974949297</v>
      </c>
      <c r="AG39" s="1">
        <f t="shared" si="9"/>
        <v>41061</v>
      </c>
      <c r="AH39">
        <f t="shared" si="10"/>
        <v>3.8010563380281601</v>
      </c>
      <c r="AI39">
        <f t="shared" si="11"/>
        <v>3.52925646220912</v>
      </c>
      <c r="AK39" s="1">
        <f t="shared" si="12"/>
        <v>41061</v>
      </c>
      <c r="AL39">
        <f t="shared" si="13"/>
        <v>0.56556904470299996</v>
      </c>
      <c r="AM39">
        <f t="shared" si="14"/>
        <v>0.48004193528581002</v>
      </c>
      <c r="AO39" s="1">
        <f t="shared" si="15"/>
        <v>41061</v>
      </c>
      <c r="AP39">
        <f t="shared" si="16"/>
        <v>163305.776331904</v>
      </c>
      <c r="AQ39">
        <f t="shared" si="17"/>
        <v>241787.18659053199</v>
      </c>
      <c r="AS39" s="1">
        <f t="shared" si="18"/>
        <v>41061</v>
      </c>
      <c r="AT39">
        <f t="shared" si="19"/>
        <v>29.9032455603184</v>
      </c>
      <c r="AU39">
        <f t="shared" si="20"/>
        <v>31.2926874194142</v>
      </c>
    </row>
    <row r="40" spans="2:47" x14ac:dyDescent="0.25">
      <c r="B40" s="1">
        <v>41091</v>
      </c>
      <c r="C40">
        <v>750.08319185059395</v>
      </c>
      <c r="D40">
        <v>62.719401142151497</v>
      </c>
      <c r="E40">
        <v>4.2993762926377501</v>
      </c>
      <c r="F40">
        <v>3.72140762463343</v>
      </c>
      <c r="G40">
        <v>0.57796866800432101</v>
      </c>
      <c r="H40">
        <v>166947.917734218</v>
      </c>
      <c r="I40">
        <v>30.179348664917399</v>
      </c>
      <c r="L40" s="1">
        <v>41091</v>
      </c>
      <c r="M40">
        <v>770.104014498325</v>
      </c>
      <c r="N40">
        <v>64.896260091163697</v>
      </c>
      <c r="O40">
        <v>3.99482816189796</v>
      </c>
      <c r="P40">
        <v>3.5007963095172698</v>
      </c>
      <c r="Q40">
        <v>0.49403185238068997</v>
      </c>
      <c r="R40">
        <v>257694.28579273901</v>
      </c>
      <c r="S40">
        <v>31.2081388324454</v>
      </c>
      <c r="U40" s="1">
        <f t="shared" si="0"/>
        <v>41091</v>
      </c>
      <c r="V40">
        <f t="shared" si="1"/>
        <v>750.08319185059395</v>
      </c>
      <c r="W40">
        <f t="shared" si="2"/>
        <v>770.104014498325</v>
      </c>
      <c r="Y40" s="1">
        <f t="shared" si="3"/>
        <v>41091</v>
      </c>
      <c r="Z40">
        <f t="shared" si="4"/>
        <v>62.719401142151497</v>
      </c>
      <c r="AA40">
        <f t="shared" si="5"/>
        <v>64.896260091163697</v>
      </c>
      <c r="AC40" s="1">
        <f t="shared" si="6"/>
        <v>41091</v>
      </c>
      <c r="AD40">
        <f t="shared" si="7"/>
        <v>4.2993762926377501</v>
      </c>
      <c r="AE40">
        <f t="shared" si="8"/>
        <v>3.99482816189796</v>
      </c>
      <c r="AG40" s="1">
        <f t="shared" si="9"/>
        <v>41091</v>
      </c>
      <c r="AH40">
        <f t="shared" si="10"/>
        <v>3.72140762463343</v>
      </c>
      <c r="AI40">
        <f t="shared" si="11"/>
        <v>3.5007963095172698</v>
      </c>
      <c r="AK40" s="1">
        <f t="shared" si="12"/>
        <v>41091</v>
      </c>
      <c r="AL40">
        <f t="shared" si="13"/>
        <v>0.57796866800432101</v>
      </c>
      <c r="AM40">
        <f t="shared" si="14"/>
        <v>0.49403185238068997</v>
      </c>
      <c r="AO40" s="1">
        <f t="shared" si="15"/>
        <v>41091</v>
      </c>
      <c r="AP40">
        <f t="shared" si="16"/>
        <v>166947.917734218</v>
      </c>
      <c r="AQ40">
        <f t="shared" si="17"/>
        <v>257694.28579273901</v>
      </c>
      <c r="AS40" s="1">
        <f t="shared" si="18"/>
        <v>41091</v>
      </c>
      <c r="AT40">
        <f t="shared" si="19"/>
        <v>30.179348664917399</v>
      </c>
      <c r="AU40">
        <f t="shared" si="20"/>
        <v>31.2081388324454</v>
      </c>
    </row>
    <row r="41" spans="2:47" x14ac:dyDescent="0.25">
      <c r="B41" s="1">
        <v>41122</v>
      </c>
      <c r="C41">
        <v>753.95176848874496</v>
      </c>
      <c r="D41">
        <v>61.514469453376201</v>
      </c>
      <c r="E41">
        <v>4.1959282373574904</v>
      </c>
      <c r="F41">
        <v>3.6471061093247501</v>
      </c>
      <c r="G41">
        <v>0.548822128032738</v>
      </c>
      <c r="H41">
        <v>167265.88365974801</v>
      </c>
      <c r="I41">
        <v>30.2508038585209</v>
      </c>
      <c r="L41" s="1">
        <v>41122</v>
      </c>
      <c r="M41">
        <v>770.33520497165205</v>
      </c>
      <c r="N41">
        <v>65.114042738770095</v>
      </c>
      <c r="O41">
        <v>3.9058253379851702</v>
      </c>
      <c r="P41">
        <v>3.38860117749672</v>
      </c>
      <c r="Q41">
        <v>0.517224160488443</v>
      </c>
      <c r="R41">
        <v>262324.54530091502</v>
      </c>
      <c r="S41">
        <v>30.955189707806301</v>
      </c>
      <c r="U41" s="1">
        <f t="shared" si="0"/>
        <v>41122</v>
      </c>
      <c r="V41">
        <f t="shared" si="1"/>
        <v>753.95176848874496</v>
      </c>
      <c r="W41">
        <f t="shared" si="2"/>
        <v>770.33520497165205</v>
      </c>
      <c r="Y41" s="1">
        <f t="shared" si="3"/>
        <v>41122</v>
      </c>
      <c r="Z41">
        <f t="shared" si="4"/>
        <v>61.514469453376201</v>
      </c>
      <c r="AA41">
        <f t="shared" si="5"/>
        <v>65.114042738770095</v>
      </c>
      <c r="AC41" s="1">
        <f t="shared" si="6"/>
        <v>41122</v>
      </c>
      <c r="AD41">
        <f t="shared" si="7"/>
        <v>4.1959282373574904</v>
      </c>
      <c r="AE41">
        <f t="shared" si="8"/>
        <v>3.9058253379851702</v>
      </c>
      <c r="AG41" s="1">
        <f t="shared" si="9"/>
        <v>41122</v>
      </c>
      <c r="AH41">
        <f t="shared" si="10"/>
        <v>3.6471061093247501</v>
      </c>
      <c r="AI41">
        <f t="shared" si="11"/>
        <v>3.38860117749672</v>
      </c>
      <c r="AK41" s="1">
        <f t="shared" si="12"/>
        <v>41122</v>
      </c>
      <c r="AL41">
        <f t="shared" si="13"/>
        <v>0.548822128032738</v>
      </c>
      <c r="AM41">
        <f t="shared" si="14"/>
        <v>0.517224160488443</v>
      </c>
      <c r="AO41" s="1">
        <f t="shared" si="15"/>
        <v>41122</v>
      </c>
      <c r="AP41">
        <f t="shared" si="16"/>
        <v>167265.88365974801</v>
      </c>
      <c r="AQ41">
        <f t="shared" si="17"/>
        <v>262324.54530091502</v>
      </c>
      <c r="AS41" s="1">
        <f t="shared" si="18"/>
        <v>41122</v>
      </c>
      <c r="AT41">
        <f t="shared" si="19"/>
        <v>30.2508038585209</v>
      </c>
      <c r="AU41">
        <f t="shared" si="20"/>
        <v>30.955189707806301</v>
      </c>
    </row>
    <row r="42" spans="2:47" x14ac:dyDescent="0.25">
      <c r="B42" s="1">
        <v>41153</v>
      </c>
      <c r="C42">
        <v>752.21651992585703</v>
      </c>
      <c r="D42">
        <v>61.759267840593097</v>
      </c>
      <c r="E42">
        <v>4.1516171223354901</v>
      </c>
      <c r="F42">
        <v>3.6160217794253899</v>
      </c>
      <c r="G42">
        <v>0.53559534291010102</v>
      </c>
      <c r="H42">
        <v>163825.20296570801</v>
      </c>
      <c r="I42">
        <v>29.731811862835901</v>
      </c>
      <c r="L42" s="1">
        <v>41153</v>
      </c>
      <c r="M42">
        <v>772.126882206647</v>
      </c>
      <c r="N42">
        <v>64.706262717612404</v>
      </c>
      <c r="O42">
        <v>3.8171006104453902</v>
      </c>
      <c r="P42">
        <v>3.2900746099932099</v>
      </c>
      <c r="Q42">
        <v>0.52702600045218095</v>
      </c>
      <c r="R42">
        <v>258497.986072801</v>
      </c>
      <c r="S42">
        <v>30.550486095410299</v>
      </c>
      <c r="U42" s="1">
        <f t="shared" si="0"/>
        <v>41153</v>
      </c>
      <c r="V42">
        <f t="shared" si="1"/>
        <v>752.21651992585703</v>
      </c>
      <c r="W42">
        <f t="shared" si="2"/>
        <v>772.126882206647</v>
      </c>
      <c r="Y42" s="1">
        <f t="shared" si="3"/>
        <v>41153</v>
      </c>
      <c r="Z42">
        <f t="shared" si="4"/>
        <v>61.759267840593097</v>
      </c>
      <c r="AA42">
        <f t="shared" si="5"/>
        <v>64.706262717612404</v>
      </c>
      <c r="AC42" s="1">
        <f t="shared" si="6"/>
        <v>41153</v>
      </c>
      <c r="AD42">
        <f t="shared" si="7"/>
        <v>4.1516171223354901</v>
      </c>
      <c r="AE42">
        <f t="shared" si="8"/>
        <v>3.8171006104453902</v>
      </c>
      <c r="AG42" s="1">
        <f t="shared" si="9"/>
        <v>41153</v>
      </c>
      <c r="AH42">
        <f t="shared" si="10"/>
        <v>3.6160217794253899</v>
      </c>
      <c r="AI42">
        <f t="shared" si="11"/>
        <v>3.2900746099932099</v>
      </c>
      <c r="AK42" s="1">
        <f t="shared" si="12"/>
        <v>41153</v>
      </c>
      <c r="AL42">
        <f t="shared" si="13"/>
        <v>0.53559534291010102</v>
      </c>
      <c r="AM42">
        <f t="shared" si="14"/>
        <v>0.52702600045218095</v>
      </c>
      <c r="AO42" s="1">
        <f t="shared" si="15"/>
        <v>41153</v>
      </c>
      <c r="AP42">
        <f t="shared" si="16"/>
        <v>163825.20296570801</v>
      </c>
      <c r="AQ42">
        <f t="shared" si="17"/>
        <v>258497.986072801</v>
      </c>
      <c r="AS42" s="1">
        <f t="shared" si="18"/>
        <v>41153</v>
      </c>
      <c r="AT42">
        <f t="shared" si="19"/>
        <v>29.731811862835901</v>
      </c>
      <c r="AU42">
        <f t="shared" si="20"/>
        <v>30.550486095410299</v>
      </c>
    </row>
    <row r="43" spans="2:47" x14ac:dyDescent="0.25">
      <c r="B43" s="1">
        <v>41183</v>
      </c>
      <c r="C43">
        <v>753.43206984667802</v>
      </c>
      <c r="D43">
        <v>62.059838160136202</v>
      </c>
      <c r="E43">
        <v>4.0341475724020404</v>
      </c>
      <c r="F43">
        <v>3.46401192504258</v>
      </c>
      <c r="G43">
        <v>0.57013564735945399</v>
      </c>
      <c r="H43">
        <v>165272.377342419</v>
      </c>
      <c r="I43">
        <v>30.1011499148211</v>
      </c>
      <c r="L43" s="1">
        <v>41183</v>
      </c>
      <c r="M43">
        <v>772.22018035250699</v>
      </c>
      <c r="N43">
        <v>64.697294712392406</v>
      </c>
      <c r="O43">
        <v>3.71757507856264</v>
      </c>
      <c r="P43">
        <v>3.1659892061756998</v>
      </c>
      <c r="Q43">
        <v>0.55158587238693801</v>
      </c>
      <c r="R43">
        <v>263312.14872250299</v>
      </c>
      <c r="S43">
        <v>30.4496515917475</v>
      </c>
      <c r="U43" s="1">
        <f t="shared" si="0"/>
        <v>41183</v>
      </c>
      <c r="V43">
        <f t="shared" si="1"/>
        <v>753.43206984667802</v>
      </c>
      <c r="W43">
        <f t="shared" si="2"/>
        <v>772.22018035250699</v>
      </c>
      <c r="Y43" s="1">
        <f t="shared" si="3"/>
        <v>41183</v>
      </c>
      <c r="Z43">
        <f t="shared" si="4"/>
        <v>62.059838160136202</v>
      </c>
      <c r="AA43">
        <f t="shared" si="5"/>
        <v>64.697294712392406</v>
      </c>
      <c r="AC43" s="1">
        <f t="shared" si="6"/>
        <v>41183</v>
      </c>
      <c r="AD43">
        <f t="shared" si="7"/>
        <v>4.0341475724020404</v>
      </c>
      <c r="AE43">
        <f t="shared" si="8"/>
        <v>3.71757507856264</v>
      </c>
      <c r="AG43" s="1">
        <f t="shared" si="9"/>
        <v>41183</v>
      </c>
      <c r="AH43">
        <f t="shared" si="10"/>
        <v>3.46401192504258</v>
      </c>
      <c r="AI43">
        <f t="shared" si="11"/>
        <v>3.1659892061756998</v>
      </c>
      <c r="AK43" s="1">
        <f t="shared" si="12"/>
        <v>41183</v>
      </c>
      <c r="AL43">
        <f t="shared" si="13"/>
        <v>0.57013564735945399</v>
      </c>
      <c r="AM43">
        <f t="shared" si="14"/>
        <v>0.55158587238693801</v>
      </c>
      <c r="AO43" s="1">
        <f t="shared" si="15"/>
        <v>41183</v>
      </c>
      <c r="AP43">
        <f t="shared" si="16"/>
        <v>165272.377342419</v>
      </c>
      <c r="AQ43">
        <f t="shared" si="17"/>
        <v>263312.14872250299</v>
      </c>
      <c r="AS43" s="1">
        <f t="shared" si="18"/>
        <v>41183</v>
      </c>
      <c r="AT43">
        <f t="shared" si="19"/>
        <v>30.1011499148211</v>
      </c>
      <c r="AU43">
        <f t="shared" si="20"/>
        <v>30.4496515917475</v>
      </c>
    </row>
    <row r="44" spans="2:47" x14ac:dyDescent="0.25">
      <c r="B44" s="1">
        <v>41214</v>
      </c>
      <c r="C44">
        <v>755.10740641948905</v>
      </c>
      <c r="D44">
        <v>61.583177736285201</v>
      </c>
      <c r="E44">
        <v>3.9959125989152602</v>
      </c>
      <c r="F44">
        <v>3.3839246021161098</v>
      </c>
      <c r="G44">
        <v>0.61198799679914595</v>
      </c>
      <c r="H44">
        <v>154648.76535965101</v>
      </c>
      <c r="I44">
        <v>28.934026851604798</v>
      </c>
      <c r="L44" s="1">
        <v>41214</v>
      </c>
      <c r="M44">
        <v>771.39452165621606</v>
      </c>
      <c r="N44">
        <v>65.006530093328294</v>
      </c>
      <c r="O44">
        <v>3.6995615591320101</v>
      </c>
      <c r="P44">
        <v>3.0979658470340001</v>
      </c>
      <c r="Q44">
        <v>0.60159571209800899</v>
      </c>
      <c r="R44">
        <v>267909.46970441198</v>
      </c>
      <c r="S44">
        <v>30.449478459360201</v>
      </c>
      <c r="U44" s="1">
        <f t="shared" si="0"/>
        <v>41214</v>
      </c>
      <c r="V44">
        <f t="shared" si="1"/>
        <v>755.10740641948905</v>
      </c>
      <c r="W44">
        <f t="shared" si="2"/>
        <v>771.39452165621606</v>
      </c>
      <c r="Y44" s="1">
        <f t="shared" si="3"/>
        <v>41214</v>
      </c>
      <c r="Z44">
        <f t="shared" si="4"/>
        <v>61.583177736285201</v>
      </c>
      <c r="AA44">
        <f t="shared" si="5"/>
        <v>65.006530093328294</v>
      </c>
      <c r="AC44" s="1">
        <f t="shared" si="6"/>
        <v>41214</v>
      </c>
      <c r="AD44">
        <f t="shared" si="7"/>
        <v>3.9959125989152602</v>
      </c>
      <c r="AE44">
        <f t="shared" si="8"/>
        <v>3.6995615591320101</v>
      </c>
      <c r="AG44" s="1">
        <f t="shared" si="9"/>
        <v>41214</v>
      </c>
      <c r="AH44">
        <f t="shared" si="10"/>
        <v>3.3839246021161098</v>
      </c>
      <c r="AI44">
        <f t="shared" si="11"/>
        <v>3.0979658470340001</v>
      </c>
      <c r="AK44" s="1">
        <f t="shared" si="12"/>
        <v>41214</v>
      </c>
      <c r="AL44">
        <f t="shared" si="13"/>
        <v>0.61198799679914595</v>
      </c>
      <c r="AM44">
        <f t="shared" si="14"/>
        <v>0.60159571209800899</v>
      </c>
      <c r="AO44" s="1">
        <f t="shared" si="15"/>
        <v>41214</v>
      </c>
      <c r="AP44">
        <f t="shared" si="16"/>
        <v>154648.76535965101</v>
      </c>
      <c r="AQ44">
        <f t="shared" si="17"/>
        <v>267909.46970441198</v>
      </c>
      <c r="AS44" s="1">
        <f t="shared" si="18"/>
        <v>41214</v>
      </c>
      <c r="AT44">
        <f t="shared" si="19"/>
        <v>28.934026851604798</v>
      </c>
      <c r="AU44">
        <f t="shared" si="20"/>
        <v>30.449478459360201</v>
      </c>
    </row>
    <row r="45" spans="2:47" x14ac:dyDescent="0.25">
      <c r="B45" s="1">
        <v>41244</v>
      </c>
      <c r="C45">
        <v>751.83982346832795</v>
      </c>
      <c r="D45">
        <v>61.777864312910999</v>
      </c>
      <c r="E45">
        <v>3.9853035652474902</v>
      </c>
      <c r="F45">
        <v>3.3701540325372101</v>
      </c>
      <c r="G45">
        <v>0.61514953271027994</v>
      </c>
      <c r="H45">
        <v>154940.16857043901</v>
      </c>
      <c r="I45">
        <v>30.527604707511198</v>
      </c>
      <c r="L45" s="1">
        <v>41244</v>
      </c>
      <c r="M45">
        <v>769.95832734174996</v>
      </c>
      <c r="N45">
        <v>65.040004601535699</v>
      </c>
      <c r="O45">
        <v>3.65121031894394</v>
      </c>
      <c r="P45">
        <v>3.0653561876276201</v>
      </c>
      <c r="Q45">
        <v>0.58585413131632602</v>
      </c>
      <c r="R45">
        <v>258783.34327456701</v>
      </c>
      <c r="S45">
        <v>30.6033476172672</v>
      </c>
      <c r="U45" s="1">
        <f t="shared" si="0"/>
        <v>41244</v>
      </c>
      <c r="V45">
        <f t="shared" si="1"/>
        <v>751.83982346832795</v>
      </c>
      <c r="W45">
        <f t="shared" si="2"/>
        <v>769.95832734174996</v>
      </c>
      <c r="Y45" s="1">
        <f t="shared" si="3"/>
        <v>41244</v>
      </c>
      <c r="Z45">
        <f t="shared" si="4"/>
        <v>61.777864312910999</v>
      </c>
      <c r="AA45">
        <f t="shared" si="5"/>
        <v>65.040004601535699</v>
      </c>
      <c r="AC45" s="1">
        <f t="shared" si="6"/>
        <v>41244</v>
      </c>
      <c r="AD45">
        <f t="shared" si="7"/>
        <v>3.9853035652474902</v>
      </c>
      <c r="AE45">
        <f t="shared" si="8"/>
        <v>3.65121031894394</v>
      </c>
      <c r="AG45" s="1">
        <f t="shared" si="9"/>
        <v>41244</v>
      </c>
      <c r="AH45">
        <f t="shared" si="10"/>
        <v>3.3701540325372101</v>
      </c>
      <c r="AI45">
        <f t="shared" si="11"/>
        <v>3.0653561876276201</v>
      </c>
      <c r="AK45" s="1">
        <f t="shared" si="12"/>
        <v>41244</v>
      </c>
      <c r="AL45">
        <f t="shared" si="13"/>
        <v>0.61514953271027994</v>
      </c>
      <c r="AM45">
        <f t="shared" si="14"/>
        <v>0.58585413131632602</v>
      </c>
      <c r="AO45" s="1">
        <f t="shared" si="15"/>
        <v>41244</v>
      </c>
      <c r="AP45">
        <f t="shared" si="16"/>
        <v>154940.16857043901</v>
      </c>
      <c r="AQ45">
        <f t="shared" si="17"/>
        <v>258783.34327456701</v>
      </c>
      <c r="AS45" s="1">
        <f t="shared" si="18"/>
        <v>41244</v>
      </c>
      <c r="AT45">
        <f t="shared" si="19"/>
        <v>30.527604707511198</v>
      </c>
      <c r="AU45">
        <f t="shared" si="20"/>
        <v>30.6033476172672</v>
      </c>
    </row>
    <row r="46" spans="2:47" x14ac:dyDescent="0.25">
      <c r="B46" s="1">
        <v>41275</v>
      </c>
      <c r="C46">
        <v>751.33318035796196</v>
      </c>
      <c r="D46">
        <v>61.891601652134</v>
      </c>
      <c r="E46">
        <v>3.90646131252868</v>
      </c>
      <c r="F46">
        <v>3.30917852225791</v>
      </c>
      <c r="G46">
        <v>0.59728279027076603</v>
      </c>
      <c r="H46">
        <v>154647.384580082</v>
      </c>
      <c r="I46">
        <v>29.8965580541532</v>
      </c>
      <c r="L46" s="1">
        <v>41275</v>
      </c>
      <c r="M46">
        <v>770.49259103141901</v>
      </c>
      <c r="N46">
        <v>65.4705100353425</v>
      </c>
      <c r="O46">
        <v>3.5731454557245201</v>
      </c>
      <c r="P46">
        <v>3.0133912648746701</v>
      </c>
      <c r="Q46">
        <v>0.55975419084984201</v>
      </c>
      <c r="R46">
        <v>257798.900619305</v>
      </c>
      <c r="S46">
        <v>30.551311565772799</v>
      </c>
      <c r="U46" s="1">
        <f t="shared" si="0"/>
        <v>41275</v>
      </c>
      <c r="V46">
        <f t="shared" si="1"/>
        <v>751.33318035796196</v>
      </c>
      <c r="W46">
        <f t="shared" si="2"/>
        <v>770.49259103141901</v>
      </c>
      <c r="Y46" s="1">
        <f t="shared" si="3"/>
        <v>41275</v>
      </c>
      <c r="Z46">
        <f t="shared" si="4"/>
        <v>61.891601652134</v>
      </c>
      <c r="AA46">
        <f t="shared" si="5"/>
        <v>65.4705100353425</v>
      </c>
      <c r="AC46" s="1">
        <f t="shared" si="6"/>
        <v>41275</v>
      </c>
      <c r="AD46">
        <f t="shared" si="7"/>
        <v>3.90646131252868</v>
      </c>
      <c r="AE46">
        <f t="shared" si="8"/>
        <v>3.5731454557245201</v>
      </c>
      <c r="AG46" s="1">
        <f t="shared" si="9"/>
        <v>41275</v>
      </c>
      <c r="AH46">
        <f t="shared" si="10"/>
        <v>3.30917852225791</v>
      </c>
      <c r="AI46">
        <f t="shared" si="11"/>
        <v>3.0133912648746701</v>
      </c>
      <c r="AK46" s="1">
        <f t="shared" si="12"/>
        <v>41275</v>
      </c>
      <c r="AL46">
        <f t="shared" si="13"/>
        <v>0.59728279027076603</v>
      </c>
      <c r="AM46">
        <f t="shared" si="14"/>
        <v>0.55975419084984201</v>
      </c>
      <c r="AO46" s="1">
        <f t="shared" si="15"/>
        <v>41275</v>
      </c>
      <c r="AP46">
        <f t="shared" si="16"/>
        <v>154647.384580082</v>
      </c>
      <c r="AQ46">
        <f t="shared" si="17"/>
        <v>257798.900619305</v>
      </c>
      <c r="AS46" s="1">
        <f t="shared" si="18"/>
        <v>41275</v>
      </c>
      <c r="AT46">
        <f t="shared" si="19"/>
        <v>29.8965580541532</v>
      </c>
      <c r="AU46">
        <f t="shared" si="20"/>
        <v>30.551311565772799</v>
      </c>
    </row>
    <row r="47" spans="2:47" x14ac:dyDescent="0.25">
      <c r="B47" s="1">
        <v>41306</v>
      </c>
      <c r="C47">
        <v>747.24607094746204</v>
      </c>
      <c r="D47">
        <v>62.008352043107301</v>
      </c>
      <c r="E47">
        <v>3.85609788953749</v>
      </c>
      <c r="F47">
        <v>3.2816793893129699</v>
      </c>
      <c r="G47">
        <v>0.57441850022451701</v>
      </c>
      <c r="H47">
        <v>154072.35931746699</v>
      </c>
      <c r="I47">
        <v>31.094566681634401</v>
      </c>
      <c r="L47" s="1">
        <v>41306</v>
      </c>
      <c r="M47">
        <v>769.48198079897202</v>
      </c>
      <c r="N47">
        <v>65.011380548017101</v>
      </c>
      <c r="O47">
        <v>3.5676144620502401</v>
      </c>
      <c r="P47">
        <v>3.0249058916221601</v>
      </c>
      <c r="Q47">
        <v>0.54270857042808296</v>
      </c>
      <c r="R47">
        <v>252323.29434766099</v>
      </c>
      <c r="S47">
        <v>30.535265108407</v>
      </c>
      <c r="U47" s="1">
        <f t="shared" si="0"/>
        <v>41306</v>
      </c>
      <c r="V47">
        <f t="shared" si="1"/>
        <v>747.24607094746204</v>
      </c>
      <c r="W47">
        <f t="shared" si="2"/>
        <v>769.48198079897202</v>
      </c>
      <c r="Y47" s="1">
        <f t="shared" si="3"/>
        <v>41306</v>
      </c>
      <c r="Z47">
        <f t="shared" si="4"/>
        <v>62.008352043107301</v>
      </c>
      <c r="AA47">
        <f t="shared" si="5"/>
        <v>65.011380548017101</v>
      </c>
      <c r="AC47" s="1">
        <f t="shared" si="6"/>
        <v>41306</v>
      </c>
      <c r="AD47">
        <f t="shared" si="7"/>
        <v>3.85609788953749</v>
      </c>
      <c r="AE47">
        <f t="shared" si="8"/>
        <v>3.5676144620502401</v>
      </c>
      <c r="AG47" s="1">
        <f t="shared" si="9"/>
        <v>41306</v>
      </c>
      <c r="AH47">
        <f t="shared" si="10"/>
        <v>3.2816793893129699</v>
      </c>
      <c r="AI47">
        <f t="shared" si="11"/>
        <v>3.0249058916221601</v>
      </c>
      <c r="AK47" s="1">
        <f t="shared" si="12"/>
        <v>41306</v>
      </c>
      <c r="AL47">
        <f t="shared" si="13"/>
        <v>0.57441850022451701</v>
      </c>
      <c r="AM47">
        <f t="shared" si="14"/>
        <v>0.54270857042808296</v>
      </c>
      <c r="AO47" s="1">
        <f t="shared" si="15"/>
        <v>41306</v>
      </c>
      <c r="AP47">
        <f t="shared" si="16"/>
        <v>154072.35931746699</v>
      </c>
      <c r="AQ47">
        <f t="shared" si="17"/>
        <v>252323.29434766099</v>
      </c>
      <c r="AS47" s="1">
        <f t="shared" si="18"/>
        <v>41306</v>
      </c>
      <c r="AT47">
        <f t="shared" si="19"/>
        <v>31.094566681634401</v>
      </c>
      <c r="AU47">
        <f t="shared" si="20"/>
        <v>30.535265108407</v>
      </c>
    </row>
    <row r="48" spans="2:47" x14ac:dyDescent="0.25">
      <c r="B48" s="1">
        <v>41334</v>
      </c>
      <c r="C48">
        <v>741.62530120481904</v>
      </c>
      <c r="D48">
        <v>62.346213425129001</v>
      </c>
      <c r="E48">
        <v>3.87583158347676</v>
      </c>
      <c r="F48">
        <v>3.2842943201376902</v>
      </c>
      <c r="G48">
        <v>0.59153726333906997</v>
      </c>
      <c r="H48">
        <v>156241.78881239201</v>
      </c>
      <c r="I48">
        <v>32.521256454388897</v>
      </c>
      <c r="L48" s="1">
        <v>41334</v>
      </c>
      <c r="M48">
        <v>769.48457270275799</v>
      </c>
      <c r="N48">
        <v>64.891490354698107</v>
      </c>
      <c r="O48">
        <v>3.54998981020535</v>
      </c>
      <c r="P48">
        <v>3.0336418792781501</v>
      </c>
      <c r="Q48">
        <v>0.516347930927193</v>
      </c>
      <c r="R48">
        <v>253937.88244140201</v>
      </c>
      <c r="S48">
        <v>30.481616884463801</v>
      </c>
      <c r="U48" s="1">
        <f t="shared" si="0"/>
        <v>41334</v>
      </c>
      <c r="V48">
        <f t="shared" si="1"/>
        <v>741.62530120481904</v>
      </c>
      <c r="W48">
        <f t="shared" si="2"/>
        <v>769.48457270275799</v>
      </c>
      <c r="Y48" s="1">
        <f t="shared" si="3"/>
        <v>41334</v>
      </c>
      <c r="Z48">
        <f t="shared" si="4"/>
        <v>62.346213425129001</v>
      </c>
      <c r="AA48">
        <f t="shared" si="5"/>
        <v>64.891490354698107</v>
      </c>
      <c r="AC48" s="1">
        <f t="shared" si="6"/>
        <v>41334</v>
      </c>
      <c r="AD48">
        <f t="shared" si="7"/>
        <v>3.87583158347676</v>
      </c>
      <c r="AE48">
        <f t="shared" si="8"/>
        <v>3.54998981020535</v>
      </c>
      <c r="AG48" s="1">
        <f t="shared" si="9"/>
        <v>41334</v>
      </c>
      <c r="AH48">
        <f t="shared" si="10"/>
        <v>3.2842943201376902</v>
      </c>
      <c r="AI48">
        <f t="shared" si="11"/>
        <v>3.0336418792781501</v>
      </c>
      <c r="AK48" s="1">
        <f t="shared" si="12"/>
        <v>41334</v>
      </c>
      <c r="AL48">
        <f t="shared" si="13"/>
        <v>0.59153726333906997</v>
      </c>
      <c r="AM48">
        <f t="shared" si="14"/>
        <v>0.516347930927193</v>
      </c>
      <c r="AO48" s="1">
        <f t="shared" si="15"/>
        <v>41334</v>
      </c>
      <c r="AP48">
        <f t="shared" si="16"/>
        <v>156241.78881239201</v>
      </c>
      <c r="AQ48">
        <f t="shared" si="17"/>
        <v>253937.88244140201</v>
      </c>
      <c r="AS48" s="1">
        <f t="shared" si="18"/>
        <v>41334</v>
      </c>
      <c r="AT48">
        <f t="shared" si="19"/>
        <v>32.521256454388897</v>
      </c>
      <c r="AU48">
        <f t="shared" si="20"/>
        <v>30.481616884463801</v>
      </c>
    </row>
    <row r="49" spans="2:47" x14ac:dyDescent="0.25">
      <c r="B49" s="1">
        <v>41365</v>
      </c>
      <c r="C49">
        <v>737.17224392729702</v>
      </c>
      <c r="D49">
        <v>62.413028707321203</v>
      </c>
      <c r="E49">
        <v>3.9174500594530302</v>
      </c>
      <c r="F49">
        <v>3.3198997791744498</v>
      </c>
      <c r="G49">
        <v>0.59755028027857904</v>
      </c>
      <c r="H49">
        <v>152519.20978427</v>
      </c>
      <c r="I49">
        <v>32.046967895362599</v>
      </c>
      <c r="L49" s="1">
        <v>41365</v>
      </c>
      <c r="M49">
        <v>768.97870664760899</v>
      </c>
      <c r="N49">
        <v>64.722369687600207</v>
      </c>
      <c r="O49">
        <v>3.59111437155441</v>
      </c>
      <c r="P49">
        <v>3.05238748067555</v>
      </c>
      <c r="Q49">
        <v>0.53872689087886105</v>
      </c>
      <c r="R49">
        <v>251905.35565732201</v>
      </c>
      <c r="S49">
        <v>30.519441122422101</v>
      </c>
      <c r="U49" s="1">
        <f t="shared" si="0"/>
        <v>41365</v>
      </c>
      <c r="V49">
        <f t="shared" si="1"/>
        <v>737.17224392729702</v>
      </c>
      <c r="W49">
        <f t="shared" si="2"/>
        <v>768.97870664760899</v>
      </c>
      <c r="Y49" s="1">
        <f t="shared" si="3"/>
        <v>41365</v>
      </c>
      <c r="Z49">
        <f t="shared" si="4"/>
        <v>62.413028707321203</v>
      </c>
      <c r="AA49">
        <f t="shared" si="5"/>
        <v>64.722369687600207</v>
      </c>
      <c r="AC49" s="1">
        <f t="shared" si="6"/>
        <v>41365</v>
      </c>
      <c r="AD49">
        <f t="shared" si="7"/>
        <v>3.9174500594530302</v>
      </c>
      <c r="AE49">
        <f t="shared" si="8"/>
        <v>3.59111437155441</v>
      </c>
      <c r="AG49" s="1">
        <f t="shared" si="9"/>
        <v>41365</v>
      </c>
      <c r="AH49">
        <f t="shared" si="10"/>
        <v>3.3198997791744498</v>
      </c>
      <c r="AI49">
        <f t="shared" si="11"/>
        <v>3.05238748067555</v>
      </c>
      <c r="AK49" s="1">
        <f t="shared" si="12"/>
        <v>41365</v>
      </c>
      <c r="AL49">
        <f t="shared" si="13"/>
        <v>0.59755028027857904</v>
      </c>
      <c r="AM49">
        <f t="shared" si="14"/>
        <v>0.53872689087886105</v>
      </c>
      <c r="AO49" s="1">
        <f t="shared" si="15"/>
        <v>41365</v>
      </c>
      <c r="AP49">
        <f t="shared" si="16"/>
        <v>152519.20978427</v>
      </c>
      <c r="AQ49">
        <f t="shared" si="17"/>
        <v>251905.35565732201</v>
      </c>
      <c r="AS49" s="1">
        <f t="shared" si="18"/>
        <v>41365</v>
      </c>
      <c r="AT49">
        <f t="shared" si="19"/>
        <v>32.046967895362599</v>
      </c>
      <c r="AU49">
        <f t="shared" si="20"/>
        <v>30.519441122422101</v>
      </c>
    </row>
    <row r="50" spans="2:47" x14ac:dyDescent="0.25">
      <c r="B50" s="1">
        <v>41395</v>
      </c>
      <c r="C50">
        <v>738.90295968702105</v>
      </c>
      <c r="D50">
        <v>61.9494812042864</v>
      </c>
      <c r="E50">
        <v>3.99206370130974</v>
      </c>
      <c r="F50">
        <v>3.36069059363837</v>
      </c>
      <c r="G50">
        <v>0.631373107671372</v>
      </c>
      <c r="H50">
        <v>151203.06166014599</v>
      </c>
      <c r="I50">
        <v>32.293842490219397</v>
      </c>
      <c r="L50" s="1">
        <v>41395</v>
      </c>
      <c r="M50">
        <v>765.52392541707502</v>
      </c>
      <c r="N50">
        <v>64.862453385672197</v>
      </c>
      <c r="O50">
        <v>3.6994281844946002</v>
      </c>
      <c r="P50">
        <v>3.1244749754661401</v>
      </c>
      <c r="Q50">
        <v>0.57495320902845903</v>
      </c>
      <c r="R50">
        <v>241279.432227674</v>
      </c>
      <c r="S50">
        <v>31.379744847889999</v>
      </c>
      <c r="U50" s="1">
        <f t="shared" si="0"/>
        <v>41395</v>
      </c>
      <c r="V50">
        <f t="shared" si="1"/>
        <v>738.90295968702105</v>
      </c>
      <c r="W50">
        <f t="shared" si="2"/>
        <v>765.52392541707502</v>
      </c>
      <c r="Y50" s="1">
        <f t="shared" si="3"/>
        <v>41395</v>
      </c>
      <c r="Z50">
        <f t="shared" si="4"/>
        <v>61.9494812042864</v>
      </c>
      <c r="AA50">
        <f t="shared" si="5"/>
        <v>64.862453385672197</v>
      </c>
      <c r="AC50" s="1">
        <f t="shared" si="6"/>
        <v>41395</v>
      </c>
      <c r="AD50">
        <f t="shared" si="7"/>
        <v>3.99206370130974</v>
      </c>
      <c r="AE50">
        <f t="shared" si="8"/>
        <v>3.6994281844946002</v>
      </c>
      <c r="AG50" s="1">
        <f t="shared" si="9"/>
        <v>41395</v>
      </c>
      <c r="AH50">
        <f t="shared" si="10"/>
        <v>3.36069059363837</v>
      </c>
      <c r="AI50">
        <f t="shared" si="11"/>
        <v>3.1244749754661401</v>
      </c>
      <c r="AK50" s="1">
        <f t="shared" si="12"/>
        <v>41395</v>
      </c>
      <c r="AL50">
        <f t="shared" si="13"/>
        <v>0.631373107671372</v>
      </c>
      <c r="AM50">
        <f t="shared" si="14"/>
        <v>0.57495320902845903</v>
      </c>
      <c r="AO50" s="1">
        <f t="shared" si="15"/>
        <v>41395</v>
      </c>
      <c r="AP50">
        <f t="shared" si="16"/>
        <v>151203.06166014599</v>
      </c>
      <c r="AQ50">
        <f t="shared" si="17"/>
        <v>241279.432227674</v>
      </c>
      <c r="AS50" s="1">
        <f t="shared" si="18"/>
        <v>41395</v>
      </c>
      <c r="AT50">
        <f t="shared" si="19"/>
        <v>32.293842490219397</v>
      </c>
      <c r="AU50">
        <f t="shared" si="20"/>
        <v>31.379744847889999</v>
      </c>
    </row>
    <row r="51" spans="2:47" x14ac:dyDescent="0.25">
      <c r="B51" s="1">
        <v>41426</v>
      </c>
      <c r="C51">
        <v>736.78366445916095</v>
      </c>
      <c r="D51">
        <v>62.394131714495899</v>
      </c>
      <c r="E51">
        <v>4.05322912067696</v>
      </c>
      <c r="F51">
        <v>3.42752023546725</v>
      </c>
      <c r="G51">
        <v>0.62570888520971302</v>
      </c>
      <c r="H51">
        <v>155353.348785871</v>
      </c>
      <c r="I51">
        <v>33.225073583517201</v>
      </c>
      <c r="L51" s="1">
        <v>41426</v>
      </c>
      <c r="M51">
        <v>762.93271749620806</v>
      </c>
      <c r="N51">
        <v>65.640562525851294</v>
      </c>
      <c r="O51">
        <v>3.7650221977112901</v>
      </c>
      <c r="P51">
        <v>3.1927708074819598</v>
      </c>
      <c r="Q51">
        <v>0.57225139022933003</v>
      </c>
      <c r="R51">
        <v>244637.008732018</v>
      </c>
      <c r="S51">
        <v>31.9071188933314</v>
      </c>
      <c r="U51" s="1">
        <f t="shared" si="0"/>
        <v>41426</v>
      </c>
      <c r="V51">
        <f t="shared" si="1"/>
        <v>736.78366445916095</v>
      </c>
      <c r="W51">
        <f t="shared" si="2"/>
        <v>762.93271749620806</v>
      </c>
      <c r="Y51" s="1">
        <f t="shared" si="3"/>
        <v>41426</v>
      </c>
      <c r="Z51">
        <f t="shared" si="4"/>
        <v>62.394131714495899</v>
      </c>
      <c r="AA51">
        <f t="shared" si="5"/>
        <v>65.640562525851294</v>
      </c>
      <c r="AC51" s="1">
        <f t="shared" si="6"/>
        <v>41426</v>
      </c>
      <c r="AD51">
        <f t="shared" si="7"/>
        <v>4.05322912067696</v>
      </c>
      <c r="AE51">
        <f t="shared" si="8"/>
        <v>3.7650221977112901</v>
      </c>
      <c r="AG51" s="1">
        <f t="shared" si="9"/>
        <v>41426</v>
      </c>
      <c r="AH51">
        <f t="shared" si="10"/>
        <v>3.42752023546725</v>
      </c>
      <c r="AI51">
        <f t="shared" si="11"/>
        <v>3.1927708074819598</v>
      </c>
      <c r="AK51" s="1">
        <f t="shared" si="12"/>
        <v>41426</v>
      </c>
      <c r="AL51">
        <f t="shared" si="13"/>
        <v>0.62570888520971302</v>
      </c>
      <c r="AM51">
        <f t="shared" si="14"/>
        <v>0.57225139022933003</v>
      </c>
      <c r="AO51" s="1">
        <f t="shared" si="15"/>
        <v>41426</v>
      </c>
      <c r="AP51">
        <f t="shared" si="16"/>
        <v>155353.348785871</v>
      </c>
      <c r="AQ51">
        <f t="shared" si="17"/>
        <v>244637.008732018</v>
      </c>
      <c r="AS51" s="1">
        <f t="shared" si="18"/>
        <v>41426</v>
      </c>
      <c r="AT51">
        <f t="shared" si="19"/>
        <v>33.225073583517201</v>
      </c>
      <c r="AU51">
        <f t="shared" si="20"/>
        <v>31.9071188933314</v>
      </c>
    </row>
    <row r="52" spans="2:47" x14ac:dyDescent="0.25">
      <c r="B52" s="1">
        <v>41456</v>
      </c>
      <c r="C52">
        <v>738.97299813780205</v>
      </c>
      <c r="D52">
        <v>62.386033519553003</v>
      </c>
      <c r="E52">
        <v>4.01398072625698</v>
      </c>
      <c r="F52">
        <v>3.4815642458100502</v>
      </c>
      <c r="G52">
        <v>0.53241648044692702</v>
      </c>
      <c r="H52">
        <v>158072.668901303</v>
      </c>
      <c r="I52">
        <v>32.729143389199201</v>
      </c>
      <c r="L52" s="1">
        <v>41456</v>
      </c>
      <c r="M52">
        <v>763.93838827838795</v>
      </c>
      <c r="N52">
        <v>65.601391941391896</v>
      </c>
      <c r="O52">
        <v>3.7047581318681302</v>
      </c>
      <c r="P52">
        <v>3.2044322344322298</v>
      </c>
      <c r="Q52">
        <v>0.50032589743589695</v>
      </c>
      <c r="R52">
        <v>256053.04054945</v>
      </c>
      <c r="S52">
        <v>31.524652014651998</v>
      </c>
      <c r="U52" s="1">
        <f t="shared" si="0"/>
        <v>41456</v>
      </c>
      <c r="V52">
        <f t="shared" si="1"/>
        <v>738.97299813780205</v>
      </c>
      <c r="W52">
        <f t="shared" si="2"/>
        <v>763.93838827838795</v>
      </c>
      <c r="Y52" s="1">
        <f t="shared" si="3"/>
        <v>41456</v>
      </c>
      <c r="Z52">
        <f t="shared" si="4"/>
        <v>62.386033519553003</v>
      </c>
      <c r="AA52">
        <f t="shared" si="5"/>
        <v>65.601391941391896</v>
      </c>
      <c r="AC52" s="1">
        <f t="shared" si="6"/>
        <v>41456</v>
      </c>
      <c r="AD52">
        <f t="shared" si="7"/>
        <v>4.01398072625698</v>
      </c>
      <c r="AE52">
        <f t="shared" si="8"/>
        <v>3.7047581318681302</v>
      </c>
      <c r="AG52" s="1">
        <f t="shared" si="9"/>
        <v>41456</v>
      </c>
      <c r="AH52">
        <f t="shared" si="10"/>
        <v>3.4815642458100502</v>
      </c>
      <c r="AI52">
        <f t="shared" si="11"/>
        <v>3.2044322344322298</v>
      </c>
      <c r="AK52" s="1">
        <f t="shared" si="12"/>
        <v>41456</v>
      </c>
      <c r="AL52">
        <f t="shared" si="13"/>
        <v>0.53241648044692702</v>
      </c>
      <c r="AM52">
        <f t="shared" si="14"/>
        <v>0.50032589743589695</v>
      </c>
      <c r="AO52" s="1">
        <f t="shared" si="15"/>
        <v>41456</v>
      </c>
      <c r="AP52">
        <f t="shared" si="16"/>
        <v>158072.668901303</v>
      </c>
      <c r="AQ52">
        <f t="shared" si="17"/>
        <v>256053.04054945</v>
      </c>
      <c r="AS52" s="1">
        <f t="shared" si="18"/>
        <v>41456</v>
      </c>
      <c r="AT52">
        <f t="shared" si="19"/>
        <v>32.729143389199201</v>
      </c>
      <c r="AU52">
        <f t="shared" si="20"/>
        <v>31.524652014651998</v>
      </c>
    </row>
    <row r="53" spans="2:47" x14ac:dyDescent="0.25">
      <c r="B53" s="1">
        <v>41487</v>
      </c>
      <c r="C53">
        <v>737.36641559592294</v>
      </c>
      <c r="D53">
        <v>62.616858661940597</v>
      </c>
      <c r="E53">
        <v>4.0238543420469597</v>
      </c>
      <c r="F53">
        <v>3.4995569339831598</v>
      </c>
      <c r="G53">
        <v>0.52429740806380098</v>
      </c>
      <c r="H53">
        <v>160669.57554275499</v>
      </c>
      <c r="I53">
        <v>33.381812140008797</v>
      </c>
      <c r="L53" s="1">
        <v>41487</v>
      </c>
      <c r="M53">
        <v>763.55107052082803</v>
      </c>
      <c r="N53">
        <v>65.699694136906004</v>
      </c>
      <c r="O53">
        <v>3.7297250678499099</v>
      </c>
      <c r="P53">
        <v>3.2462628699435601</v>
      </c>
      <c r="Q53">
        <v>0.48346219790634498</v>
      </c>
      <c r="R53">
        <v>254280.70839615699</v>
      </c>
      <c r="S53">
        <v>31.432774738293102</v>
      </c>
      <c r="U53" s="1">
        <f t="shared" si="0"/>
        <v>41487</v>
      </c>
      <c r="V53">
        <f t="shared" si="1"/>
        <v>737.36641559592294</v>
      </c>
      <c r="W53">
        <f t="shared" si="2"/>
        <v>763.55107052082803</v>
      </c>
      <c r="Y53" s="1">
        <f t="shared" si="3"/>
        <v>41487</v>
      </c>
      <c r="Z53">
        <f t="shared" si="4"/>
        <v>62.616858661940597</v>
      </c>
      <c r="AA53">
        <f t="shared" si="5"/>
        <v>65.699694136906004</v>
      </c>
      <c r="AC53" s="1">
        <f t="shared" si="6"/>
        <v>41487</v>
      </c>
      <c r="AD53">
        <f t="shared" si="7"/>
        <v>4.0238543420469597</v>
      </c>
      <c r="AE53">
        <f t="shared" si="8"/>
        <v>3.7297250678499099</v>
      </c>
      <c r="AG53" s="1">
        <f t="shared" si="9"/>
        <v>41487</v>
      </c>
      <c r="AH53">
        <f t="shared" si="10"/>
        <v>3.4995569339831598</v>
      </c>
      <c r="AI53">
        <f t="shared" si="11"/>
        <v>3.2462628699435601</v>
      </c>
      <c r="AK53" s="1">
        <f t="shared" si="12"/>
        <v>41487</v>
      </c>
      <c r="AL53">
        <f t="shared" si="13"/>
        <v>0.52429740806380098</v>
      </c>
      <c r="AM53">
        <f t="shared" si="14"/>
        <v>0.48346219790634498</v>
      </c>
      <c r="AO53" s="1">
        <f t="shared" si="15"/>
        <v>41487</v>
      </c>
      <c r="AP53">
        <f t="shared" si="16"/>
        <v>160669.57554275499</v>
      </c>
      <c r="AQ53">
        <f t="shared" si="17"/>
        <v>254280.70839615699</v>
      </c>
      <c r="AS53" s="1">
        <f t="shared" si="18"/>
        <v>41487</v>
      </c>
      <c r="AT53">
        <f t="shared" si="19"/>
        <v>33.381812140008797</v>
      </c>
      <c r="AU53">
        <f t="shared" si="20"/>
        <v>31.432774738293102</v>
      </c>
    </row>
    <row r="54" spans="2:47" x14ac:dyDescent="0.25">
      <c r="B54" s="1">
        <v>41518</v>
      </c>
      <c r="C54">
        <v>731.68392370572201</v>
      </c>
      <c r="D54">
        <v>62.665888153626497</v>
      </c>
      <c r="E54">
        <v>4.2644220838199001</v>
      </c>
      <c r="F54">
        <v>3.7074088490982202</v>
      </c>
      <c r="G54">
        <v>0.55701323472168096</v>
      </c>
      <c r="H54">
        <v>160994.82314778701</v>
      </c>
      <c r="I54">
        <v>34.537303749837797</v>
      </c>
      <c r="L54" s="1">
        <v>41518</v>
      </c>
      <c r="M54">
        <v>758.81091024421096</v>
      </c>
      <c r="N54">
        <v>65.829241991753804</v>
      </c>
      <c r="O54">
        <v>3.98750041230574</v>
      </c>
      <c r="P54">
        <v>3.4690770694576498</v>
      </c>
      <c r="Q54">
        <v>0.518423342848081</v>
      </c>
      <c r="R54">
        <v>241594.886901363</v>
      </c>
      <c r="S54">
        <v>32.209831906121103</v>
      </c>
      <c r="U54" s="1">
        <f t="shared" si="0"/>
        <v>41518</v>
      </c>
      <c r="V54">
        <f t="shared" si="1"/>
        <v>731.68392370572201</v>
      </c>
      <c r="W54">
        <f t="shared" si="2"/>
        <v>758.81091024421096</v>
      </c>
      <c r="Y54" s="1">
        <f t="shared" si="3"/>
        <v>41518</v>
      </c>
      <c r="Z54">
        <f t="shared" si="4"/>
        <v>62.665888153626497</v>
      </c>
      <c r="AA54">
        <f t="shared" si="5"/>
        <v>65.829241991753804</v>
      </c>
      <c r="AC54" s="1">
        <f t="shared" si="6"/>
        <v>41518</v>
      </c>
      <c r="AD54">
        <f t="shared" si="7"/>
        <v>4.2644220838199001</v>
      </c>
      <c r="AE54">
        <f t="shared" si="8"/>
        <v>3.98750041230574</v>
      </c>
      <c r="AG54" s="1">
        <f t="shared" si="9"/>
        <v>41518</v>
      </c>
      <c r="AH54">
        <f t="shared" si="10"/>
        <v>3.7074088490982202</v>
      </c>
      <c r="AI54">
        <f t="shared" si="11"/>
        <v>3.4690770694576498</v>
      </c>
      <c r="AK54" s="1">
        <f t="shared" si="12"/>
        <v>41518</v>
      </c>
      <c r="AL54">
        <f t="shared" si="13"/>
        <v>0.55701323472168096</v>
      </c>
      <c r="AM54">
        <f t="shared" si="14"/>
        <v>0.518423342848081</v>
      </c>
      <c r="AO54" s="1">
        <f t="shared" si="15"/>
        <v>41518</v>
      </c>
      <c r="AP54">
        <f t="shared" si="16"/>
        <v>160994.82314778701</v>
      </c>
      <c r="AQ54">
        <f t="shared" si="17"/>
        <v>241594.886901363</v>
      </c>
      <c r="AS54" s="1">
        <f t="shared" si="18"/>
        <v>41518</v>
      </c>
      <c r="AT54">
        <f t="shared" si="19"/>
        <v>34.537303749837797</v>
      </c>
      <c r="AU54">
        <f t="shared" si="20"/>
        <v>32.209831906121103</v>
      </c>
    </row>
    <row r="55" spans="2:47" x14ac:dyDescent="0.25">
      <c r="B55" s="1">
        <v>41548</v>
      </c>
      <c r="C55">
        <v>724.429657122658</v>
      </c>
      <c r="D55">
        <v>62.792329445033502</v>
      </c>
      <c r="E55">
        <v>4.5820943796394404</v>
      </c>
      <c r="F55">
        <v>3.9438847649345998</v>
      </c>
      <c r="G55">
        <v>0.63820961470484205</v>
      </c>
      <c r="H55">
        <v>156956.130965005</v>
      </c>
      <c r="I55">
        <v>34.842523860021203</v>
      </c>
      <c r="L55" s="1">
        <v>41548</v>
      </c>
      <c r="M55">
        <v>753.80922886342501</v>
      </c>
      <c r="N55">
        <v>66.200474863218702</v>
      </c>
      <c r="O55">
        <v>4.2991726024568999</v>
      </c>
      <c r="P55">
        <v>3.7299989676886498</v>
      </c>
      <c r="Q55">
        <v>0.56917363476824601</v>
      </c>
      <c r="R55">
        <v>237396.622999896</v>
      </c>
      <c r="S55">
        <v>33.282233921750802</v>
      </c>
      <c r="U55" s="1">
        <f t="shared" si="0"/>
        <v>41548</v>
      </c>
      <c r="V55">
        <f t="shared" si="1"/>
        <v>724.429657122658</v>
      </c>
      <c r="W55">
        <f t="shared" si="2"/>
        <v>753.80922886342501</v>
      </c>
      <c r="Y55" s="1">
        <f t="shared" si="3"/>
        <v>41548</v>
      </c>
      <c r="Z55">
        <f t="shared" si="4"/>
        <v>62.792329445033502</v>
      </c>
      <c r="AA55">
        <f t="shared" si="5"/>
        <v>66.200474863218702</v>
      </c>
      <c r="AC55" s="1">
        <f t="shared" si="6"/>
        <v>41548</v>
      </c>
      <c r="AD55">
        <f t="shared" si="7"/>
        <v>4.5820943796394404</v>
      </c>
      <c r="AE55">
        <f t="shared" si="8"/>
        <v>4.2991726024568999</v>
      </c>
      <c r="AG55" s="1">
        <f t="shared" si="9"/>
        <v>41548</v>
      </c>
      <c r="AH55">
        <f t="shared" si="10"/>
        <v>3.9438847649345998</v>
      </c>
      <c r="AI55">
        <f t="shared" si="11"/>
        <v>3.7299989676886498</v>
      </c>
      <c r="AK55" s="1">
        <f t="shared" si="12"/>
        <v>41548</v>
      </c>
      <c r="AL55">
        <f t="shared" si="13"/>
        <v>0.63820961470484205</v>
      </c>
      <c r="AM55">
        <f t="shared" si="14"/>
        <v>0.56917363476824601</v>
      </c>
      <c r="AO55" s="1">
        <f t="shared" si="15"/>
        <v>41548</v>
      </c>
      <c r="AP55">
        <f t="shared" si="16"/>
        <v>156956.130965005</v>
      </c>
      <c r="AQ55">
        <f t="shared" si="17"/>
        <v>237396.622999896</v>
      </c>
      <c r="AS55" s="1">
        <f t="shared" si="18"/>
        <v>41548</v>
      </c>
      <c r="AT55">
        <f t="shared" si="19"/>
        <v>34.842523860021203</v>
      </c>
      <c r="AU55">
        <f t="shared" si="20"/>
        <v>33.282233921750802</v>
      </c>
    </row>
    <row r="56" spans="2:47" x14ac:dyDescent="0.25">
      <c r="B56" s="1">
        <v>41579</v>
      </c>
      <c r="C56">
        <v>720.69764733286695</v>
      </c>
      <c r="D56">
        <v>62.259259259259203</v>
      </c>
      <c r="E56">
        <v>4.7866405776845999</v>
      </c>
      <c r="F56">
        <v>4.0670859538783999</v>
      </c>
      <c r="G56">
        <v>0.71955462380619595</v>
      </c>
      <c r="H56">
        <v>153605.14232471399</v>
      </c>
      <c r="I56">
        <v>35.111344048450903</v>
      </c>
      <c r="L56" s="1">
        <v>41579</v>
      </c>
      <c r="M56">
        <v>749.99377750796702</v>
      </c>
      <c r="N56">
        <v>66.161633024738194</v>
      </c>
      <c r="O56">
        <v>4.5143340415844504</v>
      </c>
      <c r="P56">
        <v>3.8894369403551301</v>
      </c>
      <c r="Q56">
        <v>0.62489710122932096</v>
      </c>
      <c r="R56">
        <v>231707.587190772</v>
      </c>
      <c r="S56">
        <v>33.738200030353603</v>
      </c>
      <c r="U56" s="1">
        <f t="shared" si="0"/>
        <v>41579</v>
      </c>
      <c r="V56">
        <f t="shared" si="1"/>
        <v>720.69764733286695</v>
      </c>
      <c r="W56">
        <f t="shared" si="2"/>
        <v>749.99377750796702</v>
      </c>
      <c r="Y56" s="1">
        <f t="shared" si="3"/>
        <v>41579</v>
      </c>
      <c r="Z56">
        <f t="shared" si="4"/>
        <v>62.259259259259203</v>
      </c>
      <c r="AA56">
        <f t="shared" si="5"/>
        <v>66.161633024738194</v>
      </c>
      <c r="AC56" s="1">
        <f t="shared" si="6"/>
        <v>41579</v>
      </c>
      <c r="AD56">
        <f t="shared" si="7"/>
        <v>4.7866405776845999</v>
      </c>
      <c r="AE56">
        <f t="shared" si="8"/>
        <v>4.5143340415844504</v>
      </c>
      <c r="AG56" s="1">
        <f t="shared" si="9"/>
        <v>41579</v>
      </c>
      <c r="AH56">
        <f t="shared" si="10"/>
        <v>4.0670859538783999</v>
      </c>
      <c r="AI56">
        <f t="shared" si="11"/>
        <v>3.8894369403551301</v>
      </c>
      <c r="AK56" s="1">
        <f t="shared" si="12"/>
        <v>41579</v>
      </c>
      <c r="AL56">
        <f t="shared" si="13"/>
        <v>0.71955462380619595</v>
      </c>
      <c r="AM56">
        <f t="shared" si="14"/>
        <v>0.62489710122932096</v>
      </c>
      <c r="AO56" s="1">
        <f t="shared" si="15"/>
        <v>41579</v>
      </c>
      <c r="AP56">
        <f t="shared" si="16"/>
        <v>153605.14232471399</v>
      </c>
      <c r="AQ56">
        <f t="shared" si="17"/>
        <v>231707.587190772</v>
      </c>
      <c r="AS56" s="1">
        <f t="shared" si="18"/>
        <v>41579</v>
      </c>
      <c r="AT56">
        <f t="shared" si="19"/>
        <v>35.111344048450903</v>
      </c>
      <c r="AU56">
        <f t="shared" si="20"/>
        <v>33.738200030353603</v>
      </c>
    </row>
    <row r="57" spans="2:47" x14ac:dyDescent="0.25">
      <c r="B57" s="1">
        <v>41609</v>
      </c>
      <c r="C57">
        <v>718.20496894409905</v>
      </c>
      <c r="D57">
        <v>63.428571428571402</v>
      </c>
      <c r="E57">
        <v>4.8775152795030996</v>
      </c>
      <c r="F57">
        <v>4.1814906832298098</v>
      </c>
      <c r="G57">
        <v>0.69602459627329105</v>
      </c>
      <c r="H57">
        <v>155838.69689440899</v>
      </c>
      <c r="I57">
        <v>36.406956521739097</v>
      </c>
      <c r="L57" s="1">
        <v>41609</v>
      </c>
      <c r="M57">
        <v>748.04606151537803</v>
      </c>
      <c r="N57">
        <v>67.325881470367506</v>
      </c>
      <c r="O57">
        <v>4.5812144036009004</v>
      </c>
      <c r="P57">
        <v>3.96534133533383</v>
      </c>
      <c r="Q57">
        <v>0.615873068267066</v>
      </c>
      <c r="R57">
        <v>243013.57884471101</v>
      </c>
      <c r="S57">
        <v>34.162790697674403</v>
      </c>
      <c r="U57" s="1">
        <f t="shared" si="0"/>
        <v>41609</v>
      </c>
      <c r="V57">
        <f t="shared" si="1"/>
        <v>718.20496894409905</v>
      </c>
      <c r="W57">
        <f t="shared" si="2"/>
        <v>748.04606151537803</v>
      </c>
      <c r="Y57" s="1">
        <f t="shared" si="3"/>
        <v>41609</v>
      </c>
      <c r="Z57">
        <f t="shared" si="4"/>
        <v>63.428571428571402</v>
      </c>
      <c r="AA57">
        <f t="shared" si="5"/>
        <v>67.325881470367506</v>
      </c>
      <c r="AC57" s="1">
        <f t="shared" si="6"/>
        <v>41609</v>
      </c>
      <c r="AD57">
        <f t="shared" si="7"/>
        <v>4.8775152795030996</v>
      </c>
      <c r="AE57">
        <f t="shared" si="8"/>
        <v>4.5812144036009004</v>
      </c>
      <c r="AG57" s="1">
        <f t="shared" si="9"/>
        <v>41609</v>
      </c>
      <c r="AH57">
        <f t="shared" si="10"/>
        <v>4.1814906832298098</v>
      </c>
      <c r="AI57">
        <f t="shared" si="11"/>
        <v>3.96534133533383</v>
      </c>
      <c r="AK57" s="1">
        <f t="shared" si="12"/>
        <v>41609</v>
      </c>
      <c r="AL57">
        <f t="shared" si="13"/>
        <v>0.69602459627329105</v>
      </c>
      <c r="AM57">
        <f t="shared" si="14"/>
        <v>0.615873068267066</v>
      </c>
      <c r="AO57" s="1">
        <f t="shared" si="15"/>
        <v>41609</v>
      </c>
      <c r="AP57">
        <f t="shared" si="16"/>
        <v>155838.69689440899</v>
      </c>
      <c r="AQ57">
        <f t="shared" si="17"/>
        <v>243013.57884471101</v>
      </c>
      <c r="AS57" s="1">
        <f t="shared" si="18"/>
        <v>41609</v>
      </c>
      <c r="AT57">
        <f t="shared" si="19"/>
        <v>36.406956521739097</v>
      </c>
      <c r="AU57">
        <f t="shared" si="20"/>
        <v>34.162790697674403</v>
      </c>
    </row>
    <row r="58" spans="2:47" x14ac:dyDescent="0.25">
      <c r="B58" s="1">
        <v>41640</v>
      </c>
      <c r="C58">
        <v>719.38729899154998</v>
      </c>
      <c r="D58">
        <v>63.394112837285299</v>
      </c>
      <c r="E58">
        <v>4.7613791223766597</v>
      </c>
      <c r="F58">
        <v>4.10316162442082</v>
      </c>
      <c r="G58">
        <v>0.65821749795584605</v>
      </c>
      <c r="H58">
        <v>166595.902425729</v>
      </c>
      <c r="I58">
        <v>36.220223494140001</v>
      </c>
      <c r="L58" s="1">
        <v>41640</v>
      </c>
      <c r="M58">
        <v>749.35770301037098</v>
      </c>
      <c r="N58">
        <v>67.367062990134002</v>
      </c>
      <c r="O58">
        <v>4.4637589172780103</v>
      </c>
      <c r="P58">
        <v>3.8910953706045999</v>
      </c>
      <c r="Q58">
        <v>0.57266354667341202</v>
      </c>
      <c r="R58">
        <v>249791.86971920001</v>
      </c>
      <c r="S58">
        <v>33.707690361750501</v>
      </c>
      <c r="U58" s="1">
        <f t="shared" si="0"/>
        <v>41640</v>
      </c>
      <c r="V58">
        <f t="shared" si="1"/>
        <v>719.38729899154998</v>
      </c>
      <c r="W58">
        <f t="shared" si="2"/>
        <v>749.35770301037098</v>
      </c>
      <c r="Y58" s="1">
        <f t="shared" si="3"/>
        <v>41640</v>
      </c>
      <c r="Z58">
        <f t="shared" si="4"/>
        <v>63.394112837285299</v>
      </c>
      <c r="AA58">
        <f t="shared" si="5"/>
        <v>67.367062990134002</v>
      </c>
      <c r="AC58" s="1">
        <f t="shared" si="6"/>
        <v>41640</v>
      </c>
      <c r="AD58">
        <f t="shared" si="7"/>
        <v>4.7613791223766597</v>
      </c>
      <c r="AE58">
        <f t="shared" si="8"/>
        <v>4.4637589172780103</v>
      </c>
      <c r="AG58" s="1">
        <f t="shared" si="9"/>
        <v>41640</v>
      </c>
      <c r="AH58">
        <f t="shared" si="10"/>
        <v>4.10316162442082</v>
      </c>
      <c r="AI58">
        <f t="shared" si="11"/>
        <v>3.8910953706045999</v>
      </c>
      <c r="AK58" s="1">
        <f t="shared" si="12"/>
        <v>41640</v>
      </c>
      <c r="AL58">
        <f t="shared" si="13"/>
        <v>0.65821749795584605</v>
      </c>
      <c r="AM58">
        <f t="shared" si="14"/>
        <v>0.57266354667341202</v>
      </c>
      <c r="AO58" s="1">
        <f t="shared" si="15"/>
        <v>41640</v>
      </c>
      <c r="AP58">
        <f t="shared" si="16"/>
        <v>166595.902425729</v>
      </c>
      <c r="AQ58">
        <f t="shared" si="17"/>
        <v>249791.86971920001</v>
      </c>
      <c r="AS58" s="1">
        <f t="shared" si="18"/>
        <v>41640</v>
      </c>
      <c r="AT58">
        <f t="shared" si="19"/>
        <v>36.220223494140001</v>
      </c>
      <c r="AU58">
        <f t="shared" si="20"/>
        <v>33.707690361750501</v>
      </c>
    </row>
    <row r="59" spans="2:47" x14ac:dyDescent="0.25">
      <c r="B59" s="1">
        <v>41671</v>
      </c>
      <c r="C59">
        <v>717.13746784795603</v>
      </c>
      <c r="D59">
        <v>63.481851957702197</v>
      </c>
      <c r="E59">
        <v>4.7723726779079696</v>
      </c>
      <c r="F59">
        <v>4.10774507002</v>
      </c>
      <c r="G59">
        <v>0.66462760788796704</v>
      </c>
      <c r="H59">
        <v>158284.184052586</v>
      </c>
      <c r="I59">
        <v>35.569877107745</v>
      </c>
      <c r="L59" s="1">
        <v>41671</v>
      </c>
      <c r="M59">
        <v>749.654103958517</v>
      </c>
      <c r="N59">
        <v>67.493360313646093</v>
      </c>
      <c r="O59">
        <v>4.5032411787024103</v>
      </c>
      <c r="P59">
        <v>3.9269002149993599</v>
      </c>
      <c r="Q59">
        <v>0.57634096370304699</v>
      </c>
      <c r="R59">
        <v>242476.80321234299</v>
      </c>
      <c r="S59">
        <v>33.897559124826103</v>
      </c>
      <c r="U59" s="1">
        <f t="shared" si="0"/>
        <v>41671</v>
      </c>
      <c r="V59">
        <f t="shared" si="1"/>
        <v>717.13746784795603</v>
      </c>
      <c r="W59">
        <f t="shared" si="2"/>
        <v>749.654103958517</v>
      </c>
      <c r="Y59" s="1">
        <f t="shared" si="3"/>
        <v>41671</v>
      </c>
      <c r="Z59">
        <f t="shared" si="4"/>
        <v>63.481851957702197</v>
      </c>
      <c r="AA59">
        <f t="shared" si="5"/>
        <v>67.493360313646093</v>
      </c>
      <c r="AC59" s="1">
        <f t="shared" si="6"/>
        <v>41671</v>
      </c>
      <c r="AD59">
        <f t="shared" si="7"/>
        <v>4.7723726779079696</v>
      </c>
      <c r="AE59">
        <f t="shared" si="8"/>
        <v>4.5032411787024103</v>
      </c>
      <c r="AG59" s="1">
        <f t="shared" si="9"/>
        <v>41671</v>
      </c>
      <c r="AH59">
        <f t="shared" si="10"/>
        <v>4.10774507002</v>
      </c>
      <c r="AI59">
        <f t="shared" si="11"/>
        <v>3.9269002149993599</v>
      </c>
      <c r="AK59" s="1">
        <f t="shared" si="12"/>
        <v>41671</v>
      </c>
      <c r="AL59">
        <f t="shared" si="13"/>
        <v>0.66462760788796704</v>
      </c>
      <c r="AM59">
        <f t="shared" si="14"/>
        <v>0.57634096370304699</v>
      </c>
      <c r="AO59" s="1">
        <f t="shared" si="15"/>
        <v>41671</v>
      </c>
      <c r="AP59">
        <f t="shared" si="16"/>
        <v>158284.184052586</v>
      </c>
      <c r="AQ59">
        <f t="shared" si="17"/>
        <v>242476.80321234299</v>
      </c>
      <c r="AS59" s="1">
        <f t="shared" si="18"/>
        <v>41671</v>
      </c>
      <c r="AT59">
        <f t="shared" si="19"/>
        <v>35.569877107745</v>
      </c>
      <c r="AU59">
        <f t="shared" si="20"/>
        <v>33.897559124826103</v>
      </c>
    </row>
    <row r="60" spans="2:47" x14ac:dyDescent="0.25">
      <c r="B60" s="1">
        <v>41699</v>
      </c>
      <c r="C60">
        <v>717.69597315436204</v>
      </c>
      <c r="D60">
        <v>62.759060402684497</v>
      </c>
      <c r="E60">
        <v>4.8843127516778502</v>
      </c>
      <c r="F60">
        <v>4.1776845637583797</v>
      </c>
      <c r="G60">
        <v>0.70662818791946302</v>
      </c>
      <c r="H60">
        <v>155670.65369127499</v>
      </c>
      <c r="I60">
        <v>36.124496644295299</v>
      </c>
      <c r="L60" s="1">
        <v>41699</v>
      </c>
      <c r="M60">
        <v>748.61100849648994</v>
      </c>
      <c r="N60">
        <v>67.224787587735506</v>
      </c>
      <c r="O60">
        <v>4.6104687846324302</v>
      </c>
      <c r="P60">
        <v>4.00147765053564</v>
      </c>
      <c r="Q60">
        <v>0.60899113409678596</v>
      </c>
      <c r="R60">
        <v>234194.76948651599</v>
      </c>
      <c r="S60">
        <v>34.093646102696702</v>
      </c>
      <c r="U60" s="1">
        <f t="shared" si="0"/>
        <v>41699</v>
      </c>
      <c r="V60">
        <f t="shared" si="1"/>
        <v>717.69597315436204</v>
      </c>
      <c r="W60">
        <f t="shared" si="2"/>
        <v>748.61100849648994</v>
      </c>
      <c r="Y60" s="1">
        <f t="shared" si="3"/>
        <v>41699</v>
      </c>
      <c r="Z60">
        <f t="shared" si="4"/>
        <v>62.759060402684497</v>
      </c>
      <c r="AA60">
        <f t="shared" si="5"/>
        <v>67.224787587735506</v>
      </c>
      <c r="AC60" s="1">
        <f t="shared" si="6"/>
        <v>41699</v>
      </c>
      <c r="AD60">
        <f t="shared" si="7"/>
        <v>4.8843127516778502</v>
      </c>
      <c r="AE60">
        <f t="shared" si="8"/>
        <v>4.6104687846324302</v>
      </c>
      <c r="AG60" s="1">
        <f t="shared" si="9"/>
        <v>41699</v>
      </c>
      <c r="AH60">
        <f t="shared" si="10"/>
        <v>4.1776845637583797</v>
      </c>
      <c r="AI60">
        <f t="shared" si="11"/>
        <v>4.00147765053564</v>
      </c>
      <c r="AK60" s="1">
        <f t="shared" si="12"/>
        <v>41699</v>
      </c>
      <c r="AL60">
        <f t="shared" si="13"/>
        <v>0.70662818791946302</v>
      </c>
      <c r="AM60">
        <f t="shared" si="14"/>
        <v>0.60899113409678596</v>
      </c>
      <c r="AO60" s="1">
        <f t="shared" si="15"/>
        <v>41699</v>
      </c>
      <c r="AP60">
        <f t="shared" si="16"/>
        <v>155670.65369127499</v>
      </c>
      <c r="AQ60">
        <f t="shared" si="17"/>
        <v>234194.76948651599</v>
      </c>
      <c r="AS60" s="1">
        <f t="shared" si="18"/>
        <v>41699</v>
      </c>
      <c r="AT60">
        <f t="shared" si="19"/>
        <v>36.124496644295299</v>
      </c>
      <c r="AU60">
        <f t="shared" si="20"/>
        <v>34.093646102696702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>
      <selection activeCell="E53" sqref="E53"/>
    </sheetView>
  </sheetViews>
  <sheetFormatPr defaultRowHeight="15" x14ac:dyDescent="0.25"/>
  <sheetData/>
  <pageMargins left="0.7" right="0.7" top="0.75" bottom="0.75" header="0.3" footer="0.3"/>
  <pageSetup scale="5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Chart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2016-02-02T20:55:13Z</cp:lastPrinted>
  <dcterms:created xsi:type="dcterms:W3CDTF">2016-02-02T20:30:57Z</dcterms:created>
  <dcterms:modified xsi:type="dcterms:W3CDTF">2016-02-04T20:08:56Z</dcterms:modified>
</cp:coreProperties>
</file>