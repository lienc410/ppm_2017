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/>
  </bookViews>
  <sheets>
    <sheet name="Total" sheetId="5" r:id="rId1"/>
    <sheet name="2009" sheetId="1" r:id="rId2"/>
    <sheet name="2010" sheetId="4" r:id="rId3"/>
    <sheet name="2011" sheetId="6" r:id="rId4"/>
    <sheet name="2012" sheetId="7" r:id="rId5"/>
    <sheet name="2013" sheetId="8" r:id="rId6"/>
    <sheet name="2014" sheetId="10" r:id="rId7"/>
    <sheet name="Sheet9" sheetId="9" r:id="rId8"/>
  </sheets>
  <calcPr calcId="145621"/>
</workbook>
</file>

<file path=xl/calcChain.xml><?xml version="1.0" encoding="utf-8"?>
<calcChain xmlns="http://schemas.openxmlformats.org/spreadsheetml/2006/main">
  <c r="N4" i="10" l="1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3" i="10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" i="8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3" i="7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3" i="6"/>
  <c r="N10" i="4"/>
  <c r="N11" i="4"/>
  <c r="N18" i="4"/>
  <c r="N19" i="4"/>
  <c r="N26" i="4"/>
  <c r="N27" i="4"/>
  <c r="N34" i="4"/>
  <c r="N35" i="4"/>
  <c r="N42" i="4"/>
  <c r="N43" i="4"/>
  <c r="N50" i="4"/>
  <c r="N51" i="4"/>
  <c r="N58" i="4"/>
  <c r="N59" i="4"/>
  <c r="N66" i="4"/>
  <c r="N67" i="4"/>
  <c r="N74" i="4"/>
  <c r="N75" i="4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3" i="1"/>
  <c r="N8" i="5"/>
  <c r="N59" i="5"/>
  <c r="K4" i="10"/>
  <c r="K5" i="10"/>
  <c r="K6" i="10"/>
  <c r="K7" i="10"/>
  <c r="K8" i="10"/>
  <c r="L8" i="10" s="1"/>
  <c r="K9" i="10"/>
  <c r="M9" i="10" s="1"/>
  <c r="K10" i="10"/>
  <c r="L10" i="10" s="1"/>
  <c r="K11" i="10"/>
  <c r="K12" i="10"/>
  <c r="K13" i="10"/>
  <c r="K14" i="10"/>
  <c r="K15" i="10"/>
  <c r="K16" i="10"/>
  <c r="L16" i="10" s="1"/>
  <c r="K17" i="10"/>
  <c r="M17" i="10" s="1"/>
  <c r="K18" i="10"/>
  <c r="L18" i="10" s="1"/>
  <c r="K19" i="10"/>
  <c r="M19" i="10" s="1"/>
  <c r="K20" i="10"/>
  <c r="K21" i="10"/>
  <c r="K22" i="10"/>
  <c r="K23" i="10"/>
  <c r="M23" i="10" s="1"/>
  <c r="K24" i="10"/>
  <c r="M24" i="10" s="1"/>
  <c r="K25" i="10"/>
  <c r="M25" i="10" s="1"/>
  <c r="K3" i="10"/>
  <c r="M3" i="10" s="1"/>
  <c r="M22" i="10"/>
  <c r="M21" i="10"/>
  <c r="L20" i="10"/>
  <c r="L19" i="10"/>
  <c r="M15" i="10"/>
  <c r="M14" i="10"/>
  <c r="M13" i="10"/>
  <c r="L12" i="10"/>
  <c r="M11" i="10"/>
  <c r="M7" i="10"/>
  <c r="M6" i="10"/>
  <c r="M5" i="10"/>
  <c r="L4" i="10"/>
  <c r="K4" i="8"/>
  <c r="L4" i="8" s="1"/>
  <c r="K5" i="8"/>
  <c r="K6" i="8"/>
  <c r="K7" i="8"/>
  <c r="K8" i="8"/>
  <c r="K9" i="8"/>
  <c r="L9" i="8" s="1"/>
  <c r="K10" i="8"/>
  <c r="K11" i="8"/>
  <c r="M11" i="8" s="1"/>
  <c r="K12" i="8"/>
  <c r="M12" i="8" s="1"/>
  <c r="K13" i="8"/>
  <c r="K14" i="8"/>
  <c r="K15" i="8"/>
  <c r="K16" i="8"/>
  <c r="K17" i="8"/>
  <c r="K18" i="8"/>
  <c r="K19" i="8"/>
  <c r="K20" i="8"/>
  <c r="M20" i="8" s="1"/>
  <c r="K21" i="8"/>
  <c r="K22" i="8"/>
  <c r="K23" i="8"/>
  <c r="M23" i="8" s="1"/>
  <c r="K24" i="8"/>
  <c r="K25" i="8"/>
  <c r="L25" i="8" s="1"/>
  <c r="K26" i="8"/>
  <c r="K27" i="8"/>
  <c r="M27" i="8" s="1"/>
  <c r="K28" i="8"/>
  <c r="K29" i="8"/>
  <c r="K30" i="8"/>
  <c r="K31" i="8"/>
  <c r="K32" i="8"/>
  <c r="K33" i="8"/>
  <c r="M33" i="8" s="1"/>
  <c r="K34" i="8"/>
  <c r="L34" i="8" s="1"/>
  <c r="K35" i="8"/>
  <c r="K36" i="8"/>
  <c r="L36" i="8" s="1"/>
  <c r="K37" i="8"/>
  <c r="K3" i="8"/>
  <c r="M3" i="8" s="1"/>
  <c r="M37" i="8"/>
  <c r="M35" i="8"/>
  <c r="L33" i="8"/>
  <c r="M32" i="8"/>
  <c r="M31" i="8"/>
  <c r="M30" i="8"/>
  <c r="M29" i="8"/>
  <c r="L28" i="8"/>
  <c r="L26" i="8"/>
  <c r="M25" i="8"/>
  <c r="M24" i="8"/>
  <c r="M22" i="8"/>
  <c r="M21" i="8"/>
  <c r="M19" i="8"/>
  <c r="L18" i="8"/>
  <c r="L17" i="8"/>
  <c r="M16" i="8"/>
  <c r="M15" i="8"/>
  <c r="M14" i="8"/>
  <c r="M13" i="8"/>
  <c r="L10" i="8"/>
  <c r="M8" i="8"/>
  <c r="M7" i="8"/>
  <c r="M6" i="8"/>
  <c r="M5" i="8"/>
  <c r="K4" i="7"/>
  <c r="K5" i="7"/>
  <c r="K6" i="7"/>
  <c r="K7" i="7"/>
  <c r="L7" i="7" s="1"/>
  <c r="K8" i="7"/>
  <c r="K9" i="7"/>
  <c r="M9" i="7" s="1"/>
  <c r="K10" i="7"/>
  <c r="K11" i="7"/>
  <c r="K12" i="7"/>
  <c r="K13" i="7"/>
  <c r="K14" i="7"/>
  <c r="M14" i="7" s="1"/>
  <c r="K15" i="7"/>
  <c r="M15" i="7" s="1"/>
  <c r="K16" i="7"/>
  <c r="K17" i="7"/>
  <c r="K18" i="7"/>
  <c r="K19" i="7"/>
  <c r="K20" i="7"/>
  <c r="K21" i="7"/>
  <c r="L21" i="7" s="1"/>
  <c r="K22" i="7"/>
  <c r="K23" i="7"/>
  <c r="L23" i="7" s="1"/>
  <c r="K24" i="7"/>
  <c r="K25" i="7"/>
  <c r="K26" i="7"/>
  <c r="K27" i="7"/>
  <c r="K28" i="7"/>
  <c r="K29" i="7"/>
  <c r="L29" i="7" s="1"/>
  <c r="K30" i="7"/>
  <c r="K31" i="7"/>
  <c r="L31" i="7" s="1"/>
  <c r="K32" i="7"/>
  <c r="K33" i="7"/>
  <c r="M33" i="7" s="1"/>
  <c r="K34" i="7"/>
  <c r="K35" i="7"/>
  <c r="K36" i="7"/>
  <c r="K37" i="7"/>
  <c r="K38" i="7"/>
  <c r="K39" i="7"/>
  <c r="M39" i="7" s="1"/>
  <c r="K40" i="7"/>
  <c r="K41" i="7"/>
  <c r="M41" i="7" s="1"/>
  <c r="K42" i="7"/>
  <c r="K43" i="7"/>
  <c r="K44" i="7"/>
  <c r="K45" i="7"/>
  <c r="K46" i="7"/>
  <c r="K47" i="7"/>
  <c r="L47" i="7" s="1"/>
  <c r="K48" i="7"/>
  <c r="K49" i="7"/>
  <c r="M49" i="7" s="1"/>
  <c r="K3" i="7"/>
  <c r="M3" i="7" s="1"/>
  <c r="M48" i="7"/>
  <c r="M46" i="7"/>
  <c r="L45" i="7"/>
  <c r="M44" i="7"/>
  <c r="M43" i="7"/>
  <c r="M42" i="7"/>
  <c r="L40" i="7"/>
  <c r="M40" i="7"/>
  <c r="M38" i="7"/>
  <c r="L37" i="7"/>
  <c r="M36" i="7"/>
  <c r="L36" i="7"/>
  <c r="M35" i="7"/>
  <c r="M34" i="7"/>
  <c r="M32" i="7"/>
  <c r="M31" i="7"/>
  <c r="M30" i="7"/>
  <c r="L28" i="7"/>
  <c r="M27" i="7"/>
  <c r="M26" i="7"/>
  <c r="M25" i="7"/>
  <c r="M24" i="7"/>
  <c r="M22" i="7"/>
  <c r="M20" i="7"/>
  <c r="L20" i="7"/>
  <c r="M19" i="7"/>
  <c r="M18" i="7"/>
  <c r="M17" i="7"/>
  <c r="M16" i="7"/>
  <c r="L13" i="7"/>
  <c r="M12" i="7"/>
  <c r="M11" i="7"/>
  <c r="M10" i="7"/>
  <c r="M8" i="7"/>
  <c r="M6" i="7"/>
  <c r="L5" i="7"/>
  <c r="M4" i="7"/>
  <c r="K4" i="6"/>
  <c r="K5" i="6"/>
  <c r="K6" i="6"/>
  <c r="L6" i="6" s="1"/>
  <c r="K7" i="6"/>
  <c r="K8" i="6"/>
  <c r="K9" i="6"/>
  <c r="M9" i="6" s="1"/>
  <c r="K10" i="6"/>
  <c r="M10" i="6" s="1"/>
  <c r="K11" i="6"/>
  <c r="L11" i="6" s="1"/>
  <c r="K12" i="6"/>
  <c r="K13" i="6"/>
  <c r="K14" i="6"/>
  <c r="K15" i="6"/>
  <c r="K16" i="6"/>
  <c r="K17" i="6"/>
  <c r="M17" i="6" s="1"/>
  <c r="K18" i="6"/>
  <c r="M18" i="6" s="1"/>
  <c r="K19" i="6"/>
  <c r="L19" i="6" s="1"/>
  <c r="K20" i="6"/>
  <c r="K21" i="6"/>
  <c r="K22" i="6"/>
  <c r="K23" i="6"/>
  <c r="K24" i="6"/>
  <c r="K25" i="6"/>
  <c r="M25" i="6" s="1"/>
  <c r="K26" i="6"/>
  <c r="L26" i="6" s="1"/>
  <c r="K27" i="6"/>
  <c r="L27" i="6" s="1"/>
  <c r="K28" i="6"/>
  <c r="K29" i="6"/>
  <c r="K30" i="6"/>
  <c r="K31" i="6"/>
  <c r="K32" i="6"/>
  <c r="K33" i="6"/>
  <c r="M33" i="6" s="1"/>
  <c r="K34" i="6"/>
  <c r="L34" i="6" s="1"/>
  <c r="K35" i="6"/>
  <c r="L35" i="6" s="1"/>
  <c r="K36" i="6"/>
  <c r="K37" i="6"/>
  <c r="K38" i="6"/>
  <c r="K39" i="6"/>
  <c r="M39" i="6" s="1"/>
  <c r="K40" i="6"/>
  <c r="K41" i="6"/>
  <c r="K42" i="6"/>
  <c r="L42" i="6" s="1"/>
  <c r="K43" i="6"/>
  <c r="L43" i="6" s="1"/>
  <c r="K44" i="6"/>
  <c r="K45" i="6"/>
  <c r="K46" i="6"/>
  <c r="K47" i="6"/>
  <c r="M47" i="6" s="1"/>
  <c r="K48" i="6"/>
  <c r="K49" i="6"/>
  <c r="K50" i="6"/>
  <c r="M50" i="6" s="1"/>
  <c r="K51" i="6"/>
  <c r="M51" i="6" s="1"/>
  <c r="K52" i="6"/>
  <c r="K53" i="6"/>
  <c r="K54" i="6"/>
  <c r="K55" i="6"/>
  <c r="M55" i="6" s="1"/>
  <c r="K56" i="6"/>
  <c r="K57" i="6"/>
  <c r="K58" i="6"/>
  <c r="M58" i="6" s="1"/>
  <c r="K59" i="6"/>
  <c r="M59" i="6" s="1"/>
  <c r="K60" i="6"/>
  <c r="K61" i="6"/>
  <c r="K3" i="6"/>
  <c r="M61" i="6"/>
  <c r="L60" i="6"/>
  <c r="M57" i="6"/>
  <c r="M56" i="6"/>
  <c r="L54" i="6"/>
  <c r="M53" i="6"/>
  <c r="L52" i="6"/>
  <c r="M49" i="6"/>
  <c r="M48" i="6"/>
  <c r="M46" i="6"/>
  <c r="M45" i="6"/>
  <c r="L44" i="6"/>
  <c r="M41" i="6"/>
  <c r="M40" i="6"/>
  <c r="M38" i="6"/>
  <c r="L38" i="6"/>
  <c r="M37" i="6"/>
  <c r="L36" i="6"/>
  <c r="M32" i="6"/>
  <c r="M31" i="6"/>
  <c r="M30" i="6"/>
  <c r="M29" i="6"/>
  <c r="L28" i="6"/>
  <c r="M24" i="6"/>
  <c r="M23" i="6"/>
  <c r="M22" i="6"/>
  <c r="L22" i="6"/>
  <c r="M21" i="6"/>
  <c r="L20" i="6"/>
  <c r="M16" i="6"/>
  <c r="M15" i="6"/>
  <c r="M14" i="6"/>
  <c r="M13" i="6"/>
  <c r="L12" i="6"/>
  <c r="M8" i="6"/>
  <c r="M7" i="6"/>
  <c r="M6" i="6"/>
  <c r="M5" i="6"/>
  <c r="L4" i="6"/>
  <c r="L3" i="6"/>
  <c r="K4" i="5"/>
  <c r="N4" i="5" s="1"/>
  <c r="K5" i="5"/>
  <c r="N5" i="5" s="1"/>
  <c r="K6" i="5"/>
  <c r="N6" i="5" s="1"/>
  <c r="K7" i="5"/>
  <c r="M7" i="5" s="1"/>
  <c r="K8" i="5"/>
  <c r="L8" i="5" s="1"/>
  <c r="K9" i="5"/>
  <c r="M9" i="5" s="1"/>
  <c r="K10" i="5"/>
  <c r="N10" i="5" s="1"/>
  <c r="K11" i="5"/>
  <c r="N11" i="5" s="1"/>
  <c r="K12" i="5"/>
  <c r="L12" i="5" s="1"/>
  <c r="K13" i="5"/>
  <c r="L13" i="5" s="1"/>
  <c r="K14" i="5"/>
  <c r="L14" i="5" s="1"/>
  <c r="K15" i="5"/>
  <c r="M15" i="5" s="1"/>
  <c r="K16" i="5"/>
  <c r="M16" i="5" s="1"/>
  <c r="K17" i="5"/>
  <c r="M17" i="5" s="1"/>
  <c r="K18" i="5"/>
  <c r="N18" i="5" s="1"/>
  <c r="K19" i="5"/>
  <c r="N19" i="5" s="1"/>
  <c r="K20" i="5"/>
  <c r="N20" i="5" s="1"/>
  <c r="K21" i="5"/>
  <c r="N21" i="5" s="1"/>
  <c r="K22" i="5"/>
  <c r="L22" i="5" s="1"/>
  <c r="K23" i="5"/>
  <c r="M23" i="5" s="1"/>
  <c r="K24" i="5"/>
  <c r="M24" i="5" s="1"/>
  <c r="K25" i="5"/>
  <c r="N25" i="5" s="1"/>
  <c r="K26" i="5"/>
  <c r="N26" i="5" s="1"/>
  <c r="K27" i="5"/>
  <c r="N27" i="5" s="1"/>
  <c r="K28" i="5"/>
  <c r="N28" i="5" s="1"/>
  <c r="K29" i="5"/>
  <c r="L29" i="5" s="1"/>
  <c r="K30" i="5"/>
  <c r="L30" i="5" s="1"/>
  <c r="K31" i="5"/>
  <c r="M31" i="5" s="1"/>
  <c r="K32" i="5"/>
  <c r="M32" i="5" s="1"/>
  <c r="K33" i="5"/>
  <c r="N33" i="5" s="1"/>
  <c r="K34" i="5"/>
  <c r="N34" i="5" s="1"/>
  <c r="K35" i="5"/>
  <c r="N35" i="5" s="1"/>
  <c r="K36" i="5"/>
  <c r="L36" i="5" s="1"/>
  <c r="K37" i="5"/>
  <c r="N37" i="5" s="1"/>
  <c r="K38" i="5"/>
  <c r="L38" i="5" s="1"/>
  <c r="K39" i="5"/>
  <c r="M39" i="5" s="1"/>
  <c r="K40" i="5"/>
  <c r="M40" i="5" s="1"/>
  <c r="K41" i="5"/>
  <c r="L41" i="5" s="1"/>
  <c r="K42" i="5"/>
  <c r="N42" i="5" s="1"/>
  <c r="K43" i="5"/>
  <c r="N43" i="5" s="1"/>
  <c r="K44" i="5"/>
  <c r="M44" i="5" s="1"/>
  <c r="K45" i="5"/>
  <c r="L45" i="5" s="1"/>
  <c r="K46" i="5"/>
  <c r="M46" i="5" s="1"/>
  <c r="K47" i="5"/>
  <c r="M47" i="5" s="1"/>
  <c r="K48" i="5"/>
  <c r="N48" i="5" s="1"/>
  <c r="K49" i="5"/>
  <c r="M49" i="5" s="1"/>
  <c r="K50" i="5"/>
  <c r="N50" i="5" s="1"/>
  <c r="K51" i="5"/>
  <c r="M51" i="5" s="1"/>
  <c r="K52" i="5"/>
  <c r="L52" i="5" s="1"/>
  <c r="K53" i="5"/>
  <c r="N53" i="5" s="1"/>
  <c r="K54" i="5"/>
  <c r="N54" i="5" s="1"/>
  <c r="K55" i="5"/>
  <c r="M55" i="5" s="1"/>
  <c r="K56" i="5"/>
  <c r="M56" i="5" s="1"/>
  <c r="K57" i="5"/>
  <c r="M57" i="5" s="1"/>
  <c r="K58" i="5"/>
  <c r="N58" i="5" s="1"/>
  <c r="K59" i="5"/>
  <c r="M59" i="5" s="1"/>
  <c r="K60" i="5"/>
  <c r="M60" i="5" s="1"/>
  <c r="K61" i="5"/>
  <c r="N61" i="5" s="1"/>
  <c r="K62" i="5"/>
  <c r="M62" i="5" s="1"/>
  <c r="K63" i="5"/>
  <c r="M63" i="5" s="1"/>
  <c r="K64" i="5"/>
  <c r="M64" i="5" s="1"/>
  <c r="K65" i="5"/>
  <c r="L65" i="5" s="1"/>
  <c r="K66" i="5"/>
  <c r="N66" i="5" s="1"/>
  <c r="K67" i="5"/>
  <c r="N67" i="5" s="1"/>
  <c r="K68" i="5"/>
  <c r="N68" i="5" s="1"/>
  <c r="K69" i="5"/>
  <c r="N69" i="5" s="1"/>
  <c r="K70" i="5"/>
  <c r="L70" i="5" s="1"/>
  <c r="K71" i="5"/>
  <c r="M71" i="5" s="1"/>
  <c r="K72" i="5"/>
  <c r="L72" i="5" s="1"/>
  <c r="K73" i="5"/>
  <c r="N73" i="5" s="1"/>
  <c r="K74" i="5"/>
  <c r="M74" i="5" s="1"/>
  <c r="K75" i="5"/>
  <c r="N75" i="5" s="1"/>
  <c r="K76" i="5"/>
  <c r="N76" i="5" s="1"/>
  <c r="K3" i="5"/>
  <c r="N3" i="5" s="1"/>
  <c r="L69" i="5"/>
  <c r="M67" i="5"/>
  <c r="L53" i="5"/>
  <c r="M48" i="5"/>
  <c r="M34" i="5"/>
  <c r="M27" i="5"/>
  <c r="M19" i="5"/>
  <c r="M11" i="5"/>
  <c r="L5" i="5"/>
  <c r="K4" i="4"/>
  <c r="N4" i="4" s="1"/>
  <c r="K5" i="4"/>
  <c r="M5" i="4" s="1"/>
  <c r="K6" i="4"/>
  <c r="M6" i="4" s="1"/>
  <c r="K7" i="4"/>
  <c r="M7" i="4" s="1"/>
  <c r="K8" i="4"/>
  <c r="N8" i="4" s="1"/>
  <c r="K9" i="4"/>
  <c r="M9" i="4" s="1"/>
  <c r="K10" i="4"/>
  <c r="K11" i="4"/>
  <c r="L11" i="4" s="1"/>
  <c r="K12" i="4"/>
  <c r="N12" i="4" s="1"/>
  <c r="K13" i="4"/>
  <c r="N13" i="4" s="1"/>
  <c r="K14" i="4"/>
  <c r="M14" i="4" s="1"/>
  <c r="K15" i="4"/>
  <c r="M15" i="4" s="1"/>
  <c r="K16" i="4"/>
  <c r="N16" i="4" s="1"/>
  <c r="K17" i="4"/>
  <c r="M17" i="4" s="1"/>
  <c r="K18" i="4"/>
  <c r="K19" i="4"/>
  <c r="K20" i="4"/>
  <c r="N20" i="4" s="1"/>
  <c r="K21" i="4"/>
  <c r="N21" i="4" s="1"/>
  <c r="K22" i="4"/>
  <c r="M22" i="4" s="1"/>
  <c r="K23" i="4"/>
  <c r="M23" i="4" s="1"/>
  <c r="K24" i="4"/>
  <c r="N24" i="4" s="1"/>
  <c r="K25" i="4"/>
  <c r="M25" i="4" s="1"/>
  <c r="K26" i="4"/>
  <c r="K27" i="4"/>
  <c r="K28" i="4"/>
  <c r="N28" i="4" s="1"/>
  <c r="K29" i="4"/>
  <c r="M29" i="4" s="1"/>
  <c r="K30" i="4"/>
  <c r="L30" i="4" s="1"/>
  <c r="K31" i="4"/>
  <c r="M31" i="4" s="1"/>
  <c r="K32" i="4"/>
  <c r="M32" i="4" s="1"/>
  <c r="K33" i="4"/>
  <c r="M33" i="4" s="1"/>
  <c r="K34" i="4"/>
  <c r="K35" i="4"/>
  <c r="K36" i="4"/>
  <c r="N36" i="4" s="1"/>
  <c r="K37" i="4"/>
  <c r="M37" i="4" s="1"/>
  <c r="K38" i="4"/>
  <c r="M38" i="4" s="1"/>
  <c r="K39" i="4"/>
  <c r="L39" i="4" s="1"/>
  <c r="K40" i="4"/>
  <c r="N40" i="4" s="1"/>
  <c r="K41" i="4"/>
  <c r="N41" i="4" s="1"/>
  <c r="K42" i="4"/>
  <c r="L42" i="4" s="1"/>
  <c r="K43" i="4"/>
  <c r="K44" i="4"/>
  <c r="L44" i="4" s="1"/>
  <c r="K45" i="4"/>
  <c r="N45" i="4" s="1"/>
  <c r="K46" i="4"/>
  <c r="M46" i="4" s="1"/>
  <c r="K47" i="4"/>
  <c r="N47" i="4" s="1"/>
  <c r="K48" i="4"/>
  <c r="N48" i="4" s="1"/>
  <c r="K49" i="4"/>
  <c r="M49" i="4" s="1"/>
  <c r="K50" i="4"/>
  <c r="K51" i="4"/>
  <c r="K52" i="4"/>
  <c r="L52" i="4" s="1"/>
  <c r="K53" i="4"/>
  <c r="M53" i="4" s="1"/>
  <c r="K54" i="4"/>
  <c r="M54" i="4" s="1"/>
  <c r="K55" i="4"/>
  <c r="N55" i="4" s="1"/>
  <c r="K56" i="4"/>
  <c r="N56" i="4" s="1"/>
  <c r="K57" i="4"/>
  <c r="N57" i="4" s="1"/>
  <c r="K58" i="4"/>
  <c r="K59" i="4"/>
  <c r="K60" i="4"/>
  <c r="L60" i="4" s="1"/>
  <c r="K61" i="4"/>
  <c r="M61" i="4" s="1"/>
  <c r="K62" i="4"/>
  <c r="L62" i="4" s="1"/>
  <c r="K63" i="4"/>
  <c r="L63" i="4" s="1"/>
  <c r="K64" i="4"/>
  <c r="N64" i="4" s="1"/>
  <c r="K65" i="4"/>
  <c r="N65" i="4" s="1"/>
  <c r="K66" i="4"/>
  <c r="K67" i="4"/>
  <c r="K68" i="4"/>
  <c r="L68" i="4" s="1"/>
  <c r="K69" i="4"/>
  <c r="N69" i="4" s="1"/>
  <c r="K70" i="4"/>
  <c r="L70" i="4" s="1"/>
  <c r="K71" i="4"/>
  <c r="M71" i="4" s="1"/>
  <c r="K72" i="4"/>
  <c r="N72" i="4" s="1"/>
  <c r="K73" i="4"/>
  <c r="M73" i="4" s="1"/>
  <c r="K74" i="4"/>
  <c r="L74" i="4" s="1"/>
  <c r="K75" i="4"/>
  <c r="M75" i="4" s="1"/>
  <c r="K76" i="4"/>
  <c r="N76" i="4" s="1"/>
  <c r="K3" i="4"/>
  <c r="L3" i="4" s="1"/>
  <c r="M72" i="4"/>
  <c r="L67" i="4"/>
  <c r="L66" i="4"/>
  <c r="M64" i="4"/>
  <c r="L59" i="4"/>
  <c r="L58" i="4"/>
  <c r="M56" i="4"/>
  <c r="L51" i="4"/>
  <c r="M50" i="4"/>
  <c r="M48" i="4"/>
  <c r="L43" i="4"/>
  <c r="M40" i="4"/>
  <c r="M35" i="4"/>
  <c r="L35" i="4"/>
  <c r="M34" i="4"/>
  <c r="L27" i="4"/>
  <c r="M26" i="4"/>
  <c r="M24" i="4"/>
  <c r="L19" i="4"/>
  <c r="L18" i="4"/>
  <c r="M16" i="4"/>
  <c r="M10" i="4"/>
  <c r="M8" i="4"/>
  <c r="K4" i="1"/>
  <c r="M4" i="1" s="1"/>
  <c r="K5" i="1"/>
  <c r="K6" i="1"/>
  <c r="K7" i="1"/>
  <c r="M7" i="1" s="1"/>
  <c r="K8" i="1"/>
  <c r="K9" i="1"/>
  <c r="L9" i="1" s="1"/>
  <c r="K10" i="1"/>
  <c r="K11" i="1"/>
  <c r="L11" i="1" s="1"/>
  <c r="K12" i="1"/>
  <c r="M12" i="1" s="1"/>
  <c r="K13" i="1"/>
  <c r="K14" i="1"/>
  <c r="M14" i="1" s="1"/>
  <c r="K15" i="1"/>
  <c r="M15" i="1" s="1"/>
  <c r="K16" i="1"/>
  <c r="K17" i="1"/>
  <c r="L17" i="1" s="1"/>
  <c r="K18" i="1"/>
  <c r="K19" i="1"/>
  <c r="L19" i="1" s="1"/>
  <c r="K20" i="1"/>
  <c r="M20" i="1" s="1"/>
  <c r="K21" i="1"/>
  <c r="K22" i="1"/>
  <c r="M22" i="1" s="1"/>
  <c r="K23" i="1"/>
  <c r="M23" i="1" s="1"/>
  <c r="K24" i="1"/>
  <c r="K25" i="1"/>
  <c r="M25" i="1" s="1"/>
  <c r="K26" i="1"/>
  <c r="K27" i="1"/>
  <c r="L27" i="1" s="1"/>
  <c r="K28" i="1"/>
  <c r="M28" i="1" s="1"/>
  <c r="K29" i="1"/>
  <c r="K30" i="1"/>
  <c r="M30" i="1" s="1"/>
  <c r="K31" i="1"/>
  <c r="M31" i="1" s="1"/>
  <c r="K32" i="1"/>
  <c r="K33" i="1"/>
  <c r="L33" i="1" s="1"/>
  <c r="K34" i="1"/>
  <c r="K35" i="1"/>
  <c r="K36" i="1"/>
  <c r="M36" i="1" s="1"/>
  <c r="K37" i="1"/>
  <c r="M37" i="1" s="1"/>
  <c r="K38" i="1"/>
  <c r="M38" i="1" s="1"/>
  <c r="K39" i="1"/>
  <c r="M39" i="1" s="1"/>
  <c r="K40" i="1"/>
  <c r="K41" i="1"/>
  <c r="L41" i="1" s="1"/>
  <c r="K42" i="1"/>
  <c r="K43" i="1"/>
  <c r="L43" i="1" s="1"/>
  <c r="K44" i="1"/>
  <c r="M44" i="1" s="1"/>
  <c r="K45" i="1"/>
  <c r="M45" i="1" s="1"/>
  <c r="K46" i="1"/>
  <c r="M46" i="1" s="1"/>
  <c r="K47" i="1"/>
  <c r="M47" i="1" s="1"/>
  <c r="K48" i="1"/>
  <c r="K49" i="1"/>
  <c r="M49" i="1" s="1"/>
  <c r="K50" i="1"/>
  <c r="K51" i="1"/>
  <c r="L51" i="1" s="1"/>
  <c r="K52" i="1"/>
  <c r="M52" i="1" s="1"/>
  <c r="K53" i="1"/>
  <c r="M53" i="1" s="1"/>
  <c r="K54" i="1"/>
  <c r="M54" i="1" s="1"/>
  <c r="K55" i="1"/>
  <c r="M55" i="1" s="1"/>
  <c r="K56" i="1"/>
  <c r="K57" i="1"/>
  <c r="L57" i="1" s="1"/>
  <c r="K58" i="1"/>
  <c r="K59" i="1"/>
  <c r="K60" i="1"/>
  <c r="M60" i="1" s="1"/>
  <c r="K61" i="1"/>
  <c r="M61" i="1" s="1"/>
  <c r="K62" i="1"/>
  <c r="M62" i="1" s="1"/>
  <c r="K63" i="1"/>
  <c r="M63" i="1" s="1"/>
  <c r="K64" i="1"/>
  <c r="K65" i="1"/>
  <c r="M65" i="1" s="1"/>
  <c r="K66" i="1"/>
  <c r="K67" i="1"/>
  <c r="L67" i="1" s="1"/>
  <c r="K68" i="1"/>
  <c r="M68" i="1" s="1"/>
  <c r="K69" i="1"/>
  <c r="K70" i="1"/>
  <c r="L70" i="1" s="1"/>
  <c r="K71" i="1"/>
  <c r="L71" i="1" s="1"/>
  <c r="K72" i="1"/>
  <c r="K73" i="1"/>
  <c r="L73" i="1" s="1"/>
  <c r="K74" i="1"/>
  <c r="K75" i="1"/>
  <c r="K76" i="1"/>
  <c r="K3" i="1"/>
  <c r="L18" i="1"/>
  <c r="L34" i="1"/>
  <c r="L50" i="1"/>
  <c r="L66" i="1"/>
  <c r="L74" i="1"/>
  <c r="M5" i="1"/>
  <c r="M6" i="1"/>
  <c r="M8" i="1"/>
  <c r="M10" i="1"/>
  <c r="M13" i="1"/>
  <c r="M16" i="1"/>
  <c r="M18" i="1"/>
  <c r="M21" i="1"/>
  <c r="M24" i="1"/>
  <c r="M26" i="1"/>
  <c r="M29" i="1"/>
  <c r="M32" i="1"/>
  <c r="M34" i="1"/>
  <c r="L35" i="1"/>
  <c r="M40" i="1"/>
  <c r="M42" i="1"/>
  <c r="M48" i="1"/>
  <c r="M50" i="1"/>
  <c r="M56" i="1"/>
  <c r="M58" i="1"/>
  <c r="L59" i="1"/>
  <c r="M64" i="1"/>
  <c r="M66" i="1"/>
  <c r="M69" i="1"/>
  <c r="M70" i="1"/>
  <c r="M72" i="1"/>
  <c r="M74" i="1"/>
  <c r="L75" i="1"/>
  <c r="M76" i="1"/>
  <c r="M3" i="1"/>
  <c r="M72" i="5" l="1"/>
  <c r="M4" i="5"/>
  <c r="M35" i="5"/>
  <c r="M75" i="5"/>
  <c r="M28" i="5"/>
  <c r="M43" i="5"/>
  <c r="N51" i="5"/>
  <c r="M25" i="5"/>
  <c r="M42" i="5"/>
  <c r="M69" i="5"/>
  <c r="M18" i="5"/>
  <c r="N40" i="5"/>
  <c r="N29" i="5"/>
  <c r="N72" i="5"/>
  <c r="L61" i="5"/>
  <c r="N16" i="5"/>
  <c r="N3" i="4"/>
  <c r="M65" i="4"/>
  <c r="M3" i="5"/>
  <c r="L21" i="5"/>
  <c r="L37" i="5"/>
  <c r="L54" i="5"/>
  <c r="N45" i="5"/>
  <c r="N24" i="5"/>
  <c r="N49" i="4"/>
  <c r="N33" i="4"/>
  <c r="N17" i="4"/>
  <c r="L4" i="4"/>
  <c r="M21" i="4"/>
  <c r="L36" i="4"/>
  <c r="M55" i="4"/>
  <c r="M21" i="5"/>
  <c r="M41" i="5"/>
  <c r="M58" i="5"/>
  <c r="M73" i="5"/>
  <c r="N64" i="5"/>
  <c r="N32" i="4"/>
  <c r="M41" i="4"/>
  <c r="M57" i="4"/>
  <c r="M10" i="5"/>
  <c r="L12" i="4"/>
  <c r="M66" i="5"/>
  <c r="N56" i="5"/>
  <c r="N13" i="5"/>
  <c r="N73" i="4"/>
  <c r="N25" i="4"/>
  <c r="N9" i="4"/>
  <c r="L76" i="4"/>
  <c r="M12" i="4"/>
  <c r="M45" i="4"/>
  <c r="M76" i="4"/>
  <c r="L46" i="5"/>
  <c r="N32" i="5"/>
  <c r="M47" i="4"/>
  <c r="M13" i="4"/>
  <c r="M3" i="4"/>
  <c r="L28" i="4"/>
  <c r="M39" i="4"/>
  <c r="M70" i="4"/>
  <c r="N71" i="4"/>
  <c r="N63" i="4"/>
  <c r="N39" i="4"/>
  <c r="N31" i="4"/>
  <c r="N23" i="4"/>
  <c r="N15" i="4"/>
  <c r="N7" i="4"/>
  <c r="M69" i="4"/>
  <c r="N70" i="4"/>
  <c r="N14" i="4"/>
  <c r="N61" i="4"/>
  <c r="N53" i="4"/>
  <c r="N37" i="4"/>
  <c r="N29" i="4"/>
  <c r="N5" i="4"/>
  <c r="N62" i="4"/>
  <c r="N54" i="4"/>
  <c r="N46" i="4"/>
  <c r="N38" i="4"/>
  <c r="N30" i="4"/>
  <c r="N22" i="4"/>
  <c r="N6" i="4"/>
  <c r="L20" i="4"/>
  <c r="N68" i="4"/>
  <c r="N60" i="4"/>
  <c r="N52" i="4"/>
  <c r="N44" i="4"/>
  <c r="L76" i="5"/>
  <c r="N71" i="5"/>
  <c r="N63" i="5"/>
  <c r="N55" i="5"/>
  <c r="N47" i="5"/>
  <c r="N39" i="5"/>
  <c r="N31" i="5"/>
  <c r="N23" i="5"/>
  <c r="N15" i="5"/>
  <c r="N7" i="5"/>
  <c r="L6" i="5"/>
  <c r="L20" i="5"/>
  <c r="M33" i="5"/>
  <c r="L68" i="5"/>
  <c r="N70" i="5"/>
  <c r="N62" i="5"/>
  <c r="N46" i="5"/>
  <c r="N38" i="5"/>
  <c r="N30" i="5"/>
  <c r="N22" i="5"/>
  <c r="N14" i="5"/>
  <c r="N60" i="5"/>
  <c r="N52" i="5"/>
  <c r="N44" i="5"/>
  <c r="N36" i="5"/>
  <c r="N12" i="5"/>
  <c r="M26" i="5"/>
  <c r="M50" i="5"/>
  <c r="L62" i="5"/>
  <c r="N74" i="5"/>
  <c r="N65" i="5"/>
  <c r="N57" i="5"/>
  <c r="N49" i="5"/>
  <c r="N41" i="5"/>
  <c r="N17" i="5"/>
  <c r="N9" i="5"/>
  <c r="L25" i="1"/>
  <c r="M41" i="1"/>
  <c r="M57" i="1"/>
  <c r="M9" i="1"/>
  <c r="M33" i="1"/>
  <c r="L65" i="1"/>
  <c r="L24" i="10"/>
  <c r="L15" i="10"/>
  <c r="M20" i="10"/>
  <c r="M4" i="10"/>
  <c r="M8" i="10"/>
  <c r="M16" i="10"/>
  <c r="M12" i="10"/>
  <c r="L23" i="10"/>
  <c r="L7" i="10"/>
  <c r="L9" i="10"/>
  <c r="L17" i="10"/>
  <c r="L25" i="10"/>
  <c r="L3" i="10"/>
  <c r="L11" i="10"/>
  <c r="L6" i="10"/>
  <c r="L14" i="10"/>
  <c r="L22" i="10"/>
  <c r="L5" i="10"/>
  <c r="M10" i="10"/>
  <c r="L13" i="10"/>
  <c r="M18" i="10"/>
  <c r="L21" i="10"/>
  <c r="L12" i="8"/>
  <c r="L20" i="8"/>
  <c r="M4" i="8"/>
  <c r="M17" i="8"/>
  <c r="M36" i="8"/>
  <c r="M9" i="8"/>
  <c r="M28" i="8"/>
  <c r="L5" i="8"/>
  <c r="M10" i="8"/>
  <c r="L13" i="8"/>
  <c r="M18" i="8"/>
  <c r="L21" i="8"/>
  <c r="M26" i="8"/>
  <c r="L29" i="8"/>
  <c r="M34" i="8"/>
  <c r="L37" i="8"/>
  <c r="L3" i="8"/>
  <c r="L11" i="8"/>
  <c r="L19" i="8"/>
  <c r="L27" i="8"/>
  <c r="L35" i="8"/>
  <c r="L7" i="8"/>
  <c r="L15" i="8"/>
  <c r="L23" i="8"/>
  <c r="L31" i="8"/>
  <c r="L8" i="8"/>
  <c r="L16" i="8"/>
  <c r="L24" i="8"/>
  <c r="L32" i="8"/>
  <c r="L6" i="8"/>
  <c r="L14" i="8"/>
  <c r="L22" i="8"/>
  <c r="L30" i="8"/>
  <c r="M47" i="7"/>
  <c r="M7" i="7"/>
  <c r="L15" i="7"/>
  <c r="M23" i="7"/>
  <c r="L8" i="7"/>
  <c r="L30" i="7"/>
  <c r="L14" i="7"/>
  <c r="M13" i="7"/>
  <c r="M45" i="7"/>
  <c r="L12" i="7"/>
  <c r="M28" i="7"/>
  <c r="L32" i="7"/>
  <c r="M37" i="7"/>
  <c r="L4" i="7"/>
  <c r="L24" i="7"/>
  <c r="M29" i="7"/>
  <c r="L46" i="7"/>
  <c r="L16" i="7"/>
  <c r="M21" i="7"/>
  <c r="L38" i="7"/>
  <c r="M5" i="7"/>
  <c r="L22" i="7"/>
  <c r="L39" i="7"/>
  <c r="L44" i="7"/>
  <c r="L6" i="7"/>
  <c r="L48" i="7"/>
  <c r="L10" i="7"/>
  <c r="L18" i="7"/>
  <c r="L26" i="7"/>
  <c r="L34" i="7"/>
  <c r="L42" i="7"/>
  <c r="L3" i="7"/>
  <c r="L11" i="7"/>
  <c r="L19" i="7"/>
  <c r="L27" i="7"/>
  <c r="L35" i="7"/>
  <c r="L43" i="7"/>
  <c r="L9" i="7"/>
  <c r="L17" i="7"/>
  <c r="L25" i="7"/>
  <c r="L33" i="7"/>
  <c r="L41" i="7"/>
  <c r="L49" i="7"/>
  <c r="L14" i="6"/>
  <c r="L30" i="6"/>
  <c r="L46" i="6"/>
  <c r="M4" i="6"/>
  <c r="L9" i="6"/>
  <c r="M20" i="6"/>
  <c r="L25" i="6"/>
  <c r="M36" i="6"/>
  <c r="L41" i="6"/>
  <c r="M54" i="6"/>
  <c r="M12" i="6"/>
  <c r="L17" i="6"/>
  <c r="M28" i="6"/>
  <c r="L49" i="6"/>
  <c r="L33" i="6"/>
  <c r="M44" i="6"/>
  <c r="L56" i="6"/>
  <c r="L55" i="6"/>
  <c r="M3" i="6"/>
  <c r="L7" i="6"/>
  <c r="M11" i="6"/>
  <c r="L15" i="6"/>
  <c r="M19" i="6"/>
  <c r="L23" i="6"/>
  <c r="M27" i="6"/>
  <c r="L31" i="6"/>
  <c r="M35" i="6"/>
  <c r="L39" i="6"/>
  <c r="M43" i="6"/>
  <c r="L47" i="6"/>
  <c r="M60" i="6"/>
  <c r="M52" i="6"/>
  <c r="L8" i="6"/>
  <c r="L16" i="6"/>
  <c r="L24" i="6"/>
  <c r="L32" i="6"/>
  <c r="L40" i="6"/>
  <c r="L48" i="6"/>
  <c r="L57" i="6"/>
  <c r="L10" i="6"/>
  <c r="L18" i="6"/>
  <c r="L50" i="6"/>
  <c r="L58" i="6"/>
  <c r="L5" i="6"/>
  <c r="L13" i="6"/>
  <c r="L21" i="6"/>
  <c r="M26" i="6"/>
  <c r="L29" i="6"/>
  <c r="M34" i="6"/>
  <c r="L37" i="6"/>
  <c r="M42" i="6"/>
  <c r="L45" i="6"/>
  <c r="L53" i="6"/>
  <c r="L61" i="6"/>
  <c r="L51" i="6"/>
  <c r="L59" i="6"/>
  <c r="L17" i="5"/>
  <c r="M65" i="5"/>
  <c r="L49" i="5"/>
  <c r="L57" i="5"/>
  <c r="M8" i="5"/>
  <c r="M13" i="5"/>
  <c r="M54" i="5"/>
  <c r="L64" i="5"/>
  <c r="L56" i="5"/>
  <c r="M61" i="5"/>
  <c r="M5" i="5"/>
  <c r="M76" i="5"/>
  <c r="L33" i="5"/>
  <c r="M38" i="5"/>
  <c r="L48" i="5"/>
  <c r="M53" i="5"/>
  <c r="L9" i="5"/>
  <c r="M14" i="5"/>
  <c r="L24" i="5"/>
  <c r="M29" i="5"/>
  <c r="L73" i="5"/>
  <c r="L25" i="5"/>
  <c r="M30" i="5"/>
  <c r="L40" i="5"/>
  <c r="M45" i="5"/>
  <c r="M6" i="5"/>
  <c r="L16" i="5"/>
  <c r="M70" i="5"/>
  <c r="M22" i="5"/>
  <c r="L32" i="5"/>
  <c r="M37" i="5"/>
  <c r="L4" i="5"/>
  <c r="L28" i="5"/>
  <c r="L44" i="5"/>
  <c r="L60" i="5"/>
  <c r="L7" i="5"/>
  <c r="M12" i="5"/>
  <c r="L15" i="5"/>
  <c r="M20" i="5"/>
  <c r="L23" i="5"/>
  <c r="L31" i="5"/>
  <c r="M36" i="5"/>
  <c r="L39" i="5"/>
  <c r="L47" i="5"/>
  <c r="M52" i="5"/>
  <c r="L55" i="5"/>
  <c r="L63" i="5"/>
  <c r="M68" i="5"/>
  <c r="L71" i="5"/>
  <c r="L10" i="5"/>
  <c r="L18" i="5"/>
  <c r="L26" i="5"/>
  <c r="L34" i="5"/>
  <c r="L42" i="5"/>
  <c r="L50" i="5"/>
  <c r="L58" i="5"/>
  <c r="L66" i="5"/>
  <c r="L74" i="5"/>
  <c r="L3" i="5"/>
  <c r="L11" i="5"/>
  <c r="L19" i="5"/>
  <c r="L27" i="5"/>
  <c r="L35" i="5"/>
  <c r="L43" i="5"/>
  <c r="L51" i="5"/>
  <c r="L59" i="5"/>
  <c r="L67" i="5"/>
  <c r="L75" i="5"/>
  <c r="L14" i="4"/>
  <c r="L31" i="4"/>
  <c r="L75" i="4"/>
  <c r="L71" i="4"/>
  <c r="M30" i="4"/>
  <c r="L46" i="4"/>
  <c r="M67" i="4"/>
  <c r="M62" i="4"/>
  <c r="L6" i="4"/>
  <c r="L38" i="4"/>
  <c r="M63" i="4"/>
  <c r="L7" i="4"/>
  <c r="M44" i="4"/>
  <c r="L22" i="4"/>
  <c r="L54" i="4"/>
  <c r="M4" i="4"/>
  <c r="M27" i="4"/>
  <c r="M36" i="4"/>
  <c r="M59" i="4"/>
  <c r="M68" i="4"/>
  <c r="M19" i="4"/>
  <c r="L23" i="4"/>
  <c r="M28" i="4"/>
  <c r="M51" i="4"/>
  <c r="L55" i="4"/>
  <c r="M60" i="4"/>
  <c r="M11" i="4"/>
  <c r="L15" i="4"/>
  <c r="M20" i="4"/>
  <c r="M43" i="4"/>
  <c r="L47" i="4"/>
  <c r="M52" i="4"/>
  <c r="L34" i="4"/>
  <c r="L50" i="4"/>
  <c r="L13" i="4"/>
  <c r="M18" i="4"/>
  <c r="L29" i="4"/>
  <c r="M42" i="4"/>
  <c r="L53" i="4"/>
  <c r="M58" i="4"/>
  <c r="M66" i="4"/>
  <c r="L69" i="4"/>
  <c r="M74" i="4"/>
  <c r="L10" i="4"/>
  <c r="L26" i="4"/>
  <c r="L5" i="4"/>
  <c r="L21" i="4"/>
  <c r="L37" i="4"/>
  <c r="L45" i="4"/>
  <c r="L61" i="4"/>
  <c r="L8" i="4"/>
  <c r="L16" i="4"/>
  <c r="L24" i="4"/>
  <c r="L32" i="4"/>
  <c r="L40" i="4"/>
  <c r="L48" i="4"/>
  <c r="L56" i="4"/>
  <c r="L64" i="4"/>
  <c r="L72" i="4"/>
  <c r="L25" i="4"/>
  <c r="L33" i="4"/>
  <c r="L49" i="4"/>
  <c r="L57" i="4"/>
  <c r="L73" i="4"/>
  <c r="L9" i="4"/>
  <c r="L17" i="4"/>
  <c r="L41" i="4"/>
  <c r="L65" i="4"/>
  <c r="L49" i="1"/>
  <c r="M73" i="1"/>
  <c r="M71" i="1"/>
  <c r="M17" i="1"/>
  <c r="L63" i="1"/>
  <c r="L47" i="1"/>
  <c r="L15" i="1"/>
  <c r="L62" i="1"/>
  <c r="L46" i="1"/>
  <c r="L30" i="1"/>
  <c r="L14" i="1"/>
  <c r="L58" i="1"/>
  <c r="L42" i="1"/>
  <c r="L26" i="1"/>
  <c r="L10" i="1"/>
  <c r="L55" i="1"/>
  <c r="L39" i="1"/>
  <c r="L23" i="1"/>
  <c r="L7" i="1"/>
  <c r="L31" i="1"/>
  <c r="L54" i="1"/>
  <c r="L38" i="1"/>
  <c r="L22" i="1"/>
  <c r="L6" i="1"/>
  <c r="M75" i="1"/>
  <c r="M67" i="1"/>
  <c r="M59" i="1"/>
  <c r="M51" i="1"/>
  <c r="M43" i="1"/>
  <c r="M35" i="1"/>
  <c r="M27" i="1"/>
  <c r="M19" i="1"/>
  <c r="M11" i="1"/>
  <c r="L72" i="1"/>
  <c r="L64" i="1"/>
  <c r="L56" i="1"/>
  <c r="L48" i="1"/>
  <c r="L40" i="1"/>
  <c r="L32" i="1"/>
  <c r="L24" i="1"/>
  <c r="L16" i="1"/>
  <c r="L8" i="1"/>
  <c r="L69" i="1"/>
  <c r="L53" i="1"/>
  <c r="L37" i="1"/>
  <c r="L21" i="1"/>
  <c r="L5" i="1"/>
  <c r="L76" i="1"/>
  <c r="L68" i="1"/>
  <c r="L60" i="1"/>
  <c r="L52" i="1"/>
  <c r="L44" i="1"/>
  <c r="L36" i="1"/>
  <c r="L28" i="1"/>
  <c r="L20" i="1"/>
  <c r="L12" i="1"/>
  <c r="L4" i="1"/>
  <c r="L3" i="1"/>
  <c r="L61" i="1"/>
  <c r="L45" i="1"/>
  <c r="L29" i="1"/>
  <c r="L13" i="1"/>
</calcChain>
</file>

<file path=xl/sharedStrings.xml><?xml version="1.0" encoding="utf-8"?>
<sst xmlns="http://schemas.openxmlformats.org/spreadsheetml/2006/main" count="920" uniqueCount="84">
  <si>
    <t>loanAge_bucket</t>
  </si>
  <si>
    <t>bal</t>
  </si>
  <si>
    <t>cdr</t>
  </si>
  <si>
    <t>x_vals</t>
  </si>
  <si>
    <t>y_vals.mdl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</si>
  <si>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</si>
  <si>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</si>
  <si>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</si>
  <si>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</si>
  <si>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</si>
  <si>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</si>
  <si>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</si>
  <si>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</si>
  <si>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</si>
  <si>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</si>
  <si>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</si>
  <si>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</si>
  <si>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</si>
  <si>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</si>
  <si>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</si>
  <si>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</si>
  <si>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</si>
  <si>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</si>
  <si>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</si>
  <si>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</si>
  <si>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</si>
  <si>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</si>
  <si>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</si>
  <si>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</si>
  <si>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</si>
  <si>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</si>
  <si>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</si>
  <si>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</si>
  <si>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</si>
  <si>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</si>
  <si>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</si>
  <si>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</si>
  <si>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</si>
  <si>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</si>
  <si>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</si>
  <si>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</si>
  <si>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</si>
  <si>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</si>
  <si>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</si>
  <si>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</si>
  <si>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</si>
  <si>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</si>
  <si>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</si>
  <si>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</si>
  <si>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</si>
  <si>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</si>
  <si>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</si>
  <si>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</si>
  <si>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</si>
  <si>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</si>
  <si>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</si>
  <si>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</si>
  <si>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</si>
  <si>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</si>
  <si>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</si>
  <si>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</si>
  <si>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</si>
  <si>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</si>
  <si>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</si>
  <si>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</si>
  <si>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</si>
  <si>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</si>
  <si>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</si>
  <si>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</si>
  <si>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</si>
  <si>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</si>
  <si>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</si>
  <si>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</si>
  <si>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</si>
  <si>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</si>
  <si>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</si>
  <si>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[72,]</t>
  </si>
  <si>
    <t>[73,]</t>
  </si>
  <si>
    <t>[74,]</t>
  </si>
  <si>
    <t>Actual</t>
  </si>
  <si>
    <t>Model</t>
  </si>
  <si>
    <t>New Model</t>
  </si>
  <si>
    <t>CLTV</t>
  </si>
  <si>
    <t>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</si>
</sst>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8F8F8"/>
      <name val="Lucida Console"/>
      <family val="3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Total!$L$2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Total!$K$3:$K$76</c:f>
              <c:numCache>
                <c:formatCode>m/d/yyyy</c:formatCode>
                <c:ptCount val="7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Total!$L$3:$L$76</c:f>
              <c:numCache>
                <c:formatCode>General</c:formatCode>
                <c:ptCount val="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1.46</c:v>
                </c:pt>
                <c:pt idx="15">
                  <c:v>2.99</c:v>
                </c:pt>
                <c:pt idx="16">
                  <c:v>1.45</c:v>
                </c:pt>
                <c:pt idx="17">
                  <c:v>1.34</c:v>
                </c:pt>
                <c:pt idx="18">
                  <c:v>0.98</c:v>
                </c:pt>
                <c:pt idx="19">
                  <c:v>1.7</c:v>
                </c:pt>
                <c:pt idx="20">
                  <c:v>2.62</c:v>
                </c:pt>
                <c:pt idx="21">
                  <c:v>2.04</c:v>
                </c:pt>
                <c:pt idx="22">
                  <c:v>2.11</c:v>
                </c:pt>
                <c:pt idx="23">
                  <c:v>1.96</c:v>
                </c:pt>
                <c:pt idx="24">
                  <c:v>2.02</c:v>
                </c:pt>
                <c:pt idx="25">
                  <c:v>2.69</c:v>
                </c:pt>
                <c:pt idx="26">
                  <c:v>2.57</c:v>
                </c:pt>
                <c:pt idx="27">
                  <c:v>2.87</c:v>
                </c:pt>
                <c:pt idx="28">
                  <c:v>2.62</c:v>
                </c:pt>
                <c:pt idx="29">
                  <c:v>2.72</c:v>
                </c:pt>
                <c:pt idx="30">
                  <c:v>1.96</c:v>
                </c:pt>
                <c:pt idx="31">
                  <c:v>2.4300000000000002</c:v>
                </c:pt>
                <c:pt idx="32">
                  <c:v>2.48</c:v>
                </c:pt>
                <c:pt idx="33">
                  <c:v>1.94</c:v>
                </c:pt>
                <c:pt idx="34">
                  <c:v>1.91</c:v>
                </c:pt>
                <c:pt idx="35">
                  <c:v>1.93</c:v>
                </c:pt>
                <c:pt idx="36">
                  <c:v>1.77</c:v>
                </c:pt>
                <c:pt idx="37">
                  <c:v>2.1800000000000002</c:v>
                </c:pt>
                <c:pt idx="38">
                  <c:v>2</c:v>
                </c:pt>
                <c:pt idx="39">
                  <c:v>1.73</c:v>
                </c:pt>
                <c:pt idx="40">
                  <c:v>1.42</c:v>
                </c:pt>
                <c:pt idx="41">
                  <c:v>1.94</c:v>
                </c:pt>
                <c:pt idx="42">
                  <c:v>1.48</c:v>
                </c:pt>
                <c:pt idx="43">
                  <c:v>1.43</c:v>
                </c:pt>
                <c:pt idx="44">
                  <c:v>1.33</c:v>
                </c:pt>
                <c:pt idx="45">
                  <c:v>1.39</c:v>
                </c:pt>
                <c:pt idx="46">
                  <c:v>1.33</c:v>
                </c:pt>
                <c:pt idx="47">
                  <c:v>1.32</c:v>
                </c:pt>
                <c:pt idx="48">
                  <c:v>1.35</c:v>
                </c:pt>
                <c:pt idx="49">
                  <c:v>1.37</c:v>
                </c:pt>
                <c:pt idx="50">
                  <c:v>1.47</c:v>
                </c:pt>
                <c:pt idx="51">
                  <c:v>1.37</c:v>
                </c:pt>
                <c:pt idx="52">
                  <c:v>1.54</c:v>
                </c:pt>
                <c:pt idx="53">
                  <c:v>1.42</c:v>
                </c:pt>
                <c:pt idx="54">
                  <c:v>1.05</c:v>
                </c:pt>
                <c:pt idx="55">
                  <c:v>1.2</c:v>
                </c:pt>
                <c:pt idx="56">
                  <c:v>1.28</c:v>
                </c:pt>
                <c:pt idx="57">
                  <c:v>1.19</c:v>
                </c:pt>
                <c:pt idx="58">
                  <c:v>1.29</c:v>
                </c:pt>
                <c:pt idx="59">
                  <c:v>1.32</c:v>
                </c:pt>
                <c:pt idx="60">
                  <c:v>1.3</c:v>
                </c:pt>
                <c:pt idx="61">
                  <c:v>1.34</c:v>
                </c:pt>
                <c:pt idx="62">
                  <c:v>1.34</c:v>
                </c:pt>
                <c:pt idx="63">
                  <c:v>1.34</c:v>
                </c:pt>
                <c:pt idx="64">
                  <c:v>1.44</c:v>
                </c:pt>
                <c:pt idx="65">
                  <c:v>1.19</c:v>
                </c:pt>
                <c:pt idx="66">
                  <c:v>1.19</c:v>
                </c:pt>
                <c:pt idx="67">
                  <c:v>1.01</c:v>
                </c:pt>
                <c:pt idx="68">
                  <c:v>1.1299999999999999</c:v>
                </c:pt>
                <c:pt idx="69">
                  <c:v>1.23</c:v>
                </c:pt>
                <c:pt idx="70">
                  <c:v>1.1200000000000001</c:v>
                </c:pt>
                <c:pt idx="71">
                  <c:v>1.03</c:v>
                </c:pt>
                <c:pt idx="72">
                  <c:v>1.25</c:v>
                </c:pt>
                <c:pt idx="73">
                  <c:v>1.31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Total!$M$2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Total!$K$3:$K$76</c:f>
              <c:numCache>
                <c:formatCode>m/d/yyyy</c:formatCode>
                <c:ptCount val="7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Total!$M$3:$M$76</c:f>
              <c:numCache>
                <c:formatCode>General</c:formatCode>
                <c:ptCount val="74"/>
                <c:pt idx="0">
                  <c:v>0.54948512772330405</c:v>
                </c:pt>
                <c:pt idx="1">
                  <c:v>0.89225902321563599</c:v>
                </c:pt>
                <c:pt idx="2">
                  <c:v>0.52278576597274395</c:v>
                </c:pt>
                <c:pt idx="3">
                  <c:v>0.72016094777251904</c:v>
                </c:pt>
                <c:pt idx="4">
                  <c:v>0.83790084727938297</c:v>
                </c:pt>
                <c:pt idx="5">
                  <c:v>1.0131114200972</c:v>
                </c:pt>
                <c:pt idx="6">
                  <c:v>1.2488607579125499</c:v>
                </c:pt>
                <c:pt idx="7">
                  <c:v>1.37041175817831</c:v>
                </c:pt>
                <c:pt idx="8">
                  <c:v>1.5848871930389301</c:v>
                </c:pt>
                <c:pt idx="9">
                  <c:v>1.8470319486579001</c:v>
                </c:pt>
                <c:pt idx="10">
                  <c:v>2.0879893996516898</c:v>
                </c:pt>
                <c:pt idx="11">
                  <c:v>2.1958429750772601</c:v>
                </c:pt>
                <c:pt idx="12">
                  <c:v>2.4075904883169699</c:v>
                </c:pt>
                <c:pt idx="13">
                  <c:v>2.9499973680011098</c:v>
                </c:pt>
                <c:pt idx="14">
                  <c:v>3.0350437276109599</c:v>
                </c:pt>
                <c:pt idx="15">
                  <c:v>3.3476007135622199</c:v>
                </c:pt>
                <c:pt idx="16">
                  <c:v>3.34366733559881</c:v>
                </c:pt>
                <c:pt idx="17">
                  <c:v>3.24774902418116</c:v>
                </c:pt>
                <c:pt idx="18">
                  <c:v>3.3651018900417302</c:v>
                </c:pt>
                <c:pt idx="19">
                  <c:v>3.46477005493173</c:v>
                </c:pt>
                <c:pt idx="20">
                  <c:v>3.6092698520222202</c:v>
                </c:pt>
                <c:pt idx="21">
                  <c:v>3.7924648203528402</c:v>
                </c:pt>
                <c:pt idx="22">
                  <c:v>3.98074078249059</c:v>
                </c:pt>
                <c:pt idx="23">
                  <c:v>4.2113774601268199</c:v>
                </c:pt>
                <c:pt idx="24">
                  <c:v>4.4118650857149397</c:v>
                </c:pt>
                <c:pt idx="25">
                  <c:v>4.71288755088068</c:v>
                </c:pt>
                <c:pt idx="26">
                  <c:v>4.8988141854924496</c:v>
                </c:pt>
                <c:pt idx="27">
                  <c:v>4.9336046319262099</c:v>
                </c:pt>
                <c:pt idx="28">
                  <c:v>5.1856167212779596</c:v>
                </c:pt>
                <c:pt idx="29">
                  <c:v>5.0656674276978704</c:v>
                </c:pt>
                <c:pt idx="30">
                  <c:v>4.6250366064081403</c:v>
                </c:pt>
                <c:pt idx="31">
                  <c:v>4.3583137044879701</c:v>
                </c:pt>
                <c:pt idx="32">
                  <c:v>4.1822797403619703</c:v>
                </c:pt>
                <c:pt idx="33">
                  <c:v>3.9932945435349598</c:v>
                </c:pt>
                <c:pt idx="34">
                  <c:v>3.8670809404006499</c:v>
                </c:pt>
                <c:pt idx="35">
                  <c:v>3.83184397590749</c:v>
                </c:pt>
                <c:pt idx="36">
                  <c:v>3.8612962568173801</c:v>
                </c:pt>
                <c:pt idx="37">
                  <c:v>3.9240396263914601</c:v>
                </c:pt>
                <c:pt idx="38">
                  <c:v>3.8918533597120701</c:v>
                </c:pt>
                <c:pt idx="39">
                  <c:v>3.89100141983667</c:v>
                </c:pt>
                <c:pt idx="40">
                  <c:v>3.88610232204043</c:v>
                </c:pt>
                <c:pt idx="41">
                  <c:v>3.6582848061094402</c:v>
                </c:pt>
                <c:pt idx="42">
                  <c:v>3.4186286048891601</c:v>
                </c:pt>
                <c:pt idx="43">
                  <c:v>3.1791952736315601</c:v>
                </c:pt>
                <c:pt idx="44">
                  <c:v>3.11849557428889</c:v>
                </c:pt>
                <c:pt idx="45">
                  <c:v>3.0474803129401402</c:v>
                </c:pt>
                <c:pt idx="46">
                  <c:v>3.01457570433065</c:v>
                </c:pt>
                <c:pt idx="47">
                  <c:v>3.14403472972911</c:v>
                </c:pt>
                <c:pt idx="48">
                  <c:v>3.2961234331850502</c:v>
                </c:pt>
                <c:pt idx="49">
                  <c:v>3.4749599045730402</c:v>
                </c:pt>
                <c:pt idx="50">
                  <c:v>3.5963117205697599</c:v>
                </c:pt>
                <c:pt idx="51">
                  <c:v>3.7157065144494199</c:v>
                </c:pt>
                <c:pt idx="52">
                  <c:v>3.8348955395486999</c:v>
                </c:pt>
                <c:pt idx="53">
                  <c:v>3.7010068701128702</c:v>
                </c:pt>
                <c:pt idx="54">
                  <c:v>3.5717289633985798</c:v>
                </c:pt>
                <c:pt idx="55">
                  <c:v>3.43526320955353</c:v>
                </c:pt>
                <c:pt idx="56">
                  <c:v>3.4744320262402999</c:v>
                </c:pt>
                <c:pt idx="57">
                  <c:v>3.5513638608214402</c:v>
                </c:pt>
                <c:pt idx="58">
                  <c:v>3.5506014539168098</c:v>
                </c:pt>
                <c:pt idx="59">
                  <c:v>3.6631725939842998</c:v>
                </c:pt>
                <c:pt idx="60">
                  <c:v>3.77342937176667</c:v>
                </c:pt>
                <c:pt idx="61">
                  <c:v>3.8827749016890598</c:v>
                </c:pt>
                <c:pt idx="62">
                  <c:v>3.9345853179781698</c:v>
                </c:pt>
                <c:pt idx="63">
                  <c:v>3.9788743458544702</c:v>
                </c:pt>
                <c:pt idx="64">
                  <c:v>4.0242509547751304</c:v>
                </c:pt>
                <c:pt idx="65">
                  <c:v>3.8091944669044402</c:v>
                </c:pt>
                <c:pt idx="66">
                  <c:v>3.6178096391558898</c:v>
                </c:pt>
                <c:pt idx="67">
                  <c:v>3.4383191261547301</c:v>
                </c:pt>
                <c:pt idx="68">
                  <c:v>3.4216400507203302</c:v>
                </c:pt>
                <c:pt idx="69">
                  <c:v>3.40278900402711</c:v>
                </c:pt>
                <c:pt idx="70">
                  <c:v>3.3805034226110799</c:v>
                </c:pt>
                <c:pt idx="71">
                  <c:v>3.4548494012601401</c:v>
                </c:pt>
                <c:pt idx="72">
                  <c:v>3.5259589026409102</c:v>
                </c:pt>
                <c:pt idx="73">
                  <c:v>3.5885332795359499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Total!$N$2</c:f>
              <c:strCache>
                <c:ptCount val="1"/>
                <c:pt idx="0">
                  <c:v>New Model</c:v>
                </c:pt>
              </c:strCache>
            </c:strRef>
          </c:tx>
          <c:marker>
            <c:symbol val="none"/>
          </c:marker>
          <c:cat>
            <c:numRef>
              <c:f>Total!$K$3:$K$76</c:f>
              <c:numCache>
                <c:formatCode>m/d/yyyy</c:formatCode>
                <c:ptCount val="7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Total!$N$3:$N$76</c:f>
              <c:numCache>
                <c:formatCode>General</c:formatCode>
                <c:ptCount val="74"/>
                <c:pt idx="0">
                  <c:v>0.27509109675391002</c:v>
                </c:pt>
                <c:pt idx="1">
                  <c:v>0.44704845161130902</c:v>
                </c:pt>
                <c:pt idx="2">
                  <c:v>0.261708400963578</c:v>
                </c:pt>
                <c:pt idx="3">
                  <c:v>0.36067900324875402</c:v>
                </c:pt>
                <c:pt idx="4">
                  <c:v>0.41976073582475898</c:v>
                </c:pt>
                <c:pt idx="5">
                  <c:v>0.50774075725509304</c:v>
                </c:pt>
                <c:pt idx="6">
                  <c:v>0.62623239539250097</c:v>
                </c:pt>
                <c:pt idx="7">
                  <c:v>0.68737668289046105</c:v>
                </c:pt>
                <c:pt idx="8">
                  <c:v>0.79534946822721297</c:v>
                </c:pt>
                <c:pt idx="9">
                  <c:v>0.92746696288519304</c:v>
                </c:pt>
                <c:pt idx="10">
                  <c:v>1.0490491654231</c:v>
                </c:pt>
                <c:pt idx="11">
                  <c:v>1.1035143371721701</c:v>
                </c:pt>
                <c:pt idx="12">
                  <c:v>1.2105253091761801</c:v>
                </c:pt>
                <c:pt idx="13">
                  <c:v>1.4851288041178199</c:v>
                </c:pt>
                <c:pt idx="14">
                  <c:v>1.52824889742986</c:v>
                </c:pt>
                <c:pt idx="15">
                  <c:v>1.68687044032341</c:v>
                </c:pt>
                <c:pt idx="16">
                  <c:v>1.6848728037192</c:v>
                </c:pt>
                <c:pt idx="17">
                  <c:v>1.6361705108703199</c:v>
                </c:pt>
                <c:pt idx="18">
                  <c:v>1.6957591793373701</c:v>
                </c:pt>
                <c:pt idx="19">
                  <c:v>1.7463941145120001</c:v>
                </c:pt>
                <c:pt idx="20">
                  <c:v>1.81984773034175</c:v>
                </c:pt>
                <c:pt idx="21">
                  <c:v>1.9130439733139699</c:v>
                </c:pt>
                <c:pt idx="22">
                  <c:v>2.0089099823427499</c:v>
                </c:pt>
                <c:pt idx="23">
                  <c:v>2.1264628324773498</c:v>
                </c:pt>
                <c:pt idx="24">
                  <c:v>2.22875468728515</c:v>
                </c:pt>
                <c:pt idx="25">
                  <c:v>2.38252615163477</c:v>
                </c:pt>
                <c:pt idx="26">
                  <c:v>2.4776146183298602</c:v>
                </c:pt>
                <c:pt idx="27">
                  <c:v>2.4954169777215198</c:v>
                </c:pt>
                <c:pt idx="28">
                  <c:v>2.6244616533120499</c:v>
                </c:pt>
                <c:pt idx="29">
                  <c:v>2.5630210980474399</c:v>
                </c:pt>
                <c:pt idx="30">
                  <c:v>2.33762618406712</c:v>
                </c:pt>
                <c:pt idx="31">
                  <c:v>2.20142231818742</c:v>
                </c:pt>
                <c:pt idx="32">
                  <c:v>2.1116249029608398</c:v>
                </c:pt>
                <c:pt idx="33">
                  <c:v>2.0153051509465101</c:v>
                </c:pt>
                <c:pt idx="34">
                  <c:v>1.9510265603555299</c:v>
                </c:pt>
                <c:pt idx="35">
                  <c:v>1.93308785131862</c:v>
                </c:pt>
                <c:pt idx="36">
                  <c:v>1.94808144139175</c:v>
                </c:pt>
                <c:pt idx="37">
                  <c:v>1.9800299176592999</c:v>
                </c:pt>
                <c:pt idx="38">
                  <c:v>1.9637177930406999</c:v>
                </c:pt>
                <c:pt idx="39">
                  <c:v>1.96335660189131</c:v>
                </c:pt>
                <c:pt idx="40">
                  <c:v>1.9609355424118999</c:v>
                </c:pt>
                <c:pt idx="41">
                  <c:v>1.84511351715074</c:v>
                </c:pt>
                <c:pt idx="42">
                  <c:v>1.72347265761712</c:v>
                </c:pt>
                <c:pt idx="43">
                  <c:v>1.6021950734505599</c:v>
                </c:pt>
                <c:pt idx="44">
                  <c:v>1.5719618152981301</c:v>
                </c:pt>
                <c:pt idx="45">
                  <c:v>1.5365767634984999</c:v>
                </c:pt>
                <c:pt idx="46">
                  <c:v>1.52067822532306</c:v>
                </c:pt>
                <c:pt idx="47">
                  <c:v>1.5873092200049801</c:v>
                </c:pt>
                <c:pt idx="48">
                  <c:v>1.66559391003124</c:v>
                </c:pt>
                <c:pt idx="49">
                  <c:v>1.75871139957124</c:v>
                </c:pt>
                <c:pt idx="50">
                  <c:v>1.82183930536793</c:v>
                </c:pt>
                <c:pt idx="51">
                  <c:v>1.88421521069265</c:v>
                </c:pt>
                <c:pt idx="52">
                  <c:v>1.9466812875533399</c:v>
                </c:pt>
                <c:pt idx="53">
                  <c:v>1.8807039874595</c:v>
                </c:pt>
                <c:pt idx="54">
                  <c:v>1.8170847019643599</c:v>
                </c:pt>
                <c:pt idx="55">
                  <c:v>1.7496267398121399</c:v>
                </c:pt>
                <c:pt idx="56">
                  <c:v>1.7714716132897099</c:v>
                </c:pt>
                <c:pt idx="57">
                  <c:v>1.81319279028608</c:v>
                </c:pt>
                <c:pt idx="58">
                  <c:v>1.8138412801203301</c:v>
                </c:pt>
                <c:pt idx="59">
                  <c:v>1.87343193606972</c:v>
                </c:pt>
                <c:pt idx="60">
                  <c:v>1.9319381384027301</c:v>
                </c:pt>
                <c:pt idx="61">
                  <c:v>1.99015341152685</c:v>
                </c:pt>
                <c:pt idx="62">
                  <c:v>2.0184107825924702</c:v>
                </c:pt>
                <c:pt idx="63">
                  <c:v>2.0425338310255499</c:v>
                </c:pt>
                <c:pt idx="64">
                  <c:v>2.0670987826194001</c:v>
                </c:pt>
                <c:pt idx="65">
                  <c:v>1.95328054581189</c:v>
                </c:pt>
                <c:pt idx="66">
                  <c:v>1.85093970185137</c:v>
                </c:pt>
                <c:pt idx="67">
                  <c:v>1.7545429835452599</c:v>
                </c:pt>
                <c:pt idx="68">
                  <c:v>1.7448832122733999</c:v>
                </c:pt>
                <c:pt idx="69">
                  <c:v>1.7336243085265699</c:v>
                </c:pt>
                <c:pt idx="70">
                  <c:v>1.72066191216883</c:v>
                </c:pt>
                <c:pt idx="71">
                  <c:v>1.7591204982059301</c:v>
                </c:pt>
                <c:pt idx="72">
                  <c:v>1.7959286255261899</c:v>
                </c:pt>
                <c:pt idx="73">
                  <c:v>1.8282947766922899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680256"/>
        <c:axId val="338416768"/>
      </c:lineChart>
      <c:dateAx>
        <c:axId val="233680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8416768"/>
        <c:crosses val="autoZero"/>
        <c:auto val="1"/>
        <c:lblOffset val="100"/>
        <c:baseTimeUnit val="months"/>
      </c:dateAx>
      <c:valAx>
        <c:axId val="338416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3680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Total!$AB$3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Total!$AA$4:$AA$77</c:f>
              <c:numCache>
                <c:formatCode>m/d/yyyy</c:formatCode>
                <c:ptCount val="7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Total!$AB$4:$AB$77</c:f>
              <c:numCache>
                <c:formatCode>General</c:formatCode>
                <c:ptCount val="74"/>
                <c:pt idx="0">
                  <c:v>0.27509109675391002</c:v>
                </c:pt>
                <c:pt idx="1">
                  <c:v>0.44704845161130902</c:v>
                </c:pt>
                <c:pt idx="2">
                  <c:v>0.261708400963578</c:v>
                </c:pt>
                <c:pt idx="3">
                  <c:v>0.36067900324875402</c:v>
                </c:pt>
                <c:pt idx="4">
                  <c:v>0.41976073582475898</c:v>
                </c:pt>
                <c:pt idx="5">
                  <c:v>0.50774075725509304</c:v>
                </c:pt>
                <c:pt idx="6">
                  <c:v>0.62623239539250097</c:v>
                </c:pt>
                <c:pt idx="7">
                  <c:v>0.68737668289046105</c:v>
                </c:pt>
                <c:pt idx="8">
                  <c:v>0.79534946822721297</c:v>
                </c:pt>
                <c:pt idx="9">
                  <c:v>0.92746696288519304</c:v>
                </c:pt>
                <c:pt idx="10">
                  <c:v>1.0490491654231</c:v>
                </c:pt>
                <c:pt idx="11">
                  <c:v>1.1035143371721701</c:v>
                </c:pt>
                <c:pt idx="12">
                  <c:v>1.2105253091761801</c:v>
                </c:pt>
                <c:pt idx="13">
                  <c:v>1.4851288041178199</c:v>
                </c:pt>
                <c:pt idx="14">
                  <c:v>1.52824889742986</c:v>
                </c:pt>
                <c:pt idx="15">
                  <c:v>1.68687044032341</c:v>
                </c:pt>
                <c:pt idx="16">
                  <c:v>1.6848728037192</c:v>
                </c:pt>
                <c:pt idx="17">
                  <c:v>1.6361705108703199</c:v>
                </c:pt>
                <c:pt idx="18">
                  <c:v>1.6957591793373701</c:v>
                </c:pt>
                <c:pt idx="19">
                  <c:v>1.7463941145120001</c:v>
                </c:pt>
                <c:pt idx="20">
                  <c:v>1.81984773034175</c:v>
                </c:pt>
                <c:pt idx="21">
                  <c:v>1.9130439733139699</c:v>
                </c:pt>
                <c:pt idx="22">
                  <c:v>2.0089099823427499</c:v>
                </c:pt>
                <c:pt idx="23">
                  <c:v>2.1264628324773498</c:v>
                </c:pt>
                <c:pt idx="24">
                  <c:v>2.22875468728515</c:v>
                </c:pt>
                <c:pt idx="25">
                  <c:v>2.38252615163477</c:v>
                </c:pt>
                <c:pt idx="26">
                  <c:v>2.4776146183298602</c:v>
                </c:pt>
                <c:pt idx="27">
                  <c:v>2.4954169777215198</c:v>
                </c:pt>
                <c:pt idx="28">
                  <c:v>2.6244616533120499</c:v>
                </c:pt>
                <c:pt idx="29">
                  <c:v>2.5630210980474399</c:v>
                </c:pt>
                <c:pt idx="30">
                  <c:v>2.33762618406712</c:v>
                </c:pt>
                <c:pt idx="31">
                  <c:v>2.20142231818742</c:v>
                </c:pt>
                <c:pt idx="32">
                  <c:v>2.1116249029608398</c:v>
                </c:pt>
                <c:pt idx="33">
                  <c:v>2.0153051509465101</c:v>
                </c:pt>
                <c:pt idx="34">
                  <c:v>1.9510265603555299</c:v>
                </c:pt>
                <c:pt idx="35">
                  <c:v>1.93308785131862</c:v>
                </c:pt>
                <c:pt idx="36">
                  <c:v>1.94808144139175</c:v>
                </c:pt>
                <c:pt idx="37">
                  <c:v>1.9800299176592999</c:v>
                </c:pt>
                <c:pt idx="38">
                  <c:v>1.9637177930406999</c:v>
                </c:pt>
                <c:pt idx="39">
                  <c:v>1.96335660189131</c:v>
                </c:pt>
                <c:pt idx="40">
                  <c:v>1.9609355424118999</c:v>
                </c:pt>
                <c:pt idx="41">
                  <c:v>1.84511351715074</c:v>
                </c:pt>
                <c:pt idx="42">
                  <c:v>1.72347265761712</c:v>
                </c:pt>
                <c:pt idx="43">
                  <c:v>1.6021950734505599</c:v>
                </c:pt>
                <c:pt idx="44">
                  <c:v>1.5719618152981301</c:v>
                </c:pt>
                <c:pt idx="45">
                  <c:v>1.5365767634984999</c:v>
                </c:pt>
                <c:pt idx="46">
                  <c:v>1.52067822532306</c:v>
                </c:pt>
                <c:pt idx="47">
                  <c:v>1.5873092200049801</c:v>
                </c:pt>
                <c:pt idx="48">
                  <c:v>1.66559391003124</c:v>
                </c:pt>
                <c:pt idx="49">
                  <c:v>1.75871139957124</c:v>
                </c:pt>
                <c:pt idx="50">
                  <c:v>1.82183930536793</c:v>
                </c:pt>
                <c:pt idx="51">
                  <c:v>1.88421521069265</c:v>
                </c:pt>
                <c:pt idx="52">
                  <c:v>1.9466812875533399</c:v>
                </c:pt>
                <c:pt idx="53">
                  <c:v>1.8807039874595</c:v>
                </c:pt>
                <c:pt idx="54">
                  <c:v>1.8170847019643599</c:v>
                </c:pt>
                <c:pt idx="55">
                  <c:v>1.7496267398121399</c:v>
                </c:pt>
                <c:pt idx="56">
                  <c:v>1.7714716132897099</c:v>
                </c:pt>
                <c:pt idx="57">
                  <c:v>1.81319279028608</c:v>
                </c:pt>
                <c:pt idx="58">
                  <c:v>1.8138412801203301</c:v>
                </c:pt>
                <c:pt idx="59">
                  <c:v>1.87343193606972</c:v>
                </c:pt>
                <c:pt idx="60">
                  <c:v>1.9319381384027301</c:v>
                </c:pt>
                <c:pt idx="61">
                  <c:v>1.99015341152685</c:v>
                </c:pt>
                <c:pt idx="62">
                  <c:v>2.0184107825924702</c:v>
                </c:pt>
                <c:pt idx="63">
                  <c:v>2.0425338310255499</c:v>
                </c:pt>
                <c:pt idx="64">
                  <c:v>2.0670987826194001</c:v>
                </c:pt>
                <c:pt idx="65">
                  <c:v>1.95328054581189</c:v>
                </c:pt>
                <c:pt idx="66">
                  <c:v>1.85093970185137</c:v>
                </c:pt>
                <c:pt idx="67">
                  <c:v>1.7545429835452599</c:v>
                </c:pt>
                <c:pt idx="68">
                  <c:v>1.7448832122733999</c:v>
                </c:pt>
                <c:pt idx="69">
                  <c:v>1.7336243085265699</c:v>
                </c:pt>
                <c:pt idx="70">
                  <c:v>1.72066191216883</c:v>
                </c:pt>
                <c:pt idx="71">
                  <c:v>1.7591204982059301</c:v>
                </c:pt>
                <c:pt idx="72">
                  <c:v>1.7959286255261899</c:v>
                </c:pt>
                <c:pt idx="73">
                  <c:v>1.8282947766922899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Total!$AC$3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Total!$AA$4:$AA$77</c:f>
              <c:numCache>
                <c:formatCode>m/d/yyyy</c:formatCode>
                <c:ptCount val="7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Total!$AC$4:$AC$77</c:f>
              <c:numCache>
                <c:formatCode>General</c:formatCode>
                <c:ptCount val="74"/>
                <c:pt idx="0">
                  <c:v>0.27509109675391002</c:v>
                </c:pt>
                <c:pt idx="1">
                  <c:v>0.44704845161130902</c:v>
                </c:pt>
                <c:pt idx="2">
                  <c:v>0.261708400963578</c:v>
                </c:pt>
                <c:pt idx="3">
                  <c:v>0.36067900324875402</c:v>
                </c:pt>
                <c:pt idx="4">
                  <c:v>0.41976073582475898</c:v>
                </c:pt>
                <c:pt idx="5">
                  <c:v>0.50774075725509304</c:v>
                </c:pt>
                <c:pt idx="6">
                  <c:v>0.62623239539250097</c:v>
                </c:pt>
                <c:pt idx="7">
                  <c:v>0.68737668289046105</c:v>
                </c:pt>
                <c:pt idx="8">
                  <c:v>0.79534946822721297</c:v>
                </c:pt>
                <c:pt idx="9">
                  <c:v>0.92746696288519304</c:v>
                </c:pt>
                <c:pt idx="10">
                  <c:v>1.0490491654231</c:v>
                </c:pt>
                <c:pt idx="11">
                  <c:v>1.1035143371721701</c:v>
                </c:pt>
                <c:pt idx="12">
                  <c:v>1.2105253091761801</c:v>
                </c:pt>
                <c:pt idx="13">
                  <c:v>1.4851288041178199</c:v>
                </c:pt>
                <c:pt idx="14">
                  <c:v>1.52824889742986</c:v>
                </c:pt>
                <c:pt idx="15">
                  <c:v>1.68687044032341</c:v>
                </c:pt>
                <c:pt idx="16">
                  <c:v>1.6848728037192</c:v>
                </c:pt>
                <c:pt idx="17">
                  <c:v>1.6361705108703199</c:v>
                </c:pt>
                <c:pt idx="18">
                  <c:v>1.6957591793373701</c:v>
                </c:pt>
                <c:pt idx="19">
                  <c:v>1.7463941145120001</c:v>
                </c:pt>
                <c:pt idx="20">
                  <c:v>1.81984773034175</c:v>
                </c:pt>
                <c:pt idx="21">
                  <c:v>1.9130439733139699</c:v>
                </c:pt>
                <c:pt idx="22">
                  <c:v>2.0089099823427499</c:v>
                </c:pt>
                <c:pt idx="23">
                  <c:v>2.1264628324773498</c:v>
                </c:pt>
                <c:pt idx="24">
                  <c:v>2.22875468728515</c:v>
                </c:pt>
                <c:pt idx="25">
                  <c:v>2.38252615163477</c:v>
                </c:pt>
                <c:pt idx="26">
                  <c:v>2.4776146183298602</c:v>
                </c:pt>
                <c:pt idx="27">
                  <c:v>2.4954169777215198</c:v>
                </c:pt>
                <c:pt idx="28">
                  <c:v>2.6244616533120499</c:v>
                </c:pt>
                <c:pt idx="29">
                  <c:v>2.5630210980474399</c:v>
                </c:pt>
                <c:pt idx="30">
                  <c:v>2.33762618406712</c:v>
                </c:pt>
                <c:pt idx="31">
                  <c:v>2.2014223096853298</c:v>
                </c:pt>
                <c:pt idx="32">
                  <c:v>2.1116245754321001</c:v>
                </c:pt>
                <c:pt idx="33">
                  <c:v>2.0153041536120901</c:v>
                </c:pt>
                <c:pt idx="34">
                  <c:v>1.9510239178557101</c:v>
                </c:pt>
                <c:pt idx="35">
                  <c:v>1.93308243452495</c:v>
                </c:pt>
                <c:pt idx="36">
                  <c:v>1.9480742556364601</c:v>
                </c:pt>
                <c:pt idx="37">
                  <c:v>1.9800144763024901</c:v>
                </c:pt>
                <c:pt idx="38">
                  <c:v>1.9636941460132</c:v>
                </c:pt>
                <c:pt idx="39">
                  <c:v>1.9633199592895001</c:v>
                </c:pt>
                <c:pt idx="40">
                  <c:v>1.9608762204477499</c:v>
                </c:pt>
                <c:pt idx="41">
                  <c:v>1.84470858321512</c:v>
                </c:pt>
                <c:pt idx="42">
                  <c:v>1.7209139101261099</c:v>
                </c:pt>
                <c:pt idx="43">
                  <c:v>1.59364260542262</c:v>
                </c:pt>
                <c:pt idx="44">
                  <c:v>1.55879211708403</c:v>
                </c:pt>
                <c:pt idx="45">
                  <c:v>1.51873802411099</c:v>
                </c:pt>
                <c:pt idx="46">
                  <c:v>1.49864918435585</c:v>
                </c:pt>
                <c:pt idx="47">
                  <c:v>1.5649643825481301</c:v>
                </c:pt>
                <c:pt idx="48">
                  <c:v>1.64275757309938</c:v>
                </c:pt>
                <c:pt idx="49">
                  <c:v>1.7354728844843601</c:v>
                </c:pt>
                <c:pt idx="50">
                  <c:v>1.7975011178648601</c:v>
                </c:pt>
                <c:pt idx="51">
                  <c:v>1.85887032936913</c:v>
                </c:pt>
                <c:pt idx="52">
                  <c:v>1.9203771614427101</c:v>
                </c:pt>
                <c:pt idx="53">
                  <c:v>1.8530799410630601</c:v>
                </c:pt>
                <c:pt idx="54">
                  <c:v>1.7924730781613201</c:v>
                </c:pt>
                <c:pt idx="55">
                  <c:v>1.73324210800275</c:v>
                </c:pt>
                <c:pt idx="56">
                  <c:v>1.7602011041321901</c:v>
                </c:pt>
                <c:pt idx="57">
                  <c:v>1.8050383607357099</c:v>
                </c:pt>
                <c:pt idx="58">
                  <c:v>1.81506986957256</c:v>
                </c:pt>
                <c:pt idx="59">
                  <c:v>1.87669305542961</c:v>
                </c:pt>
                <c:pt idx="60">
                  <c:v>1.9373276050077699</c:v>
                </c:pt>
                <c:pt idx="61">
                  <c:v>1.9974907238704001</c:v>
                </c:pt>
                <c:pt idx="62">
                  <c:v>2.0319885501833901</c:v>
                </c:pt>
                <c:pt idx="63">
                  <c:v>2.06280942651764</c:v>
                </c:pt>
                <c:pt idx="64">
                  <c:v>2.0948661195270901</c:v>
                </c:pt>
                <c:pt idx="65">
                  <c:v>2.0131884562689799</c:v>
                </c:pt>
                <c:pt idx="66">
                  <c:v>1.9487724338800401</c:v>
                </c:pt>
                <c:pt idx="67">
                  <c:v>1.89466894506699</c:v>
                </c:pt>
                <c:pt idx="68">
                  <c:v>1.9051334582072099</c:v>
                </c:pt>
                <c:pt idx="69">
                  <c:v>1.91438491178639</c:v>
                </c:pt>
                <c:pt idx="70">
                  <c:v>1.9214407793513699</c:v>
                </c:pt>
                <c:pt idx="71">
                  <c:v>1.9666331114546101</c:v>
                </c:pt>
                <c:pt idx="72">
                  <c:v>2.0099455968703999</c:v>
                </c:pt>
                <c:pt idx="73">
                  <c:v>2.0494281901048401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156800"/>
        <c:axId val="366158592"/>
      </c:lineChart>
      <c:dateAx>
        <c:axId val="366156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6158592"/>
        <c:crosses val="autoZero"/>
        <c:auto val="1"/>
        <c:lblOffset val="100"/>
        <c:baseTimeUnit val="months"/>
      </c:dateAx>
      <c:valAx>
        <c:axId val="366158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6156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2009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'2009'!$L$2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'2009'!$K$3:$K$76</c:f>
              <c:numCache>
                <c:formatCode>m/d/yyyy</c:formatCode>
                <c:ptCount val="7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'2009'!$L$3:$L$76</c:f>
              <c:numCache>
                <c:formatCode>General</c:formatCode>
                <c:ptCount val="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2.5099999999999998</c:v>
                </c:pt>
                <c:pt idx="15">
                  <c:v>14.24</c:v>
                </c:pt>
                <c:pt idx="16">
                  <c:v>#N/A</c:v>
                </c:pt>
                <c:pt idx="17">
                  <c:v>2.0499999999999998</c:v>
                </c:pt>
                <c:pt idx="18">
                  <c:v>#N/A</c:v>
                </c:pt>
                <c:pt idx="19">
                  <c:v>4.43</c:v>
                </c:pt>
                <c:pt idx="20">
                  <c:v>8.3699999999999992</c:v>
                </c:pt>
                <c:pt idx="21">
                  <c:v>8.76</c:v>
                </c:pt>
                <c:pt idx="22">
                  <c:v>4.43</c:v>
                </c:pt>
                <c:pt idx="23">
                  <c:v>1.28</c:v>
                </c:pt>
                <c:pt idx="24">
                  <c:v>3.44</c:v>
                </c:pt>
                <c:pt idx="25">
                  <c:v>7.55</c:v>
                </c:pt>
                <c:pt idx="26">
                  <c:v>1.77</c:v>
                </c:pt>
                <c:pt idx="27">
                  <c:v>8.27</c:v>
                </c:pt>
                <c:pt idx="28">
                  <c:v>2.98</c:v>
                </c:pt>
                <c:pt idx="29">
                  <c:v>1.44</c:v>
                </c:pt>
                <c:pt idx="30">
                  <c:v>5.68</c:v>
                </c:pt>
                <c:pt idx="31">
                  <c:v>9.31</c:v>
                </c:pt>
                <c:pt idx="32">
                  <c:v>4.74</c:v>
                </c:pt>
                <c:pt idx="33">
                  <c:v>13.63</c:v>
                </c:pt>
                <c:pt idx="34">
                  <c:v>2.87</c:v>
                </c:pt>
                <c:pt idx="35">
                  <c:v>#N/A</c:v>
                </c:pt>
                <c:pt idx="36">
                  <c:v>8.24</c:v>
                </c:pt>
                <c:pt idx="37">
                  <c:v>16.690000000000001</c:v>
                </c:pt>
                <c:pt idx="38">
                  <c:v>9.09</c:v>
                </c:pt>
                <c:pt idx="39">
                  <c:v>8.36</c:v>
                </c:pt>
                <c:pt idx="40">
                  <c:v>5.45</c:v>
                </c:pt>
                <c:pt idx="41">
                  <c:v>4.3499999999999996</c:v>
                </c:pt>
                <c:pt idx="42">
                  <c:v>3.01</c:v>
                </c:pt>
                <c:pt idx="43">
                  <c:v>4.04</c:v>
                </c:pt>
                <c:pt idx="44">
                  <c:v>9.3800000000000008</c:v>
                </c:pt>
                <c:pt idx="45">
                  <c:v>7.08</c:v>
                </c:pt>
                <c:pt idx="46">
                  <c:v>#N/A</c:v>
                </c:pt>
                <c:pt idx="47">
                  <c:v>6.25</c:v>
                </c:pt>
                <c:pt idx="48">
                  <c:v>8.24</c:v>
                </c:pt>
                <c:pt idx="49">
                  <c:v>8.0399999999999991</c:v>
                </c:pt>
                <c:pt idx="50">
                  <c:v>9.36</c:v>
                </c:pt>
                <c:pt idx="51">
                  <c:v>#N/A</c:v>
                </c:pt>
                <c:pt idx="52">
                  <c:v>3.8</c:v>
                </c:pt>
                <c:pt idx="53">
                  <c:v>2.99</c:v>
                </c:pt>
                <c:pt idx="54">
                  <c:v>10.94</c:v>
                </c:pt>
                <c:pt idx="55">
                  <c:v>#N/A</c:v>
                </c:pt>
                <c:pt idx="56">
                  <c:v>9.1999999999999993</c:v>
                </c:pt>
                <c:pt idx="57">
                  <c:v>5.74</c:v>
                </c:pt>
                <c:pt idx="58">
                  <c:v>6.23</c:v>
                </c:pt>
                <c:pt idx="59">
                  <c:v>4.4800000000000004</c:v>
                </c:pt>
                <c:pt idx="60">
                  <c:v>#N/A</c:v>
                </c:pt>
                <c:pt idx="61">
                  <c:v>#N/A</c:v>
                </c:pt>
                <c:pt idx="62">
                  <c:v>5.28</c:v>
                </c:pt>
                <c:pt idx="63">
                  <c:v>2.57</c:v>
                </c:pt>
                <c:pt idx="64">
                  <c:v>4.09</c:v>
                </c:pt>
                <c:pt idx="65">
                  <c:v>#N/A</c:v>
                </c:pt>
                <c:pt idx="66">
                  <c:v>#N/A</c:v>
                </c:pt>
                <c:pt idx="67">
                  <c:v>3.22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3.35</c:v>
                </c:pt>
                <c:pt idx="73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'2009'!$M$2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'2009'!$K$3:$K$76</c:f>
              <c:numCache>
                <c:formatCode>m/d/yyyy</c:formatCode>
                <c:ptCount val="7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'2009'!$M$3:$M$76</c:f>
              <c:numCache>
                <c:formatCode>General</c:formatCode>
                <c:ptCount val="74"/>
                <c:pt idx="0">
                  <c:v>0.54948512772330405</c:v>
                </c:pt>
                <c:pt idx="1">
                  <c:v>0.89225902321563599</c:v>
                </c:pt>
                <c:pt idx="2">
                  <c:v>0.52278576597274395</c:v>
                </c:pt>
                <c:pt idx="3">
                  <c:v>0.761559213312335</c:v>
                </c:pt>
                <c:pt idx="4">
                  <c:v>1.3057997332592599</c:v>
                </c:pt>
                <c:pt idx="5">
                  <c:v>1.8004412305151201</c:v>
                </c:pt>
                <c:pt idx="6">
                  <c:v>2.2830924239652099</c:v>
                </c:pt>
                <c:pt idx="7">
                  <c:v>2.74065803158271</c:v>
                </c:pt>
                <c:pt idx="8">
                  <c:v>3.27931384367026</c:v>
                </c:pt>
                <c:pt idx="9">
                  <c:v>3.8306955581869402</c:v>
                </c:pt>
                <c:pt idx="10">
                  <c:v>4.3791373938432701</c:v>
                </c:pt>
                <c:pt idx="11">
                  <c:v>4.9664950563541401</c:v>
                </c:pt>
                <c:pt idx="12">
                  <c:v>5.5391682407004499</c:v>
                </c:pt>
                <c:pt idx="13">
                  <c:v>6.1484341991101399</c:v>
                </c:pt>
                <c:pt idx="14">
                  <c:v>6.8610135121421303</c:v>
                </c:pt>
                <c:pt idx="15">
                  <c:v>7.5289282506471196</c:v>
                </c:pt>
                <c:pt idx="16">
                  <c:v>8.2865178949550593</c:v>
                </c:pt>
                <c:pt idx="17">
                  <c:v>8.7230501350177292</c:v>
                </c:pt>
                <c:pt idx="18">
                  <c:v>9.1712503747224101</c:v>
                </c:pt>
                <c:pt idx="19">
                  <c:v>9.5613656253266299</c:v>
                </c:pt>
                <c:pt idx="20">
                  <c:v>9.9152574059672904</c:v>
                </c:pt>
                <c:pt idx="21">
                  <c:v>10.2125047681452</c:v>
                </c:pt>
                <c:pt idx="22">
                  <c:v>10.491738590586699</c:v>
                </c:pt>
                <c:pt idx="23">
                  <c:v>10.939362983616199</c:v>
                </c:pt>
                <c:pt idx="24">
                  <c:v>11.3751211741125</c:v>
                </c:pt>
                <c:pt idx="25">
                  <c:v>11.859814122789</c:v>
                </c:pt>
                <c:pt idx="26">
                  <c:v>12.1828698516073</c:v>
                </c:pt>
                <c:pt idx="27">
                  <c:v>12.502591095568899</c:v>
                </c:pt>
                <c:pt idx="28">
                  <c:v>12.835273972305901</c:v>
                </c:pt>
                <c:pt idx="29">
                  <c:v>12.664880862717901</c:v>
                </c:pt>
                <c:pt idx="30">
                  <c:v>12.5002063579491</c:v>
                </c:pt>
                <c:pt idx="31">
                  <c:v>12.2256667646752</c:v>
                </c:pt>
                <c:pt idx="32">
                  <c:v>12.189367669035899</c:v>
                </c:pt>
                <c:pt idx="33">
                  <c:v>12.2678749701236</c:v>
                </c:pt>
                <c:pt idx="34">
                  <c:v>12.0677121911431</c:v>
                </c:pt>
                <c:pt idx="35">
                  <c:v>12.2303998164546</c:v>
                </c:pt>
                <c:pt idx="36">
                  <c:v>12.259450679299499</c:v>
                </c:pt>
                <c:pt idx="37">
                  <c:v>12.300795440542201</c:v>
                </c:pt>
                <c:pt idx="38">
                  <c:v>12.324225738847501</c:v>
                </c:pt>
                <c:pt idx="39">
                  <c:v>12.204619691491599</c:v>
                </c:pt>
                <c:pt idx="40">
                  <c:v>12.20812178585</c:v>
                </c:pt>
                <c:pt idx="41">
                  <c:v>11.5044940652039</c:v>
                </c:pt>
                <c:pt idx="42">
                  <c:v>10.413557932139399</c:v>
                </c:pt>
                <c:pt idx="43">
                  <c:v>9.4859962441664205</c:v>
                </c:pt>
                <c:pt idx="44">
                  <c:v>8.9529438754610808</c:v>
                </c:pt>
                <c:pt idx="45">
                  <c:v>8.4773174311154804</c:v>
                </c:pt>
                <c:pt idx="46">
                  <c:v>8.0361439708348197</c:v>
                </c:pt>
                <c:pt idx="47">
                  <c:v>7.7676773316375796</c:v>
                </c:pt>
                <c:pt idx="48">
                  <c:v>7.79715724891624</c:v>
                </c:pt>
                <c:pt idx="49">
                  <c:v>7.7390680120501401</c:v>
                </c:pt>
                <c:pt idx="50">
                  <c:v>7.7031967552695804</c:v>
                </c:pt>
                <c:pt idx="51">
                  <c:v>7.5112683669218603</c:v>
                </c:pt>
                <c:pt idx="52">
                  <c:v>7.3741558862687704</c:v>
                </c:pt>
                <c:pt idx="53">
                  <c:v>6.7809383305528099</c:v>
                </c:pt>
                <c:pt idx="54">
                  <c:v>6.1968738592160104</c:v>
                </c:pt>
                <c:pt idx="55">
                  <c:v>5.7525381592457299</c:v>
                </c:pt>
                <c:pt idx="56">
                  <c:v>5.5357287068801799</c:v>
                </c:pt>
                <c:pt idx="57">
                  <c:v>5.7264865176285999</c:v>
                </c:pt>
                <c:pt idx="58">
                  <c:v>5.1703988691920602</c:v>
                </c:pt>
                <c:pt idx="59">
                  <c:v>5.1681092637357198</c:v>
                </c:pt>
                <c:pt idx="60">
                  <c:v>5.1402099109515396</c:v>
                </c:pt>
                <c:pt idx="61">
                  <c:v>5.1291664917459796</c:v>
                </c:pt>
                <c:pt idx="62">
                  <c:v>5.0322092123073503</c:v>
                </c:pt>
                <c:pt idx="63">
                  <c:v>4.9304843878423199</c:v>
                </c:pt>
                <c:pt idx="64">
                  <c:v>4.7798121613147897</c:v>
                </c:pt>
                <c:pt idx="65">
                  <c:v>4.5039596903921604</c:v>
                </c:pt>
                <c:pt idx="66">
                  <c:v>4.2590940958662902</c:v>
                </c:pt>
                <c:pt idx="67">
                  <c:v>4.0412754385211898</c:v>
                </c:pt>
                <c:pt idx="68">
                  <c:v>4.0305747630139104</c:v>
                </c:pt>
                <c:pt idx="69">
                  <c:v>3.9770750273664199</c:v>
                </c:pt>
                <c:pt idx="70">
                  <c:v>3.8607807675564998</c:v>
                </c:pt>
                <c:pt idx="71">
                  <c:v>3.9455780030451</c:v>
                </c:pt>
                <c:pt idx="72">
                  <c:v>3.9512773767253799</c:v>
                </c:pt>
                <c:pt idx="73">
                  <c:v>4.0183490747602999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'2009'!$N$2</c:f>
              <c:strCache>
                <c:ptCount val="1"/>
                <c:pt idx="0">
                  <c:v>New Model</c:v>
                </c:pt>
              </c:strCache>
            </c:strRef>
          </c:tx>
          <c:marker>
            <c:symbol val="none"/>
          </c:marker>
          <c:cat>
            <c:numRef>
              <c:f>'2009'!$K$3:$K$76</c:f>
              <c:numCache>
                <c:formatCode>m/d/yyyy</c:formatCode>
                <c:ptCount val="7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'2009'!$N$3:$N$76</c:f>
              <c:numCache>
                <c:formatCode>General</c:formatCode>
                <c:ptCount val="74"/>
                <c:pt idx="0">
                  <c:v>0.27509109675391002</c:v>
                </c:pt>
                <c:pt idx="1">
                  <c:v>0.44704845161130902</c:v>
                </c:pt>
                <c:pt idx="2">
                  <c:v>0.261708400963578</c:v>
                </c:pt>
                <c:pt idx="3">
                  <c:v>0.38144893679157299</c:v>
                </c:pt>
                <c:pt idx="4">
                  <c:v>0.65487033711284504</c:v>
                </c:pt>
                <c:pt idx="5">
                  <c:v>0.90397404108055701</c:v>
                </c:pt>
                <c:pt idx="6">
                  <c:v>1.1475947574835199</c:v>
                </c:pt>
                <c:pt idx="7">
                  <c:v>1.3790636603172099</c:v>
                </c:pt>
                <c:pt idx="8">
                  <c:v>1.6521950250138699</c:v>
                </c:pt>
                <c:pt idx="9">
                  <c:v>1.93250325662834</c:v>
                </c:pt>
                <c:pt idx="10">
                  <c:v>2.2120497945091002</c:v>
                </c:pt>
                <c:pt idx="11">
                  <c:v>2.5122498428776501</c:v>
                </c:pt>
                <c:pt idx="12">
                  <c:v>2.80576622244884</c:v>
                </c:pt>
                <c:pt idx="13">
                  <c:v>3.11893673924475</c:v>
                </c:pt>
                <c:pt idx="14">
                  <c:v>3.4863994203156099</c:v>
                </c:pt>
                <c:pt idx="15">
                  <c:v>3.8320046608951301</c:v>
                </c:pt>
                <c:pt idx="16">
                  <c:v>4.2254035873157996</c:v>
                </c:pt>
                <c:pt idx="17">
                  <c:v>4.4527636742896197</c:v>
                </c:pt>
                <c:pt idx="18">
                  <c:v>4.6867219383285104</c:v>
                </c:pt>
                <c:pt idx="19">
                  <c:v>4.8907929293967101</c:v>
                </c:pt>
                <c:pt idx="20">
                  <c:v>5.0762660099094497</c:v>
                </c:pt>
                <c:pt idx="21">
                  <c:v>5.2323113309493499</c:v>
                </c:pt>
                <c:pt idx="22">
                  <c:v>5.3791169185036898</c:v>
                </c:pt>
                <c:pt idx="23">
                  <c:v>5.6148935918282499</c:v>
                </c:pt>
                <c:pt idx="24">
                  <c:v>5.84494481614081</c:v>
                </c:pt>
                <c:pt idx="25">
                  <c:v>6.1014432875406399</c:v>
                </c:pt>
                <c:pt idx="26">
                  <c:v>6.2727647472029</c:v>
                </c:pt>
                <c:pt idx="27">
                  <c:v>6.4426040593033402</c:v>
                </c:pt>
                <c:pt idx="28">
                  <c:v>6.6196326604806703</c:v>
                </c:pt>
                <c:pt idx="29">
                  <c:v>6.5289235373897103</c:v>
                </c:pt>
                <c:pt idx="30">
                  <c:v>6.44133620375933</c:v>
                </c:pt>
                <c:pt idx="31">
                  <c:v>6.2954823826716098</c:v>
                </c:pt>
                <c:pt idx="32">
                  <c:v>6.2762136171810097</c:v>
                </c:pt>
                <c:pt idx="33">
                  <c:v>6.3178925179355403</c:v>
                </c:pt>
                <c:pt idx="34">
                  <c:v>6.2116615988002604</c:v>
                </c:pt>
                <c:pt idx="35">
                  <c:v>6.2979951143617496</c:v>
                </c:pt>
                <c:pt idx="36">
                  <c:v>6.3134193060942598</c:v>
                </c:pt>
                <c:pt idx="37">
                  <c:v>6.3353748478385299</c:v>
                </c:pt>
                <c:pt idx="38">
                  <c:v>6.3478192888453897</c:v>
                </c:pt>
                <c:pt idx="39">
                  <c:v>6.2846509207004901</c:v>
                </c:pt>
                <c:pt idx="40">
                  <c:v>6.2884487383663501</c:v>
                </c:pt>
                <c:pt idx="41">
                  <c:v>5.9332357047856101</c:v>
                </c:pt>
                <c:pt idx="42">
                  <c:v>5.3908563800154399</c:v>
                </c:pt>
                <c:pt idx="43">
                  <c:v>4.9379308639659998</c:v>
                </c:pt>
                <c:pt idx="44">
                  <c:v>4.6929830372241002</c:v>
                </c:pt>
                <c:pt idx="45">
                  <c:v>4.4790417594357903</c:v>
                </c:pt>
                <c:pt idx="46">
                  <c:v>4.2823381628921204</c:v>
                </c:pt>
                <c:pt idx="47">
                  <c:v>4.1729463440216703</c:v>
                </c:pt>
                <c:pt idx="48">
                  <c:v>4.2248054611717203</c:v>
                </c:pt>
                <c:pt idx="49">
                  <c:v>4.2286402190308099</c:v>
                </c:pt>
                <c:pt idx="50">
                  <c:v>4.24492165246936</c:v>
                </c:pt>
                <c:pt idx="51">
                  <c:v>4.1766174839162797</c:v>
                </c:pt>
                <c:pt idx="52">
                  <c:v>4.1379096466611598</c:v>
                </c:pt>
                <c:pt idx="53">
                  <c:v>3.8641326147442601</c:v>
                </c:pt>
                <c:pt idx="54">
                  <c:v>3.59040778687082</c:v>
                </c:pt>
                <c:pt idx="55">
                  <c:v>3.3908137914596299</c:v>
                </c:pt>
                <c:pt idx="56">
                  <c:v>3.2916724663911698</c:v>
                </c:pt>
                <c:pt idx="57">
                  <c:v>3.4290924363123301</c:v>
                </c:pt>
                <c:pt idx="58">
                  <c:v>3.1198632804290898</c:v>
                </c:pt>
                <c:pt idx="59">
                  <c:v>3.14599164092217</c:v>
                </c:pt>
                <c:pt idx="60">
                  <c:v>3.1548634685172199</c:v>
                </c:pt>
                <c:pt idx="61">
                  <c:v>3.1768431461497499</c:v>
                </c:pt>
                <c:pt idx="62">
                  <c:v>3.1342077440782199</c:v>
                </c:pt>
                <c:pt idx="63">
                  <c:v>3.07942882893951</c:v>
                </c:pt>
                <c:pt idx="64">
                  <c:v>2.9910453511522901</c:v>
                </c:pt>
                <c:pt idx="65">
                  <c:v>2.8075309399787902</c:v>
                </c:pt>
                <c:pt idx="66">
                  <c:v>2.6242645138120801</c:v>
                </c:pt>
                <c:pt idx="67">
                  <c:v>2.4467333822101298</c:v>
                </c:pt>
                <c:pt idx="68">
                  <c:v>2.42385686640465</c:v>
                </c:pt>
                <c:pt idx="69">
                  <c:v>2.3761553986744</c:v>
                </c:pt>
                <c:pt idx="70">
                  <c:v>2.27391778206951</c:v>
                </c:pt>
                <c:pt idx="71">
                  <c:v>2.34194959016697</c:v>
                </c:pt>
                <c:pt idx="72">
                  <c:v>2.3337678675870199</c:v>
                </c:pt>
                <c:pt idx="73">
                  <c:v>2.3698518571274598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55904"/>
        <c:axId val="57757696"/>
      </c:lineChart>
      <c:dateAx>
        <c:axId val="57755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757696"/>
        <c:crosses val="autoZero"/>
        <c:auto val="1"/>
        <c:lblOffset val="100"/>
        <c:baseTimeUnit val="months"/>
      </c:dateAx>
      <c:valAx>
        <c:axId val="57757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755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2010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'2010'!$L$2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'2010'!$K$3:$K$76</c:f>
              <c:numCache>
                <c:formatCode>m/d/yyyy</c:formatCode>
                <c:ptCount val="74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'2010'!$L$3:$L$76</c:f>
              <c:numCache>
                <c:formatCode>General</c:formatCode>
                <c:ptCount val="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1.4</c:v>
                </c:pt>
                <c:pt idx="12">
                  <c:v>2.52</c:v>
                </c:pt>
                <c:pt idx="13">
                  <c:v>1.7</c:v>
                </c:pt>
                <c:pt idx="14">
                  <c:v>1.8</c:v>
                </c:pt>
                <c:pt idx="15">
                  <c:v>1.61</c:v>
                </c:pt>
                <c:pt idx="16">
                  <c:v>2.96</c:v>
                </c:pt>
                <c:pt idx="17">
                  <c:v>4.3</c:v>
                </c:pt>
                <c:pt idx="18">
                  <c:v>3.39</c:v>
                </c:pt>
                <c:pt idx="19">
                  <c:v>4.01</c:v>
                </c:pt>
                <c:pt idx="20">
                  <c:v>3.77</c:v>
                </c:pt>
                <c:pt idx="21">
                  <c:v>3.41</c:v>
                </c:pt>
                <c:pt idx="22">
                  <c:v>5.17</c:v>
                </c:pt>
                <c:pt idx="23">
                  <c:v>4.9400000000000004</c:v>
                </c:pt>
                <c:pt idx="24">
                  <c:v>5.22</c:v>
                </c:pt>
                <c:pt idx="25">
                  <c:v>5.31</c:v>
                </c:pt>
                <c:pt idx="26">
                  <c:v>5.09</c:v>
                </c:pt>
                <c:pt idx="27">
                  <c:v>3.81</c:v>
                </c:pt>
                <c:pt idx="28">
                  <c:v>5.31</c:v>
                </c:pt>
                <c:pt idx="29">
                  <c:v>5.09</c:v>
                </c:pt>
                <c:pt idx="30">
                  <c:v>4.33</c:v>
                </c:pt>
                <c:pt idx="31">
                  <c:v>4.6900000000000004</c:v>
                </c:pt>
                <c:pt idx="32">
                  <c:v>4.67</c:v>
                </c:pt>
                <c:pt idx="33">
                  <c:v>4.49</c:v>
                </c:pt>
                <c:pt idx="34">
                  <c:v>5.29</c:v>
                </c:pt>
                <c:pt idx="35">
                  <c:v>4.3</c:v>
                </c:pt>
                <c:pt idx="36">
                  <c:v>3.82</c:v>
                </c:pt>
                <c:pt idx="37">
                  <c:v>3.63</c:v>
                </c:pt>
                <c:pt idx="38">
                  <c:v>5.23</c:v>
                </c:pt>
                <c:pt idx="39">
                  <c:v>2.4900000000000002</c:v>
                </c:pt>
                <c:pt idx="40">
                  <c:v>3.14</c:v>
                </c:pt>
                <c:pt idx="41">
                  <c:v>2.2400000000000002</c:v>
                </c:pt>
                <c:pt idx="42">
                  <c:v>3.79</c:v>
                </c:pt>
                <c:pt idx="43">
                  <c:v>4.3600000000000003</c:v>
                </c:pt>
                <c:pt idx="44">
                  <c:v>3.51</c:v>
                </c:pt>
                <c:pt idx="45">
                  <c:v>4.16</c:v>
                </c:pt>
                <c:pt idx="46">
                  <c:v>3.62</c:v>
                </c:pt>
                <c:pt idx="47">
                  <c:v>3.19</c:v>
                </c:pt>
                <c:pt idx="48">
                  <c:v>2.93</c:v>
                </c:pt>
                <c:pt idx="49">
                  <c:v>4.5199999999999996</c:v>
                </c:pt>
                <c:pt idx="50">
                  <c:v>3.49</c:v>
                </c:pt>
                <c:pt idx="51">
                  <c:v>2.15</c:v>
                </c:pt>
                <c:pt idx="52">
                  <c:v>2.92</c:v>
                </c:pt>
                <c:pt idx="53">
                  <c:v>1.61</c:v>
                </c:pt>
                <c:pt idx="54">
                  <c:v>2.57</c:v>
                </c:pt>
                <c:pt idx="55">
                  <c:v>2.19</c:v>
                </c:pt>
                <c:pt idx="56">
                  <c:v>1.75</c:v>
                </c:pt>
                <c:pt idx="57">
                  <c:v>3.22</c:v>
                </c:pt>
                <c:pt idx="58">
                  <c:v>1.74</c:v>
                </c:pt>
                <c:pt idx="59">
                  <c:v>2.66</c:v>
                </c:pt>
                <c:pt idx="60">
                  <c:v>2.4500000000000002</c:v>
                </c:pt>
                <c:pt idx="61">
                  <c:v>2.73</c:v>
                </c:pt>
                <c:pt idx="62">
                  <c:v>2.2200000000000002</c:v>
                </c:pt>
                <c:pt idx="63">
                  <c:v>2.3199999999999998</c:v>
                </c:pt>
                <c:pt idx="64">
                  <c:v>1.61</c:v>
                </c:pt>
                <c:pt idx="65">
                  <c:v>1.95</c:v>
                </c:pt>
                <c:pt idx="66">
                  <c:v>3.35</c:v>
                </c:pt>
                <c:pt idx="67">
                  <c:v>1.91</c:v>
                </c:pt>
                <c:pt idx="68">
                  <c:v>1.91</c:v>
                </c:pt>
                <c:pt idx="69">
                  <c:v>2.0499999999999998</c:v>
                </c:pt>
                <c:pt idx="70">
                  <c:v>2.35</c:v>
                </c:pt>
                <c:pt idx="71">
                  <c:v>1.91</c:v>
                </c:pt>
                <c:pt idx="72">
                  <c:v>2.0499999999999998</c:v>
                </c:pt>
                <c:pt idx="73">
                  <c:v>2.35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'2010'!$M$2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'2010'!$K$3:$K$76</c:f>
              <c:numCache>
                <c:formatCode>m/d/yyyy</c:formatCode>
                <c:ptCount val="74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'2010'!$M$3:$M$76</c:f>
              <c:numCache>
                <c:formatCode>General</c:formatCode>
                <c:ptCount val="74"/>
                <c:pt idx="0">
                  <c:v>0.37791177867519998</c:v>
                </c:pt>
                <c:pt idx="1">
                  <c:v>0.462684556129078</c:v>
                </c:pt>
                <c:pt idx="2">
                  <c:v>0.69885109720212402</c:v>
                </c:pt>
                <c:pt idx="3">
                  <c:v>0.96167805102009796</c:v>
                </c:pt>
                <c:pt idx="4">
                  <c:v>1.11396841423212</c:v>
                </c:pt>
                <c:pt idx="5">
                  <c:v>1.34351988945254</c:v>
                </c:pt>
                <c:pt idx="6">
                  <c:v>1.6153190160331501</c:v>
                </c:pt>
                <c:pt idx="7">
                  <c:v>1.86654422267853</c:v>
                </c:pt>
                <c:pt idx="8">
                  <c:v>1.9882510238242499</c:v>
                </c:pt>
                <c:pt idx="9">
                  <c:v>2.2103985919253</c:v>
                </c:pt>
                <c:pt idx="10">
                  <c:v>2.7951283435831602</c:v>
                </c:pt>
                <c:pt idx="11">
                  <c:v>2.8813830078579299</c:v>
                </c:pt>
                <c:pt idx="12">
                  <c:v>3.2078312123258601</c:v>
                </c:pt>
                <c:pt idx="13">
                  <c:v>3.80829814699021</c:v>
                </c:pt>
                <c:pt idx="14">
                  <c:v>4.3057590715170804</c:v>
                </c:pt>
                <c:pt idx="15">
                  <c:v>4.7895451683039498</c:v>
                </c:pt>
                <c:pt idx="16">
                  <c:v>5.2628020427505904</c:v>
                </c:pt>
                <c:pt idx="17">
                  <c:v>5.7154646037892203</c:v>
                </c:pt>
                <c:pt idx="18">
                  <c:v>6.1635158898304496</c:v>
                </c:pt>
                <c:pt idx="19">
                  <c:v>6.5984924303331498</c:v>
                </c:pt>
                <c:pt idx="20">
                  <c:v>7.0948249560970602</c:v>
                </c:pt>
                <c:pt idx="21">
                  <c:v>7.6321543931776796</c:v>
                </c:pt>
                <c:pt idx="22">
                  <c:v>8.1532610902562794</c:v>
                </c:pt>
                <c:pt idx="23">
                  <c:v>8.59238714139323</c:v>
                </c:pt>
                <c:pt idx="24">
                  <c:v>9.0036656395058898</c:v>
                </c:pt>
                <c:pt idx="25">
                  <c:v>9.3950670959460805</c:v>
                </c:pt>
                <c:pt idx="26">
                  <c:v>9.3931591277594908</c:v>
                </c:pt>
                <c:pt idx="27">
                  <c:v>9.33659317783329</c:v>
                </c:pt>
                <c:pt idx="28">
                  <c:v>9.22936781132071</c:v>
                </c:pt>
                <c:pt idx="29">
                  <c:v>9.3399812756977507</c:v>
                </c:pt>
                <c:pt idx="30">
                  <c:v>9.4108089003562405</c:v>
                </c:pt>
                <c:pt idx="31">
                  <c:v>9.4577305407798509</c:v>
                </c:pt>
                <c:pt idx="32">
                  <c:v>9.5934085383674503</c:v>
                </c:pt>
                <c:pt idx="33">
                  <c:v>9.7367998389263803</c:v>
                </c:pt>
                <c:pt idx="34">
                  <c:v>9.8719321972174292</c:v>
                </c:pt>
                <c:pt idx="35">
                  <c:v>9.8509427916019696</c:v>
                </c:pt>
                <c:pt idx="36">
                  <c:v>9.7923417872576604</c:v>
                </c:pt>
                <c:pt idx="37">
                  <c:v>9.74147044378598</c:v>
                </c:pt>
                <c:pt idx="38">
                  <c:v>9.1187399142375298</c:v>
                </c:pt>
                <c:pt idx="39">
                  <c:v>8.4501219484524306</c:v>
                </c:pt>
                <c:pt idx="40">
                  <c:v>7.7867656012144399</c:v>
                </c:pt>
                <c:pt idx="41">
                  <c:v>7.4770987237556303</c:v>
                </c:pt>
                <c:pt idx="42">
                  <c:v>7.1906604557571399</c:v>
                </c:pt>
                <c:pt idx="43">
                  <c:v>6.8535220234287797</c:v>
                </c:pt>
                <c:pt idx="44">
                  <c:v>6.8962227894412198</c:v>
                </c:pt>
                <c:pt idx="45">
                  <c:v>6.8930973427860502</c:v>
                </c:pt>
                <c:pt idx="46">
                  <c:v>6.92484206147385</c:v>
                </c:pt>
                <c:pt idx="47">
                  <c:v>6.8259323781569501</c:v>
                </c:pt>
                <c:pt idx="48">
                  <c:v>6.7159903098655596</c:v>
                </c:pt>
                <c:pt idx="49">
                  <c:v>6.5862882990721197</c:v>
                </c:pt>
                <c:pt idx="50">
                  <c:v>6.0084508477163698</c:v>
                </c:pt>
                <c:pt idx="51">
                  <c:v>5.4663166505999801</c:v>
                </c:pt>
                <c:pt idx="52">
                  <c:v>4.9945076171345901</c:v>
                </c:pt>
                <c:pt idx="53">
                  <c:v>4.8252718566911996</c:v>
                </c:pt>
                <c:pt idx="54">
                  <c:v>4.8801166343429703</c:v>
                </c:pt>
                <c:pt idx="55">
                  <c:v>4.5630970718356396</c:v>
                </c:pt>
                <c:pt idx="56">
                  <c:v>4.5665392456112697</c:v>
                </c:pt>
                <c:pt idx="57">
                  <c:v>4.5447268829130598</c:v>
                </c:pt>
                <c:pt idx="58">
                  <c:v>4.5541677259808697</c:v>
                </c:pt>
                <c:pt idx="59">
                  <c:v>4.5077005112374904</c:v>
                </c:pt>
                <c:pt idx="60">
                  <c:v>4.4515292650540896</c:v>
                </c:pt>
                <c:pt idx="61">
                  <c:v>4.4048378200551603</c:v>
                </c:pt>
                <c:pt idx="62">
                  <c:v>4.1302062401379702</c:v>
                </c:pt>
                <c:pt idx="63">
                  <c:v>3.90210311287237</c:v>
                </c:pt>
                <c:pt idx="64">
                  <c:v>3.7199997101628002</c:v>
                </c:pt>
                <c:pt idx="65">
                  <c:v>3.6836297099759898</c:v>
                </c:pt>
                <c:pt idx="66">
                  <c:v>3.63660868484209</c:v>
                </c:pt>
                <c:pt idx="67">
                  <c:v>3.5902995883770301</c:v>
                </c:pt>
                <c:pt idx="68">
                  <c:v>3.62145628525042</c:v>
                </c:pt>
                <c:pt idx="69">
                  <c:v>3.6481288990465699</c:v>
                </c:pt>
                <c:pt idx="70">
                  <c:v>3.6635048691987899</c:v>
                </c:pt>
                <c:pt idx="71">
                  <c:v>3.62145628525042</c:v>
                </c:pt>
                <c:pt idx="72">
                  <c:v>3.6481288990465699</c:v>
                </c:pt>
                <c:pt idx="73">
                  <c:v>3.6635048691987899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'2010'!$N$2</c:f>
              <c:strCache>
                <c:ptCount val="1"/>
                <c:pt idx="0">
                  <c:v>New Model</c:v>
                </c:pt>
              </c:strCache>
            </c:strRef>
          </c:tx>
          <c:marker>
            <c:symbol val="none"/>
          </c:marker>
          <c:cat>
            <c:numRef>
              <c:f>'2010'!$K$3:$K$76</c:f>
              <c:numCache>
                <c:formatCode>m/d/yyyy</c:formatCode>
                <c:ptCount val="74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'2010'!$N$3:$N$76</c:f>
              <c:numCache>
                <c:formatCode>General</c:formatCode>
                <c:ptCount val="74"/>
                <c:pt idx="0">
                  <c:v>0.18912095358162301</c:v>
                </c:pt>
                <c:pt idx="1">
                  <c:v>0.23158950207964299</c:v>
                </c:pt>
                <c:pt idx="2">
                  <c:v>0.34998918113240401</c:v>
                </c:pt>
                <c:pt idx="3">
                  <c:v>0.48190667009315702</c:v>
                </c:pt>
                <c:pt idx="4">
                  <c:v>0.55841734694446199</c:v>
                </c:pt>
                <c:pt idx="5">
                  <c:v>0.67384618268153695</c:v>
                </c:pt>
                <c:pt idx="6">
                  <c:v>0.81067841701408805</c:v>
                </c:pt>
                <c:pt idx="7">
                  <c:v>0.93730735913755103</c:v>
                </c:pt>
                <c:pt idx="8">
                  <c:v>0.99870659134982898</c:v>
                </c:pt>
                <c:pt idx="9">
                  <c:v>1.11086691411928</c:v>
                </c:pt>
                <c:pt idx="10">
                  <c:v>1.4066518293411101</c:v>
                </c:pt>
                <c:pt idx="11">
                  <c:v>1.4503526786091101</c:v>
                </c:pt>
                <c:pt idx="12">
                  <c:v>1.61590886795449</c:v>
                </c:pt>
                <c:pt idx="13">
                  <c:v>1.9211026386401</c:v>
                </c:pt>
                <c:pt idx="14">
                  <c:v>2.17460551602796</c:v>
                </c:pt>
                <c:pt idx="15">
                  <c:v>2.4217208270916801</c:v>
                </c:pt>
                <c:pt idx="16">
                  <c:v>2.6640164819128298</c:v>
                </c:pt>
                <c:pt idx="17">
                  <c:v>2.89628914592297</c:v>
                </c:pt>
                <c:pt idx="18">
                  <c:v>3.12670075153668</c:v>
                </c:pt>
                <c:pt idx="19">
                  <c:v>3.3508727967831402</c:v>
                </c:pt>
                <c:pt idx="20">
                  <c:v>3.6072525969089599</c:v>
                </c:pt>
                <c:pt idx="21">
                  <c:v>3.8855201763916001</c:v>
                </c:pt>
                <c:pt idx="22">
                  <c:v>4.1560983660022499</c:v>
                </c:pt>
                <c:pt idx="23">
                  <c:v>4.3846578137715504</c:v>
                </c:pt>
                <c:pt idx="24">
                  <c:v>4.5991815085280798</c:v>
                </c:pt>
                <c:pt idx="25">
                  <c:v>4.8037520030578502</c:v>
                </c:pt>
                <c:pt idx="26">
                  <c:v>4.8027537961677496</c:v>
                </c:pt>
                <c:pt idx="27">
                  <c:v>4.7731641313558901</c:v>
                </c:pt>
                <c:pt idx="28">
                  <c:v>4.7170978174976996</c:v>
                </c:pt>
                <c:pt idx="29">
                  <c:v>4.7749362071018204</c:v>
                </c:pt>
                <c:pt idx="30">
                  <c:v>4.8119881373990898</c:v>
                </c:pt>
                <c:pt idx="31">
                  <c:v>4.8365415144066901</c:v>
                </c:pt>
                <c:pt idx="32">
                  <c:v>4.9075727049144797</c:v>
                </c:pt>
                <c:pt idx="33">
                  <c:v>4.98269537061684</c:v>
                </c:pt>
                <c:pt idx="34">
                  <c:v>5.0535414703200603</c:v>
                </c:pt>
                <c:pt idx="35">
                  <c:v>5.0431486630232998</c:v>
                </c:pt>
                <c:pt idx="36">
                  <c:v>5.0130479461478004</c:v>
                </c:pt>
                <c:pt idx="37">
                  <c:v>4.9870301123453702</c:v>
                </c:pt>
                <c:pt idx="38">
                  <c:v>4.6617600627745297</c:v>
                </c:pt>
                <c:pt idx="39">
                  <c:v>4.3138236179254097</c:v>
                </c:pt>
                <c:pt idx="40">
                  <c:v>3.9710805147391102</c:v>
                </c:pt>
                <c:pt idx="41">
                  <c:v>3.8157437627666</c:v>
                </c:pt>
                <c:pt idx="42">
                  <c:v>3.67415875512767</c:v>
                </c:pt>
                <c:pt idx="43">
                  <c:v>3.5086858791943101</c:v>
                </c:pt>
                <c:pt idx="44">
                  <c:v>3.5425118320495801</c:v>
                </c:pt>
                <c:pt idx="45">
                  <c:v>3.5543936360042001</c:v>
                </c:pt>
                <c:pt idx="46">
                  <c:v>3.5865221332205</c:v>
                </c:pt>
                <c:pt idx="47">
                  <c:v>3.5544795135676299</c:v>
                </c:pt>
                <c:pt idx="48">
                  <c:v>3.52003199591709</c:v>
                </c:pt>
                <c:pt idx="49">
                  <c:v>3.4779574306230701</c:v>
                </c:pt>
                <c:pt idx="50">
                  <c:v>3.2102801027790799</c:v>
                </c:pt>
                <c:pt idx="51">
                  <c:v>2.9616111293350298</c:v>
                </c:pt>
                <c:pt idx="52">
                  <c:v>2.7447227918370198</c:v>
                </c:pt>
                <c:pt idx="53">
                  <c:v>2.6818534288551001</c:v>
                </c:pt>
                <c:pt idx="54">
                  <c:v>2.74147351419324</c:v>
                </c:pt>
                <c:pt idx="55">
                  <c:v>2.5917640729797902</c:v>
                </c:pt>
                <c:pt idx="56">
                  <c:v>2.61826870881143</c:v>
                </c:pt>
                <c:pt idx="57">
                  <c:v>2.63090213102415</c:v>
                </c:pt>
                <c:pt idx="58">
                  <c:v>2.6603323992907399</c:v>
                </c:pt>
                <c:pt idx="59">
                  <c:v>2.65323615069138</c:v>
                </c:pt>
                <c:pt idx="60">
                  <c:v>2.6384871268061798</c:v>
                </c:pt>
                <c:pt idx="61">
                  <c:v>2.62549970353456</c:v>
                </c:pt>
                <c:pt idx="62">
                  <c:v>2.4450188127535002</c:v>
                </c:pt>
                <c:pt idx="63">
                  <c:v>2.27944566025498</c:v>
                </c:pt>
                <c:pt idx="64">
                  <c:v>2.1347421444261698</c:v>
                </c:pt>
                <c:pt idx="65">
                  <c:v>2.1034637806510599</c:v>
                </c:pt>
                <c:pt idx="66">
                  <c:v>2.0622269766983901</c:v>
                </c:pt>
                <c:pt idx="67">
                  <c:v>2.02079191665243</c:v>
                </c:pt>
                <c:pt idx="68">
                  <c:v>2.0433554938402598</c:v>
                </c:pt>
                <c:pt idx="69">
                  <c:v>2.0627657711634302</c:v>
                </c:pt>
                <c:pt idx="70">
                  <c:v>2.0699461258121401</c:v>
                </c:pt>
                <c:pt idx="71">
                  <c:v>2.0433554938402598</c:v>
                </c:pt>
                <c:pt idx="72">
                  <c:v>2.0627657711634302</c:v>
                </c:pt>
                <c:pt idx="73">
                  <c:v>2.0699461258121401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30496"/>
        <c:axId val="83936384"/>
      </c:lineChart>
      <c:dateAx>
        <c:axId val="83930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3936384"/>
        <c:crosses val="autoZero"/>
        <c:auto val="1"/>
        <c:lblOffset val="100"/>
        <c:baseTimeUnit val="months"/>
      </c:dateAx>
      <c:valAx>
        <c:axId val="83936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3930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2011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'2011'!$L$2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'2011'!$K$3:$K$76</c:f>
              <c:numCache>
                <c:formatCode>m/d/yyyy</c:formatCode>
                <c:ptCount val="74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</c:numCache>
            </c:numRef>
          </c:cat>
          <c:val>
            <c:numRef>
              <c:f>'2011'!$L$3:$L$76</c:f>
              <c:numCache>
                <c:formatCode>General</c:formatCode>
                <c:ptCount val="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0.59</c:v>
                </c:pt>
                <c:pt idx="6">
                  <c:v>0.6</c:v>
                </c:pt>
                <c:pt idx="7">
                  <c:v>0.54</c:v>
                </c:pt>
                <c:pt idx="8">
                  <c:v>0.71</c:v>
                </c:pt>
                <c:pt idx="9">
                  <c:v>1.1200000000000001</c:v>
                </c:pt>
                <c:pt idx="10">
                  <c:v>1.1499999999999999</c:v>
                </c:pt>
                <c:pt idx="11">
                  <c:v>1.33</c:v>
                </c:pt>
                <c:pt idx="12">
                  <c:v>1.57</c:v>
                </c:pt>
                <c:pt idx="13">
                  <c:v>1.61</c:v>
                </c:pt>
                <c:pt idx="14">
                  <c:v>2.2200000000000002</c:v>
                </c:pt>
                <c:pt idx="15">
                  <c:v>1.93</c:v>
                </c:pt>
                <c:pt idx="16">
                  <c:v>2.42</c:v>
                </c:pt>
                <c:pt idx="17">
                  <c:v>3.01</c:v>
                </c:pt>
                <c:pt idx="18">
                  <c:v>2.6</c:v>
                </c:pt>
                <c:pt idx="19">
                  <c:v>2.78</c:v>
                </c:pt>
                <c:pt idx="20">
                  <c:v>2.82</c:v>
                </c:pt>
                <c:pt idx="21">
                  <c:v>2.81</c:v>
                </c:pt>
                <c:pt idx="22">
                  <c:v>3.57</c:v>
                </c:pt>
                <c:pt idx="23">
                  <c:v>4.0199999999999996</c:v>
                </c:pt>
                <c:pt idx="24">
                  <c:v>3</c:v>
                </c:pt>
                <c:pt idx="25">
                  <c:v>2.86</c:v>
                </c:pt>
                <c:pt idx="26">
                  <c:v>3.33</c:v>
                </c:pt>
                <c:pt idx="27">
                  <c:v>3.2</c:v>
                </c:pt>
                <c:pt idx="28">
                  <c:v>3.14</c:v>
                </c:pt>
                <c:pt idx="29">
                  <c:v>3.07</c:v>
                </c:pt>
                <c:pt idx="30">
                  <c:v>2.79</c:v>
                </c:pt>
                <c:pt idx="31">
                  <c:v>2.52</c:v>
                </c:pt>
                <c:pt idx="32">
                  <c:v>2.59</c:v>
                </c:pt>
                <c:pt idx="33">
                  <c:v>2.29</c:v>
                </c:pt>
                <c:pt idx="34">
                  <c:v>2.56</c:v>
                </c:pt>
                <c:pt idx="35">
                  <c:v>2.2799999999999998</c:v>
                </c:pt>
                <c:pt idx="36">
                  <c:v>2.5099999999999998</c:v>
                </c:pt>
                <c:pt idx="37">
                  <c:v>2.04</c:v>
                </c:pt>
                <c:pt idx="38">
                  <c:v>2.1800000000000002</c:v>
                </c:pt>
                <c:pt idx="39">
                  <c:v>1.53</c:v>
                </c:pt>
                <c:pt idx="40">
                  <c:v>1.73</c:v>
                </c:pt>
                <c:pt idx="41">
                  <c:v>2.68</c:v>
                </c:pt>
                <c:pt idx="42">
                  <c:v>2.06</c:v>
                </c:pt>
                <c:pt idx="43">
                  <c:v>1.97</c:v>
                </c:pt>
                <c:pt idx="44">
                  <c:v>2.16</c:v>
                </c:pt>
                <c:pt idx="45">
                  <c:v>1.61</c:v>
                </c:pt>
                <c:pt idx="46">
                  <c:v>1.98</c:v>
                </c:pt>
                <c:pt idx="47">
                  <c:v>1.59</c:v>
                </c:pt>
                <c:pt idx="48">
                  <c:v>1.42</c:v>
                </c:pt>
                <c:pt idx="49">
                  <c:v>2.17</c:v>
                </c:pt>
                <c:pt idx="50">
                  <c:v>1.86</c:v>
                </c:pt>
                <c:pt idx="51">
                  <c:v>1.56</c:v>
                </c:pt>
                <c:pt idx="52">
                  <c:v>1.75</c:v>
                </c:pt>
                <c:pt idx="53">
                  <c:v>1.01</c:v>
                </c:pt>
                <c:pt idx="54">
                  <c:v>1.33</c:v>
                </c:pt>
                <c:pt idx="55">
                  <c:v>1.43</c:v>
                </c:pt>
                <c:pt idx="56">
                  <c:v>1.08</c:v>
                </c:pt>
                <c:pt idx="57">
                  <c:v>1.29</c:v>
                </c:pt>
                <c:pt idx="58">
                  <c:v>1.59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'2011'!$M$2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'2011'!$K$3:$K$76</c:f>
              <c:numCache>
                <c:formatCode>m/d/yyyy</c:formatCode>
                <c:ptCount val="74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</c:numCache>
            </c:numRef>
          </c:cat>
          <c:val>
            <c:numRef>
              <c:f>'2011'!$M$3:$M$76</c:f>
              <c:numCache>
                <c:formatCode>General</c:formatCode>
                <c:ptCount val="74"/>
                <c:pt idx="0">
                  <c:v>0.40851036474546198</c:v>
                </c:pt>
                <c:pt idx="1">
                  <c:v>0.34297989254136202</c:v>
                </c:pt>
                <c:pt idx="2">
                  <c:v>0.52809510764843004</c:v>
                </c:pt>
                <c:pt idx="3">
                  <c:v>0.78157565157823705</c:v>
                </c:pt>
                <c:pt idx="4">
                  <c:v>1.0078393803618</c:v>
                </c:pt>
                <c:pt idx="5">
                  <c:v>1.2499373631255</c:v>
                </c:pt>
                <c:pt idx="6">
                  <c:v>1.50273793049608</c:v>
                </c:pt>
                <c:pt idx="7">
                  <c:v>1.7510466683486501</c:v>
                </c:pt>
                <c:pt idx="8">
                  <c:v>2.0214457401212602</c:v>
                </c:pt>
                <c:pt idx="9">
                  <c:v>2.2493980356381602</c:v>
                </c:pt>
                <c:pt idx="10">
                  <c:v>2.56205509016183</c:v>
                </c:pt>
                <c:pt idx="11">
                  <c:v>2.7883747870184701</c:v>
                </c:pt>
                <c:pt idx="12">
                  <c:v>3.1480408925114798</c:v>
                </c:pt>
                <c:pt idx="13">
                  <c:v>3.5734921946231699</c:v>
                </c:pt>
                <c:pt idx="14">
                  <c:v>3.8244529874070801</c:v>
                </c:pt>
                <c:pt idx="15">
                  <c:v>4.0241829837856598</c:v>
                </c:pt>
                <c:pt idx="16">
                  <c:v>4.1665301584074301</c:v>
                </c:pt>
                <c:pt idx="17">
                  <c:v>4.4115487138339899</c:v>
                </c:pt>
                <c:pt idx="18">
                  <c:v>4.6281110555739904</c:v>
                </c:pt>
                <c:pt idx="19">
                  <c:v>4.8157579244402697</c:v>
                </c:pt>
                <c:pt idx="20">
                  <c:v>5.04664066008809</c:v>
                </c:pt>
                <c:pt idx="21">
                  <c:v>5.2681881201261298</c:v>
                </c:pt>
                <c:pt idx="22">
                  <c:v>5.4620686910265803</c:v>
                </c:pt>
                <c:pt idx="23">
                  <c:v>5.5375552210110497</c:v>
                </c:pt>
                <c:pt idx="24">
                  <c:v>5.5848322300526396</c:v>
                </c:pt>
                <c:pt idx="25">
                  <c:v>5.6057265183651399</c:v>
                </c:pt>
                <c:pt idx="26">
                  <c:v>5.2289713474586303</c:v>
                </c:pt>
                <c:pt idx="27">
                  <c:v>4.8341976907928004</c:v>
                </c:pt>
                <c:pt idx="28">
                  <c:v>4.40927108802014</c:v>
                </c:pt>
                <c:pt idx="29">
                  <c:v>4.2447354982892103</c:v>
                </c:pt>
                <c:pt idx="30">
                  <c:v>4.05923806993599</c:v>
                </c:pt>
                <c:pt idx="31">
                  <c:v>3.8741687590610399</c:v>
                </c:pt>
                <c:pt idx="32">
                  <c:v>3.94533211777232</c:v>
                </c:pt>
                <c:pt idx="33">
                  <c:v>4.0245225858034104</c:v>
                </c:pt>
                <c:pt idx="34">
                  <c:v>4.0969127999357804</c:v>
                </c:pt>
                <c:pt idx="35">
                  <c:v>4.1095175022183197</c:v>
                </c:pt>
                <c:pt idx="36">
                  <c:v>4.1082275419234797</c:v>
                </c:pt>
                <c:pt idx="37">
                  <c:v>4.1025680512594098</c:v>
                </c:pt>
                <c:pt idx="38">
                  <c:v>3.7510867432312698</c:v>
                </c:pt>
                <c:pt idx="39">
                  <c:v>3.4573500107544901</c:v>
                </c:pt>
                <c:pt idx="40">
                  <c:v>3.1799377628115599</c:v>
                </c:pt>
                <c:pt idx="41">
                  <c:v>3.1209746185112999</c:v>
                </c:pt>
                <c:pt idx="42">
                  <c:v>3.1410285617950802</c:v>
                </c:pt>
                <c:pt idx="43">
                  <c:v>3.0053955085744302</c:v>
                </c:pt>
                <c:pt idx="44">
                  <c:v>3.03327372057085</c:v>
                </c:pt>
                <c:pt idx="45">
                  <c:v>3.0559786129443398</c:v>
                </c:pt>
                <c:pt idx="46">
                  <c:v>3.08420549742489</c:v>
                </c:pt>
                <c:pt idx="47">
                  <c:v>3.0764190886176102</c:v>
                </c:pt>
                <c:pt idx="48">
                  <c:v>3.0507585308314802</c:v>
                </c:pt>
                <c:pt idx="49">
                  <c:v>3.0394546851007802</c:v>
                </c:pt>
                <c:pt idx="50">
                  <c:v>2.8657921762335601</c:v>
                </c:pt>
                <c:pt idx="51">
                  <c:v>2.7262524895020901</c:v>
                </c:pt>
                <c:pt idx="52">
                  <c:v>2.6065203258838898</c:v>
                </c:pt>
                <c:pt idx="53">
                  <c:v>2.6051416315586602</c:v>
                </c:pt>
                <c:pt idx="54">
                  <c:v>2.59162200421355</c:v>
                </c:pt>
                <c:pt idx="55">
                  <c:v>2.5765810189891298</c:v>
                </c:pt>
                <c:pt idx="56">
                  <c:v>2.6103005160871602</c:v>
                </c:pt>
                <c:pt idx="57">
                  <c:v>2.6376509729551998</c:v>
                </c:pt>
                <c:pt idx="58">
                  <c:v>2.6647158162961402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'2011'!$N$2</c:f>
              <c:strCache>
                <c:ptCount val="1"/>
                <c:pt idx="0">
                  <c:v>New Model</c:v>
                </c:pt>
              </c:strCache>
            </c:strRef>
          </c:tx>
          <c:marker>
            <c:symbol val="none"/>
          </c:marker>
          <c:cat>
            <c:numRef>
              <c:f>'2011'!$K$3:$K$76</c:f>
              <c:numCache>
                <c:formatCode>m/d/yyyy</c:formatCode>
                <c:ptCount val="74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</c:numCache>
            </c:numRef>
          </c:cat>
          <c:val>
            <c:numRef>
              <c:f>'2011'!$N$3:$N$76</c:f>
              <c:numCache>
                <c:formatCode>General</c:formatCode>
                <c:ptCount val="74"/>
                <c:pt idx="0">
                  <c:v>0.20444799072272299</c:v>
                </c:pt>
                <c:pt idx="1">
                  <c:v>0.17162597516550099</c:v>
                </c:pt>
                <c:pt idx="2">
                  <c:v>0.26436950585473401</c:v>
                </c:pt>
                <c:pt idx="3">
                  <c:v>0.39149281341311898</c:v>
                </c:pt>
                <c:pt idx="4">
                  <c:v>0.50509242028021795</c:v>
                </c:pt>
                <c:pt idx="5">
                  <c:v>0.62677381289293299</c:v>
                </c:pt>
                <c:pt idx="6">
                  <c:v>0.75398054952822102</c:v>
                </c:pt>
                <c:pt idx="7">
                  <c:v>0.87907289047496295</c:v>
                </c:pt>
                <c:pt idx="8">
                  <c:v>1.01545889067242</c:v>
                </c:pt>
                <c:pt idx="9">
                  <c:v>1.13056944139005</c:v>
                </c:pt>
                <c:pt idx="10">
                  <c:v>1.28865439081101</c:v>
                </c:pt>
                <c:pt idx="11">
                  <c:v>1.40323089721179</c:v>
                </c:pt>
                <c:pt idx="12">
                  <c:v>1.5855674305048799</c:v>
                </c:pt>
                <c:pt idx="13">
                  <c:v>1.80165615994425</c:v>
                </c:pt>
                <c:pt idx="14">
                  <c:v>1.9293255720395299</c:v>
                </c:pt>
                <c:pt idx="15">
                  <c:v>2.0310420526803901</c:v>
                </c:pt>
                <c:pt idx="16">
                  <c:v>2.1035945116255901</c:v>
                </c:pt>
                <c:pt idx="17">
                  <c:v>2.2285931919608601</c:v>
                </c:pt>
                <c:pt idx="18">
                  <c:v>2.3391971914915199</c:v>
                </c:pt>
                <c:pt idx="19">
                  <c:v>2.43512660974408</c:v>
                </c:pt>
                <c:pt idx="20">
                  <c:v>2.5532784642505102</c:v>
                </c:pt>
                <c:pt idx="21">
                  <c:v>2.6667772142053798</c:v>
                </c:pt>
                <c:pt idx="22">
                  <c:v>2.7662023005768801</c:v>
                </c:pt>
                <c:pt idx="23">
                  <c:v>2.8049383434703299</c:v>
                </c:pt>
                <c:pt idx="24">
                  <c:v>2.8292058647788401</c:v>
                </c:pt>
                <c:pt idx="25">
                  <c:v>2.8399327846024298</c:v>
                </c:pt>
                <c:pt idx="26">
                  <c:v>2.6466775899222501</c:v>
                </c:pt>
                <c:pt idx="27">
                  <c:v>2.4445581295663401</c:v>
                </c:pt>
                <c:pt idx="28">
                  <c:v>2.2274305612115</c:v>
                </c:pt>
                <c:pt idx="29">
                  <c:v>2.14347579155358</c:v>
                </c:pt>
                <c:pt idx="30">
                  <c:v>2.0489045753344102</c:v>
                </c:pt>
                <c:pt idx="31">
                  <c:v>1.9546352470307999</c:v>
                </c:pt>
                <c:pt idx="32">
                  <c:v>1.99087407909014</c:v>
                </c:pt>
                <c:pt idx="33">
                  <c:v>2.0312150844536898</c:v>
                </c:pt>
                <c:pt idx="34">
                  <c:v>2.0681052938774598</c:v>
                </c:pt>
                <c:pt idx="35">
                  <c:v>2.07452998405642</c:v>
                </c:pt>
                <c:pt idx="36">
                  <c:v>2.0738744624704499</c:v>
                </c:pt>
                <c:pt idx="37">
                  <c:v>2.0709913608878501</c:v>
                </c:pt>
                <c:pt idx="38">
                  <c:v>1.8919949081061</c:v>
                </c:pt>
                <c:pt idx="39">
                  <c:v>1.7426581345500001</c:v>
                </c:pt>
                <c:pt idx="40">
                  <c:v>1.60320253967842</c:v>
                </c:pt>
                <c:pt idx="41">
                  <c:v>1.57570440624094</c:v>
                </c:pt>
                <c:pt idx="42">
                  <c:v>1.5891071498198801</c:v>
                </c:pt>
                <c:pt idx="43">
                  <c:v>1.52347355198784</c:v>
                </c:pt>
                <c:pt idx="44">
                  <c:v>1.54285454289499</c:v>
                </c:pt>
                <c:pt idx="45">
                  <c:v>1.56061194010391</c:v>
                </c:pt>
                <c:pt idx="46">
                  <c:v>1.5824431037814199</c:v>
                </c:pt>
                <c:pt idx="47">
                  <c:v>1.5849891386708099</c:v>
                </c:pt>
                <c:pt idx="48">
                  <c:v>1.5789048035776001</c:v>
                </c:pt>
                <c:pt idx="49">
                  <c:v>1.5800976006993299</c:v>
                </c:pt>
                <c:pt idx="50">
                  <c:v>1.4839677667131099</c:v>
                </c:pt>
                <c:pt idx="51">
                  <c:v>1.4047632392825999</c:v>
                </c:pt>
                <c:pt idx="52">
                  <c:v>1.3349984166704301</c:v>
                </c:pt>
                <c:pt idx="53">
                  <c:v>1.3334944180328101</c:v>
                </c:pt>
                <c:pt idx="54">
                  <c:v>1.3238932292359999</c:v>
                </c:pt>
                <c:pt idx="55">
                  <c:v>1.3141467809146801</c:v>
                </c:pt>
                <c:pt idx="56">
                  <c:v>1.3326102862285301</c:v>
                </c:pt>
                <c:pt idx="57">
                  <c:v>1.3473241092950199</c:v>
                </c:pt>
                <c:pt idx="58">
                  <c:v>1.3620778664447999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274816"/>
        <c:axId val="236276352"/>
      </c:lineChart>
      <c:dateAx>
        <c:axId val="236274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6276352"/>
        <c:crosses val="autoZero"/>
        <c:auto val="1"/>
        <c:lblOffset val="100"/>
        <c:baseTimeUnit val="months"/>
      </c:dateAx>
      <c:valAx>
        <c:axId val="236276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6274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2012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'2012'!$L$2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'2012'!$K$3:$K$76</c:f>
              <c:numCache>
                <c:formatCode>m/d/yyyy</c:formatCode>
                <c:ptCount val="74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</c:numCache>
            </c:numRef>
          </c:cat>
          <c:val>
            <c:numRef>
              <c:f>'2012'!$L$3:$L$76</c:f>
              <c:numCache>
                <c:formatCode>General</c:formatCode>
                <c:ptCount val="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0.12</c:v>
                </c:pt>
                <c:pt idx="4">
                  <c:v>0.09</c:v>
                </c:pt>
                <c:pt idx="5">
                  <c:v>0.24</c:v>
                </c:pt>
                <c:pt idx="6">
                  <c:v>0.19</c:v>
                </c:pt>
                <c:pt idx="7">
                  <c:v>0.32</c:v>
                </c:pt>
                <c:pt idx="8">
                  <c:v>0.61</c:v>
                </c:pt>
                <c:pt idx="9">
                  <c:v>0.47</c:v>
                </c:pt>
                <c:pt idx="10">
                  <c:v>0.67</c:v>
                </c:pt>
                <c:pt idx="11">
                  <c:v>0.64</c:v>
                </c:pt>
                <c:pt idx="12">
                  <c:v>0.79</c:v>
                </c:pt>
                <c:pt idx="13">
                  <c:v>0.53</c:v>
                </c:pt>
                <c:pt idx="14">
                  <c:v>1.06</c:v>
                </c:pt>
                <c:pt idx="15">
                  <c:v>1</c:v>
                </c:pt>
                <c:pt idx="16">
                  <c:v>0.91</c:v>
                </c:pt>
                <c:pt idx="17">
                  <c:v>0.99</c:v>
                </c:pt>
                <c:pt idx="18">
                  <c:v>1.02</c:v>
                </c:pt>
                <c:pt idx="19">
                  <c:v>0.93</c:v>
                </c:pt>
                <c:pt idx="20">
                  <c:v>0.97</c:v>
                </c:pt>
                <c:pt idx="21">
                  <c:v>0.97</c:v>
                </c:pt>
                <c:pt idx="22">
                  <c:v>1.01</c:v>
                </c:pt>
                <c:pt idx="23">
                  <c:v>1.43</c:v>
                </c:pt>
                <c:pt idx="24">
                  <c:v>1.28</c:v>
                </c:pt>
                <c:pt idx="25">
                  <c:v>1.37</c:v>
                </c:pt>
                <c:pt idx="26">
                  <c:v>1.23</c:v>
                </c:pt>
                <c:pt idx="27">
                  <c:v>0.94</c:v>
                </c:pt>
                <c:pt idx="28">
                  <c:v>1.05</c:v>
                </c:pt>
                <c:pt idx="29">
                  <c:v>1.2</c:v>
                </c:pt>
                <c:pt idx="30">
                  <c:v>0.91</c:v>
                </c:pt>
                <c:pt idx="31">
                  <c:v>1.1399999999999999</c:v>
                </c:pt>
                <c:pt idx="32">
                  <c:v>1.1299999999999999</c:v>
                </c:pt>
                <c:pt idx="33">
                  <c:v>1.1299999999999999</c:v>
                </c:pt>
                <c:pt idx="34">
                  <c:v>1.1200000000000001</c:v>
                </c:pt>
                <c:pt idx="35">
                  <c:v>1.27</c:v>
                </c:pt>
                <c:pt idx="36">
                  <c:v>1.1100000000000001</c:v>
                </c:pt>
                <c:pt idx="37">
                  <c:v>1.04</c:v>
                </c:pt>
                <c:pt idx="38">
                  <c:v>0.92</c:v>
                </c:pt>
                <c:pt idx="39">
                  <c:v>0.83</c:v>
                </c:pt>
                <c:pt idx="40">
                  <c:v>0.75</c:v>
                </c:pt>
                <c:pt idx="41">
                  <c:v>1.05</c:v>
                </c:pt>
                <c:pt idx="42">
                  <c:v>0.83</c:v>
                </c:pt>
                <c:pt idx="43">
                  <c:v>0.95</c:v>
                </c:pt>
                <c:pt idx="44">
                  <c:v>0.94</c:v>
                </c:pt>
                <c:pt idx="45">
                  <c:v>1.1000000000000001</c:v>
                </c:pt>
                <c:pt idx="46">
                  <c:v>1.02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'2012'!$M$2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'2012'!$K$3:$K$76</c:f>
              <c:numCache>
                <c:formatCode>m/d/yyyy</c:formatCode>
                <c:ptCount val="74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</c:numCache>
            </c:numRef>
          </c:cat>
          <c:val>
            <c:numRef>
              <c:f>'2012'!$M$3:$M$76</c:f>
              <c:numCache>
                <c:formatCode>General</c:formatCode>
                <c:ptCount val="74"/>
                <c:pt idx="0">
                  <c:v>0.31956019566602401</c:v>
                </c:pt>
                <c:pt idx="1">
                  <c:v>0.60315185529740101</c:v>
                </c:pt>
                <c:pt idx="2">
                  <c:v>0.71262735156328905</c:v>
                </c:pt>
                <c:pt idx="3">
                  <c:v>0.69089009606822005</c:v>
                </c:pt>
                <c:pt idx="4">
                  <c:v>0.81049370349363103</c:v>
                </c:pt>
                <c:pt idx="5">
                  <c:v>0.99230921532267302</c:v>
                </c:pt>
                <c:pt idx="6">
                  <c:v>1.09799485010237</c:v>
                </c:pt>
                <c:pt idx="7">
                  <c:v>1.2222813076107699</c:v>
                </c:pt>
                <c:pt idx="8">
                  <c:v>1.3803243054546399</c:v>
                </c:pt>
                <c:pt idx="9">
                  <c:v>1.56546094966176</c:v>
                </c:pt>
                <c:pt idx="10">
                  <c:v>1.76496467878769</c:v>
                </c:pt>
                <c:pt idx="11">
                  <c:v>1.90266455092246</c:v>
                </c:pt>
                <c:pt idx="12">
                  <c:v>2.0976882888897701</c:v>
                </c:pt>
                <c:pt idx="13">
                  <c:v>2.3715299790006199</c:v>
                </c:pt>
                <c:pt idx="14">
                  <c:v>2.4827066238959801</c:v>
                </c:pt>
                <c:pt idx="15">
                  <c:v>2.5418832219112799</c:v>
                </c:pt>
                <c:pt idx="16">
                  <c:v>2.5541624491753199</c:v>
                </c:pt>
                <c:pt idx="17">
                  <c:v>2.6544480260435899</c:v>
                </c:pt>
                <c:pt idx="18">
                  <c:v>2.7276580648256301</c:v>
                </c:pt>
                <c:pt idx="19">
                  <c:v>2.7772352901789898</c:v>
                </c:pt>
                <c:pt idx="20">
                  <c:v>2.9650381981810199</c:v>
                </c:pt>
                <c:pt idx="21">
                  <c:v>3.14870130357889</c:v>
                </c:pt>
                <c:pt idx="22">
                  <c:v>3.3243898938547098</c:v>
                </c:pt>
                <c:pt idx="23">
                  <c:v>3.44168133880315</c:v>
                </c:pt>
                <c:pt idx="24">
                  <c:v>3.5452774606908202</c:v>
                </c:pt>
                <c:pt idx="25">
                  <c:v>3.6418901421048102</c:v>
                </c:pt>
                <c:pt idx="26">
                  <c:v>3.4591593841152002</c:v>
                </c:pt>
                <c:pt idx="27">
                  <c:v>3.2657309103576102</c:v>
                </c:pt>
                <c:pt idx="28">
                  <c:v>3.0644539692277699</c:v>
                </c:pt>
                <c:pt idx="29">
                  <c:v>3.03892406081768</c:v>
                </c:pt>
                <c:pt idx="30">
                  <c:v>3.0343700180754198</c:v>
                </c:pt>
                <c:pt idx="31">
                  <c:v>2.9773473102844799</c:v>
                </c:pt>
                <c:pt idx="32">
                  <c:v>3.0213499154561201</c:v>
                </c:pt>
                <c:pt idx="33">
                  <c:v>3.0583388908930602</c:v>
                </c:pt>
                <c:pt idx="34">
                  <c:v>3.0964616421090398</c:v>
                </c:pt>
                <c:pt idx="35">
                  <c:v>3.0798423678498099</c:v>
                </c:pt>
                <c:pt idx="36">
                  <c:v>3.0624792713854401</c:v>
                </c:pt>
                <c:pt idx="37">
                  <c:v>3.04650222125791</c:v>
                </c:pt>
                <c:pt idx="38">
                  <c:v>2.8088163757703302</c:v>
                </c:pt>
                <c:pt idx="39">
                  <c:v>2.6098640494608198</c:v>
                </c:pt>
                <c:pt idx="40">
                  <c:v>2.4395250186482</c:v>
                </c:pt>
                <c:pt idx="41">
                  <c:v>2.3978431394082</c:v>
                </c:pt>
                <c:pt idx="42">
                  <c:v>2.3611436633545599</c:v>
                </c:pt>
                <c:pt idx="43">
                  <c:v>2.3289538088548598</c:v>
                </c:pt>
                <c:pt idx="44">
                  <c:v>2.3539513709564499</c:v>
                </c:pt>
                <c:pt idx="45">
                  <c:v>2.3733839310677101</c:v>
                </c:pt>
                <c:pt idx="46">
                  <c:v>2.3911684546001299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'2012'!$N$2</c:f>
              <c:strCache>
                <c:ptCount val="1"/>
                <c:pt idx="0">
                  <c:v>New Model</c:v>
                </c:pt>
              </c:strCache>
            </c:strRef>
          </c:tx>
          <c:marker>
            <c:symbol val="none"/>
          </c:marker>
          <c:cat>
            <c:numRef>
              <c:f>'2012'!$K$3:$K$76</c:f>
              <c:numCache>
                <c:formatCode>m/d/yyyy</c:formatCode>
                <c:ptCount val="74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</c:numCache>
            </c:numRef>
          </c:cat>
          <c:val>
            <c:numRef>
              <c:f>'2012'!$N$3:$N$76</c:f>
              <c:numCache>
                <c:formatCode>General</c:formatCode>
                <c:ptCount val="74"/>
                <c:pt idx="0">
                  <c:v>0.15989823435018599</c:v>
                </c:pt>
                <c:pt idx="1">
                  <c:v>0.30199580542055199</c:v>
                </c:pt>
                <c:pt idx="2">
                  <c:v>0.35689974799322199</c:v>
                </c:pt>
                <c:pt idx="3">
                  <c:v>0.345995913548514</c:v>
                </c:pt>
                <c:pt idx="4">
                  <c:v>0.40600499501509701</c:v>
                </c:pt>
                <c:pt idx="5">
                  <c:v>0.49729143033968598</c:v>
                </c:pt>
                <c:pt idx="6">
                  <c:v>0.55038969336082</c:v>
                </c:pt>
                <c:pt idx="7">
                  <c:v>0.61286662730897201</c:v>
                </c:pt>
                <c:pt idx="8">
                  <c:v>0.69236455487944304</c:v>
                </c:pt>
                <c:pt idx="9">
                  <c:v>0.78556532563974801</c:v>
                </c:pt>
                <c:pt idx="10">
                  <c:v>0.88608875929199205</c:v>
                </c:pt>
                <c:pt idx="11">
                  <c:v>0.95552586927222205</c:v>
                </c:pt>
                <c:pt idx="12">
                  <c:v>1.05394589842757</c:v>
                </c:pt>
                <c:pt idx="13">
                  <c:v>1.1922938672007</c:v>
                </c:pt>
                <c:pt idx="14">
                  <c:v>1.2485123891972001</c:v>
                </c:pt>
                <c:pt idx="15">
                  <c:v>1.2784481197931299</c:v>
                </c:pt>
                <c:pt idx="16">
                  <c:v>1.28466087068785</c:v>
                </c:pt>
                <c:pt idx="17">
                  <c:v>1.33541443080641</c:v>
                </c:pt>
                <c:pt idx="18">
                  <c:v>1.3724804743366501</c:v>
                </c:pt>
                <c:pt idx="19">
                  <c:v>1.3975885585105301</c:v>
                </c:pt>
                <c:pt idx="20">
                  <c:v>1.49275352344477</c:v>
                </c:pt>
                <c:pt idx="21">
                  <c:v>1.5859025183970299</c:v>
                </c:pt>
                <c:pt idx="22">
                  <c:v>1.6750829483891201</c:v>
                </c:pt>
                <c:pt idx="23">
                  <c:v>1.73466209951275</c:v>
                </c:pt>
                <c:pt idx="24">
                  <c:v>1.78731223184795</c:v>
                </c:pt>
                <c:pt idx="25">
                  <c:v>1.8364366016650999</c:v>
                </c:pt>
                <c:pt idx="26">
                  <c:v>1.74354305908893</c:v>
                </c:pt>
                <c:pt idx="27">
                  <c:v>1.6452990821273801</c:v>
                </c:pt>
                <c:pt idx="28">
                  <c:v>1.5431644778886899</c:v>
                </c:pt>
                <c:pt idx="29">
                  <c:v>1.5302167127766</c:v>
                </c:pt>
                <c:pt idx="30">
                  <c:v>1.52790724590949</c:v>
                </c:pt>
                <c:pt idx="31">
                  <c:v>1.4989938435485399</c:v>
                </c:pt>
                <c:pt idx="32">
                  <c:v>1.5213047068335299</c:v>
                </c:pt>
                <c:pt idx="33">
                  <c:v>1.5401029491735601</c:v>
                </c:pt>
                <c:pt idx="34">
                  <c:v>1.5594989710999501</c:v>
                </c:pt>
                <c:pt idx="35">
                  <c:v>1.5511421743074201</c:v>
                </c:pt>
                <c:pt idx="36">
                  <c:v>1.54240150080222</c:v>
                </c:pt>
                <c:pt idx="37">
                  <c:v>1.5343798730209</c:v>
                </c:pt>
                <c:pt idx="38">
                  <c:v>1.4139319842589</c:v>
                </c:pt>
                <c:pt idx="39">
                  <c:v>1.31328106409576</c:v>
                </c:pt>
                <c:pt idx="40">
                  <c:v>1.2271382318698401</c:v>
                </c:pt>
                <c:pt idx="41">
                  <c:v>1.20619417544403</c:v>
                </c:pt>
                <c:pt idx="42">
                  <c:v>1.1877305481323901</c:v>
                </c:pt>
                <c:pt idx="43">
                  <c:v>1.17163772981889</c:v>
                </c:pt>
                <c:pt idx="44">
                  <c:v>1.18487445465782</c:v>
                </c:pt>
                <c:pt idx="45">
                  <c:v>1.19577965252138</c:v>
                </c:pt>
                <c:pt idx="46">
                  <c:v>1.2063673681278599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699200"/>
        <c:axId val="381700736"/>
      </c:lineChart>
      <c:dateAx>
        <c:axId val="381699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1700736"/>
        <c:crosses val="autoZero"/>
        <c:auto val="1"/>
        <c:lblOffset val="100"/>
        <c:baseTimeUnit val="months"/>
      </c:dateAx>
      <c:valAx>
        <c:axId val="381700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699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2013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'2013'!$L$2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'2013'!$K$3:$K$76</c:f>
              <c:numCache>
                <c:formatCode>m/d/yyyy</c:formatCode>
                <c:ptCount val="74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</c:numCache>
            </c:numRef>
          </c:cat>
          <c:val>
            <c:numRef>
              <c:f>'2013'!$L$3:$L$76</c:f>
              <c:numCache>
                <c:formatCode>General</c:formatCode>
                <c:ptCount val="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0.06</c:v>
                </c:pt>
                <c:pt idx="5">
                  <c:v>0.04</c:v>
                </c:pt>
                <c:pt idx="6">
                  <c:v>0.11</c:v>
                </c:pt>
                <c:pt idx="7">
                  <c:v>0.28000000000000003</c:v>
                </c:pt>
                <c:pt idx="8">
                  <c:v>0.42</c:v>
                </c:pt>
                <c:pt idx="9">
                  <c:v>0.56999999999999995</c:v>
                </c:pt>
                <c:pt idx="10">
                  <c:v>0.59</c:v>
                </c:pt>
                <c:pt idx="11">
                  <c:v>0.63</c:v>
                </c:pt>
                <c:pt idx="12">
                  <c:v>0.56999999999999995</c:v>
                </c:pt>
                <c:pt idx="13">
                  <c:v>0.86</c:v>
                </c:pt>
                <c:pt idx="14">
                  <c:v>0.89</c:v>
                </c:pt>
                <c:pt idx="15">
                  <c:v>0.71</c:v>
                </c:pt>
                <c:pt idx="16">
                  <c:v>0.84</c:v>
                </c:pt>
                <c:pt idx="17">
                  <c:v>0.73</c:v>
                </c:pt>
                <c:pt idx="18">
                  <c:v>0.95</c:v>
                </c:pt>
                <c:pt idx="19">
                  <c:v>1.08</c:v>
                </c:pt>
                <c:pt idx="20">
                  <c:v>1.17</c:v>
                </c:pt>
                <c:pt idx="21">
                  <c:v>1.08</c:v>
                </c:pt>
                <c:pt idx="22">
                  <c:v>1.37</c:v>
                </c:pt>
                <c:pt idx="23">
                  <c:v>1.18</c:v>
                </c:pt>
                <c:pt idx="24">
                  <c:v>1.39</c:v>
                </c:pt>
                <c:pt idx="25">
                  <c:v>1.45</c:v>
                </c:pt>
                <c:pt idx="26">
                  <c:v>1.0900000000000001</c:v>
                </c:pt>
                <c:pt idx="27">
                  <c:v>1.18</c:v>
                </c:pt>
                <c:pt idx="28">
                  <c:v>1.01</c:v>
                </c:pt>
                <c:pt idx="29">
                  <c:v>0.98</c:v>
                </c:pt>
                <c:pt idx="30">
                  <c:v>1.1200000000000001</c:v>
                </c:pt>
                <c:pt idx="31">
                  <c:v>1.0900000000000001</c:v>
                </c:pt>
                <c:pt idx="32">
                  <c:v>0.89</c:v>
                </c:pt>
                <c:pt idx="33">
                  <c:v>1.1399999999999999</c:v>
                </c:pt>
                <c:pt idx="34">
                  <c:v>1.26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'2013'!$M$2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'2013'!$K$3:$K$76</c:f>
              <c:numCache>
                <c:formatCode>m/d/yyyy</c:formatCode>
                <c:ptCount val="74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</c:numCache>
            </c:numRef>
          </c:cat>
          <c:val>
            <c:numRef>
              <c:f>'2013'!$M$3:$M$76</c:f>
              <c:numCache>
                <c:formatCode>General</c:formatCode>
                <c:ptCount val="74"/>
                <c:pt idx="0">
                  <c:v>0.41387949806330798</c:v>
                </c:pt>
                <c:pt idx="1">
                  <c:v>0.48133968799378701</c:v>
                </c:pt>
                <c:pt idx="2">
                  <c:v>0.92067493966979697</c:v>
                </c:pt>
                <c:pt idx="3">
                  <c:v>0.9835395593631</c:v>
                </c:pt>
                <c:pt idx="4">
                  <c:v>1.06821720256371</c:v>
                </c:pt>
                <c:pt idx="5">
                  <c:v>1.2269502887369099</c:v>
                </c:pt>
                <c:pt idx="6">
                  <c:v>1.3651058278938499</c:v>
                </c:pt>
                <c:pt idx="7">
                  <c:v>1.5676619105418701</c:v>
                </c:pt>
                <c:pt idx="8">
                  <c:v>1.8128297286781101</c:v>
                </c:pt>
                <c:pt idx="9">
                  <c:v>2.0971851800781001</c:v>
                </c:pt>
                <c:pt idx="10">
                  <c:v>2.4385580356184402</c:v>
                </c:pt>
                <c:pt idx="11">
                  <c:v>2.7275271188533798</c:v>
                </c:pt>
                <c:pt idx="12">
                  <c:v>3.0619926512440498</c:v>
                </c:pt>
                <c:pt idx="13">
                  <c:v>3.4237955972142302</c:v>
                </c:pt>
                <c:pt idx="14">
                  <c:v>3.6063599068965599</c:v>
                </c:pt>
                <c:pt idx="15">
                  <c:v>3.7500491651974999</c:v>
                </c:pt>
                <c:pt idx="16">
                  <c:v>3.8496947868825</c:v>
                </c:pt>
                <c:pt idx="17">
                  <c:v>4.0638893341198701</c:v>
                </c:pt>
                <c:pt idx="18">
                  <c:v>4.2660964614047296</c:v>
                </c:pt>
                <c:pt idx="19">
                  <c:v>4.4303835086956198</c:v>
                </c:pt>
                <c:pt idx="20">
                  <c:v>4.6681020948330598</c:v>
                </c:pt>
                <c:pt idx="21">
                  <c:v>4.8949020347757797</c:v>
                </c:pt>
                <c:pt idx="22">
                  <c:v>5.1096120262259497</c:v>
                </c:pt>
                <c:pt idx="23">
                  <c:v>5.23763521059524</c:v>
                </c:pt>
                <c:pt idx="24">
                  <c:v>5.3424596088316196</c:v>
                </c:pt>
                <c:pt idx="25">
                  <c:v>5.4342834976513696</c:v>
                </c:pt>
                <c:pt idx="26">
                  <c:v>5.16368989924577</c:v>
                </c:pt>
                <c:pt idx="27">
                  <c:v>4.87897341670757</c:v>
                </c:pt>
                <c:pt idx="28">
                  <c:v>4.5968714256048804</c:v>
                </c:pt>
                <c:pt idx="29">
                  <c:v>4.5403717658652303</c:v>
                </c:pt>
                <c:pt idx="30">
                  <c:v>4.4717195717325504</c:v>
                </c:pt>
                <c:pt idx="31">
                  <c:v>4.3960255835134197</c:v>
                </c:pt>
                <c:pt idx="32">
                  <c:v>4.4681824905274903</c:v>
                </c:pt>
                <c:pt idx="33">
                  <c:v>4.5369073747401103</c:v>
                </c:pt>
                <c:pt idx="34">
                  <c:v>4.5950271317003599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'2013'!$N$2</c:f>
              <c:strCache>
                <c:ptCount val="1"/>
                <c:pt idx="0">
                  <c:v>New Model</c:v>
                </c:pt>
              </c:strCache>
            </c:strRef>
          </c:tx>
          <c:marker>
            <c:symbol val="none"/>
          </c:marker>
          <c:cat>
            <c:numRef>
              <c:f>'2013'!$K$3:$K$76</c:f>
              <c:numCache>
                <c:formatCode>m/d/yyyy</c:formatCode>
                <c:ptCount val="74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</c:numCache>
            </c:numRef>
          </c:cat>
          <c:val>
            <c:numRef>
              <c:f>'2013'!$N$3:$N$76</c:f>
              <c:numCache>
                <c:formatCode>General</c:formatCode>
                <c:ptCount val="74"/>
                <c:pt idx="0">
                  <c:v>0.20713764825312</c:v>
                </c:pt>
                <c:pt idx="1">
                  <c:v>0.240937373661265</c:v>
                </c:pt>
                <c:pt idx="2">
                  <c:v>0.46131592662840298</c:v>
                </c:pt>
                <c:pt idx="3">
                  <c:v>0.49294295396259402</c:v>
                </c:pt>
                <c:pt idx="4">
                  <c:v>0.53551361100568895</c:v>
                </c:pt>
                <c:pt idx="5">
                  <c:v>0.61532359635796396</c:v>
                </c:pt>
                <c:pt idx="6">
                  <c:v>0.68483016167004696</c:v>
                </c:pt>
                <c:pt idx="7">
                  <c:v>0.78681444659405297</c:v>
                </c:pt>
                <c:pt idx="8">
                  <c:v>0.91037466398303801</c:v>
                </c:pt>
                <c:pt idx="9">
                  <c:v>1.05386095643815</c:v>
                </c:pt>
                <c:pt idx="10">
                  <c:v>1.2297289879926001</c:v>
                </c:pt>
                <c:pt idx="11">
                  <c:v>1.3758930863469701</c:v>
                </c:pt>
                <c:pt idx="12">
                  <c:v>1.5454102955277</c:v>
                </c:pt>
                <c:pt idx="13">
                  <c:v>1.7291348019600301</c:v>
                </c:pt>
                <c:pt idx="14">
                  <c:v>1.82202685233567</c:v>
                </c:pt>
                <c:pt idx="15">
                  <c:v>1.8953024300721799</c:v>
                </c:pt>
                <c:pt idx="16">
                  <c:v>1.9461195158370199</c:v>
                </c:pt>
                <c:pt idx="17">
                  <c:v>2.0553322927580902</c:v>
                </c:pt>
                <c:pt idx="18">
                  <c:v>2.1585373359520998</c:v>
                </c:pt>
                <c:pt idx="19">
                  <c:v>2.2424502653498699</c:v>
                </c:pt>
                <c:pt idx="20">
                  <c:v>2.3641271745496399</c:v>
                </c:pt>
                <c:pt idx="21">
                  <c:v>2.4803354173602798</c:v>
                </c:pt>
                <c:pt idx="22">
                  <c:v>2.5904513583864102</c:v>
                </c:pt>
                <c:pt idx="23">
                  <c:v>2.6563373474127498</c:v>
                </c:pt>
                <c:pt idx="24">
                  <c:v>2.7101244790512502</c:v>
                </c:pt>
                <c:pt idx="25">
                  <c:v>2.7573647838327799</c:v>
                </c:pt>
                <c:pt idx="26">
                  <c:v>2.6183387068297299</c:v>
                </c:pt>
                <c:pt idx="27">
                  <c:v>2.47185528116005</c:v>
                </c:pt>
                <c:pt idx="28">
                  <c:v>2.3270764680810401</c:v>
                </c:pt>
                <c:pt idx="29">
                  <c:v>2.2980267904341698</c:v>
                </c:pt>
                <c:pt idx="30">
                  <c:v>2.2628480625549998</c:v>
                </c:pt>
                <c:pt idx="31">
                  <c:v>2.2240414037509599</c:v>
                </c:pt>
                <c:pt idx="32">
                  <c:v>2.2608810768885701</c:v>
                </c:pt>
                <c:pt idx="33">
                  <c:v>2.2959034252630599</c:v>
                </c:pt>
                <c:pt idx="34">
                  <c:v>2.3255900703828498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639616"/>
        <c:axId val="394645504"/>
      </c:lineChart>
      <c:dateAx>
        <c:axId val="394639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4645504"/>
        <c:crosses val="autoZero"/>
        <c:auto val="1"/>
        <c:lblOffset val="100"/>
        <c:baseTimeUnit val="months"/>
      </c:dateAx>
      <c:valAx>
        <c:axId val="394645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4639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2014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'2014'!$L$2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'2014'!$K$3:$K$76</c:f>
              <c:numCache>
                <c:formatCode>m/d/yyyy</c:formatCode>
                <c:ptCount val="74"/>
                <c:pt idx="0">
                  <c:v>41671</c:v>
                </c:pt>
                <c:pt idx="1">
                  <c:v>41699</c:v>
                </c:pt>
                <c:pt idx="2">
                  <c:v>41730</c:v>
                </c:pt>
                <c:pt idx="3">
                  <c:v>41760</c:v>
                </c:pt>
                <c:pt idx="4">
                  <c:v>41791</c:v>
                </c:pt>
                <c:pt idx="5">
                  <c:v>41821</c:v>
                </c:pt>
                <c:pt idx="6">
                  <c:v>41852</c:v>
                </c:pt>
                <c:pt idx="7">
                  <c:v>41883</c:v>
                </c:pt>
                <c:pt idx="8">
                  <c:v>41913</c:v>
                </c:pt>
                <c:pt idx="9">
                  <c:v>41944</c:v>
                </c:pt>
                <c:pt idx="10">
                  <c:v>41974</c:v>
                </c:pt>
                <c:pt idx="11">
                  <c:v>42005</c:v>
                </c:pt>
                <c:pt idx="12">
                  <c:v>42036</c:v>
                </c:pt>
                <c:pt idx="13">
                  <c:v>42064</c:v>
                </c:pt>
                <c:pt idx="14">
                  <c:v>42095</c:v>
                </c:pt>
                <c:pt idx="15">
                  <c:v>42125</c:v>
                </c:pt>
                <c:pt idx="16">
                  <c:v>42156</c:v>
                </c:pt>
                <c:pt idx="17">
                  <c:v>42186</c:v>
                </c:pt>
                <c:pt idx="18">
                  <c:v>42217</c:v>
                </c:pt>
                <c:pt idx="19">
                  <c:v>42248</c:v>
                </c:pt>
                <c:pt idx="20">
                  <c:v>42278</c:v>
                </c:pt>
                <c:pt idx="21">
                  <c:v>42309</c:v>
                </c:pt>
                <c:pt idx="22">
                  <c:v>42339</c:v>
                </c:pt>
              </c:numCache>
            </c:numRef>
          </c:cat>
          <c:val>
            <c:numRef>
              <c:f>'2014'!$L$3:$L$76</c:f>
              <c:numCache>
                <c:formatCode>General</c:formatCode>
                <c:ptCount val="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0.35</c:v>
                </c:pt>
                <c:pt idx="5">
                  <c:v>#N/A</c:v>
                </c:pt>
                <c:pt idx="6">
                  <c:v>0.14000000000000001</c:v>
                </c:pt>
                <c:pt idx="7">
                  <c:v>0.28000000000000003</c:v>
                </c:pt>
                <c:pt idx="8">
                  <c:v>0.7</c:v>
                </c:pt>
                <c:pt idx="9">
                  <c:v>0.66</c:v>
                </c:pt>
                <c:pt idx="10">
                  <c:v>0.69</c:v>
                </c:pt>
                <c:pt idx="11">
                  <c:v>0.51</c:v>
                </c:pt>
                <c:pt idx="12">
                  <c:v>1.1399999999999999</c:v>
                </c:pt>
                <c:pt idx="13">
                  <c:v>0.94</c:v>
                </c:pt>
                <c:pt idx="14">
                  <c:v>1.06</c:v>
                </c:pt>
                <c:pt idx="15">
                  <c:v>1.73</c:v>
                </c:pt>
                <c:pt idx="16">
                  <c:v>0.64</c:v>
                </c:pt>
                <c:pt idx="17">
                  <c:v>2.04</c:v>
                </c:pt>
                <c:pt idx="18">
                  <c:v>2.34</c:v>
                </c:pt>
                <c:pt idx="19">
                  <c:v>1.42</c:v>
                </c:pt>
                <c:pt idx="20">
                  <c:v>1.61</c:v>
                </c:pt>
                <c:pt idx="21">
                  <c:v>1.66</c:v>
                </c:pt>
                <c:pt idx="22">
                  <c:v>1.82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'2014'!$M$2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'2014'!$K$3:$K$76</c:f>
              <c:numCache>
                <c:formatCode>m/d/yyyy</c:formatCode>
                <c:ptCount val="74"/>
                <c:pt idx="0">
                  <c:v>41671</c:v>
                </c:pt>
                <c:pt idx="1">
                  <c:v>41699</c:v>
                </c:pt>
                <c:pt idx="2">
                  <c:v>41730</c:v>
                </c:pt>
                <c:pt idx="3">
                  <c:v>41760</c:v>
                </c:pt>
                <c:pt idx="4">
                  <c:v>41791</c:v>
                </c:pt>
                <c:pt idx="5">
                  <c:v>41821</c:v>
                </c:pt>
                <c:pt idx="6">
                  <c:v>41852</c:v>
                </c:pt>
                <c:pt idx="7">
                  <c:v>41883</c:v>
                </c:pt>
                <c:pt idx="8">
                  <c:v>41913</c:v>
                </c:pt>
                <c:pt idx="9">
                  <c:v>41944</c:v>
                </c:pt>
                <c:pt idx="10">
                  <c:v>41974</c:v>
                </c:pt>
                <c:pt idx="11">
                  <c:v>42005</c:v>
                </c:pt>
                <c:pt idx="12">
                  <c:v>42036</c:v>
                </c:pt>
                <c:pt idx="13">
                  <c:v>42064</c:v>
                </c:pt>
                <c:pt idx="14">
                  <c:v>42095</c:v>
                </c:pt>
                <c:pt idx="15">
                  <c:v>42125</c:v>
                </c:pt>
                <c:pt idx="16">
                  <c:v>42156</c:v>
                </c:pt>
                <c:pt idx="17">
                  <c:v>42186</c:v>
                </c:pt>
                <c:pt idx="18">
                  <c:v>42217</c:v>
                </c:pt>
                <c:pt idx="19">
                  <c:v>42248</c:v>
                </c:pt>
                <c:pt idx="20">
                  <c:v>42278</c:v>
                </c:pt>
                <c:pt idx="21">
                  <c:v>42309</c:v>
                </c:pt>
                <c:pt idx="22">
                  <c:v>42339</c:v>
                </c:pt>
              </c:numCache>
            </c:numRef>
          </c:cat>
          <c:val>
            <c:numRef>
              <c:f>'2014'!$M$3:$M$76</c:f>
              <c:numCache>
                <c:formatCode>General</c:formatCode>
                <c:ptCount val="74"/>
                <c:pt idx="0">
                  <c:v>0.52858841069389795</c:v>
                </c:pt>
                <c:pt idx="1">
                  <c:v>0.82181663685889605</c:v>
                </c:pt>
                <c:pt idx="2">
                  <c:v>1.2036285752984099</c:v>
                </c:pt>
                <c:pt idx="3">
                  <c:v>1.5469712070036401</c:v>
                </c:pt>
                <c:pt idx="4">
                  <c:v>1.8028093144764199</c:v>
                </c:pt>
                <c:pt idx="5">
                  <c:v>2.1375426994098699</c:v>
                </c:pt>
                <c:pt idx="6">
                  <c:v>2.4718760700646998</c:v>
                </c:pt>
                <c:pt idx="7">
                  <c:v>2.8667703389721702</c:v>
                </c:pt>
                <c:pt idx="8">
                  <c:v>3.2144757357643101</c:v>
                </c:pt>
                <c:pt idx="9">
                  <c:v>3.6257488554883599</c:v>
                </c:pt>
                <c:pt idx="10">
                  <c:v>3.9852452272328001</c:v>
                </c:pt>
                <c:pt idx="11">
                  <c:v>4.3312348190518302</c:v>
                </c:pt>
                <c:pt idx="12">
                  <c:v>4.8107832840118201</c:v>
                </c:pt>
                <c:pt idx="13">
                  <c:v>5.3428797342783803</c:v>
                </c:pt>
                <c:pt idx="14">
                  <c:v>5.6030406173304703</c:v>
                </c:pt>
                <c:pt idx="15">
                  <c:v>5.7966085244108498</c:v>
                </c:pt>
                <c:pt idx="16">
                  <c:v>5.92525907576315</c:v>
                </c:pt>
                <c:pt idx="17">
                  <c:v>6.2153419158826697</c:v>
                </c:pt>
                <c:pt idx="18">
                  <c:v>6.4569860916156498</c:v>
                </c:pt>
                <c:pt idx="19">
                  <c:v>6.6796309884234804</c:v>
                </c:pt>
                <c:pt idx="20">
                  <c:v>7.0530574483890502</c:v>
                </c:pt>
                <c:pt idx="21">
                  <c:v>7.4097788268732598</c:v>
                </c:pt>
                <c:pt idx="22">
                  <c:v>7.7358143811265201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'2014'!$N$2</c:f>
              <c:strCache>
                <c:ptCount val="1"/>
                <c:pt idx="0">
                  <c:v>New Model</c:v>
                </c:pt>
              </c:strCache>
            </c:strRef>
          </c:tx>
          <c:marker>
            <c:symbol val="none"/>
          </c:marker>
          <c:cat>
            <c:numRef>
              <c:f>'2014'!$K$3:$K$76</c:f>
              <c:numCache>
                <c:formatCode>m/d/yyyy</c:formatCode>
                <c:ptCount val="74"/>
                <c:pt idx="0">
                  <c:v>41671</c:v>
                </c:pt>
                <c:pt idx="1">
                  <c:v>41699</c:v>
                </c:pt>
                <c:pt idx="2">
                  <c:v>41730</c:v>
                </c:pt>
                <c:pt idx="3">
                  <c:v>41760</c:v>
                </c:pt>
                <c:pt idx="4">
                  <c:v>41791</c:v>
                </c:pt>
                <c:pt idx="5">
                  <c:v>41821</c:v>
                </c:pt>
                <c:pt idx="6">
                  <c:v>41852</c:v>
                </c:pt>
                <c:pt idx="7">
                  <c:v>41883</c:v>
                </c:pt>
                <c:pt idx="8">
                  <c:v>41913</c:v>
                </c:pt>
                <c:pt idx="9">
                  <c:v>41944</c:v>
                </c:pt>
                <c:pt idx="10">
                  <c:v>41974</c:v>
                </c:pt>
                <c:pt idx="11">
                  <c:v>42005</c:v>
                </c:pt>
                <c:pt idx="12">
                  <c:v>42036</c:v>
                </c:pt>
                <c:pt idx="13">
                  <c:v>42064</c:v>
                </c:pt>
                <c:pt idx="14">
                  <c:v>42095</c:v>
                </c:pt>
                <c:pt idx="15">
                  <c:v>42125</c:v>
                </c:pt>
                <c:pt idx="16">
                  <c:v>42156</c:v>
                </c:pt>
                <c:pt idx="17">
                  <c:v>42186</c:v>
                </c:pt>
                <c:pt idx="18">
                  <c:v>42217</c:v>
                </c:pt>
                <c:pt idx="19">
                  <c:v>42248</c:v>
                </c:pt>
                <c:pt idx="20">
                  <c:v>42278</c:v>
                </c:pt>
                <c:pt idx="21">
                  <c:v>42309</c:v>
                </c:pt>
                <c:pt idx="22">
                  <c:v>42339</c:v>
                </c:pt>
              </c:numCache>
            </c:numRef>
          </c:cat>
          <c:val>
            <c:numRef>
              <c:f>'2014'!$N$3:$N$76</c:f>
              <c:numCache>
                <c:formatCode>General</c:formatCode>
                <c:ptCount val="74"/>
                <c:pt idx="0">
                  <c:v>0.26461675848722399</c:v>
                </c:pt>
                <c:pt idx="1">
                  <c:v>0.41168780337774702</c:v>
                </c:pt>
                <c:pt idx="2">
                  <c:v>0.60348788108239804</c:v>
                </c:pt>
                <c:pt idx="3">
                  <c:v>0.77625367972716797</c:v>
                </c:pt>
                <c:pt idx="4">
                  <c:v>0.90516800132082198</c:v>
                </c:pt>
                <c:pt idx="5">
                  <c:v>1.07406975623376</c:v>
                </c:pt>
                <c:pt idx="6">
                  <c:v>1.24303442745364</c:v>
                </c:pt>
                <c:pt idx="7">
                  <c:v>1.4429479301827099</c:v>
                </c:pt>
                <c:pt idx="8">
                  <c:v>1.6192812557140399</c:v>
                </c:pt>
                <c:pt idx="9">
                  <c:v>1.82822771591252</c:v>
                </c:pt>
                <c:pt idx="10">
                  <c:v>2.0112046037876898</c:v>
                </c:pt>
                <c:pt idx="11">
                  <c:v>2.1876040595852602</c:v>
                </c:pt>
                <c:pt idx="12">
                  <c:v>2.4325823383756799</c:v>
                </c:pt>
                <c:pt idx="13">
                  <c:v>2.7050692002983898</c:v>
                </c:pt>
                <c:pt idx="14">
                  <c:v>2.8385538086381699</c:v>
                </c:pt>
                <c:pt idx="15">
                  <c:v>2.93798026150432</c:v>
                </c:pt>
                <c:pt idx="16">
                  <c:v>3.00411374838087</c:v>
                </c:pt>
                <c:pt idx="17">
                  <c:v>3.15338501717914</c:v>
                </c:pt>
                <c:pt idx="18">
                  <c:v>3.2778927108865501</c:v>
                </c:pt>
                <c:pt idx="19">
                  <c:v>3.3927418961640501</c:v>
                </c:pt>
                <c:pt idx="20">
                  <c:v>3.5856534304592702</c:v>
                </c:pt>
                <c:pt idx="21">
                  <c:v>3.7702681819063999</c:v>
                </c:pt>
                <c:pt idx="22">
                  <c:v>3.9393132712477898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807168"/>
        <c:axId val="308808704"/>
      </c:lineChart>
      <c:dateAx>
        <c:axId val="308807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08808704"/>
        <c:crosses val="autoZero"/>
        <c:auto val="1"/>
        <c:lblOffset val="100"/>
        <c:baseTimeUnit val="months"/>
      </c:dateAx>
      <c:valAx>
        <c:axId val="308808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8807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Sheet9!$B$5</c:f>
              <c:strCache>
                <c:ptCount val="1"/>
                <c:pt idx="0">
                  <c:v>2009</c:v>
                </c:pt>
              </c:strCache>
            </c:strRef>
          </c:tx>
          <c:marker>
            <c:symbol val="none"/>
          </c:marker>
          <c:cat>
            <c:numRef>
              <c:f>Sheet9!$A$6:$A$75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Sheet9!$B$6:$B$75</c:f>
              <c:numCache>
                <c:formatCode>General</c:formatCode>
                <c:ptCount val="70"/>
                <c:pt idx="0">
                  <c:v>116.1</c:v>
                </c:pt>
                <c:pt idx="1">
                  <c:v>116.68</c:v>
                </c:pt>
                <c:pt idx="2">
                  <c:v>117.38</c:v>
                </c:pt>
                <c:pt idx="3">
                  <c:v>117.4</c:v>
                </c:pt>
                <c:pt idx="4">
                  <c:v>116.85</c:v>
                </c:pt>
                <c:pt idx="5">
                  <c:v>116.23</c:v>
                </c:pt>
                <c:pt idx="6">
                  <c:v>116.22</c:v>
                </c:pt>
                <c:pt idx="7">
                  <c:v>116.74</c:v>
                </c:pt>
                <c:pt idx="8">
                  <c:v>117.31</c:v>
                </c:pt>
                <c:pt idx="9">
                  <c:v>118.04</c:v>
                </c:pt>
                <c:pt idx="10">
                  <c:v>118.92</c:v>
                </c:pt>
                <c:pt idx="11">
                  <c:v>119.81</c:v>
                </c:pt>
                <c:pt idx="12">
                  <c:v>120.92</c:v>
                </c:pt>
                <c:pt idx="13">
                  <c:v>122.01</c:v>
                </c:pt>
                <c:pt idx="14">
                  <c:v>123.41</c:v>
                </c:pt>
                <c:pt idx="15">
                  <c:v>123.98</c:v>
                </c:pt>
                <c:pt idx="16">
                  <c:v>121.96</c:v>
                </c:pt>
                <c:pt idx="17">
                  <c:v>121.99</c:v>
                </c:pt>
                <c:pt idx="18">
                  <c:v>121.76</c:v>
                </c:pt>
                <c:pt idx="19">
                  <c:v>121.75</c:v>
                </c:pt>
                <c:pt idx="20">
                  <c:v>121.22</c:v>
                </c:pt>
                <c:pt idx="21">
                  <c:v>120.97</c:v>
                </c:pt>
                <c:pt idx="22">
                  <c:v>121.06</c:v>
                </c:pt>
                <c:pt idx="23">
                  <c:v>121.2</c:v>
                </c:pt>
                <c:pt idx="24">
                  <c:v>121.18</c:v>
                </c:pt>
                <c:pt idx="25">
                  <c:v>121.25</c:v>
                </c:pt>
                <c:pt idx="26">
                  <c:v>121.32</c:v>
                </c:pt>
                <c:pt idx="27">
                  <c:v>120.62</c:v>
                </c:pt>
                <c:pt idx="28">
                  <c:v>119.08</c:v>
                </c:pt>
                <c:pt idx="29">
                  <c:v>117.62</c:v>
                </c:pt>
                <c:pt idx="30">
                  <c:v>116.58</c:v>
                </c:pt>
                <c:pt idx="31">
                  <c:v>115.38</c:v>
                </c:pt>
                <c:pt idx="32">
                  <c:v>114.2</c:v>
                </c:pt>
                <c:pt idx="33">
                  <c:v>113.2</c:v>
                </c:pt>
                <c:pt idx="34">
                  <c:v>112.73</c:v>
                </c:pt>
                <c:pt idx="35">
                  <c:v>112.29</c:v>
                </c:pt>
                <c:pt idx="36">
                  <c:v>111.66</c:v>
                </c:pt>
                <c:pt idx="37">
                  <c:v>111.06</c:v>
                </c:pt>
                <c:pt idx="38">
                  <c:v>110.5</c:v>
                </c:pt>
                <c:pt idx="39">
                  <c:v>109.42</c:v>
                </c:pt>
                <c:pt idx="40">
                  <c:v>107.71</c:v>
                </c:pt>
                <c:pt idx="41">
                  <c:v>106.04</c:v>
                </c:pt>
                <c:pt idx="42">
                  <c:v>104.7</c:v>
                </c:pt>
                <c:pt idx="43">
                  <c:v>103.42</c:v>
                </c:pt>
                <c:pt idx="44">
                  <c:v>102.22</c:v>
                </c:pt>
                <c:pt idx="45">
                  <c:v>101.32</c:v>
                </c:pt>
                <c:pt idx="46">
                  <c:v>101.03</c:v>
                </c:pt>
                <c:pt idx="47">
                  <c:v>100.86</c:v>
                </c:pt>
                <c:pt idx="48">
                  <c:v>100.57</c:v>
                </c:pt>
                <c:pt idx="49">
                  <c:v>100.48</c:v>
                </c:pt>
                <c:pt idx="50">
                  <c:v>100.4</c:v>
                </c:pt>
                <c:pt idx="51">
                  <c:v>99.8</c:v>
                </c:pt>
                <c:pt idx="52">
                  <c:v>98.77</c:v>
                </c:pt>
                <c:pt idx="53">
                  <c:v>97.81</c:v>
                </c:pt>
                <c:pt idx="54">
                  <c:v>97.22</c:v>
                </c:pt>
                <c:pt idx="55">
                  <c:v>96.77</c:v>
                </c:pt>
                <c:pt idx="56">
                  <c:v>96.6</c:v>
                </c:pt>
                <c:pt idx="57">
                  <c:v>94.78</c:v>
                </c:pt>
                <c:pt idx="58">
                  <c:v>94.81</c:v>
                </c:pt>
                <c:pt idx="59">
                  <c:v>94.62</c:v>
                </c:pt>
                <c:pt idx="60">
                  <c:v>94.49</c:v>
                </c:pt>
                <c:pt idx="61">
                  <c:v>94.12</c:v>
                </c:pt>
                <c:pt idx="62">
                  <c:v>93.55</c:v>
                </c:pt>
                <c:pt idx="63">
                  <c:v>92.68</c:v>
                </c:pt>
                <c:pt idx="64">
                  <c:v>91.77</c:v>
                </c:pt>
                <c:pt idx="65">
                  <c:v>91.33</c:v>
                </c:pt>
                <c:pt idx="66">
                  <c:v>89.99</c:v>
                </c:pt>
                <c:pt idx="67">
                  <c:v>89.1</c:v>
                </c:pt>
                <c:pt idx="68">
                  <c:v>88.88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Sheet9!$C$5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cat>
            <c:numRef>
              <c:f>Sheet9!$A$6:$A$75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Sheet9!$C$6:$C$75</c:f>
              <c:numCache>
                <c:formatCode>General</c:formatCode>
                <c:ptCount val="70"/>
                <c:pt idx="0">
                  <c:v>116</c:v>
                </c:pt>
                <c:pt idx="1">
                  <c:v>116.73</c:v>
                </c:pt>
                <c:pt idx="2">
                  <c:v>117.52</c:v>
                </c:pt>
                <c:pt idx="3">
                  <c:v>118.25</c:v>
                </c:pt>
                <c:pt idx="4">
                  <c:v>118.83</c:v>
                </c:pt>
                <c:pt idx="5">
                  <c:v>119.36</c:v>
                </c:pt>
                <c:pt idx="6">
                  <c:v>119.65</c:v>
                </c:pt>
                <c:pt idx="7">
                  <c:v>119.89</c:v>
                </c:pt>
                <c:pt idx="8">
                  <c:v>120.06</c:v>
                </c:pt>
                <c:pt idx="9">
                  <c:v>119.93</c:v>
                </c:pt>
                <c:pt idx="10">
                  <c:v>120.07</c:v>
                </c:pt>
                <c:pt idx="11">
                  <c:v>120.22</c:v>
                </c:pt>
                <c:pt idx="12">
                  <c:v>120.32</c:v>
                </c:pt>
                <c:pt idx="13">
                  <c:v>120.25</c:v>
                </c:pt>
                <c:pt idx="14">
                  <c:v>120.1</c:v>
                </c:pt>
                <c:pt idx="15">
                  <c:v>119.79</c:v>
                </c:pt>
                <c:pt idx="16">
                  <c:v>119.14</c:v>
                </c:pt>
                <c:pt idx="17">
                  <c:v>118.41</c:v>
                </c:pt>
                <c:pt idx="18">
                  <c:v>117.61</c:v>
                </c:pt>
                <c:pt idx="19">
                  <c:v>116.83</c:v>
                </c:pt>
                <c:pt idx="20">
                  <c:v>116.06</c:v>
                </c:pt>
                <c:pt idx="21">
                  <c:v>115.31</c:v>
                </c:pt>
                <c:pt idx="22">
                  <c:v>114.51</c:v>
                </c:pt>
                <c:pt idx="23">
                  <c:v>113.67</c:v>
                </c:pt>
                <c:pt idx="24">
                  <c:v>112.82</c:v>
                </c:pt>
                <c:pt idx="25">
                  <c:v>111.89</c:v>
                </c:pt>
                <c:pt idx="26">
                  <c:v>110.92</c:v>
                </c:pt>
                <c:pt idx="27">
                  <c:v>109.86</c:v>
                </c:pt>
                <c:pt idx="28">
                  <c:v>108.64</c:v>
                </c:pt>
                <c:pt idx="29">
                  <c:v>107.5</c:v>
                </c:pt>
                <c:pt idx="30">
                  <c:v>106.3</c:v>
                </c:pt>
                <c:pt idx="31">
                  <c:v>105.15</c:v>
                </c:pt>
                <c:pt idx="32">
                  <c:v>104.04</c:v>
                </c:pt>
                <c:pt idx="33">
                  <c:v>102.98</c:v>
                </c:pt>
                <c:pt idx="34">
                  <c:v>102.08</c:v>
                </c:pt>
                <c:pt idx="35">
                  <c:v>101.22</c:v>
                </c:pt>
                <c:pt idx="36">
                  <c:v>100.37</c:v>
                </c:pt>
                <c:pt idx="37">
                  <c:v>99.61</c:v>
                </c:pt>
                <c:pt idx="38">
                  <c:v>98.92</c:v>
                </c:pt>
                <c:pt idx="39">
                  <c:v>98.21</c:v>
                </c:pt>
                <c:pt idx="40">
                  <c:v>97.49</c:v>
                </c:pt>
                <c:pt idx="41">
                  <c:v>96.87</c:v>
                </c:pt>
                <c:pt idx="42">
                  <c:v>96.07</c:v>
                </c:pt>
                <c:pt idx="43">
                  <c:v>95.52</c:v>
                </c:pt>
                <c:pt idx="44">
                  <c:v>94.89</c:v>
                </c:pt>
                <c:pt idx="45">
                  <c:v>94.32</c:v>
                </c:pt>
                <c:pt idx="46">
                  <c:v>93.9</c:v>
                </c:pt>
                <c:pt idx="47">
                  <c:v>93.44</c:v>
                </c:pt>
                <c:pt idx="48">
                  <c:v>93</c:v>
                </c:pt>
                <c:pt idx="49">
                  <c:v>92.57</c:v>
                </c:pt>
                <c:pt idx="50">
                  <c:v>92.14</c:v>
                </c:pt>
                <c:pt idx="51">
                  <c:v>91.59</c:v>
                </c:pt>
                <c:pt idx="52">
                  <c:v>90.94</c:v>
                </c:pt>
                <c:pt idx="53">
                  <c:v>90.43</c:v>
                </c:pt>
                <c:pt idx="54">
                  <c:v>89.87</c:v>
                </c:pt>
                <c:pt idx="55">
                  <c:v>89.25</c:v>
                </c:pt>
                <c:pt idx="56">
                  <c:v>88.58</c:v>
                </c:pt>
                <c:pt idx="57">
                  <c:v>88.23</c:v>
                </c:pt>
                <c:pt idx="58">
                  <c:v>87.69</c:v>
                </c:pt>
                <c:pt idx="59">
                  <c:v>87.22</c:v>
                </c:pt>
                <c:pt idx="60">
                  <c:v>87.17</c:v>
                </c:pt>
                <c:pt idx="61">
                  <c:v>87.76</c:v>
                </c:pt>
                <c:pt idx="62">
                  <c:v>87.83</c:v>
                </c:pt>
                <c:pt idx="63">
                  <c:v>87.75</c:v>
                </c:pt>
                <c:pt idx="64">
                  <c:v>87.83</c:v>
                </c:pt>
                <c:pt idx="65">
                  <c:v>87.66</c:v>
                </c:pt>
                <c:pt idx="66">
                  <c:v>87.52</c:v>
                </c:pt>
                <c:pt idx="67">
                  <c:v>87.64</c:v>
                </c:pt>
                <c:pt idx="68">
                  <c:v>87.55</c:v>
                </c:pt>
                <c:pt idx="69">
                  <c:v>87.83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Sheet9!$D$5</c:f>
              <c:strCache>
                <c:ptCount val="1"/>
                <c:pt idx="0">
                  <c:v>2011</c:v>
                </c:pt>
              </c:strCache>
            </c:strRef>
          </c:tx>
          <c:marker>
            <c:symbol val="none"/>
          </c:marker>
          <c:cat>
            <c:numRef>
              <c:f>Sheet9!$A$6:$A$75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Sheet9!$D$6:$D$75</c:f>
              <c:numCache>
                <c:formatCode>General</c:formatCode>
                <c:ptCount val="70"/>
                <c:pt idx="0">
                  <c:v>115.7</c:v>
                </c:pt>
                <c:pt idx="1">
                  <c:v>115.75</c:v>
                </c:pt>
                <c:pt idx="2">
                  <c:v>115.79</c:v>
                </c:pt>
                <c:pt idx="3">
                  <c:v>115.66</c:v>
                </c:pt>
                <c:pt idx="4">
                  <c:v>115.32</c:v>
                </c:pt>
                <c:pt idx="5">
                  <c:v>114.86</c:v>
                </c:pt>
                <c:pt idx="6">
                  <c:v>114.39</c:v>
                </c:pt>
                <c:pt idx="7">
                  <c:v>113.86</c:v>
                </c:pt>
                <c:pt idx="8">
                  <c:v>113.29</c:v>
                </c:pt>
                <c:pt idx="9">
                  <c:v>112.75</c:v>
                </c:pt>
                <c:pt idx="10">
                  <c:v>112.19</c:v>
                </c:pt>
                <c:pt idx="11">
                  <c:v>111.53</c:v>
                </c:pt>
                <c:pt idx="12">
                  <c:v>110.71</c:v>
                </c:pt>
                <c:pt idx="13">
                  <c:v>109.86</c:v>
                </c:pt>
                <c:pt idx="14">
                  <c:v>108.9</c:v>
                </c:pt>
                <c:pt idx="15">
                  <c:v>107.86</c:v>
                </c:pt>
                <c:pt idx="16">
                  <c:v>106.74</c:v>
                </c:pt>
                <c:pt idx="17">
                  <c:v>105.69</c:v>
                </c:pt>
                <c:pt idx="18">
                  <c:v>104.69</c:v>
                </c:pt>
                <c:pt idx="19">
                  <c:v>103.71</c:v>
                </c:pt>
                <c:pt idx="20">
                  <c:v>102.75</c:v>
                </c:pt>
                <c:pt idx="21">
                  <c:v>101.76</c:v>
                </c:pt>
                <c:pt idx="22">
                  <c:v>100.85</c:v>
                </c:pt>
                <c:pt idx="23">
                  <c:v>99.92</c:v>
                </c:pt>
                <c:pt idx="24">
                  <c:v>98.99</c:v>
                </c:pt>
                <c:pt idx="25">
                  <c:v>98.06</c:v>
                </c:pt>
                <c:pt idx="26">
                  <c:v>97.11</c:v>
                </c:pt>
                <c:pt idx="27">
                  <c:v>96.27</c:v>
                </c:pt>
                <c:pt idx="28">
                  <c:v>95.34</c:v>
                </c:pt>
                <c:pt idx="29">
                  <c:v>94.52</c:v>
                </c:pt>
                <c:pt idx="30">
                  <c:v>93.86</c:v>
                </c:pt>
                <c:pt idx="31">
                  <c:v>93.24</c:v>
                </c:pt>
                <c:pt idx="32">
                  <c:v>92.7</c:v>
                </c:pt>
                <c:pt idx="33">
                  <c:v>92.23</c:v>
                </c:pt>
                <c:pt idx="34">
                  <c:v>91.76</c:v>
                </c:pt>
                <c:pt idx="35">
                  <c:v>91.26</c:v>
                </c:pt>
                <c:pt idx="36">
                  <c:v>90.72</c:v>
                </c:pt>
                <c:pt idx="37">
                  <c:v>90.18</c:v>
                </c:pt>
                <c:pt idx="38">
                  <c:v>89.62</c:v>
                </c:pt>
                <c:pt idx="39">
                  <c:v>89.01</c:v>
                </c:pt>
                <c:pt idx="40">
                  <c:v>88.4</c:v>
                </c:pt>
                <c:pt idx="41">
                  <c:v>87.87</c:v>
                </c:pt>
                <c:pt idx="42">
                  <c:v>87.33</c:v>
                </c:pt>
                <c:pt idx="43">
                  <c:v>86.84</c:v>
                </c:pt>
                <c:pt idx="44">
                  <c:v>86.33</c:v>
                </c:pt>
                <c:pt idx="45">
                  <c:v>85.87</c:v>
                </c:pt>
                <c:pt idx="46">
                  <c:v>85.44</c:v>
                </c:pt>
                <c:pt idx="47">
                  <c:v>84.93</c:v>
                </c:pt>
                <c:pt idx="48">
                  <c:v>84.45</c:v>
                </c:pt>
                <c:pt idx="49">
                  <c:v>84.31</c:v>
                </c:pt>
                <c:pt idx="50">
                  <c:v>83.9</c:v>
                </c:pt>
                <c:pt idx="51">
                  <c:v>83.44</c:v>
                </c:pt>
                <c:pt idx="52">
                  <c:v>82.77</c:v>
                </c:pt>
                <c:pt idx="53">
                  <c:v>82.29</c:v>
                </c:pt>
                <c:pt idx="54">
                  <c:v>81.900000000000006</c:v>
                </c:pt>
                <c:pt idx="55">
                  <c:v>81.37</c:v>
                </c:pt>
                <c:pt idx="56">
                  <c:v>81.010000000000005</c:v>
                </c:pt>
                <c:pt idx="57">
                  <c:v>80.489999999999995</c:v>
                </c:pt>
                <c:pt idx="58">
                  <c:v>80.489999999999995</c:v>
                </c:pt>
                <c:pt idx="59">
                  <c:v>81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Sheet9!$E$5</c:f>
              <c:strCache>
                <c:ptCount val="1"/>
                <c:pt idx="0">
                  <c:v>2012</c:v>
                </c:pt>
              </c:strCache>
            </c:strRef>
          </c:tx>
          <c:marker>
            <c:symbol val="none"/>
          </c:marker>
          <c:cat>
            <c:numRef>
              <c:f>Sheet9!$A$6:$A$75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Sheet9!$E$6:$E$75</c:f>
              <c:numCache>
                <c:formatCode>General</c:formatCode>
                <c:ptCount val="70"/>
                <c:pt idx="0">
                  <c:v>114.73</c:v>
                </c:pt>
                <c:pt idx="1">
                  <c:v>114.13</c:v>
                </c:pt>
                <c:pt idx="2">
                  <c:v>113.13</c:v>
                </c:pt>
                <c:pt idx="3">
                  <c:v>112.21</c:v>
                </c:pt>
                <c:pt idx="4">
                  <c:v>111.3</c:v>
                </c:pt>
                <c:pt idx="5">
                  <c:v>110.33</c:v>
                </c:pt>
                <c:pt idx="6">
                  <c:v>109.3</c:v>
                </c:pt>
                <c:pt idx="7">
                  <c:v>108.22</c:v>
                </c:pt>
                <c:pt idx="8">
                  <c:v>107.12</c:v>
                </c:pt>
                <c:pt idx="9">
                  <c:v>105.94</c:v>
                </c:pt>
                <c:pt idx="10">
                  <c:v>104.74</c:v>
                </c:pt>
                <c:pt idx="11">
                  <c:v>103.61</c:v>
                </c:pt>
                <c:pt idx="12">
                  <c:v>102.55</c:v>
                </c:pt>
                <c:pt idx="13">
                  <c:v>101.55</c:v>
                </c:pt>
                <c:pt idx="14">
                  <c:v>100.67</c:v>
                </c:pt>
                <c:pt idx="15">
                  <c:v>99.93</c:v>
                </c:pt>
                <c:pt idx="16">
                  <c:v>99.3</c:v>
                </c:pt>
                <c:pt idx="17">
                  <c:v>98.66</c:v>
                </c:pt>
                <c:pt idx="18">
                  <c:v>98.04</c:v>
                </c:pt>
                <c:pt idx="19">
                  <c:v>97.45</c:v>
                </c:pt>
                <c:pt idx="20">
                  <c:v>96.85</c:v>
                </c:pt>
                <c:pt idx="21">
                  <c:v>96.21</c:v>
                </c:pt>
                <c:pt idx="22">
                  <c:v>95.55</c:v>
                </c:pt>
                <c:pt idx="23">
                  <c:v>94.88</c:v>
                </c:pt>
                <c:pt idx="24">
                  <c:v>94.29</c:v>
                </c:pt>
                <c:pt idx="25">
                  <c:v>93.63</c:v>
                </c:pt>
                <c:pt idx="26">
                  <c:v>93.06</c:v>
                </c:pt>
                <c:pt idx="27">
                  <c:v>92.55</c:v>
                </c:pt>
                <c:pt idx="28">
                  <c:v>92.06</c:v>
                </c:pt>
                <c:pt idx="29">
                  <c:v>91.53</c:v>
                </c:pt>
                <c:pt idx="30">
                  <c:v>90.95</c:v>
                </c:pt>
                <c:pt idx="31">
                  <c:v>90.35</c:v>
                </c:pt>
                <c:pt idx="32">
                  <c:v>89.75</c:v>
                </c:pt>
                <c:pt idx="33">
                  <c:v>89.11</c:v>
                </c:pt>
                <c:pt idx="34">
                  <c:v>88.43</c:v>
                </c:pt>
                <c:pt idx="35">
                  <c:v>87.77</c:v>
                </c:pt>
                <c:pt idx="36">
                  <c:v>87.15</c:v>
                </c:pt>
                <c:pt idx="37">
                  <c:v>86.54</c:v>
                </c:pt>
                <c:pt idx="38">
                  <c:v>85.94</c:v>
                </c:pt>
                <c:pt idx="39">
                  <c:v>85.37</c:v>
                </c:pt>
                <c:pt idx="40">
                  <c:v>84.81</c:v>
                </c:pt>
                <c:pt idx="41">
                  <c:v>84.17</c:v>
                </c:pt>
                <c:pt idx="42">
                  <c:v>83.47</c:v>
                </c:pt>
                <c:pt idx="43">
                  <c:v>82.66</c:v>
                </c:pt>
                <c:pt idx="44">
                  <c:v>81.819999999999993</c:v>
                </c:pt>
                <c:pt idx="45">
                  <c:v>81.44</c:v>
                </c:pt>
                <c:pt idx="46">
                  <c:v>82.12</c:v>
                </c:pt>
                <c:pt idx="47">
                  <c:v>82.7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Sheet9!$F$5</c:f>
              <c:strCache>
                <c:ptCount val="1"/>
                <c:pt idx="0">
                  <c:v>2013</c:v>
                </c:pt>
              </c:strCache>
            </c:strRef>
          </c:tx>
          <c:marker>
            <c:symbol val="none"/>
          </c:marker>
          <c:cat>
            <c:numRef>
              <c:f>Sheet9!$A$6:$A$75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Sheet9!$F$6:$F$75</c:f>
              <c:numCache>
                <c:formatCode>General</c:formatCode>
                <c:ptCount val="70"/>
                <c:pt idx="0">
                  <c:v>114.47</c:v>
                </c:pt>
                <c:pt idx="1">
                  <c:v>113.28</c:v>
                </c:pt>
                <c:pt idx="2">
                  <c:v>112.07</c:v>
                </c:pt>
                <c:pt idx="3">
                  <c:v>110.86</c:v>
                </c:pt>
                <c:pt idx="4">
                  <c:v>109.82</c:v>
                </c:pt>
                <c:pt idx="5">
                  <c:v>109</c:v>
                </c:pt>
                <c:pt idx="6">
                  <c:v>108.33</c:v>
                </c:pt>
                <c:pt idx="7">
                  <c:v>107.71</c:v>
                </c:pt>
                <c:pt idx="8">
                  <c:v>107.13</c:v>
                </c:pt>
                <c:pt idx="9">
                  <c:v>106.61</c:v>
                </c:pt>
                <c:pt idx="10">
                  <c:v>105.94</c:v>
                </c:pt>
                <c:pt idx="11">
                  <c:v>105.26</c:v>
                </c:pt>
                <c:pt idx="12">
                  <c:v>104.51</c:v>
                </c:pt>
                <c:pt idx="13">
                  <c:v>103.76</c:v>
                </c:pt>
                <c:pt idx="14">
                  <c:v>103.02</c:v>
                </c:pt>
                <c:pt idx="15">
                  <c:v>102.27</c:v>
                </c:pt>
                <c:pt idx="16">
                  <c:v>101.63</c:v>
                </c:pt>
                <c:pt idx="17">
                  <c:v>101.05</c:v>
                </c:pt>
                <c:pt idx="18">
                  <c:v>100.51</c:v>
                </c:pt>
                <c:pt idx="19">
                  <c:v>100.01</c:v>
                </c:pt>
                <c:pt idx="20">
                  <c:v>99.44</c:v>
                </c:pt>
                <c:pt idx="21">
                  <c:v>98.86</c:v>
                </c:pt>
                <c:pt idx="22">
                  <c:v>98.19</c:v>
                </c:pt>
                <c:pt idx="23">
                  <c:v>97.47</c:v>
                </c:pt>
                <c:pt idx="24">
                  <c:v>96.71</c:v>
                </c:pt>
                <c:pt idx="25">
                  <c:v>95.87</c:v>
                </c:pt>
                <c:pt idx="26">
                  <c:v>94.98</c:v>
                </c:pt>
                <c:pt idx="27">
                  <c:v>94.04</c:v>
                </c:pt>
                <c:pt idx="28">
                  <c:v>93.09</c:v>
                </c:pt>
                <c:pt idx="29">
                  <c:v>92.16</c:v>
                </c:pt>
                <c:pt idx="30">
                  <c:v>91.41</c:v>
                </c:pt>
                <c:pt idx="31">
                  <c:v>90.38</c:v>
                </c:pt>
                <c:pt idx="32">
                  <c:v>89.52</c:v>
                </c:pt>
                <c:pt idx="33">
                  <c:v>88.72</c:v>
                </c:pt>
                <c:pt idx="34">
                  <c:v>88.06</c:v>
                </c:pt>
                <c:pt idx="35">
                  <c:v>87.64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Sheet9!$G$5</c:f>
              <c:strCache>
                <c:ptCount val="1"/>
                <c:pt idx="0">
                  <c:v>2014</c:v>
                </c:pt>
              </c:strCache>
            </c:strRef>
          </c:tx>
          <c:marker>
            <c:symbol val="none"/>
          </c:marker>
          <c:cat>
            <c:numRef>
              <c:f>Sheet9!$A$6:$A$75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Sheet9!$G$6:$G$75</c:f>
              <c:numCache>
                <c:formatCode>General</c:formatCode>
                <c:ptCount val="70"/>
                <c:pt idx="0">
                  <c:v>113.2</c:v>
                </c:pt>
                <c:pt idx="1">
                  <c:v>112.62</c:v>
                </c:pt>
                <c:pt idx="2">
                  <c:v>111.81</c:v>
                </c:pt>
                <c:pt idx="3">
                  <c:v>111.05</c:v>
                </c:pt>
                <c:pt idx="4">
                  <c:v>110.36</c:v>
                </c:pt>
                <c:pt idx="5">
                  <c:v>109.76</c:v>
                </c:pt>
                <c:pt idx="6">
                  <c:v>109.14</c:v>
                </c:pt>
                <c:pt idx="7">
                  <c:v>108.54</c:v>
                </c:pt>
                <c:pt idx="8">
                  <c:v>107.97</c:v>
                </c:pt>
                <c:pt idx="9">
                  <c:v>107.36</c:v>
                </c:pt>
                <c:pt idx="10">
                  <c:v>106.71</c:v>
                </c:pt>
                <c:pt idx="11">
                  <c:v>106.01</c:v>
                </c:pt>
                <c:pt idx="12">
                  <c:v>105.31</c:v>
                </c:pt>
                <c:pt idx="13">
                  <c:v>104.52</c:v>
                </c:pt>
                <c:pt idx="14">
                  <c:v>103.64</c:v>
                </c:pt>
                <c:pt idx="15">
                  <c:v>102.77</c:v>
                </c:pt>
                <c:pt idx="16">
                  <c:v>101.98</c:v>
                </c:pt>
                <c:pt idx="17">
                  <c:v>101.4</c:v>
                </c:pt>
                <c:pt idx="18">
                  <c:v>100.61</c:v>
                </c:pt>
                <c:pt idx="19">
                  <c:v>100.02</c:v>
                </c:pt>
                <c:pt idx="20">
                  <c:v>99.59</c:v>
                </c:pt>
                <c:pt idx="21">
                  <c:v>99.44</c:v>
                </c:pt>
                <c:pt idx="22">
                  <c:v>99.37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630528"/>
        <c:axId val="400632064"/>
      </c:lineChart>
      <c:catAx>
        <c:axId val="40063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0632064"/>
        <c:crosses val="autoZero"/>
        <c:auto val="1"/>
        <c:lblAlgn val="ctr"/>
        <c:lblOffset val="100"/>
        <c:noMultiLvlLbl val="0"/>
      </c:catAx>
      <c:valAx>
        <c:axId val="400632064"/>
        <c:scaling>
          <c:orientation val="minMax"/>
          <c:min val="7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0630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Sheet9!$Y$5</c:f>
              <c:strCache>
                <c:ptCount val="1"/>
                <c:pt idx="0">
                  <c:v>2009</c:v>
                </c:pt>
              </c:strCache>
            </c:strRef>
          </c:tx>
          <c:marker>
            <c:symbol val="none"/>
          </c:marker>
          <c:cat>
            <c:numRef>
              <c:f>Sheet9!$X$6:$X$75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Sheet9!$Y$6:$Y$75</c:f>
              <c:numCache>
                <c:formatCode>General</c:formatCode>
                <c:ptCount val="70"/>
                <c:pt idx="0">
                  <c:v>730</c:v>
                </c:pt>
                <c:pt idx="1">
                  <c:v>730</c:v>
                </c:pt>
                <c:pt idx="2">
                  <c:v>730</c:v>
                </c:pt>
                <c:pt idx="3">
                  <c:v>730</c:v>
                </c:pt>
                <c:pt idx="4">
                  <c:v>730</c:v>
                </c:pt>
                <c:pt idx="5">
                  <c:v>730</c:v>
                </c:pt>
                <c:pt idx="6">
                  <c:v>730</c:v>
                </c:pt>
                <c:pt idx="7">
                  <c:v>730</c:v>
                </c:pt>
                <c:pt idx="8">
                  <c:v>730</c:v>
                </c:pt>
                <c:pt idx="9">
                  <c:v>730</c:v>
                </c:pt>
                <c:pt idx="10">
                  <c:v>730</c:v>
                </c:pt>
                <c:pt idx="11">
                  <c:v>730</c:v>
                </c:pt>
                <c:pt idx="12">
                  <c:v>731</c:v>
                </c:pt>
                <c:pt idx="13">
                  <c:v>731</c:v>
                </c:pt>
                <c:pt idx="14">
                  <c:v>731</c:v>
                </c:pt>
                <c:pt idx="15">
                  <c:v>732</c:v>
                </c:pt>
                <c:pt idx="16">
                  <c:v>725</c:v>
                </c:pt>
                <c:pt idx="17">
                  <c:v>725</c:v>
                </c:pt>
                <c:pt idx="18">
                  <c:v>721</c:v>
                </c:pt>
                <c:pt idx="19">
                  <c:v>725</c:v>
                </c:pt>
                <c:pt idx="20">
                  <c:v>725</c:v>
                </c:pt>
                <c:pt idx="21">
                  <c:v>726</c:v>
                </c:pt>
                <c:pt idx="22">
                  <c:v>726</c:v>
                </c:pt>
                <c:pt idx="23">
                  <c:v>726</c:v>
                </c:pt>
                <c:pt idx="24">
                  <c:v>725</c:v>
                </c:pt>
                <c:pt idx="25">
                  <c:v>726</c:v>
                </c:pt>
                <c:pt idx="26">
                  <c:v>726</c:v>
                </c:pt>
                <c:pt idx="27">
                  <c:v>726</c:v>
                </c:pt>
                <c:pt idx="28">
                  <c:v>726</c:v>
                </c:pt>
                <c:pt idx="29">
                  <c:v>725</c:v>
                </c:pt>
                <c:pt idx="30">
                  <c:v>726</c:v>
                </c:pt>
                <c:pt idx="31">
                  <c:v>726</c:v>
                </c:pt>
                <c:pt idx="32">
                  <c:v>726</c:v>
                </c:pt>
                <c:pt idx="33">
                  <c:v>726</c:v>
                </c:pt>
                <c:pt idx="34">
                  <c:v>727</c:v>
                </c:pt>
                <c:pt idx="35">
                  <c:v>726</c:v>
                </c:pt>
                <c:pt idx="36">
                  <c:v>726</c:v>
                </c:pt>
                <c:pt idx="37">
                  <c:v>726</c:v>
                </c:pt>
                <c:pt idx="38">
                  <c:v>726</c:v>
                </c:pt>
                <c:pt idx="39">
                  <c:v>725</c:v>
                </c:pt>
                <c:pt idx="40">
                  <c:v>725</c:v>
                </c:pt>
                <c:pt idx="41">
                  <c:v>725</c:v>
                </c:pt>
                <c:pt idx="42">
                  <c:v>724</c:v>
                </c:pt>
                <c:pt idx="43">
                  <c:v>724</c:v>
                </c:pt>
                <c:pt idx="44">
                  <c:v>725</c:v>
                </c:pt>
                <c:pt idx="45">
                  <c:v>724</c:v>
                </c:pt>
                <c:pt idx="46">
                  <c:v>724</c:v>
                </c:pt>
                <c:pt idx="47">
                  <c:v>724</c:v>
                </c:pt>
                <c:pt idx="48">
                  <c:v>724</c:v>
                </c:pt>
                <c:pt idx="49">
                  <c:v>724</c:v>
                </c:pt>
                <c:pt idx="50">
                  <c:v>724</c:v>
                </c:pt>
                <c:pt idx="51">
                  <c:v>724</c:v>
                </c:pt>
                <c:pt idx="52">
                  <c:v>724</c:v>
                </c:pt>
                <c:pt idx="53">
                  <c:v>724</c:v>
                </c:pt>
                <c:pt idx="54">
                  <c:v>724</c:v>
                </c:pt>
                <c:pt idx="55">
                  <c:v>724</c:v>
                </c:pt>
                <c:pt idx="56">
                  <c:v>721</c:v>
                </c:pt>
                <c:pt idx="57">
                  <c:v>724</c:v>
                </c:pt>
                <c:pt idx="58">
                  <c:v>724</c:v>
                </c:pt>
                <c:pt idx="59">
                  <c:v>724</c:v>
                </c:pt>
                <c:pt idx="60">
                  <c:v>723</c:v>
                </c:pt>
                <c:pt idx="61">
                  <c:v>724</c:v>
                </c:pt>
                <c:pt idx="62">
                  <c:v>725</c:v>
                </c:pt>
                <c:pt idx="63">
                  <c:v>724</c:v>
                </c:pt>
                <c:pt idx="64">
                  <c:v>725</c:v>
                </c:pt>
                <c:pt idx="65">
                  <c:v>724</c:v>
                </c:pt>
                <c:pt idx="66">
                  <c:v>724</c:v>
                </c:pt>
                <c:pt idx="67">
                  <c:v>724</c:v>
                </c:pt>
                <c:pt idx="68">
                  <c:v>724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Sheet9!$Z$5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cat>
            <c:numRef>
              <c:f>Sheet9!$X$6:$X$75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Sheet9!$Z$6:$Z$75</c:f>
              <c:numCache>
                <c:formatCode>General</c:formatCode>
                <c:ptCount val="70"/>
                <c:pt idx="0">
                  <c:v>730</c:v>
                </c:pt>
                <c:pt idx="1">
                  <c:v>731</c:v>
                </c:pt>
                <c:pt idx="2">
                  <c:v>731</c:v>
                </c:pt>
                <c:pt idx="3">
                  <c:v>731</c:v>
                </c:pt>
                <c:pt idx="4">
                  <c:v>731</c:v>
                </c:pt>
                <c:pt idx="5">
                  <c:v>731</c:v>
                </c:pt>
                <c:pt idx="6">
                  <c:v>731</c:v>
                </c:pt>
                <c:pt idx="7">
                  <c:v>731</c:v>
                </c:pt>
                <c:pt idx="8">
                  <c:v>731</c:v>
                </c:pt>
                <c:pt idx="9">
                  <c:v>731</c:v>
                </c:pt>
                <c:pt idx="10">
                  <c:v>731</c:v>
                </c:pt>
                <c:pt idx="11">
                  <c:v>731</c:v>
                </c:pt>
                <c:pt idx="12">
                  <c:v>731</c:v>
                </c:pt>
                <c:pt idx="13">
                  <c:v>731</c:v>
                </c:pt>
                <c:pt idx="14">
                  <c:v>731</c:v>
                </c:pt>
                <c:pt idx="15">
                  <c:v>732</c:v>
                </c:pt>
                <c:pt idx="16">
                  <c:v>732</c:v>
                </c:pt>
                <c:pt idx="17">
                  <c:v>732</c:v>
                </c:pt>
                <c:pt idx="18">
                  <c:v>732</c:v>
                </c:pt>
                <c:pt idx="19">
                  <c:v>732</c:v>
                </c:pt>
                <c:pt idx="20">
                  <c:v>732</c:v>
                </c:pt>
                <c:pt idx="21">
                  <c:v>732</c:v>
                </c:pt>
                <c:pt idx="22">
                  <c:v>732</c:v>
                </c:pt>
                <c:pt idx="23">
                  <c:v>732</c:v>
                </c:pt>
                <c:pt idx="24">
                  <c:v>732</c:v>
                </c:pt>
                <c:pt idx="25">
                  <c:v>732</c:v>
                </c:pt>
                <c:pt idx="26">
                  <c:v>732</c:v>
                </c:pt>
                <c:pt idx="27">
                  <c:v>732</c:v>
                </c:pt>
                <c:pt idx="28">
                  <c:v>732</c:v>
                </c:pt>
                <c:pt idx="29">
                  <c:v>732</c:v>
                </c:pt>
                <c:pt idx="30">
                  <c:v>732</c:v>
                </c:pt>
                <c:pt idx="31">
                  <c:v>732</c:v>
                </c:pt>
                <c:pt idx="32">
                  <c:v>732</c:v>
                </c:pt>
                <c:pt idx="33">
                  <c:v>732</c:v>
                </c:pt>
                <c:pt idx="34">
                  <c:v>732</c:v>
                </c:pt>
                <c:pt idx="35">
                  <c:v>732</c:v>
                </c:pt>
                <c:pt idx="36">
                  <c:v>732</c:v>
                </c:pt>
                <c:pt idx="37">
                  <c:v>732</c:v>
                </c:pt>
                <c:pt idx="38">
                  <c:v>732</c:v>
                </c:pt>
                <c:pt idx="39">
                  <c:v>732</c:v>
                </c:pt>
                <c:pt idx="40">
                  <c:v>732</c:v>
                </c:pt>
                <c:pt idx="41">
                  <c:v>732</c:v>
                </c:pt>
                <c:pt idx="42">
                  <c:v>732</c:v>
                </c:pt>
                <c:pt idx="43">
                  <c:v>732</c:v>
                </c:pt>
                <c:pt idx="44">
                  <c:v>732</c:v>
                </c:pt>
                <c:pt idx="45">
                  <c:v>732</c:v>
                </c:pt>
                <c:pt idx="46">
                  <c:v>732</c:v>
                </c:pt>
                <c:pt idx="47">
                  <c:v>732</c:v>
                </c:pt>
                <c:pt idx="48">
                  <c:v>732</c:v>
                </c:pt>
                <c:pt idx="49">
                  <c:v>731</c:v>
                </c:pt>
                <c:pt idx="50">
                  <c:v>731</c:v>
                </c:pt>
                <c:pt idx="51">
                  <c:v>731</c:v>
                </c:pt>
                <c:pt idx="52">
                  <c:v>731</c:v>
                </c:pt>
                <c:pt idx="53">
                  <c:v>731</c:v>
                </c:pt>
                <c:pt idx="54">
                  <c:v>730</c:v>
                </c:pt>
                <c:pt idx="55">
                  <c:v>730</c:v>
                </c:pt>
                <c:pt idx="56">
                  <c:v>730</c:v>
                </c:pt>
                <c:pt idx="57">
                  <c:v>730</c:v>
                </c:pt>
                <c:pt idx="58">
                  <c:v>729</c:v>
                </c:pt>
                <c:pt idx="59">
                  <c:v>729</c:v>
                </c:pt>
                <c:pt idx="60">
                  <c:v>728</c:v>
                </c:pt>
                <c:pt idx="61">
                  <c:v>726</c:v>
                </c:pt>
                <c:pt idx="62">
                  <c:v>725</c:v>
                </c:pt>
                <c:pt idx="63">
                  <c:v>724</c:v>
                </c:pt>
                <c:pt idx="64">
                  <c:v>724</c:v>
                </c:pt>
                <c:pt idx="65">
                  <c:v>724</c:v>
                </c:pt>
                <c:pt idx="66">
                  <c:v>724</c:v>
                </c:pt>
                <c:pt idx="67">
                  <c:v>723</c:v>
                </c:pt>
                <c:pt idx="68">
                  <c:v>723</c:v>
                </c:pt>
                <c:pt idx="69">
                  <c:v>723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Sheet9!$AA$5</c:f>
              <c:strCache>
                <c:ptCount val="1"/>
                <c:pt idx="0">
                  <c:v>2011</c:v>
                </c:pt>
              </c:strCache>
            </c:strRef>
          </c:tx>
          <c:marker>
            <c:symbol val="none"/>
          </c:marker>
          <c:cat>
            <c:numRef>
              <c:f>Sheet9!$X$6:$X$75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Sheet9!$AA$6:$AA$75</c:f>
              <c:numCache>
                <c:formatCode>General</c:formatCode>
                <c:ptCount val="70"/>
                <c:pt idx="0">
                  <c:v>728</c:v>
                </c:pt>
                <c:pt idx="1">
                  <c:v>734</c:v>
                </c:pt>
                <c:pt idx="2">
                  <c:v>735</c:v>
                </c:pt>
                <c:pt idx="3">
                  <c:v>735</c:v>
                </c:pt>
                <c:pt idx="4">
                  <c:v>735</c:v>
                </c:pt>
                <c:pt idx="5">
                  <c:v>735</c:v>
                </c:pt>
                <c:pt idx="6">
                  <c:v>735</c:v>
                </c:pt>
                <c:pt idx="7">
                  <c:v>735</c:v>
                </c:pt>
                <c:pt idx="8">
                  <c:v>735</c:v>
                </c:pt>
                <c:pt idx="9">
                  <c:v>735</c:v>
                </c:pt>
                <c:pt idx="10">
                  <c:v>735</c:v>
                </c:pt>
                <c:pt idx="11">
                  <c:v>735</c:v>
                </c:pt>
                <c:pt idx="12">
                  <c:v>735</c:v>
                </c:pt>
                <c:pt idx="13">
                  <c:v>735</c:v>
                </c:pt>
                <c:pt idx="14">
                  <c:v>735</c:v>
                </c:pt>
                <c:pt idx="15">
                  <c:v>735</c:v>
                </c:pt>
                <c:pt idx="16">
                  <c:v>735</c:v>
                </c:pt>
                <c:pt idx="17">
                  <c:v>735</c:v>
                </c:pt>
                <c:pt idx="18">
                  <c:v>735</c:v>
                </c:pt>
                <c:pt idx="19">
                  <c:v>735</c:v>
                </c:pt>
                <c:pt idx="20">
                  <c:v>735</c:v>
                </c:pt>
                <c:pt idx="21">
                  <c:v>735</c:v>
                </c:pt>
                <c:pt idx="22">
                  <c:v>735</c:v>
                </c:pt>
                <c:pt idx="23">
                  <c:v>735</c:v>
                </c:pt>
                <c:pt idx="24">
                  <c:v>735</c:v>
                </c:pt>
                <c:pt idx="25">
                  <c:v>735</c:v>
                </c:pt>
                <c:pt idx="26">
                  <c:v>735</c:v>
                </c:pt>
                <c:pt idx="27">
                  <c:v>735</c:v>
                </c:pt>
                <c:pt idx="28">
                  <c:v>735</c:v>
                </c:pt>
                <c:pt idx="29">
                  <c:v>735</c:v>
                </c:pt>
                <c:pt idx="30">
                  <c:v>735</c:v>
                </c:pt>
                <c:pt idx="31">
                  <c:v>735</c:v>
                </c:pt>
                <c:pt idx="32">
                  <c:v>735</c:v>
                </c:pt>
                <c:pt idx="33">
                  <c:v>735</c:v>
                </c:pt>
                <c:pt idx="34">
                  <c:v>735</c:v>
                </c:pt>
                <c:pt idx="35">
                  <c:v>735</c:v>
                </c:pt>
                <c:pt idx="36">
                  <c:v>734</c:v>
                </c:pt>
                <c:pt idx="37">
                  <c:v>735</c:v>
                </c:pt>
                <c:pt idx="38">
                  <c:v>734</c:v>
                </c:pt>
                <c:pt idx="39">
                  <c:v>734</c:v>
                </c:pt>
                <c:pt idx="40">
                  <c:v>734</c:v>
                </c:pt>
                <c:pt idx="41">
                  <c:v>734</c:v>
                </c:pt>
                <c:pt idx="42">
                  <c:v>734</c:v>
                </c:pt>
                <c:pt idx="43">
                  <c:v>734</c:v>
                </c:pt>
                <c:pt idx="44">
                  <c:v>734</c:v>
                </c:pt>
                <c:pt idx="45">
                  <c:v>733</c:v>
                </c:pt>
                <c:pt idx="46">
                  <c:v>733</c:v>
                </c:pt>
                <c:pt idx="47">
                  <c:v>733</c:v>
                </c:pt>
                <c:pt idx="48">
                  <c:v>733</c:v>
                </c:pt>
                <c:pt idx="49">
                  <c:v>732</c:v>
                </c:pt>
                <c:pt idx="50">
                  <c:v>732</c:v>
                </c:pt>
                <c:pt idx="51">
                  <c:v>731</c:v>
                </c:pt>
                <c:pt idx="52">
                  <c:v>732</c:v>
                </c:pt>
                <c:pt idx="53">
                  <c:v>732</c:v>
                </c:pt>
                <c:pt idx="54">
                  <c:v>732</c:v>
                </c:pt>
                <c:pt idx="55">
                  <c:v>733</c:v>
                </c:pt>
                <c:pt idx="56">
                  <c:v>734</c:v>
                </c:pt>
                <c:pt idx="57">
                  <c:v>736</c:v>
                </c:pt>
                <c:pt idx="58">
                  <c:v>738</c:v>
                </c:pt>
                <c:pt idx="59">
                  <c:v>738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Sheet9!$AB$5</c:f>
              <c:strCache>
                <c:ptCount val="1"/>
                <c:pt idx="0">
                  <c:v>2012</c:v>
                </c:pt>
              </c:strCache>
            </c:strRef>
          </c:tx>
          <c:marker>
            <c:symbol val="none"/>
          </c:marker>
          <c:cat>
            <c:numRef>
              <c:f>Sheet9!$X$6:$X$75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Sheet9!$AB$6:$AB$75</c:f>
              <c:numCache>
                <c:formatCode>General</c:formatCode>
                <c:ptCount val="70"/>
                <c:pt idx="0">
                  <c:v>733</c:v>
                </c:pt>
                <c:pt idx="1">
                  <c:v>736</c:v>
                </c:pt>
                <c:pt idx="2">
                  <c:v>737</c:v>
                </c:pt>
                <c:pt idx="3">
                  <c:v>737</c:v>
                </c:pt>
                <c:pt idx="4">
                  <c:v>737</c:v>
                </c:pt>
                <c:pt idx="5">
                  <c:v>737</c:v>
                </c:pt>
                <c:pt idx="6">
                  <c:v>737</c:v>
                </c:pt>
                <c:pt idx="7">
                  <c:v>737</c:v>
                </c:pt>
                <c:pt idx="8">
                  <c:v>737</c:v>
                </c:pt>
                <c:pt idx="9">
                  <c:v>737</c:v>
                </c:pt>
                <c:pt idx="10">
                  <c:v>737</c:v>
                </c:pt>
                <c:pt idx="11">
                  <c:v>737</c:v>
                </c:pt>
                <c:pt idx="12">
                  <c:v>737</c:v>
                </c:pt>
                <c:pt idx="13">
                  <c:v>737</c:v>
                </c:pt>
                <c:pt idx="14">
                  <c:v>737</c:v>
                </c:pt>
                <c:pt idx="15">
                  <c:v>737</c:v>
                </c:pt>
                <c:pt idx="16">
                  <c:v>737</c:v>
                </c:pt>
                <c:pt idx="17">
                  <c:v>737</c:v>
                </c:pt>
                <c:pt idx="18">
                  <c:v>737</c:v>
                </c:pt>
                <c:pt idx="19">
                  <c:v>737</c:v>
                </c:pt>
                <c:pt idx="20">
                  <c:v>737</c:v>
                </c:pt>
                <c:pt idx="21">
                  <c:v>736</c:v>
                </c:pt>
                <c:pt idx="22">
                  <c:v>737</c:v>
                </c:pt>
                <c:pt idx="23">
                  <c:v>736</c:v>
                </c:pt>
                <c:pt idx="24">
                  <c:v>736</c:v>
                </c:pt>
                <c:pt idx="25">
                  <c:v>736</c:v>
                </c:pt>
                <c:pt idx="26">
                  <c:v>736</c:v>
                </c:pt>
                <c:pt idx="27">
                  <c:v>736</c:v>
                </c:pt>
                <c:pt idx="28">
                  <c:v>736</c:v>
                </c:pt>
                <c:pt idx="29">
                  <c:v>736</c:v>
                </c:pt>
                <c:pt idx="30">
                  <c:v>736</c:v>
                </c:pt>
                <c:pt idx="31">
                  <c:v>736</c:v>
                </c:pt>
                <c:pt idx="32">
                  <c:v>736</c:v>
                </c:pt>
                <c:pt idx="33">
                  <c:v>736</c:v>
                </c:pt>
                <c:pt idx="34">
                  <c:v>736</c:v>
                </c:pt>
                <c:pt idx="35">
                  <c:v>736</c:v>
                </c:pt>
                <c:pt idx="36">
                  <c:v>736</c:v>
                </c:pt>
                <c:pt idx="37">
                  <c:v>736</c:v>
                </c:pt>
                <c:pt idx="38">
                  <c:v>736</c:v>
                </c:pt>
                <c:pt idx="39">
                  <c:v>736</c:v>
                </c:pt>
                <c:pt idx="40">
                  <c:v>736</c:v>
                </c:pt>
                <c:pt idx="41">
                  <c:v>736</c:v>
                </c:pt>
                <c:pt idx="42">
                  <c:v>736</c:v>
                </c:pt>
                <c:pt idx="43">
                  <c:v>736</c:v>
                </c:pt>
                <c:pt idx="44">
                  <c:v>736</c:v>
                </c:pt>
                <c:pt idx="45">
                  <c:v>736</c:v>
                </c:pt>
                <c:pt idx="46">
                  <c:v>735</c:v>
                </c:pt>
                <c:pt idx="47">
                  <c:v>731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Sheet9!$AC$5</c:f>
              <c:strCache>
                <c:ptCount val="1"/>
                <c:pt idx="0">
                  <c:v>2013</c:v>
                </c:pt>
              </c:strCache>
            </c:strRef>
          </c:tx>
          <c:marker>
            <c:symbol val="none"/>
          </c:marker>
          <c:cat>
            <c:numRef>
              <c:f>Sheet9!$X$6:$X$75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Sheet9!$AC$6:$AC$75</c:f>
              <c:numCache>
                <c:formatCode>General</c:formatCode>
                <c:ptCount val="70"/>
                <c:pt idx="0">
                  <c:v>727</c:v>
                </c:pt>
                <c:pt idx="1">
                  <c:v>723</c:v>
                </c:pt>
                <c:pt idx="2">
                  <c:v>723</c:v>
                </c:pt>
                <c:pt idx="3">
                  <c:v>723</c:v>
                </c:pt>
                <c:pt idx="4">
                  <c:v>723</c:v>
                </c:pt>
                <c:pt idx="5">
                  <c:v>723</c:v>
                </c:pt>
                <c:pt idx="6">
                  <c:v>723</c:v>
                </c:pt>
                <c:pt idx="7">
                  <c:v>723</c:v>
                </c:pt>
                <c:pt idx="8">
                  <c:v>723</c:v>
                </c:pt>
                <c:pt idx="9">
                  <c:v>723</c:v>
                </c:pt>
                <c:pt idx="10">
                  <c:v>723</c:v>
                </c:pt>
                <c:pt idx="11">
                  <c:v>723</c:v>
                </c:pt>
                <c:pt idx="12">
                  <c:v>723</c:v>
                </c:pt>
                <c:pt idx="13">
                  <c:v>723</c:v>
                </c:pt>
                <c:pt idx="14">
                  <c:v>723</c:v>
                </c:pt>
                <c:pt idx="15">
                  <c:v>723</c:v>
                </c:pt>
                <c:pt idx="16">
                  <c:v>723</c:v>
                </c:pt>
                <c:pt idx="17">
                  <c:v>723</c:v>
                </c:pt>
                <c:pt idx="18">
                  <c:v>723</c:v>
                </c:pt>
                <c:pt idx="19">
                  <c:v>723</c:v>
                </c:pt>
                <c:pt idx="20">
                  <c:v>723</c:v>
                </c:pt>
                <c:pt idx="21">
                  <c:v>723</c:v>
                </c:pt>
                <c:pt idx="22">
                  <c:v>723</c:v>
                </c:pt>
                <c:pt idx="23">
                  <c:v>723</c:v>
                </c:pt>
                <c:pt idx="24">
                  <c:v>723</c:v>
                </c:pt>
                <c:pt idx="25">
                  <c:v>723</c:v>
                </c:pt>
                <c:pt idx="26">
                  <c:v>724</c:v>
                </c:pt>
                <c:pt idx="27">
                  <c:v>724</c:v>
                </c:pt>
                <c:pt idx="28">
                  <c:v>725</c:v>
                </c:pt>
                <c:pt idx="29">
                  <c:v>726</c:v>
                </c:pt>
                <c:pt idx="30">
                  <c:v>726</c:v>
                </c:pt>
                <c:pt idx="31">
                  <c:v>727</c:v>
                </c:pt>
                <c:pt idx="32">
                  <c:v>727</c:v>
                </c:pt>
                <c:pt idx="33">
                  <c:v>728</c:v>
                </c:pt>
                <c:pt idx="34">
                  <c:v>730</c:v>
                </c:pt>
                <c:pt idx="35">
                  <c:v>732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Sheet9!$AD$5</c:f>
              <c:strCache>
                <c:ptCount val="1"/>
                <c:pt idx="0">
                  <c:v>2014</c:v>
                </c:pt>
              </c:strCache>
            </c:strRef>
          </c:tx>
          <c:marker>
            <c:symbol val="none"/>
          </c:marker>
          <c:cat>
            <c:numRef>
              <c:f>Sheet9!$X$6:$X$75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Sheet9!$AD$6:$AD$75</c:f>
              <c:numCache>
                <c:formatCode>General</c:formatCode>
                <c:ptCount val="70"/>
                <c:pt idx="0">
                  <c:v>702</c:v>
                </c:pt>
                <c:pt idx="1">
                  <c:v>703</c:v>
                </c:pt>
                <c:pt idx="2">
                  <c:v>703</c:v>
                </c:pt>
                <c:pt idx="3">
                  <c:v>703</c:v>
                </c:pt>
                <c:pt idx="4">
                  <c:v>703</c:v>
                </c:pt>
                <c:pt idx="5">
                  <c:v>703</c:v>
                </c:pt>
                <c:pt idx="6">
                  <c:v>703</c:v>
                </c:pt>
                <c:pt idx="7">
                  <c:v>703</c:v>
                </c:pt>
                <c:pt idx="8">
                  <c:v>703</c:v>
                </c:pt>
                <c:pt idx="9">
                  <c:v>703</c:v>
                </c:pt>
                <c:pt idx="10">
                  <c:v>703</c:v>
                </c:pt>
                <c:pt idx="11">
                  <c:v>703</c:v>
                </c:pt>
                <c:pt idx="12">
                  <c:v>703</c:v>
                </c:pt>
                <c:pt idx="13">
                  <c:v>703</c:v>
                </c:pt>
                <c:pt idx="14">
                  <c:v>703</c:v>
                </c:pt>
                <c:pt idx="15">
                  <c:v>703</c:v>
                </c:pt>
                <c:pt idx="16">
                  <c:v>703</c:v>
                </c:pt>
                <c:pt idx="17">
                  <c:v>703</c:v>
                </c:pt>
                <c:pt idx="18">
                  <c:v>703</c:v>
                </c:pt>
                <c:pt idx="19">
                  <c:v>703</c:v>
                </c:pt>
                <c:pt idx="20">
                  <c:v>704</c:v>
                </c:pt>
                <c:pt idx="21">
                  <c:v>705</c:v>
                </c:pt>
                <c:pt idx="22">
                  <c:v>705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102144"/>
        <c:axId val="296112128"/>
      </c:lineChart>
      <c:catAx>
        <c:axId val="29610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6112128"/>
        <c:crosses val="autoZero"/>
        <c:auto val="1"/>
        <c:lblAlgn val="ctr"/>
        <c:lblOffset val="100"/>
        <c:noMultiLvlLbl val="0"/>
      </c:catAx>
      <c:valAx>
        <c:axId val="296112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6102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338137</xdr:colOff>
      <xdr:row>3</xdr:row>
      <xdr:rowOff>166687</xdr:rowOff>
    </xdr:from>
    <xdr:to>
      <xdr:col>23</xdr:col>
      <xdr:colOff>33337</xdr:colOff>
      <xdr:row>18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414337</xdr:colOff>
      <xdr:row>21</xdr:row>
      <xdr:rowOff>23812</xdr:rowOff>
    </xdr:from>
    <xdr:to>
      <xdr:col>23</xdr:col>
      <xdr:colOff>109537</xdr:colOff>
      <xdr:row>35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338137</xdr:colOff>
      <xdr:row>3</xdr:row>
      <xdr:rowOff>166687</xdr:rowOff>
    </xdr:from>
    <xdr:to>
      <xdr:col>23</xdr:col>
      <xdr:colOff>33337</xdr:colOff>
      <xdr:row>18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338137</xdr:colOff>
      <xdr:row>3</xdr:row>
      <xdr:rowOff>166687</xdr:rowOff>
    </xdr:from>
    <xdr:to>
      <xdr:col>23</xdr:col>
      <xdr:colOff>33337</xdr:colOff>
      <xdr:row>18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338137</xdr:colOff>
      <xdr:row>3</xdr:row>
      <xdr:rowOff>166687</xdr:rowOff>
    </xdr:from>
    <xdr:to>
      <xdr:col>23</xdr:col>
      <xdr:colOff>33337</xdr:colOff>
      <xdr:row>18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338137</xdr:colOff>
      <xdr:row>3</xdr:row>
      <xdr:rowOff>166687</xdr:rowOff>
    </xdr:from>
    <xdr:to>
      <xdr:col>23</xdr:col>
      <xdr:colOff>33337</xdr:colOff>
      <xdr:row>18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338137</xdr:colOff>
      <xdr:row>3</xdr:row>
      <xdr:rowOff>166687</xdr:rowOff>
    </xdr:from>
    <xdr:to>
      <xdr:col>23</xdr:col>
      <xdr:colOff>33337</xdr:colOff>
      <xdr:row>18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338137</xdr:colOff>
      <xdr:row>3</xdr:row>
      <xdr:rowOff>166687</xdr:rowOff>
    </xdr:from>
    <xdr:to>
      <xdr:col>23</xdr:col>
      <xdr:colOff>33337</xdr:colOff>
      <xdr:row>18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233361</xdr:colOff>
      <xdr:row>4</xdr:row>
      <xdr:rowOff>109538</xdr:rowOff>
    </xdr:from>
    <xdr:to>
      <xdr:col>21</xdr:col>
      <xdr:colOff>600074</xdr:colOff>
      <xdr:row>26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242886</xdr:colOff>
      <xdr:row>40</xdr:row>
      <xdr:rowOff>157161</xdr:rowOff>
    </xdr:from>
    <xdr:to>
      <xdr:col>22</xdr:col>
      <xdr:colOff>95249</xdr:colOff>
      <xdr:row>60</xdr:row>
      <xdr:rowOff>47624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77"/>
  <sheetViews>
    <sheetView tabSelected="1" topLeftCell="C1" workbookViewId="0">
      <selection activeCell="Q45" sqref="Q45"/>
    </sheetView>
  </sheetViews>
  <sheetFormatPr defaultRowHeight="15" x14ac:dyDescent="0.25"/>
  <cols>
    <col min="2" max="2" width="15.42578125" bestFit="1" customWidth="1"/>
    <col min="3" max="3" width="15.28515625" bestFit="1" customWidth="1"/>
    <col min="7" max="7" width="10.42578125" bestFit="1" customWidth="1"/>
    <col min="11" max="11" width="10.42578125" bestFit="1" customWidth="1"/>
  </cols>
  <sheetData>
    <row r="1" spans="2:32" x14ac:dyDescent="0.25">
      <c r="B1">
        <v>2009</v>
      </c>
    </row>
    <row r="2" spans="2:32" x14ac:dyDescent="0.25">
      <c r="B2" t="s">
        <v>0</v>
      </c>
      <c r="C2" t="s">
        <v>1</v>
      </c>
      <c r="D2" t="s">
        <v>2</v>
      </c>
      <c r="F2" t="s">
        <v>3</v>
      </c>
      <c r="G2" t="s">
        <v>4</v>
      </c>
      <c r="L2" t="s">
        <v>79</v>
      </c>
      <c r="M2" t="s">
        <v>80</v>
      </c>
      <c r="N2" t="s">
        <v>81</v>
      </c>
    </row>
    <row r="3" spans="2:32" x14ac:dyDescent="0.25">
      <c r="B3" s="1">
        <v>40544</v>
      </c>
      <c r="C3" s="2">
        <v>2226742522.1900001</v>
      </c>
      <c r="D3">
        <v>1.46</v>
      </c>
      <c r="F3" s="1" t="s">
        <v>5</v>
      </c>
      <c r="G3" s="1">
        <v>40118</v>
      </c>
      <c r="H3">
        <v>0.54948512772330405</v>
      </c>
      <c r="K3" s="1">
        <f>G3</f>
        <v>40118</v>
      </c>
      <c r="L3" t="e">
        <f>VLOOKUP(K3,B:D,3,0)</f>
        <v>#N/A</v>
      </c>
      <c r="M3">
        <f>VLOOKUP(K3,G:H,2,0)</f>
        <v>0.54948512772330405</v>
      </c>
      <c r="N3">
        <f>VLOOKUP(K3,AA:AB,2,0)</f>
        <v>0.27509109675391002</v>
      </c>
      <c r="Z3" s="3"/>
      <c r="AA3" t="s">
        <v>3</v>
      </c>
      <c r="AB3" t="s">
        <v>4</v>
      </c>
      <c r="AC3" t="s">
        <v>4</v>
      </c>
      <c r="AE3" s="3"/>
      <c r="AF3" t="s">
        <v>3</v>
      </c>
    </row>
    <row r="4" spans="2:32" x14ac:dyDescent="0.25">
      <c r="B4" s="1">
        <v>40575</v>
      </c>
      <c r="C4" s="2">
        <v>2694620360.1599998</v>
      </c>
      <c r="D4">
        <v>2.99</v>
      </c>
      <c r="F4" s="1" t="s">
        <v>6</v>
      </c>
      <c r="G4" s="1">
        <v>40148</v>
      </c>
      <c r="H4">
        <v>0.89225902321563599</v>
      </c>
      <c r="K4" s="1">
        <f t="shared" ref="K4:K67" si="0">G4</f>
        <v>40148</v>
      </c>
      <c r="L4" t="e">
        <f t="shared" ref="L4:L67" si="1">VLOOKUP(K4,B:D,3,0)</f>
        <v>#N/A</v>
      </c>
      <c r="M4">
        <f t="shared" ref="M4:M67" si="2">VLOOKUP(K4,G:H,2,0)</f>
        <v>0.89225902321563599</v>
      </c>
      <c r="N4">
        <f t="shared" ref="N4:N67" si="3">VLOOKUP(K4,AA:AB,2,0)</f>
        <v>0.44704845161130902</v>
      </c>
      <c r="Z4" s="1" t="s">
        <v>5</v>
      </c>
      <c r="AA4" s="1">
        <v>40118</v>
      </c>
      <c r="AB4">
        <v>0.27509109675391002</v>
      </c>
      <c r="AC4">
        <v>0.27509109675391002</v>
      </c>
      <c r="AE4" t="s">
        <v>5</v>
      </c>
      <c r="AF4" s="1">
        <v>40118</v>
      </c>
    </row>
    <row r="5" spans="2:32" x14ac:dyDescent="0.25">
      <c r="B5" s="1">
        <v>40603</v>
      </c>
      <c r="C5" s="2">
        <v>4382728538.6700001</v>
      </c>
      <c r="D5">
        <v>1.45</v>
      </c>
      <c r="F5" s="1" t="s">
        <v>7</v>
      </c>
      <c r="G5" s="1">
        <v>40179</v>
      </c>
      <c r="H5">
        <v>0.52278576597274395</v>
      </c>
      <c r="K5" s="1">
        <f t="shared" si="0"/>
        <v>40179</v>
      </c>
      <c r="L5" t="e">
        <f t="shared" si="1"/>
        <v>#N/A</v>
      </c>
      <c r="M5">
        <f t="shared" si="2"/>
        <v>0.52278576597274395</v>
      </c>
      <c r="N5">
        <f t="shared" si="3"/>
        <v>0.261708400963578</v>
      </c>
      <c r="Z5" s="1" t="s">
        <v>6</v>
      </c>
      <c r="AA5" s="1">
        <v>40148</v>
      </c>
      <c r="AB5">
        <v>0.44704845161130902</v>
      </c>
      <c r="AC5">
        <v>0.44704845161130902</v>
      </c>
      <c r="AE5" t="s">
        <v>6</v>
      </c>
      <c r="AF5" s="1">
        <v>40148</v>
      </c>
    </row>
    <row r="6" spans="2:32" x14ac:dyDescent="0.25">
      <c r="B6" s="1">
        <v>40634</v>
      </c>
      <c r="C6" s="2">
        <v>5245410846.71</v>
      </c>
      <c r="D6">
        <v>1.34</v>
      </c>
      <c r="F6" s="1" t="s">
        <v>8</v>
      </c>
      <c r="G6" s="1">
        <v>40210</v>
      </c>
      <c r="H6">
        <v>0.72016094777251904</v>
      </c>
      <c r="K6" s="1">
        <f t="shared" si="0"/>
        <v>40210</v>
      </c>
      <c r="L6" t="e">
        <f t="shared" si="1"/>
        <v>#N/A</v>
      </c>
      <c r="M6">
        <f t="shared" si="2"/>
        <v>0.72016094777251904</v>
      </c>
      <c r="N6">
        <f t="shared" si="3"/>
        <v>0.36067900324875402</v>
      </c>
      <c r="Z6" s="1" t="s">
        <v>7</v>
      </c>
      <c r="AA6" s="1">
        <v>40179</v>
      </c>
      <c r="AB6">
        <v>0.261708400963578</v>
      </c>
      <c r="AC6">
        <v>0.261708400963578</v>
      </c>
      <c r="AE6" t="s">
        <v>7</v>
      </c>
      <c r="AF6" s="1">
        <v>40179</v>
      </c>
    </row>
    <row r="7" spans="2:32" x14ac:dyDescent="0.25">
      <c r="B7" s="1">
        <v>40664</v>
      </c>
      <c r="C7" s="2">
        <v>6121794807.2399998</v>
      </c>
      <c r="D7">
        <v>0.98</v>
      </c>
      <c r="F7" s="1" t="s">
        <v>9</v>
      </c>
      <c r="G7" s="1">
        <v>40238</v>
      </c>
      <c r="H7">
        <v>0.83790084727938297</v>
      </c>
      <c r="K7" s="1">
        <f t="shared" si="0"/>
        <v>40238</v>
      </c>
      <c r="L7" t="e">
        <f t="shared" si="1"/>
        <v>#N/A</v>
      </c>
      <c r="M7">
        <f t="shared" si="2"/>
        <v>0.83790084727938297</v>
      </c>
      <c r="N7">
        <f t="shared" si="3"/>
        <v>0.41976073582475898</v>
      </c>
      <c r="Z7" s="1" t="s">
        <v>8</v>
      </c>
      <c r="AA7" s="1">
        <v>40210</v>
      </c>
      <c r="AB7">
        <v>0.36067900324875402</v>
      </c>
      <c r="AC7">
        <v>0.36067900324875402</v>
      </c>
      <c r="AE7" t="s">
        <v>8</v>
      </c>
      <c r="AF7" s="1">
        <v>40210</v>
      </c>
    </row>
    <row r="8" spans="2:32" x14ac:dyDescent="0.25">
      <c r="B8" s="1">
        <v>40695</v>
      </c>
      <c r="C8" s="2">
        <v>6830162075.5799999</v>
      </c>
      <c r="D8">
        <v>1.7</v>
      </c>
      <c r="F8" s="1" t="s">
        <v>10</v>
      </c>
      <c r="G8" s="1">
        <v>40269</v>
      </c>
      <c r="H8">
        <v>1.0131114200972</v>
      </c>
      <c r="K8" s="1">
        <f t="shared" si="0"/>
        <v>40269</v>
      </c>
      <c r="L8" t="e">
        <f t="shared" si="1"/>
        <v>#N/A</v>
      </c>
      <c r="M8">
        <f t="shared" si="2"/>
        <v>1.0131114200972</v>
      </c>
      <c r="N8">
        <f t="shared" si="3"/>
        <v>0.50774075725509304</v>
      </c>
      <c r="Z8" s="1" t="s">
        <v>9</v>
      </c>
      <c r="AA8" s="1">
        <v>40238</v>
      </c>
      <c r="AB8">
        <v>0.41976073582475898</v>
      </c>
      <c r="AC8">
        <v>0.41976073582475898</v>
      </c>
      <c r="AE8" t="s">
        <v>9</v>
      </c>
      <c r="AF8" s="1">
        <v>40238</v>
      </c>
    </row>
    <row r="9" spans="2:32" x14ac:dyDescent="0.25">
      <c r="B9" s="1">
        <v>40725</v>
      </c>
      <c r="C9" s="2">
        <v>7316322113.1300001</v>
      </c>
      <c r="D9">
        <v>2.62</v>
      </c>
      <c r="F9" s="1" t="s">
        <v>11</v>
      </c>
      <c r="G9" s="1">
        <v>40299</v>
      </c>
      <c r="H9">
        <v>1.2488607579125499</v>
      </c>
      <c r="K9" s="1">
        <f t="shared" si="0"/>
        <v>40299</v>
      </c>
      <c r="L9" t="e">
        <f t="shared" si="1"/>
        <v>#N/A</v>
      </c>
      <c r="M9">
        <f t="shared" si="2"/>
        <v>1.2488607579125499</v>
      </c>
      <c r="N9">
        <f t="shared" si="3"/>
        <v>0.62623239539250097</v>
      </c>
      <c r="Z9" s="1" t="s">
        <v>10</v>
      </c>
      <c r="AA9" s="1">
        <v>40269</v>
      </c>
      <c r="AB9">
        <v>0.50774075725509304</v>
      </c>
      <c r="AC9">
        <v>0.50774075725509304</v>
      </c>
      <c r="AE9" t="s">
        <v>10</v>
      </c>
      <c r="AF9" s="1">
        <v>40269</v>
      </c>
    </row>
    <row r="10" spans="2:32" x14ac:dyDescent="0.25">
      <c r="B10" s="1">
        <v>40756</v>
      </c>
      <c r="C10" s="2">
        <v>7945605104.6599998</v>
      </c>
      <c r="D10">
        <v>2.04</v>
      </c>
      <c r="F10" s="1" t="s">
        <v>12</v>
      </c>
      <c r="G10" s="1">
        <v>40330</v>
      </c>
      <c r="H10">
        <v>1.37041175817831</v>
      </c>
      <c r="K10" s="1">
        <f t="shared" si="0"/>
        <v>40330</v>
      </c>
      <c r="L10" t="e">
        <f t="shared" si="1"/>
        <v>#N/A</v>
      </c>
      <c r="M10">
        <f t="shared" si="2"/>
        <v>1.37041175817831</v>
      </c>
      <c r="N10">
        <f t="shared" si="3"/>
        <v>0.68737668289046105</v>
      </c>
      <c r="Z10" s="1" t="s">
        <v>11</v>
      </c>
      <c r="AA10" s="1">
        <v>40299</v>
      </c>
      <c r="AB10">
        <v>0.62623239539250097</v>
      </c>
      <c r="AC10">
        <v>0.62623239539250097</v>
      </c>
      <c r="AE10" t="s">
        <v>11</v>
      </c>
      <c r="AF10" s="1">
        <v>40299</v>
      </c>
    </row>
    <row r="11" spans="2:32" x14ac:dyDescent="0.25">
      <c r="B11" s="1">
        <v>40787</v>
      </c>
      <c r="C11" s="2">
        <v>8434054269.3000002</v>
      </c>
      <c r="D11">
        <v>2.11</v>
      </c>
      <c r="F11" s="1" t="s">
        <v>13</v>
      </c>
      <c r="G11" s="1">
        <v>40360</v>
      </c>
      <c r="H11">
        <v>1.5848871930389301</v>
      </c>
      <c r="K11" s="1">
        <f t="shared" si="0"/>
        <v>40360</v>
      </c>
      <c r="L11" t="e">
        <f t="shared" si="1"/>
        <v>#N/A</v>
      </c>
      <c r="M11">
        <f t="shared" si="2"/>
        <v>1.5848871930389301</v>
      </c>
      <c r="N11">
        <f t="shared" si="3"/>
        <v>0.79534946822721297</v>
      </c>
      <c r="Z11" s="1" t="s">
        <v>12</v>
      </c>
      <c r="AA11" s="1">
        <v>40330</v>
      </c>
      <c r="AB11">
        <v>0.68737668289046105</v>
      </c>
      <c r="AC11">
        <v>0.68737668289046105</v>
      </c>
      <c r="AE11" t="s">
        <v>12</v>
      </c>
      <c r="AF11" s="1">
        <v>40330</v>
      </c>
    </row>
    <row r="12" spans="2:32" x14ac:dyDescent="0.25">
      <c r="B12" s="1">
        <v>40817</v>
      </c>
      <c r="C12" s="2">
        <v>8970306744.1800003</v>
      </c>
      <c r="D12">
        <v>1.96</v>
      </c>
      <c r="F12" s="4" t="s">
        <v>14</v>
      </c>
      <c r="G12" s="1">
        <v>40391</v>
      </c>
      <c r="H12">
        <v>1.8470319486579001</v>
      </c>
      <c r="K12" s="1">
        <f t="shared" si="0"/>
        <v>40391</v>
      </c>
      <c r="L12" t="e">
        <f t="shared" si="1"/>
        <v>#N/A</v>
      </c>
      <c r="M12">
        <f t="shared" si="2"/>
        <v>1.8470319486579001</v>
      </c>
      <c r="N12">
        <f t="shared" si="3"/>
        <v>0.92746696288519304</v>
      </c>
      <c r="Z12" s="1" t="s">
        <v>13</v>
      </c>
      <c r="AA12" s="1">
        <v>40360</v>
      </c>
      <c r="AB12">
        <v>0.79534946822721297</v>
      </c>
      <c r="AC12">
        <v>0.79534946822721297</v>
      </c>
      <c r="AE12" t="s">
        <v>13</v>
      </c>
      <c r="AF12" s="1">
        <v>40360</v>
      </c>
    </row>
    <row r="13" spans="2:32" x14ac:dyDescent="0.25">
      <c r="B13" s="1">
        <v>40848</v>
      </c>
      <c r="C13" s="2">
        <v>9530762684.6100006</v>
      </c>
      <c r="D13">
        <v>2.02</v>
      </c>
      <c r="F13" s="4" t="s">
        <v>15</v>
      </c>
      <c r="G13" s="1">
        <v>40422</v>
      </c>
      <c r="H13">
        <v>2.0879893996516898</v>
      </c>
      <c r="K13" s="1">
        <f t="shared" si="0"/>
        <v>40422</v>
      </c>
      <c r="L13" t="e">
        <f t="shared" si="1"/>
        <v>#N/A</v>
      </c>
      <c r="M13">
        <f t="shared" si="2"/>
        <v>2.0879893996516898</v>
      </c>
      <c r="N13">
        <f t="shared" si="3"/>
        <v>1.0490491654231</v>
      </c>
      <c r="Z13" s="3" t="s">
        <v>14</v>
      </c>
      <c r="AA13" s="1">
        <v>40391</v>
      </c>
      <c r="AB13">
        <v>0.92746696288519304</v>
      </c>
      <c r="AC13">
        <v>0.92746696288519304</v>
      </c>
      <c r="AE13" s="3" t="s">
        <v>14</v>
      </c>
      <c r="AF13" s="1">
        <v>40391</v>
      </c>
    </row>
    <row r="14" spans="2:32" x14ac:dyDescent="0.25">
      <c r="B14" s="1">
        <v>40878</v>
      </c>
      <c r="C14" s="2">
        <v>10026163669.530001</v>
      </c>
      <c r="D14">
        <v>2.69</v>
      </c>
      <c r="F14" s="4" t="s">
        <v>16</v>
      </c>
      <c r="G14" s="1">
        <v>40452</v>
      </c>
      <c r="H14">
        <v>2.1958429750772601</v>
      </c>
      <c r="K14" s="1">
        <f t="shared" si="0"/>
        <v>40452</v>
      </c>
      <c r="L14" t="e">
        <f t="shared" si="1"/>
        <v>#N/A</v>
      </c>
      <c r="M14">
        <f t="shared" si="2"/>
        <v>2.1958429750772601</v>
      </c>
      <c r="N14">
        <f t="shared" si="3"/>
        <v>1.1035143371721701</v>
      </c>
      <c r="Z14" s="3" t="s">
        <v>15</v>
      </c>
      <c r="AA14" s="1">
        <v>40422</v>
      </c>
      <c r="AB14">
        <v>1.0490491654231</v>
      </c>
      <c r="AC14">
        <v>1.0490491654231</v>
      </c>
      <c r="AE14" s="3" t="s">
        <v>15</v>
      </c>
      <c r="AF14" s="1">
        <v>40422</v>
      </c>
    </row>
    <row r="15" spans="2:32" x14ac:dyDescent="0.25">
      <c r="B15" s="1">
        <v>40909</v>
      </c>
      <c r="C15" s="2">
        <v>10485928466.1</v>
      </c>
      <c r="D15">
        <v>2.57</v>
      </c>
      <c r="F15" s="4" t="s">
        <v>17</v>
      </c>
      <c r="G15" s="1">
        <v>40483</v>
      </c>
      <c r="H15">
        <v>2.4075904883169699</v>
      </c>
      <c r="K15" s="1">
        <f t="shared" si="0"/>
        <v>40483</v>
      </c>
      <c r="L15" t="e">
        <f t="shared" si="1"/>
        <v>#N/A</v>
      </c>
      <c r="M15">
        <f t="shared" si="2"/>
        <v>2.4075904883169699</v>
      </c>
      <c r="N15">
        <f t="shared" si="3"/>
        <v>1.2105253091761801</v>
      </c>
      <c r="Z15" s="3" t="s">
        <v>16</v>
      </c>
      <c r="AA15" s="1">
        <v>40452</v>
      </c>
      <c r="AB15">
        <v>1.1035143371721701</v>
      </c>
      <c r="AC15">
        <v>1.1035143371721701</v>
      </c>
      <c r="AE15" s="3" t="s">
        <v>16</v>
      </c>
      <c r="AF15" s="1">
        <v>40452</v>
      </c>
    </row>
    <row r="16" spans="2:32" x14ac:dyDescent="0.25">
      <c r="B16" s="1">
        <v>40940</v>
      </c>
      <c r="C16" s="2">
        <v>10662667036.799999</v>
      </c>
      <c r="D16">
        <v>2.87</v>
      </c>
      <c r="F16" s="4" t="s">
        <v>18</v>
      </c>
      <c r="G16" s="1">
        <v>40513</v>
      </c>
      <c r="H16">
        <v>2.9499973680011098</v>
      </c>
      <c r="K16" s="1">
        <f t="shared" si="0"/>
        <v>40513</v>
      </c>
      <c r="L16" t="e">
        <f t="shared" si="1"/>
        <v>#N/A</v>
      </c>
      <c r="M16">
        <f t="shared" si="2"/>
        <v>2.9499973680011098</v>
      </c>
      <c r="N16">
        <f t="shared" si="3"/>
        <v>1.4851288041178199</v>
      </c>
      <c r="Z16" s="3" t="s">
        <v>17</v>
      </c>
      <c r="AA16" s="1">
        <v>40483</v>
      </c>
      <c r="AB16">
        <v>1.2105253091761801</v>
      </c>
      <c r="AC16">
        <v>1.2105253091761801</v>
      </c>
      <c r="AE16" s="3" t="s">
        <v>17</v>
      </c>
      <c r="AF16" s="1">
        <v>40483</v>
      </c>
    </row>
    <row r="17" spans="2:32" x14ac:dyDescent="0.25">
      <c r="B17" s="1">
        <v>40969</v>
      </c>
      <c r="C17" s="2">
        <v>11600281073.09</v>
      </c>
      <c r="D17">
        <v>2.62</v>
      </c>
      <c r="F17" s="4" t="s">
        <v>19</v>
      </c>
      <c r="G17" s="1">
        <v>40544</v>
      </c>
      <c r="H17">
        <v>3.0350437276109599</v>
      </c>
      <c r="K17" s="1">
        <f t="shared" si="0"/>
        <v>40544</v>
      </c>
      <c r="L17">
        <f t="shared" si="1"/>
        <v>1.46</v>
      </c>
      <c r="M17">
        <f t="shared" si="2"/>
        <v>3.0350437276109599</v>
      </c>
      <c r="N17">
        <f t="shared" si="3"/>
        <v>1.52824889742986</v>
      </c>
      <c r="Z17" s="3" t="s">
        <v>18</v>
      </c>
      <c r="AA17" s="1">
        <v>40513</v>
      </c>
      <c r="AB17">
        <v>1.4851288041178199</v>
      </c>
      <c r="AC17">
        <v>1.4851288041178199</v>
      </c>
      <c r="AE17" s="3" t="s">
        <v>18</v>
      </c>
      <c r="AF17" s="1">
        <v>40513</v>
      </c>
    </row>
    <row r="18" spans="2:32" x14ac:dyDescent="0.25">
      <c r="B18" s="1">
        <v>41000</v>
      </c>
      <c r="C18" s="2">
        <v>12313123377.6</v>
      </c>
      <c r="D18">
        <v>2.72</v>
      </c>
      <c r="F18" s="4" t="s">
        <v>20</v>
      </c>
      <c r="G18" s="1">
        <v>40575</v>
      </c>
      <c r="H18">
        <v>3.3476007135622199</v>
      </c>
      <c r="K18" s="1">
        <f t="shared" si="0"/>
        <v>40575</v>
      </c>
      <c r="L18">
        <f t="shared" si="1"/>
        <v>2.99</v>
      </c>
      <c r="M18">
        <f t="shared" si="2"/>
        <v>3.3476007135622199</v>
      </c>
      <c r="N18">
        <f t="shared" si="3"/>
        <v>1.68687044032341</v>
      </c>
      <c r="Z18" s="3" t="s">
        <v>19</v>
      </c>
      <c r="AA18" s="1">
        <v>40544</v>
      </c>
      <c r="AB18">
        <v>1.52824889742986</v>
      </c>
      <c r="AC18">
        <v>1.52824889742986</v>
      </c>
      <c r="AE18" s="3" t="s">
        <v>19</v>
      </c>
      <c r="AF18" s="1">
        <v>40544</v>
      </c>
    </row>
    <row r="19" spans="2:32" x14ac:dyDescent="0.25">
      <c r="B19" s="1">
        <v>41030</v>
      </c>
      <c r="C19" s="2">
        <v>14124343979.76</v>
      </c>
      <c r="D19">
        <v>1.96</v>
      </c>
      <c r="F19" s="4" t="s">
        <v>21</v>
      </c>
      <c r="G19" s="1">
        <v>40603</v>
      </c>
      <c r="H19">
        <v>3.34366733559881</v>
      </c>
      <c r="K19" s="1">
        <f t="shared" si="0"/>
        <v>40603</v>
      </c>
      <c r="L19">
        <f t="shared" si="1"/>
        <v>1.45</v>
      </c>
      <c r="M19">
        <f t="shared" si="2"/>
        <v>3.34366733559881</v>
      </c>
      <c r="N19">
        <f t="shared" si="3"/>
        <v>1.6848728037192</v>
      </c>
      <c r="Z19" s="3" t="s">
        <v>20</v>
      </c>
      <c r="AA19" s="1">
        <v>40575</v>
      </c>
      <c r="AB19">
        <v>1.68687044032341</v>
      </c>
      <c r="AC19">
        <v>1.68687044032341</v>
      </c>
      <c r="AE19" s="3" t="s">
        <v>20</v>
      </c>
      <c r="AF19" s="1">
        <v>40575</v>
      </c>
    </row>
    <row r="20" spans="2:32" x14ac:dyDescent="0.25">
      <c r="B20" s="1">
        <v>41061</v>
      </c>
      <c r="C20" s="2">
        <v>15113379962.16</v>
      </c>
      <c r="D20">
        <v>2.4300000000000002</v>
      </c>
      <c r="F20" s="4" t="s">
        <v>22</v>
      </c>
      <c r="G20" s="1">
        <v>40634</v>
      </c>
      <c r="H20">
        <v>3.24774902418116</v>
      </c>
      <c r="K20" s="1">
        <f t="shared" si="0"/>
        <v>40634</v>
      </c>
      <c r="L20">
        <f t="shared" si="1"/>
        <v>1.34</v>
      </c>
      <c r="M20">
        <f t="shared" si="2"/>
        <v>3.24774902418116</v>
      </c>
      <c r="N20">
        <f t="shared" si="3"/>
        <v>1.6361705108703199</v>
      </c>
      <c r="Z20" s="3" t="s">
        <v>21</v>
      </c>
      <c r="AA20" s="1">
        <v>40603</v>
      </c>
      <c r="AB20">
        <v>1.6848728037192</v>
      </c>
      <c r="AC20">
        <v>1.6848728037192</v>
      </c>
      <c r="AE20" s="3" t="s">
        <v>21</v>
      </c>
      <c r="AF20" s="1">
        <v>40603</v>
      </c>
    </row>
    <row r="21" spans="2:32" x14ac:dyDescent="0.25">
      <c r="B21" s="1">
        <v>41091</v>
      </c>
      <c r="C21" s="2">
        <v>16177596795.49</v>
      </c>
      <c r="D21">
        <v>2.48</v>
      </c>
      <c r="F21" s="4" t="s">
        <v>23</v>
      </c>
      <c r="G21" s="1">
        <v>40664</v>
      </c>
      <c r="H21">
        <v>3.3651018900417302</v>
      </c>
      <c r="K21" s="1">
        <f t="shared" si="0"/>
        <v>40664</v>
      </c>
      <c r="L21">
        <f t="shared" si="1"/>
        <v>0.98</v>
      </c>
      <c r="M21">
        <f t="shared" si="2"/>
        <v>3.3651018900417302</v>
      </c>
      <c r="N21">
        <f t="shared" si="3"/>
        <v>1.6957591793373701</v>
      </c>
      <c r="Z21" s="3" t="s">
        <v>22</v>
      </c>
      <c r="AA21" s="1">
        <v>40634</v>
      </c>
      <c r="AB21">
        <v>1.6361705108703199</v>
      </c>
      <c r="AC21">
        <v>1.6361705108703199</v>
      </c>
      <c r="AE21" s="3" t="s">
        <v>22</v>
      </c>
      <c r="AF21" s="1">
        <v>40634</v>
      </c>
    </row>
    <row r="22" spans="2:32" x14ac:dyDescent="0.25">
      <c r="B22" s="1">
        <v>41122</v>
      </c>
      <c r="C22" s="2">
        <v>18380042404.080002</v>
      </c>
      <c r="D22">
        <v>1.94</v>
      </c>
      <c r="F22" s="4" t="s">
        <v>24</v>
      </c>
      <c r="G22" s="1">
        <v>40695</v>
      </c>
      <c r="H22">
        <v>3.46477005493173</v>
      </c>
      <c r="K22" s="1">
        <f t="shared" si="0"/>
        <v>40695</v>
      </c>
      <c r="L22">
        <f t="shared" si="1"/>
        <v>1.7</v>
      </c>
      <c r="M22">
        <f t="shared" si="2"/>
        <v>3.46477005493173</v>
      </c>
      <c r="N22">
        <f t="shared" si="3"/>
        <v>1.7463941145120001</v>
      </c>
      <c r="Z22" s="3" t="s">
        <v>23</v>
      </c>
      <c r="AA22" s="1">
        <v>40664</v>
      </c>
      <c r="AB22">
        <v>1.6957591793373701</v>
      </c>
      <c r="AC22">
        <v>1.6957591793373701</v>
      </c>
      <c r="AE22" s="3" t="s">
        <v>23</v>
      </c>
      <c r="AF22" s="1">
        <v>40664</v>
      </c>
    </row>
    <row r="23" spans="2:32" x14ac:dyDescent="0.25">
      <c r="B23" s="1">
        <v>41153</v>
      </c>
      <c r="C23" s="2">
        <v>20054170947.279999</v>
      </c>
      <c r="D23">
        <v>1.91</v>
      </c>
      <c r="F23" s="4" t="s">
        <v>25</v>
      </c>
      <c r="G23" s="1">
        <v>40725</v>
      </c>
      <c r="H23">
        <v>3.6092698520222202</v>
      </c>
      <c r="K23" s="1">
        <f t="shared" si="0"/>
        <v>40725</v>
      </c>
      <c r="L23">
        <f t="shared" si="1"/>
        <v>2.62</v>
      </c>
      <c r="M23">
        <f t="shared" si="2"/>
        <v>3.6092698520222202</v>
      </c>
      <c r="N23">
        <f t="shared" si="3"/>
        <v>1.81984773034175</v>
      </c>
      <c r="Z23" s="3" t="s">
        <v>24</v>
      </c>
      <c r="AA23" s="1">
        <v>40695</v>
      </c>
      <c r="AB23">
        <v>1.7463941145120001</v>
      </c>
      <c r="AC23">
        <v>1.7463941145120001</v>
      </c>
      <c r="AE23" s="3" t="s">
        <v>24</v>
      </c>
      <c r="AF23" s="1">
        <v>40695</v>
      </c>
    </row>
    <row r="24" spans="2:32" x14ac:dyDescent="0.25">
      <c r="B24" s="1">
        <v>41183</v>
      </c>
      <c r="C24" s="2">
        <v>21600335822.77</v>
      </c>
      <c r="D24">
        <v>1.93</v>
      </c>
      <c r="F24" s="4" t="s">
        <v>26</v>
      </c>
      <c r="G24" s="1">
        <v>40756</v>
      </c>
      <c r="H24">
        <v>3.7924648203528402</v>
      </c>
      <c r="K24" s="1">
        <f t="shared" si="0"/>
        <v>40756</v>
      </c>
      <c r="L24">
        <f t="shared" si="1"/>
        <v>2.04</v>
      </c>
      <c r="M24">
        <f t="shared" si="2"/>
        <v>3.7924648203528402</v>
      </c>
      <c r="N24">
        <f t="shared" si="3"/>
        <v>1.9130439733139699</v>
      </c>
      <c r="Z24" s="3" t="s">
        <v>25</v>
      </c>
      <c r="AA24" s="1">
        <v>40725</v>
      </c>
      <c r="AB24">
        <v>1.81984773034175</v>
      </c>
      <c r="AC24">
        <v>1.81984773034175</v>
      </c>
      <c r="AE24" s="3" t="s">
        <v>25</v>
      </c>
      <c r="AF24" s="1">
        <v>40725</v>
      </c>
    </row>
    <row r="25" spans="2:32" x14ac:dyDescent="0.25">
      <c r="B25" s="1">
        <v>41214</v>
      </c>
      <c r="C25" s="2">
        <v>23015060017.970001</v>
      </c>
      <c r="D25">
        <v>1.77</v>
      </c>
      <c r="F25" s="4" t="s">
        <v>27</v>
      </c>
      <c r="G25" s="1">
        <v>40787</v>
      </c>
      <c r="H25">
        <v>3.98074078249059</v>
      </c>
      <c r="K25" s="1">
        <f t="shared" si="0"/>
        <v>40787</v>
      </c>
      <c r="L25">
        <f t="shared" si="1"/>
        <v>2.11</v>
      </c>
      <c r="M25">
        <f t="shared" si="2"/>
        <v>3.98074078249059</v>
      </c>
      <c r="N25">
        <f t="shared" si="3"/>
        <v>2.0089099823427499</v>
      </c>
      <c r="Z25" s="3" t="s">
        <v>26</v>
      </c>
      <c r="AA25" s="1">
        <v>40756</v>
      </c>
      <c r="AB25">
        <v>1.9130439733139699</v>
      </c>
      <c r="AC25">
        <v>1.9130439733139699</v>
      </c>
      <c r="AE25" s="3" t="s">
        <v>26</v>
      </c>
      <c r="AF25" s="1">
        <v>40756</v>
      </c>
    </row>
    <row r="26" spans="2:32" x14ac:dyDescent="0.25">
      <c r="B26" s="1">
        <v>41244</v>
      </c>
      <c r="C26" s="2">
        <v>24268706634.209999</v>
      </c>
      <c r="D26">
        <v>2.1800000000000002</v>
      </c>
      <c r="F26" s="4" t="s">
        <v>28</v>
      </c>
      <c r="G26" s="1">
        <v>40817</v>
      </c>
      <c r="H26">
        <v>4.2113774601268199</v>
      </c>
      <c r="K26" s="1">
        <f t="shared" si="0"/>
        <v>40817</v>
      </c>
      <c r="L26">
        <f t="shared" si="1"/>
        <v>1.96</v>
      </c>
      <c r="M26">
        <f t="shared" si="2"/>
        <v>4.2113774601268199</v>
      </c>
      <c r="N26">
        <f t="shared" si="3"/>
        <v>2.1264628324773498</v>
      </c>
      <c r="Z26" s="3" t="s">
        <v>27</v>
      </c>
      <c r="AA26" s="1">
        <v>40787</v>
      </c>
      <c r="AB26">
        <v>2.0089099823427499</v>
      </c>
      <c r="AC26">
        <v>2.0089099823427499</v>
      </c>
      <c r="AE26" s="3" t="s">
        <v>27</v>
      </c>
      <c r="AF26" s="1">
        <v>40787</v>
      </c>
    </row>
    <row r="27" spans="2:32" x14ac:dyDescent="0.25">
      <c r="B27" s="1">
        <v>41275</v>
      </c>
      <c r="C27" s="2">
        <v>26015762743.07</v>
      </c>
      <c r="D27">
        <v>2</v>
      </c>
      <c r="F27" s="4" t="s">
        <v>29</v>
      </c>
      <c r="G27" s="1">
        <v>40848</v>
      </c>
      <c r="H27">
        <v>4.4118650857149397</v>
      </c>
      <c r="K27" s="1">
        <f t="shared" si="0"/>
        <v>40848</v>
      </c>
      <c r="L27">
        <f t="shared" si="1"/>
        <v>2.02</v>
      </c>
      <c r="M27">
        <f t="shared" si="2"/>
        <v>4.4118650857149397</v>
      </c>
      <c r="N27">
        <f t="shared" si="3"/>
        <v>2.22875468728515</v>
      </c>
      <c r="Z27" s="3" t="s">
        <v>28</v>
      </c>
      <c r="AA27" s="1">
        <v>40817</v>
      </c>
      <c r="AB27">
        <v>2.1264628324773498</v>
      </c>
      <c r="AC27">
        <v>2.1264628324773498</v>
      </c>
      <c r="AE27" s="3" t="s">
        <v>28</v>
      </c>
      <c r="AF27" s="1">
        <v>40817</v>
      </c>
    </row>
    <row r="28" spans="2:32" x14ac:dyDescent="0.25">
      <c r="B28" s="1">
        <v>41306</v>
      </c>
      <c r="C28" s="2">
        <v>26785969329.959999</v>
      </c>
      <c r="D28">
        <v>1.73</v>
      </c>
      <c r="F28" s="4" t="s">
        <v>30</v>
      </c>
      <c r="G28" s="1">
        <v>40878</v>
      </c>
      <c r="H28">
        <v>4.71288755088068</v>
      </c>
      <c r="K28" s="1">
        <f t="shared" si="0"/>
        <v>40878</v>
      </c>
      <c r="L28">
        <f t="shared" si="1"/>
        <v>2.69</v>
      </c>
      <c r="M28">
        <f t="shared" si="2"/>
        <v>4.71288755088068</v>
      </c>
      <c r="N28">
        <f t="shared" si="3"/>
        <v>2.38252615163477</v>
      </c>
      <c r="Z28" s="3" t="s">
        <v>29</v>
      </c>
      <c r="AA28" s="1">
        <v>40848</v>
      </c>
      <c r="AB28">
        <v>2.22875468728515</v>
      </c>
      <c r="AC28">
        <v>2.22875468728515</v>
      </c>
      <c r="AE28" s="3" t="s">
        <v>29</v>
      </c>
      <c r="AF28" s="1">
        <v>40848</v>
      </c>
    </row>
    <row r="29" spans="2:32" x14ac:dyDescent="0.25">
      <c r="B29" s="1">
        <v>41334</v>
      </c>
      <c r="C29" s="2">
        <v>27970614124.27</v>
      </c>
      <c r="D29">
        <v>1.42</v>
      </c>
      <c r="F29" s="4" t="s">
        <v>31</v>
      </c>
      <c r="G29" s="1">
        <v>40909</v>
      </c>
      <c r="H29">
        <v>4.8988141854924496</v>
      </c>
      <c r="K29" s="1">
        <f t="shared" si="0"/>
        <v>40909</v>
      </c>
      <c r="L29">
        <f t="shared" si="1"/>
        <v>2.57</v>
      </c>
      <c r="M29">
        <f t="shared" si="2"/>
        <v>4.8988141854924496</v>
      </c>
      <c r="N29">
        <f t="shared" si="3"/>
        <v>2.4776146183298602</v>
      </c>
      <c r="Z29" s="3" t="s">
        <v>30</v>
      </c>
      <c r="AA29" s="1">
        <v>40878</v>
      </c>
      <c r="AB29">
        <v>2.38252615163477</v>
      </c>
      <c r="AC29">
        <v>2.38252615163477</v>
      </c>
      <c r="AE29" s="3" t="s">
        <v>30</v>
      </c>
      <c r="AF29" s="1">
        <v>40878</v>
      </c>
    </row>
    <row r="30" spans="2:32" x14ac:dyDescent="0.25">
      <c r="B30" s="1">
        <v>41365</v>
      </c>
      <c r="C30" s="2">
        <v>29190493568.799999</v>
      </c>
      <c r="D30">
        <v>1.94</v>
      </c>
      <c r="F30" s="4" t="s">
        <v>32</v>
      </c>
      <c r="G30" s="1">
        <v>40940</v>
      </c>
      <c r="H30">
        <v>4.9336046319262099</v>
      </c>
      <c r="K30" s="1">
        <f t="shared" si="0"/>
        <v>40940</v>
      </c>
      <c r="L30">
        <f t="shared" si="1"/>
        <v>2.87</v>
      </c>
      <c r="M30">
        <f t="shared" si="2"/>
        <v>4.9336046319262099</v>
      </c>
      <c r="N30">
        <f t="shared" si="3"/>
        <v>2.4954169777215198</v>
      </c>
      <c r="Z30" s="3" t="s">
        <v>31</v>
      </c>
      <c r="AA30" s="1">
        <v>40909</v>
      </c>
      <c r="AB30">
        <v>2.4776146183298602</v>
      </c>
      <c r="AC30">
        <v>2.4776146183298602</v>
      </c>
      <c r="AE30" s="3" t="s">
        <v>31</v>
      </c>
      <c r="AF30" s="1">
        <v>40909</v>
      </c>
    </row>
    <row r="31" spans="2:32" x14ac:dyDescent="0.25">
      <c r="B31" s="1">
        <v>41395</v>
      </c>
      <c r="C31" s="2">
        <v>30660149159.220001</v>
      </c>
      <c r="D31">
        <v>1.48</v>
      </c>
      <c r="F31" s="4" t="s">
        <v>33</v>
      </c>
      <c r="G31" s="1">
        <v>40969</v>
      </c>
      <c r="H31">
        <v>5.1856167212779596</v>
      </c>
      <c r="K31" s="1">
        <f t="shared" si="0"/>
        <v>40969</v>
      </c>
      <c r="L31">
        <f t="shared" si="1"/>
        <v>2.62</v>
      </c>
      <c r="M31">
        <f t="shared" si="2"/>
        <v>5.1856167212779596</v>
      </c>
      <c r="N31">
        <f t="shared" si="3"/>
        <v>2.6244616533120499</v>
      </c>
      <c r="Z31" s="3" t="s">
        <v>32</v>
      </c>
      <c r="AA31" s="1">
        <v>40940</v>
      </c>
      <c r="AB31">
        <v>2.4954169777215198</v>
      </c>
      <c r="AC31">
        <v>2.4954169777215198</v>
      </c>
      <c r="AE31" s="3" t="s">
        <v>32</v>
      </c>
      <c r="AF31" s="1">
        <v>40940</v>
      </c>
    </row>
    <row r="32" spans="2:32" x14ac:dyDescent="0.25">
      <c r="B32" s="1">
        <v>41426</v>
      </c>
      <c r="C32" s="2">
        <v>32042267470.900002</v>
      </c>
      <c r="D32">
        <v>1.43</v>
      </c>
      <c r="F32" s="4" t="s">
        <v>34</v>
      </c>
      <c r="G32" s="1">
        <v>41000</v>
      </c>
      <c r="H32">
        <v>5.0656674276978704</v>
      </c>
      <c r="K32" s="1">
        <f t="shared" si="0"/>
        <v>41000</v>
      </c>
      <c r="L32">
        <f t="shared" si="1"/>
        <v>2.72</v>
      </c>
      <c r="M32">
        <f t="shared" si="2"/>
        <v>5.0656674276978704</v>
      </c>
      <c r="N32">
        <f t="shared" si="3"/>
        <v>2.5630210980474399</v>
      </c>
      <c r="Z32" s="3" t="s">
        <v>33</v>
      </c>
      <c r="AA32" s="1">
        <v>40969</v>
      </c>
      <c r="AB32">
        <v>2.6244616533120499</v>
      </c>
      <c r="AC32">
        <v>2.6244616533120499</v>
      </c>
      <c r="AE32" s="3" t="s">
        <v>33</v>
      </c>
      <c r="AF32" s="1">
        <v>40969</v>
      </c>
    </row>
    <row r="33" spans="2:32" x14ac:dyDescent="0.25">
      <c r="B33" s="1">
        <v>41456</v>
      </c>
      <c r="C33" s="2">
        <v>33092666923.290001</v>
      </c>
      <c r="D33">
        <v>1.33</v>
      </c>
      <c r="F33" s="4" t="s">
        <v>35</v>
      </c>
      <c r="G33" s="1">
        <v>41030</v>
      </c>
      <c r="H33">
        <v>4.6250366064081403</v>
      </c>
      <c r="K33" s="1">
        <f t="shared" si="0"/>
        <v>41030</v>
      </c>
      <c r="L33">
        <f t="shared" si="1"/>
        <v>1.96</v>
      </c>
      <c r="M33">
        <f t="shared" si="2"/>
        <v>4.6250366064081403</v>
      </c>
      <c r="N33">
        <f t="shared" si="3"/>
        <v>2.33762618406712</v>
      </c>
      <c r="Z33" s="3" t="s">
        <v>34</v>
      </c>
      <c r="AA33" s="1">
        <v>41000</v>
      </c>
      <c r="AB33">
        <v>2.5630210980474399</v>
      </c>
      <c r="AC33">
        <v>2.5630210980474399</v>
      </c>
      <c r="AE33" s="3" t="s">
        <v>34</v>
      </c>
      <c r="AF33" s="1">
        <v>41000</v>
      </c>
    </row>
    <row r="34" spans="2:32" x14ac:dyDescent="0.25">
      <c r="B34" s="1">
        <v>41487</v>
      </c>
      <c r="C34" s="2">
        <v>34009534051.630001</v>
      </c>
      <c r="D34">
        <v>1.39</v>
      </c>
      <c r="F34" s="4" t="s">
        <v>36</v>
      </c>
      <c r="G34" s="1">
        <v>41061</v>
      </c>
      <c r="H34">
        <v>4.3583137044879701</v>
      </c>
      <c r="K34" s="1">
        <f t="shared" si="0"/>
        <v>41061</v>
      </c>
      <c r="L34">
        <f t="shared" si="1"/>
        <v>2.4300000000000002</v>
      </c>
      <c r="M34">
        <f t="shared" si="2"/>
        <v>4.3583137044879701</v>
      </c>
      <c r="N34">
        <f t="shared" si="3"/>
        <v>2.20142231818742</v>
      </c>
      <c r="Z34" s="3" t="s">
        <v>35</v>
      </c>
      <c r="AA34" s="1">
        <v>41030</v>
      </c>
      <c r="AB34">
        <v>2.33762618406712</v>
      </c>
      <c r="AC34">
        <v>2.33762618406712</v>
      </c>
      <c r="AE34" s="3" t="s">
        <v>35</v>
      </c>
      <c r="AF34" s="1">
        <v>41030</v>
      </c>
    </row>
    <row r="35" spans="2:32" x14ac:dyDescent="0.25">
      <c r="B35" s="1">
        <v>41518</v>
      </c>
      <c r="C35" s="2">
        <v>34659759921.970001</v>
      </c>
      <c r="D35">
        <v>1.33</v>
      </c>
      <c r="F35" s="4" t="s">
        <v>37</v>
      </c>
      <c r="G35" s="1">
        <v>41091</v>
      </c>
      <c r="H35">
        <v>4.1822797403619703</v>
      </c>
      <c r="K35" s="1">
        <f t="shared" si="0"/>
        <v>41091</v>
      </c>
      <c r="L35">
        <f t="shared" si="1"/>
        <v>2.48</v>
      </c>
      <c r="M35">
        <f t="shared" si="2"/>
        <v>4.1822797403619703</v>
      </c>
      <c r="N35">
        <f t="shared" si="3"/>
        <v>2.1116249029608398</v>
      </c>
      <c r="Z35" s="3" t="s">
        <v>36</v>
      </c>
      <c r="AA35" s="1">
        <v>41061</v>
      </c>
      <c r="AB35">
        <v>2.20142231818742</v>
      </c>
      <c r="AC35">
        <v>2.2014223096853298</v>
      </c>
      <c r="AE35" s="3" t="s">
        <v>36</v>
      </c>
      <c r="AF35" s="1">
        <v>41061</v>
      </c>
    </row>
    <row r="36" spans="2:32" x14ac:dyDescent="0.25">
      <c r="B36" s="1">
        <v>41548</v>
      </c>
      <c r="C36" s="2">
        <v>35121580995.760002</v>
      </c>
      <c r="D36">
        <v>1.32</v>
      </c>
      <c r="F36" s="4" t="s">
        <v>38</v>
      </c>
      <c r="G36" s="1">
        <v>41122</v>
      </c>
      <c r="H36">
        <v>3.9932945435349598</v>
      </c>
      <c r="K36" s="1">
        <f t="shared" si="0"/>
        <v>41122</v>
      </c>
      <c r="L36">
        <f t="shared" si="1"/>
        <v>1.94</v>
      </c>
      <c r="M36">
        <f t="shared" si="2"/>
        <v>3.9932945435349598</v>
      </c>
      <c r="N36">
        <f t="shared" si="3"/>
        <v>2.0153051509465101</v>
      </c>
      <c r="Z36" s="3" t="s">
        <v>37</v>
      </c>
      <c r="AA36" s="1">
        <v>41091</v>
      </c>
      <c r="AB36">
        <v>2.1116249029608398</v>
      </c>
      <c r="AC36">
        <v>2.1116245754321001</v>
      </c>
      <c r="AE36" s="3" t="s">
        <v>37</v>
      </c>
      <c r="AF36" s="1">
        <v>41091</v>
      </c>
    </row>
    <row r="37" spans="2:32" x14ac:dyDescent="0.25">
      <c r="B37" s="1">
        <v>41579</v>
      </c>
      <c r="C37" s="2">
        <v>35591296355.419998</v>
      </c>
      <c r="D37">
        <v>1.35</v>
      </c>
      <c r="F37" s="4" t="s">
        <v>39</v>
      </c>
      <c r="G37" s="1">
        <v>41153</v>
      </c>
      <c r="H37">
        <v>3.8670809404006499</v>
      </c>
      <c r="K37" s="1">
        <f t="shared" si="0"/>
        <v>41153</v>
      </c>
      <c r="L37">
        <f t="shared" si="1"/>
        <v>1.91</v>
      </c>
      <c r="M37">
        <f t="shared" si="2"/>
        <v>3.8670809404006499</v>
      </c>
      <c r="N37">
        <f t="shared" si="3"/>
        <v>1.9510265603555299</v>
      </c>
      <c r="Z37" s="3" t="s">
        <v>38</v>
      </c>
      <c r="AA37" s="1">
        <v>41122</v>
      </c>
      <c r="AB37">
        <v>2.0153051509465101</v>
      </c>
      <c r="AC37">
        <v>2.0153041536120901</v>
      </c>
      <c r="AE37" s="3" t="s">
        <v>38</v>
      </c>
      <c r="AF37" s="1">
        <v>41122</v>
      </c>
    </row>
    <row r="38" spans="2:32" x14ac:dyDescent="0.25">
      <c r="B38" s="1">
        <v>41609</v>
      </c>
      <c r="C38" s="2">
        <v>35913412910.580002</v>
      </c>
      <c r="D38">
        <v>1.37</v>
      </c>
      <c r="F38" s="4" t="s">
        <v>40</v>
      </c>
      <c r="G38" s="1">
        <v>41183</v>
      </c>
      <c r="H38">
        <v>3.83184397590749</v>
      </c>
      <c r="K38" s="1">
        <f t="shared" si="0"/>
        <v>41183</v>
      </c>
      <c r="L38">
        <f t="shared" si="1"/>
        <v>1.93</v>
      </c>
      <c r="M38">
        <f t="shared" si="2"/>
        <v>3.83184397590749</v>
      </c>
      <c r="N38">
        <f t="shared" si="3"/>
        <v>1.93308785131862</v>
      </c>
      <c r="Z38" s="3" t="s">
        <v>39</v>
      </c>
      <c r="AA38" s="1">
        <v>41153</v>
      </c>
      <c r="AB38">
        <v>1.9510265603555299</v>
      </c>
      <c r="AC38">
        <v>1.9510239178557101</v>
      </c>
      <c r="AE38" s="3" t="s">
        <v>39</v>
      </c>
      <c r="AF38" s="1">
        <v>41153</v>
      </c>
    </row>
    <row r="39" spans="2:32" x14ac:dyDescent="0.25">
      <c r="B39" s="1">
        <v>41640</v>
      </c>
      <c r="C39" s="2">
        <v>36159279483.650002</v>
      </c>
      <c r="D39">
        <v>1.47</v>
      </c>
      <c r="F39" s="4" t="s">
        <v>41</v>
      </c>
      <c r="G39" s="1">
        <v>41214</v>
      </c>
      <c r="H39">
        <v>3.8612962568173801</v>
      </c>
      <c r="K39" s="1">
        <f t="shared" si="0"/>
        <v>41214</v>
      </c>
      <c r="L39">
        <f t="shared" si="1"/>
        <v>1.77</v>
      </c>
      <c r="M39">
        <f t="shared" si="2"/>
        <v>3.8612962568173801</v>
      </c>
      <c r="N39">
        <f t="shared" si="3"/>
        <v>1.94808144139175</v>
      </c>
      <c r="Z39" s="3" t="s">
        <v>40</v>
      </c>
      <c r="AA39" s="1">
        <v>41183</v>
      </c>
      <c r="AB39">
        <v>1.93308785131862</v>
      </c>
      <c r="AC39">
        <v>1.93308243452495</v>
      </c>
      <c r="AE39" s="3" t="s">
        <v>40</v>
      </c>
      <c r="AF39" s="1">
        <v>41183</v>
      </c>
    </row>
    <row r="40" spans="2:32" x14ac:dyDescent="0.25">
      <c r="B40" s="1">
        <v>41671</v>
      </c>
      <c r="C40" s="2">
        <v>36188209653.870003</v>
      </c>
      <c r="D40">
        <v>1.37</v>
      </c>
      <c r="F40" s="4" t="s">
        <v>42</v>
      </c>
      <c r="G40" s="1">
        <v>41244</v>
      </c>
      <c r="H40">
        <v>3.9240396263914601</v>
      </c>
      <c r="K40" s="1">
        <f t="shared" si="0"/>
        <v>41244</v>
      </c>
      <c r="L40">
        <f t="shared" si="1"/>
        <v>2.1800000000000002</v>
      </c>
      <c r="M40">
        <f t="shared" si="2"/>
        <v>3.9240396263914601</v>
      </c>
      <c r="N40">
        <f t="shared" si="3"/>
        <v>1.9800299176592999</v>
      </c>
      <c r="Z40" s="3" t="s">
        <v>41</v>
      </c>
      <c r="AA40" s="1">
        <v>41214</v>
      </c>
      <c r="AB40">
        <v>1.94808144139175</v>
      </c>
      <c r="AC40">
        <v>1.9480742556364601</v>
      </c>
      <c r="AE40" s="3" t="s">
        <v>41</v>
      </c>
      <c r="AF40" s="1">
        <v>41214</v>
      </c>
    </row>
    <row r="41" spans="2:32" x14ac:dyDescent="0.25">
      <c r="B41" s="1">
        <v>41699</v>
      </c>
      <c r="C41" s="2">
        <v>36333603494.050003</v>
      </c>
      <c r="D41">
        <v>1.54</v>
      </c>
      <c r="F41" s="4" t="s">
        <v>43</v>
      </c>
      <c r="G41" s="1">
        <v>41275</v>
      </c>
      <c r="H41">
        <v>3.8918533597120701</v>
      </c>
      <c r="K41" s="1">
        <f t="shared" si="0"/>
        <v>41275</v>
      </c>
      <c r="L41">
        <f t="shared" si="1"/>
        <v>2</v>
      </c>
      <c r="M41">
        <f t="shared" si="2"/>
        <v>3.8918533597120701</v>
      </c>
      <c r="N41">
        <f t="shared" si="3"/>
        <v>1.9637177930406999</v>
      </c>
      <c r="Z41" s="3" t="s">
        <v>42</v>
      </c>
      <c r="AA41" s="1">
        <v>41244</v>
      </c>
      <c r="AB41">
        <v>1.9800299176592999</v>
      </c>
      <c r="AC41">
        <v>1.9800144763024901</v>
      </c>
      <c r="AE41" s="3" t="s">
        <v>42</v>
      </c>
      <c r="AF41" s="1">
        <v>41244</v>
      </c>
    </row>
    <row r="42" spans="2:32" x14ac:dyDescent="0.25">
      <c r="B42" s="1">
        <v>41730</v>
      </c>
      <c r="C42" s="2">
        <v>36436973269.379997</v>
      </c>
      <c r="D42">
        <v>1.42</v>
      </c>
      <c r="F42" s="4" t="s">
        <v>44</v>
      </c>
      <c r="G42" s="1">
        <v>41306</v>
      </c>
      <c r="H42">
        <v>3.89100141983667</v>
      </c>
      <c r="K42" s="1">
        <f t="shared" si="0"/>
        <v>41306</v>
      </c>
      <c r="L42">
        <f t="shared" si="1"/>
        <v>1.73</v>
      </c>
      <c r="M42">
        <f t="shared" si="2"/>
        <v>3.89100141983667</v>
      </c>
      <c r="N42">
        <f t="shared" si="3"/>
        <v>1.96335660189131</v>
      </c>
      <c r="Z42" s="3" t="s">
        <v>43</v>
      </c>
      <c r="AA42" s="1">
        <v>41275</v>
      </c>
      <c r="AB42">
        <v>1.9637177930406999</v>
      </c>
      <c r="AC42">
        <v>1.9636941460132</v>
      </c>
      <c r="AE42" s="3" t="s">
        <v>43</v>
      </c>
      <c r="AF42" s="1">
        <v>41275</v>
      </c>
    </row>
    <row r="43" spans="2:32" x14ac:dyDescent="0.25">
      <c r="B43" s="1">
        <v>41760</v>
      </c>
      <c r="C43" s="2">
        <v>36432608215.050003</v>
      </c>
      <c r="D43">
        <v>1.05</v>
      </c>
      <c r="F43" s="4" t="s">
        <v>45</v>
      </c>
      <c r="G43" s="1">
        <v>41334</v>
      </c>
      <c r="H43">
        <v>3.88610232204043</v>
      </c>
      <c r="K43" s="1">
        <f t="shared" si="0"/>
        <v>41334</v>
      </c>
      <c r="L43">
        <f t="shared" si="1"/>
        <v>1.42</v>
      </c>
      <c r="M43">
        <f t="shared" si="2"/>
        <v>3.88610232204043</v>
      </c>
      <c r="N43">
        <f t="shared" si="3"/>
        <v>1.9609355424118999</v>
      </c>
      <c r="Z43" s="3" t="s">
        <v>44</v>
      </c>
      <c r="AA43" s="1">
        <v>41306</v>
      </c>
      <c r="AB43">
        <v>1.96335660189131</v>
      </c>
      <c r="AC43">
        <v>1.9633199592895001</v>
      </c>
      <c r="AE43" s="3" t="s">
        <v>44</v>
      </c>
      <c r="AF43" s="1">
        <v>41306</v>
      </c>
    </row>
    <row r="44" spans="2:32" x14ac:dyDescent="0.25">
      <c r="B44" s="1">
        <v>41791</v>
      </c>
      <c r="C44" s="2">
        <v>36374383285.580002</v>
      </c>
      <c r="D44">
        <v>1.2</v>
      </c>
      <c r="F44" s="4" t="s">
        <v>46</v>
      </c>
      <c r="G44" s="1">
        <v>41365</v>
      </c>
      <c r="H44">
        <v>3.6582848061094402</v>
      </c>
      <c r="K44" s="1">
        <f t="shared" si="0"/>
        <v>41365</v>
      </c>
      <c r="L44">
        <f t="shared" si="1"/>
        <v>1.94</v>
      </c>
      <c r="M44">
        <f t="shared" si="2"/>
        <v>3.6582848061094402</v>
      </c>
      <c r="N44">
        <f t="shared" si="3"/>
        <v>1.84511351715074</v>
      </c>
      <c r="Z44" s="3" t="s">
        <v>45</v>
      </c>
      <c r="AA44" s="1">
        <v>41334</v>
      </c>
      <c r="AB44">
        <v>1.9609355424118999</v>
      </c>
      <c r="AC44">
        <v>1.9608762204477499</v>
      </c>
      <c r="AE44" s="3" t="s">
        <v>45</v>
      </c>
      <c r="AF44" s="1">
        <v>41334</v>
      </c>
    </row>
    <row r="45" spans="2:32" x14ac:dyDescent="0.25">
      <c r="B45" s="1">
        <v>41821</v>
      </c>
      <c r="C45" s="2">
        <v>36269649620.790001</v>
      </c>
      <c r="D45">
        <v>1.28</v>
      </c>
      <c r="F45" s="4" t="s">
        <v>47</v>
      </c>
      <c r="G45" s="1">
        <v>41395</v>
      </c>
      <c r="H45">
        <v>3.4186286048891601</v>
      </c>
      <c r="K45" s="1">
        <f t="shared" si="0"/>
        <v>41395</v>
      </c>
      <c r="L45">
        <f t="shared" si="1"/>
        <v>1.48</v>
      </c>
      <c r="M45">
        <f t="shared" si="2"/>
        <v>3.4186286048891601</v>
      </c>
      <c r="N45">
        <f t="shared" si="3"/>
        <v>1.72347265761712</v>
      </c>
      <c r="Z45" s="3" t="s">
        <v>46</v>
      </c>
      <c r="AA45" s="1">
        <v>41365</v>
      </c>
      <c r="AB45">
        <v>1.84511351715074</v>
      </c>
      <c r="AC45">
        <v>1.84470858321512</v>
      </c>
      <c r="AE45" s="3" t="s">
        <v>46</v>
      </c>
      <c r="AF45" s="1">
        <v>41365</v>
      </c>
    </row>
    <row r="46" spans="2:32" x14ac:dyDescent="0.25">
      <c r="B46" s="1">
        <v>41852</v>
      </c>
      <c r="C46" s="2">
        <v>36126630743.639999</v>
      </c>
      <c r="D46">
        <v>1.19</v>
      </c>
      <c r="F46" s="4" t="s">
        <v>48</v>
      </c>
      <c r="G46" s="1">
        <v>41426</v>
      </c>
      <c r="H46">
        <v>3.1791952736315601</v>
      </c>
      <c r="K46" s="1">
        <f t="shared" si="0"/>
        <v>41426</v>
      </c>
      <c r="L46">
        <f t="shared" si="1"/>
        <v>1.43</v>
      </c>
      <c r="M46">
        <f t="shared" si="2"/>
        <v>3.1791952736315601</v>
      </c>
      <c r="N46">
        <f t="shared" si="3"/>
        <v>1.6021950734505599</v>
      </c>
      <c r="Z46" s="3" t="s">
        <v>47</v>
      </c>
      <c r="AA46" s="1">
        <v>41395</v>
      </c>
      <c r="AB46">
        <v>1.72347265761712</v>
      </c>
      <c r="AC46">
        <v>1.7209139101261099</v>
      </c>
      <c r="AE46" s="3" t="s">
        <v>47</v>
      </c>
      <c r="AF46" s="1">
        <v>41395</v>
      </c>
    </row>
    <row r="47" spans="2:32" x14ac:dyDescent="0.25">
      <c r="B47" s="1">
        <v>41883</v>
      </c>
      <c r="C47" s="2">
        <v>35923962745.870003</v>
      </c>
      <c r="D47">
        <v>1.29</v>
      </c>
      <c r="F47" s="4" t="s">
        <v>49</v>
      </c>
      <c r="G47" s="1">
        <v>41456</v>
      </c>
      <c r="H47">
        <v>3.11849557428889</v>
      </c>
      <c r="K47" s="1">
        <f t="shared" si="0"/>
        <v>41456</v>
      </c>
      <c r="L47">
        <f t="shared" si="1"/>
        <v>1.33</v>
      </c>
      <c r="M47">
        <f t="shared" si="2"/>
        <v>3.11849557428889</v>
      </c>
      <c r="N47">
        <f t="shared" si="3"/>
        <v>1.5719618152981301</v>
      </c>
      <c r="Z47" s="3" t="s">
        <v>48</v>
      </c>
      <c r="AA47" s="1">
        <v>41426</v>
      </c>
      <c r="AB47">
        <v>1.6021950734505599</v>
      </c>
      <c r="AC47">
        <v>1.59364260542262</v>
      </c>
      <c r="AE47" s="3" t="s">
        <v>48</v>
      </c>
      <c r="AF47" s="1">
        <v>41426</v>
      </c>
    </row>
    <row r="48" spans="2:32" x14ac:dyDescent="0.25">
      <c r="B48" s="1">
        <v>41913</v>
      </c>
      <c r="C48">
        <v>35744212223.440002</v>
      </c>
      <c r="D48">
        <v>1.32</v>
      </c>
      <c r="F48" s="4" t="s">
        <v>50</v>
      </c>
      <c r="G48" s="1">
        <v>41487</v>
      </c>
      <c r="H48">
        <v>3.0474803129401402</v>
      </c>
      <c r="K48" s="1">
        <f t="shared" si="0"/>
        <v>41487</v>
      </c>
      <c r="L48">
        <f t="shared" si="1"/>
        <v>1.39</v>
      </c>
      <c r="M48">
        <f t="shared" si="2"/>
        <v>3.0474803129401402</v>
      </c>
      <c r="N48">
        <f t="shared" si="3"/>
        <v>1.5365767634984999</v>
      </c>
      <c r="Z48" s="3" t="s">
        <v>49</v>
      </c>
      <c r="AA48" s="1">
        <v>41456</v>
      </c>
      <c r="AB48">
        <v>1.5719618152981301</v>
      </c>
      <c r="AC48">
        <v>1.55879211708403</v>
      </c>
      <c r="AE48" s="3" t="s">
        <v>49</v>
      </c>
      <c r="AF48" s="1">
        <v>41456</v>
      </c>
    </row>
    <row r="49" spans="2:32" x14ac:dyDescent="0.25">
      <c r="B49" s="1">
        <v>41944</v>
      </c>
      <c r="C49">
        <v>35568779509.139999</v>
      </c>
      <c r="D49">
        <v>1.3</v>
      </c>
      <c r="F49" s="4" t="s">
        <v>51</v>
      </c>
      <c r="G49" s="1">
        <v>41518</v>
      </c>
      <c r="H49">
        <v>3.01457570433065</v>
      </c>
      <c r="K49" s="1">
        <f t="shared" si="0"/>
        <v>41518</v>
      </c>
      <c r="L49">
        <f t="shared" si="1"/>
        <v>1.33</v>
      </c>
      <c r="M49">
        <f t="shared" si="2"/>
        <v>3.01457570433065</v>
      </c>
      <c r="N49">
        <f t="shared" si="3"/>
        <v>1.52067822532306</v>
      </c>
      <c r="Z49" s="3" t="s">
        <v>50</v>
      </c>
      <c r="AA49" s="1">
        <v>41487</v>
      </c>
      <c r="AB49">
        <v>1.5365767634984999</v>
      </c>
      <c r="AC49">
        <v>1.51873802411099</v>
      </c>
      <c r="AE49" s="3" t="s">
        <v>50</v>
      </c>
      <c r="AF49" s="1">
        <v>41487</v>
      </c>
    </row>
    <row r="50" spans="2:32" x14ac:dyDescent="0.25">
      <c r="B50" s="1">
        <v>41974</v>
      </c>
      <c r="C50">
        <v>35361534300.080002</v>
      </c>
      <c r="D50">
        <v>1.34</v>
      </c>
      <c r="F50" s="4" t="s">
        <v>52</v>
      </c>
      <c r="G50" s="1">
        <v>41548</v>
      </c>
      <c r="H50">
        <v>3.14403472972911</v>
      </c>
      <c r="K50" s="1">
        <f t="shared" si="0"/>
        <v>41548</v>
      </c>
      <c r="L50">
        <f t="shared" si="1"/>
        <v>1.32</v>
      </c>
      <c r="M50">
        <f t="shared" si="2"/>
        <v>3.14403472972911</v>
      </c>
      <c r="N50">
        <f t="shared" si="3"/>
        <v>1.5873092200049801</v>
      </c>
      <c r="Z50" s="3" t="s">
        <v>51</v>
      </c>
      <c r="AA50" s="1">
        <v>41518</v>
      </c>
      <c r="AB50">
        <v>1.52067822532306</v>
      </c>
      <c r="AC50">
        <v>1.49864918435585</v>
      </c>
      <c r="AE50" s="3" t="s">
        <v>51</v>
      </c>
      <c r="AF50" s="1">
        <v>41518</v>
      </c>
    </row>
    <row r="51" spans="2:32" x14ac:dyDescent="0.25">
      <c r="B51" s="1">
        <v>42005</v>
      </c>
      <c r="C51">
        <v>35217328304.889999</v>
      </c>
      <c r="D51">
        <v>1.34</v>
      </c>
      <c r="F51" s="4" t="s">
        <v>53</v>
      </c>
      <c r="G51" s="1">
        <v>41579</v>
      </c>
      <c r="H51">
        <v>3.2961234331850502</v>
      </c>
      <c r="K51" s="1">
        <f t="shared" si="0"/>
        <v>41579</v>
      </c>
      <c r="L51">
        <f t="shared" si="1"/>
        <v>1.35</v>
      </c>
      <c r="M51">
        <f t="shared" si="2"/>
        <v>3.2961234331850502</v>
      </c>
      <c r="N51">
        <f t="shared" si="3"/>
        <v>1.66559391003124</v>
      </c>
      <c r="Z51" s="3" t="s">
        <v>52</v>
      </c>
      <c r="AA51" s="1">
        <v>41548</v>
      </c>
      <c r="AB51">
        <v>1.5873092200049801</v>
      </c>
      <c r="AC51">
        <v>1.5649643825481301</v>
      </c>
      <c r="AE51" s="3" t="s">
        <v>52</v>
      </c>
      <c r="AF51" s="1">
        <v>41548</v>
      </c>
    </row>
    <row r="52" spans="2:32" x14ac:dyDescent="0.25">
      <c r="B52" s="1">
        <v>42036</v>
      </c>
      <c r="C52">
        <v>34993442249.779999</v>
      </c>
      <c r="D52">
        <v>1.34</v>
      </c>
      <c r="F52" s="4" t="s">
        <v>54</v>
      </c>
      <c r="G52" s="1">
        <v>41609</v>
      </c>
      <c r="H52">
        <v>3.4749599045730402</v>
      </c>
      <c r="K52" s="1">
        <f t="shared" si="0"/>
        <v>41609</v>
      </c>
      <c r="L52">
        <f t="shared" si="1"/>
        <v>1.37</v>
      </c>
      <c r="M52">
        <f t="shared" si="2"/>
        <v>3.4749599045730402</v>
      </c>
      <c r="N52">
        <f t="shared" si="3"/>
        <v>1.75871139957124</v>
      </c>
      <c r="Z52" s="3" t="s">
        <v>53</v>
      </c>
      <c r="AA52" s="1">
        <v>41579</v>
      </c>
      <c r="AB52">
        <v>1.66559391003124</v>
      </c>
      <c r="AC52">
        <v>1.64275757309938</v>
      </c>
      <c r="AE52" s="3" t="s">
        <v>53</v>
      </c>
      <c r="AF52" s="1">
        <v>41579</v>
      </c>
    </row>
    <row r="53" spans="2:32" x14ac:dyDescent="0.25">
      <c r="B53" s="1">
        <v>42064</v>
      </c>
      <c r="C53">
        <v>34821264065.889999</v>
      </c>
      <c r="D53">
        <v>1.44</v>
      </c>
      <c r="F53" s="4" t="s">
        <v>55</v>
      </c>
      <c r="G53" s="1">
        <v>41640</v>
      </c>
      <c r="H53">
        <v>3.5963117205697599</v>
      </c>
      <c r="K53" s="1">
        <f t="shared" si="0"/>
        <v>41640</v>
      </c>
      <c r="L53">
        <f t="shared" si="1"/>
        <v>1.47</v>
      </c>
      <c r="M53">
        <f t="shared" si="2"/>
        <v>3.5963117205697599</v>
      </c>
      <c r="N53">
        <f t="shared" si="3"/>
        <v>1.82183930536793</v>
      </c>
      <c r="Z53" s="3" t="s">
        <v>54</v>
      </c>
      <c r="AA53" s="1">
        <v>41609</v>
      </c>
      <c r="AB53">
        <v>1.75871139957124</v>
      </c>
      <c r="AC53">
        <v>1.7354728844843601</v>
      </c>
      <c r="AE53" s="3" t="s">
        <v>54</v>
      </c>
      <c r="AF53" s="1">
        <v>41609</v>
      </c>
    </row>
    <row r="54" spans="2:32" x14ac:dyDescent="0.25">
      <c r="B54" s="1">
        <v>42095</v>
      </c>
      <c r="C54">
        <v>34610571016.949997</v>
      </c>
      <c r="D54">
        <v>1.19</v>
      </c>
      <c r="F54" s="4" t="s">
        <v>56</v>
      </c>
      <c r="G54" s="1">
        <v>41671</v>
      </c>
      <c r="H54">
        <v>3.7157065144494199</v>
      </c>
      <c r="K54" s="1">
        <f t="shared" si="0"/>
        <v>41671</v>
      </c>
      <c r="L54">
        <f t="shared" si="1"/>
        <v>1.37</v>
      </c>
      <c r="M54">
        <f t="shared" si="2"/>
        <v>3.7157065144494199</v>
      </c>
      <c r="N54">
        <f t="shared" si="3"/>
        <v>1.88421521069265</v>
      </c>
      <c r="Z54" s="3" t="s">
        <v>55</v>
      </c>
      <c r="AA54" s="1">
        <v>41640</v>
      </c>
      <c r="AB54">
        <v>1.82183930536793</v>
      </c>
      <c r="AC54">
        <v>1.7975011178648601</v>
      </c>
      <c r="AE54" s="3" t="s">
        <v>55</v>
      </c>
      <c r="AF54" s="1">
        <v>41640</v>
      </c>
    </row>
    <row r="55" spans="2:32" x14ac:dyDescent="0.25">
      <c r="B55" s="1">
        <v>42125</v>
      </c>
      <c r="C55">
        <v>34327306887.07</v>
      </c>
      <c r="D55">
        <v>1.19</v>
      </c>
      <c r="F55" s="4" t="s">
        <v>57</v>
      </c>
      <c r="G55" s="1">
        <v>41699</v>
      </c>
      <c r="H55">
        <v>3.8348955395486999</v>
      </c>
      <c r="K55" s="1">
        <f t="shared" si="0"/>
        <v>41699</v>
      </c>
      <c r="L55">
        <f t="shared" si="1"/>
        <v>1.54</v>
      </c>
      <c r="M55">
        <f t="shared" si="2"/>
        <v>3.8348955395486999</v>
      </c>
      <c r="N55">
        <f t="shared" si="3"/>
        <v>1.9466812875533399</v>
      </c>
      <c r="Z55" s="3" t="s">
        <v>56</v>
      </c>
      <c r="AA55" s="1">
        <v>41671</v>
      </c>
      <c r="AB55">
        <v>1.88421521069265</v>
      </c>
      <c r="AC55">
        <v>1.85887032936913</v>
      </c>
      <c r="AE55" s="3" t="s">
        <v>56</v>
      </c>
      <c r="AF55" s="1">
        <v>41671</v>
      </c>
    </row>
    <row r="56" spans="2:32" x14ac:dyDescent="0.25">
      <c r="B56" s="1">
        <v>42156</v>
      </c>
      <c r="C56">
        <v>34023761235.84</v>
      </c>
      <c r="D56">
        <v>1.01</v>
      </c>
      <c r="F56" s="4" t="s">
        <v>58</v>
      </c>
      <c r="G56" s="1">
        <v>41730</v>
      </c>
      <c r="H56">
        <v>3.7010068701128702</v>
      </c>
      <c r="K56" s="1">
        <f t="shared" si="0"/>
        <v>41730</v>
      </c>
      <c r="L56">
        <f t="shared" si="1"/>
        <v>1.42</v>
      </c>
      <c r="M56">
        <f t="shared" si="2"/>
        <v>3.7010068701128702</v>
      </c>
      <c r="N56">
        <f t="shared" si="3"/>
        <v>1.8807039874595</v>
      </c>
      <c r="Z56" s="3" t="s">
        <v>57</v>
      </c>
      <c r="AA56" s="1">
        <v>41699</v>
      </c>
      <c r="AB56">
        <v>1.9466812875533399</v>
      </c>
      <c r="AC56">
        <v>1.9203771614427101</v>
      </c>
      <c r="AE56" s="3" t="s">
        <v>57</v>
      </c>
      <c r="AF56" s="1">
        <v>41699</v>
      </c>
    </row>
    <row r="57" spans="2:32" x14ac:dyDescent="0.25">
      <c r="B57" s="1">
        <v>42186</v>
      </c>
      <c r="C57">
        <v>33717359251.66</v>
      </c>
      <c r="D57">
        <v>1.1299999999999999</v>
      </c>
      <c r="F57" s="4" t="s">
        <v>59</v>
      </c>
      <c r="G57" s="1">
        <v>41760</v>
      </c>
      <c r="H57">
        <v>3.5717289633985798</v>
      </c>
      <c r="K57" s="1">
        <f t="shared" si="0"/>
        <v>41760</v>
      </c>
      <c r="L57">
        <f t="shared" si="1"/>
        <v>1.05</v>
      </c>
      <c r="M57">
        <f t="shared" si="2"/>
        <v>3.5717289633985798</v>
      </c>
      <c r="N57">
        <f t="shared" si="3"/>
        <v>1.8170847019643599</v>
      </c>
      <c r="Z57" s="3" t="s">
        <v>58</v>
      </c>
      <c r="AA57" s="1">
        <v>41730</v>
      </c>
      <c r="AB57">
        <v>1.8807039874595</v>
      </c>
      <c r="AC57">
        <v>1.8530799410630601</v>
      </c>
      <c r="AE57" s="3" t="s">
        <v>58</v>
      </c>
      <c r="AF57" s="1">
        <v>41730</v>
      </c>
    </row>
    <row r="58" spans="2:32" x14ac:dyDescent="0.25">
      <c r="B58" s="1">
        <v>42217</v>
      </c>
      <c r="C58">
        <v>33341777363.959999</v>
      </c>
      <c r="D58">
        <v>1.23</v>
      </c>
      <c r="F58" s="4" t="s">
        <v>60</v>
      </c>
      <c r="G58" s="1">
        <v>41791</v>
      </c>
      <c r="H58">
        <v>3.43526320955353</v>
      </c>
      <c r="K58" s="1">
        <f t="shared" si="0"/>
        <v>41791</v>
      </c>
      <c r="L58">
        <f t="shared" si="1"/>
        <v>1.2</v>
      </c>
      <c r="M58">
        <f t="shared" si="2"/>
        <v>3.43526320955353</v>
      </c>
      <c r="N58">
        <f t="shared" si="3"/>
        <v>1.7496267398121399</v>
      </c>
      <c r="Z58" s="3" t="s">
        <v>59</v>
      </c>
      <c r="AA58" s="1">
        <v>41760</v>
      </c>
      <c r="AB58">
        <v>1.8170847019643599</v>
      </c>
      <c r="AC58">
        <v>1.7924730781613201</v>
      </c>
      <c r="AE58" s="3" t="s">
        <v>59</v>
      </c>
      <c r="AF58" s="1">
        <v>41760</v>
      </c>
    </row>
    <row r="59" spans="2:32" x14ac:dyDescent="0.25">
      <c r="B59" s="1">
        <v>42248</v>
      </c>
      <c r="C59">
        <v>33002490674.43</v>
      </c>
      <c r="D59">
        <v>1.1200000000000001</v>
      </c>
      <c r="F59" s="4" t="s">
        <v>61</v>
      </c>
      <c r="G59" s="1">
        <v>41821</v>
      </c>
      <c r="H59">
        <v>3.4744320262402999</v>
      </c>
      <c r="K59" s="1">
        <f t="shared" si="0"/>
        <v>41821</v>
      </c>
      <c r="L59">
        <f t="shared" si="1"/>
        <v>1.28</v>
      </c>
      <c r="M59">
        <f t="shared" si="2"/>
        <v>3.4744320262402999</v>
      </c>
      <c r="N59">
        <f t="shared" si="3"/>
        <v>1.7714716132897099</v>
      </c>
      <c r="Z59" s="3" t="s">
        <v>60</v>
      </c>
      <c r="AA59" s="1">
        <v>41791</v>
      </c>
      <c r="AB59">
        <v>1.7496267398121399</v>
      </c>
      <c r="AC59">
        <v>1.73324210800275</v>
      </c>
      <c r="AE59" s="3" t="s">
        <v>60</v>
      </c>
      <c r="AF59" s="1">
        <v>41791</v>
      </c>
    </row>
    <row r="60" spans="2:32" x14ac:dyDescent="0.25">
      <c r="B60" s="1">
        <v>42278</v>
      </c>
      <c r="C60">
        <v>32669154948.27</v>
      </c>
      <c r="D60">
        <v>1.03</v>
      </c>
      <c r="F60" s="4" t="s">
        <v>62</v>
      </c>
      <c r="G60" s="1">
        <v>41852</v>
      </c>
      <c r="H60">
        <v>3.5513638608214402</v>
      </c>
      <c r="K60" s="1">
        <f t="shared" si="0"/>
        <v>41852</v>
      </c>
      <c r="L60">
        <f t="shared" si="1"/>
        <v>1.19</v>
      </c>
      <c r="M60">
        <f t="shared" si="2"/>
        <v>3.5513638608214402</v>
      </c>
      <c r="N60">
        <f t="shared" si="3"/>
        <v>1.81319279028608</v>
      </c>
      <c r="Z60" s="3" t="s">
        <v>61</v>
      </c>
      <c r="AA60" s="1">
        <v>41821</v>
      </c>
      <c r="AB60">
        <v>1.7714716132897099</v>
      </c>
      <c r="AC60">
        <v>1.7602011041321901</v>
      </c>
      <c r="AE60" s="3" t="s">
        <v>61</v>
      </c>
      <c r="AF60" s="1">
        <v>41821</v>
      </c>
    </row>
    <row r="61" spans="2:32" x14ac:dyDescent="0.25">
      <c r="B61" s="1">
        <v>42309</v>
      </c>
      <c r="C61">
        <v>32356751826.049999</v>
      </c>
      <c r="D61">
        <v>1.25</v>
      </c>
      <c r="F61" s="4" t="s">
        <v>63</v>
      </c>
      <c r="G61" s="1">
        <v>41883</v>
      </c>
      <c r="H61">
        <v>3.5506014539168098</v>
      </c>
      <c r="K61" s="1">
        <f t="shared" si="0"/>
        <v>41883</v>
      </c>
      <c r="L61">
        <f t="shared" si="1"/>
        <v>1.29</v>
      </c>
      <c r="M61">
        <f t="shared" si="2"/>
        <v>3.5506014539168098</v>
      </c>
      <c r="N61">
        <f t="shared" si="3"/>
        <v>1.8138412801203301</v>
      </c>
      <c r="Z61" s="3" t="s">
        <v>62</v>
      </c>
      <c r="AA61" s="1">
        <v>41852</v>
      </c>
      <c r="AB61">
        <v>1.81319279028608</v>
      </c>
      <c r="AC61">
        <v>1.8050383607357099</v>
      </c>
      <c r="AE61" s="3" t="s">
        <v>62</v>
      </c>
      <c r="AF61" s="1">
        <v>41852</v>
      </c>
    </row>
    <row r="62" spans="2:32" x14ac:dyDescent="0.25">
      <c r="B62" s="1">
        <v>42339</v>
      </c>
      <c r="C62">
        <v>32061048724.549999</v>
      </c>
      <c r="D62">
        <v>1.31</v>
      </c>
      <c r="F62" s="4" t="s">
        <v>64</v>
      </c>
      <c r="G62" s="1">
        <v>41913</v>
      </c>
      <c r="H62">
        <v>3.6631725939842998</v>
      </c>
      <c r="K62" s="1">
        <f t="shared" si="0"/>
        <v>41913</v>
      </c>
      <c r="L62">
        <f t="shared" si="1"/>
        <v>1.32</v>
      </c>
      <c r="M62">
        <f t="shared" si="2"/>
        <v>3.6631725939842998</v>
      </c>
      <c r="N62">
        <f t="shared" si="3"/>
        <v>1.87343193606972</v>
      </c>
      <c r="Z62" s="3" t="s">
        <v>63</v>
      </c>
      <c r="AA62" s="1">
        <v>41883</v>
      </c>
      <c r="AB62">
        <v>1.8138412801203301</v>
      </c>
      <c r="AC62">
        <v>1.81506986957256</v>
      </c>
      <c r="AE62" s="3" t="s">
        <v>63</v>
      </c>
      <c r="AF62" s="1">
        <v>41883</v>
      </c>
    </row>
    <row r="63" spans="2:32" x14ac:dyDescent="0.25">
      <c r="F63" s="4" t="s">
        <v>65</v>
      </c>
      <c r="G63" s="1">
        <v>41944</v>
      </c>
      <c r="H63">
        <v>3.77342937176667</v>
      </c>
      <c r="K63" s="1">
        <f t="shared" si="0"/>
        <v>41944</v>
      </c>
      <c r="L63">
        <f t="shared" si="1"/>
        <v>1.3</v>
      </c>
      <c r="M63">
        <f t="shared" si="2"/>
        <v>3.77342937176667</v>
      </c>
      <c r="N63">
        <f t="shared" si="3"/>
        <v>1.9319381384027301</v>
      </c>
      <c r="Z63" s="3" t="s">
        <v>64</v>
      </c>
      <c r="AA63" s="1">
        <v>41913</v>
      </c>
      <c r="AB63">
        <v>1.87343193606972</v>
      </c>
      <c r="AC63">
        <v>1.87669305542961</v>
      </c>
      <c r="AE63" s="3" t="s">
        <v>64</v>
      </c>
      <c r="AF63" s="1">
        <v>41913</v>
      </c>
    </row>
    <row r="64" spans="2:32" x14ac:dyDescent="0.25">
      <c r="F64" s="4" t="s">
        <v>66</v>
      </c>
      <c r="G64" s="1">
        <v>41974</v>
      </c>
      <c r="H64">
        <v>3.8827749016890598</v>
      </c>
      <c r="K64" s="1">
        <f t="shared" si="0"/>
        <v>41974</v>
      </c>
      <c r="L64">
        <f t="shared" si="1"/>
        <v>1.34</v>
      </c>
      <c r="M64">
        <f t="shared" si="2"/>
        <v>3.8827749016890598</v>
      </c>
      <c r="N64">
        <f t="shared" si="3"/>
        <v>1.99015341152685</v>
      </c>
      <c r="Z64" s="3" t="s">
        <v>65</v>
      </c>
      <c r="AA64" s="1">
        <v>41944</v>
      </c>
      <c r="AB64">
        <v>1.9319381384027301</v>
      </c>
      <c r="AC64">
        <v>1.9373276050077699</v>
      </c>
      <c r="AE64" s="3" t="s">
        <v>65</v>
      </c>
      <c r="AF64" s="1">
        <v>41944</v>
      </c>
    </row>
    <row r="65" spans="6:32" x14ac:dyDescent="0.25">
      <c r="F65" s="4" t="s">
        <v>67</v>
      </c>
      <c r="G65" s="1">
        <v>42005</v>
      </c>
      <c r="H65">
        <v>3.9345853179781698</v>
      </c>
      <c r="K65" s="1">
        <f t="shared" si="0"/>
        <v>42005</v>
      </c>
      <c r="L65">
        <f t="shared" si="1"/>
        <v>1.34</v>
      </c>
      <c r="M65">
        <f t="shared" si="2"/>
        <v>3.9345853179781698</v>
      </c>
      <c r="N65">
        <f t="shared" si="3"/>
        <v>2.0184107825924702</v>
      </c>
      <c r="Z65" s="3" t="s">
        <v>66</v>
      </c>
      <c r="AA65" s="1">
        <v>41974</v>
      </c>
      <c r="AB65">
        <v>1.99015341152685</v>
      </c>
      <c r="AC65">
        <v>1.9974907238704001</v>
      </c>
      <c r="AE65" s="3" t="s">
        <v>66</v>
      </c>
      <c r="AF65" s="1">
        <v>41974</v>
      </c>
    </row>
    <row r="66" spans="6:32" x14ac:dyDescent="0.25">
      <c r="F66" s="4" t="s">
        <v>68</v>
      </c>
      <c r="G66" s="1">
        <v>42036</v>
      </c>
      <c r="H66">
        <v>3.9788743458544702</v>
      </c>
      <c r="K66" s="1">
        <f t="shared" si="0"/>
        <v>42036</v>
      </c>
      <c r="L66">
        <f t="shared" si="1"/>
        <v>1.34</v>
      </c>
      <c r="M66">
        <f t="shared" si="2"/>
        <v>3.9788743458544702</v>
      </c>
      <c r="N66">
        <f t="shared" si="3"/>
        <v>2.0425338310255499</v>
      </c>
      <c r="Z66" s="3" t="s">
        <v>67</v>
      </c>
      <c r="AA66" s="1">
        <v>42005</v>
      </c>
      <c r="AB66">
        <v>2.0184107825924702</v>
      </c>
      <c r="AC66">
        <v>2.0319885501833901</v>
      </c>
      <c r="AE66" s="3" t="s">
        <v>67</v>
      </c>
      <c r="AF66" s="1">
        <v>42005</v>
      </c>
    </row>
    <row r="67" spans="6:32" x14ac:dyDescent="0.25">
      <c r="F67" s="4" t="s">
        <v>69</v>
      </c>
      <c r="G67" s="1">
        <v>42064</v>
      </c>
      <c r="H67">
        <v>4.0242509547751304</v>
      </c>
      <c r="K67" s="1">
        <f t="shared" si="0"/>
        <v>42064</v>
      </c>
      <c r="L67">
        <f t="shared" si="1"/>
        <v>1.44</v>
      </c>
      <c r="M67">
        <f t="shared" si="2"/>
        <v>4.0242509547751304</v>
      </c>
      <c r="N67">
        <f t="shared" si="3"/>
        <v>2.0670987826194001</v>
      </c>
      <c r="Z67" s="3" t="s">
        <v>68</v>
      </c>
      <c r="AA67" s="1">
        <v>42036</v>
      </c>
      <c r="AB67">
        <v>2.0425338310255499</v>
      </c>
      <c r="AC67">
        <v>2.06280942651764</v>
      </c>
      <c r="AE67" s="3" t="s">
        <v>68</v>
      </c>
      <c r="AF67" s="1">
        <v>42036</v>
      </c>
    </row>
    <row r="68" spans="6:32" x14ac:dyDescent="0.25">
      <c r="F68" s="4" t="s">
        <v>70</v>
      </c>
      <c r="G68" s="1">
        <v>42095</v>
      </c>
      <c r="H68">
        <v>3.8091944669044402</v>
      </c>
      <c r="K68" s="1">
        <f t="shared" ref="K68:K76" si="4">G68</f>
        <v>42095</v>
      </c>
      <c r="L68">
        <f t="shared" ref="L68:L76" si="5">VLOOKUP(K68,B:D,3,0)</f>
        <v>1.19</v>
      </c>
      <c r="M68">
        <f t="shared" ref="M68:M76" si="6">VLOOKUP(K68,G:H,2,0)</f>
        <v>3.8091944669044402</v>
      </c>
      <c r="N68">
        <f t="shared" ref="N68:N76" si="7">VLOOKUP(K68,AA:AB,2,0)</f>
        <v>1.95328054581189</v>
      </c>
      <c r="Z68" s="3" t="s">
        <v>69</v>
      </c>
      <c r="AA68" s="1">
        <v>42064</v>
      </c>
      <c r="AB68">
        <v>2.0670987826194001</v>
      </c>
      <c r="AC68">
        <v>2.0948661195270901</v>
      </c>
      <c r="AE68" s="3" t="s">
        <v>69</v>
      </c>
      <c r="AF68" s="1">
        <v>42064</v>
      </c>
    </row>
    <row r="69" spans="6:32" x14ac:dyDescent="0.25">
      <c r="F69" s="4" t="s">
        <v>71</v>
      </c>
      <c r="G69" s="1">
        <v>42125</v>
      </c>
      <c r="H69">
        <v>3.6178096391558898</v>
      </c>
      <c r="K69" s="1">
        <f t="shared" si="4"/>
        <v>42125</v>
      </c>
      <c r="L69">
        <f t="shared" si="5"/>
        <v>1.19</v>
      </c>
      <c r="M69">
        <f t="shared" si="6"/>
        <v>3.6178096391558898</v>
      </c>
      <c r="N69">
        <f t="shared" si="7"/>
        <v>1.85093970185137</v>
      </c>
      <c r="Z69" s="3" t="s">
        <v>70</v>
      </c>
      <c r="AA69" s="1">
        <v>42095</v>
      </c>
      <c r="AB69">
        <v>1.95328054581189</v>
      </c>
      <c r="AC69">
        <v>2.0131884562689799</v>
      </c>
      <c r="AE69" s="3" t="s">
        <v>70</v>
      </c>
      <c r="AF69" s="1">
        <v>42095</v>
      </c>
    </row>
    <row r="70" spans="6:32" x14ac:dyDescent="0.25">
      <c r="F70" s="4" t="s">
        <v>72</v>
      </c>
      <c r="G70" s="1">
        <v>42156</v>
      </c>
      <c r="H70">
        <v>3.4383191261547301</v>
      </c>
      <c r="K70" s="1">
        <f t="shared" si="4"/>
        <v>42156</v>
      </c>
      <c r="L70">
        <f t="shared" si="5"/>
        <v>1.01</v>
      </c>
      <c r="M70">
        <f t="shared" si="6"/>
        <v>3.4383191261547301</v>
      </c>
      <c r="N70">
        <f t="shared" si="7"/>
        <v>1.7545429835452599</v>
      </c>
      <c r="Z70" s="3" t="s">
        <v>71</v>
      </c>
      <c r="AA70" s="1">
        <v>42125</v>
      </c>
      <c r="AB70">
        <v>1.85093970185137</v>
      </c>
      <c r="AC70">
        <v>1.9487724338800401</v>
      </c>
      <c r="AE70" s="3" t="s">
        <v>71</v>
      </c>
      <c r="AF70" s="1">
        <v>42125</v>
      </c>
    </row>
    <row r="71" spans="6:32" x14ac:dyDescent="0.25">
      <c r="F71" s="4" t="s">
        <v>73</v>
      </c>
      <c r="G71" s="1">
        <v>42186</v>
      </c>
      <c r="H71">
        <v>3.4216400507203302</v>
      </c>
      <c r="K71" s="1">
        <f t="shared" si="4"/>
        <v>42186</v>
      </c>
      <c r="L71">
        <f t="shared" si="5"/>
        <v>1.1299999999999999</v>
      </c>
      <c r="M71">
        <f t="shared" si="6"/>
        <v>3.4216400507203302</v>
      </c>
      <c r="N71">
        <f t="shared" si="7"/>
        <v>1.7448832122733999</v>
      </c>
      <c r="Z71" s="3" t="s">
        <v>72</v>
      </c>
      <c r="AA71" s="1">
        <v>42156</v>
      </c>
      <c r="AB71">
        <v>1.7545429835452599</v>
      </c>
      <c r="AC71">
        <v>1.89466894506699</v>
      </c>
      <c r="AE71" s="3" t="s">
        <v>72</v>
      </c>
      <c r="AF71" s="1">
        <v>42156</v>
      </c>
    </row>
    <row r="72" spans="6:32" x14ac:dyDescent="0.25">
      <c r="F72" s="4" t="s">
        <v>74</v>
      </c>
      <c r="G72" s="1">
        <v>42217</v>
      </c>
      <c r="H72">
        <v>3.40278900402711</v>
      </c>
      <c r="K72" s="1">
        <f t="shared" si="4"/>
        <v>42217</v>
      </c>
      <c r="L72">
        <f t="shared" si="5"/>
        <v>1.23</v>
      </c>
      <c r="M72">
        <f t="shared" si="6"/>
        <v>3.40278900402711</v>
      </c>
      <c r="N72">
        <f t="shared" si="7"/>
        <v>1.7336243085265699</v>
      </c>
      <c r="Z72" s="3" t="s">
        <v>73</v>
      </c>
      <c r="AA72" s="1">
        <v>42186</v>
      </c>
      <c r="AB72">
        <v>1.7448832122733999</v>
      </c>
      <c r="AC72">
        <v>1.9051334582072099</v>
      </c>
      <c r="AE72" s="3" t="s">
        <v>73</v>
      </c>
      <c r="AF72" s="1">
        <v>42186</v>
      </c>
    </row>
    <row r="73" spans="6:32" x14ac:dyDescent="0.25">
      <c r="F73" s="4" t="s">
        <v>75</v>
      </c>
      <c r="G73" s="1">
        <v>42248</v>
      </c>
      <c r="H73">
        <v>3.3805034226110799</v>
      </c>
      <c r="K73" s="1">
        <f t="shared" si="4"/>
        <v>42248</v>
      </c>
      <c r="L73">
        <f t="shared" si="5"/>
        <v>1.1200000000000001</v>
      </c>
      <c r="M73">
        <f t="shared" si="6"/>
        <v>3.3805034226110799</v>
      </c>
      <c r="N73">
        <f t="shared" si="7"/>
        <v>1.72066191216883</v>
      </c>
      <c r="Z73" s="3" t="s">
        <v>74</v>
      </c>
      <c r="AA73" s="1">
        <v>42217</v>
      </c>
      <c r="AB73">
        <v>1.7336243085265699</v>
      </c>
      <c r="AC73">
        <v>1.91438491178639</v>
      </c>
      <c r="AE73" s="3" t="s">
        <v>74</v>
      </c>
      <c r="AF73" s="1">
        <v>42217</v>
      </c>
    </row>
    <row r="74" spans="6:32" x14ac:dyDescent="0.25">
      <c r="F74" s="4" t="s">
        <v>76</v>
      </c>
      <c r="G74" s="1">
        <v>42278</v>
      </c>
      <c r="H74">
        <v>3.4548494012601401</v>
      </c>
      <c r="K74" s="1">
        <f t="shared" si="4"/>
        <v>42278</v>
      </c>
      <c r="L74">
        <f t="shared" si="5"/>
        <v>1.03</v>
      </c>
      <c r="M74">
        <f t="shared" si="6"/>
        <v>3.4548494012601401</v>
      </c>
      <c r="N74">
        <f t="shared" si="7"/>
        <v>1.7591204982059301</v>
      </c>
      <c r="Z74" s="3" t="s">
        <v>75</v>
      </c>
      <c r="AA74" s="1">
        <v>42248</v>
      </c>
      <c r="AB74">
        <v>1.72066191216883</v>
      </c>
      <c r="AC74">
        <v>1.9214407793513699</v>
      </c>
      <c r="AE74" s="3" t="s">
        <v>75</v>
      </c>
      <c r="AF74" s="1">
        <v>42248</v>
      </c>
    </row>
    <row r="75" spans="6:32" x14ac:dyDescent="0.25">
      <c r="F75" s="4" t="s">
        <v>77</v>
      </c>
      <c r="G75" s="1">
        <v>42309</v>
      </c>
      <c r="H75">
        <v>3.5259589026409102</v>
      </c>
      <c r="K75" s="1">
        <f t="shared" si="4"/>
        <v>42309</v>
      </c>
      <c r="L75">
        <f t="shared" si="5"/>
        <v>1.25</v>
      </c>
      <c r="M75">
        <f t="shared" si="6"/>
        <v>3.5259589026409102</v>
      </c>
      <c r="N75">
        <f t="shared" si="7"/>
        <v>1.7959286255261899</v>
      </c>
      <c r="Z75" s="3" t="s">
        <v>76</v>
      </c>
      <c r="AA75" s="1">
        <v>42278</v>
      </c>
      <c r="AB75">
        <v>1.7591204982059301</v>
      </c>
      <c r="AC75">
        <v>1.9666331114546101</v>
      </c>
      <c r="AE75" s="3" t="s">
        <v>76</v>
      </c>
      <c r="AF75" s="1">
        <v>42278</v>
      </c>
    </row>
    <row r="76" spans="6:32" x14ac:dyDescent="0.25">
      <c r="F76" s="4" t="s">
        <v>78</v>
      </c>
      <c r="G76" s="1">
        <v>42339</v>
      </c>
      <c r="H76">
        <v>3.5885332795359499</v>
      </c>
      <c r="K76" s="1">
        <f t="shared" si="4"/>
        <v>42339</v>
      </c>
      <c r="L76">
        <f t="shared" si="5"/>
        <v>1.31</v>
      </c>
      <c r="M76">
        <f t="shared" si="6"/>
        <v>3.5885332795359499</v>
      </c>
      <c r="N76">
        <f t="shared" si="7"/>
        <v>1.8282947766922899</v>
      </c>
      <c r="Z76" s="3" t="s">
        <v>77</v>
      </c>
      <c r="AA76" s="1">
        <v>42309</v>
      </c>
      <c r="AB76">
        <v>1.7959286255261899</v>
      </c>
      <c r="AC76">
        <v>2.0099455968703999</v>
      </c>
      <c r="AE76" s="3" t="s">
        <v>77</v>
      </c>
      <c r="AF76" s="1">
        <v>42309</v>
      </c>
    </row>
    <row r="77" spans="6:32" x14ac:dyDescent="0.25">
      <c r="Z77" s="3" t="s">
        <v>78</v>
      </c>
      <c r="AA77" s="1">
        <v>42339</v>
      </c>
      <c r="AB77">
        <v>1.8282947766922899</v>
      </c>
      <c r="AC77">
        <v>2.0494281901048401</v>
      </c>
      <c r="AE77" s="3" t="s">
        <v>78</v>
      </c>
      <c r="AF77" s="1">
        <v>42339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76"/>
  <sheetViews>
    <sheetView workbookViewId="0">
      <selection activeCell="U27" sqref="U27"/>
    </sheetView>
  </sheetViews>
  <sheetFormatPr defaultRowHeight="15" x14ac:dyDescent="0.25"/>
  <cols>
    <col min="2" max="2" width="15.42578125" bestFit="1" customWidth="1"/>
    <col min="3" max="3" width="15.28515625" bestFit="1" customWidth="1"/>
    <col min="7" max="7" width="10.42578125" bestFit="1" customWidth="1"/>
    <col min="11" max="11" width="10.42578125" bestFit="1" customWidth="1"/>
  </cols>
  <sheetData>
    <row r="1" spans="2:28" x14ac:dyDescent="0.25">
      <c r="B1">
        <v>2009</v>
      </c>
    </row>
    <row r="2" spans="2:28" x14ac:dyDescent="0.25">
      <c r="B2" t="s">
        <v>0</v>
      </c>
      <c r="C2" t="s">
        <v>1</v>
      </c>
      <c r="D2" t="s">
        <v>2</v>
      </c>
      <c r="F2" t="s">
        <v>3</v>
      </c>
      <c r="G2" t="s">
        <v>4</v>
      </c>
      <c r="L2" t="s">
        <v>79</v>
      </c>
      <c r="M2" t="s">
        <v>80</v>
      </c>
      <c r="N2" t="s">
        <v>81</v>
      </c>
      <c r="Z2" s="3"/>
      <c r="AA2" t="s">
        <v>3</v>
      </c>
      <c r="AB2" t="s">
        <v>4</v>
      </c>
    </row>
    <row r="3" spans="2:28" x14ac:dyDescent="0.25">
      <c r="B3" s="1">
        <v>40544</v>
      </c>
      <c r="C3" s="2">
        <v>109129167.90000001</v>
      </c>
      <c r="D3">
        <v>2.5099999999999998</v>
      </c>
      <c r="F3" s="1" t="s">
        <v>5</v>
      </c>
      <c r="G3" s="1">
        <v>40118</v>
      </c>
      <c r="H3">
        <v>0.54948512772330405</v>
      </c>
      <c r="K3" s="1">
        <f>G3</f>
        <v>40118</v>
      </c>
      <c r="L3" t="e">
        <f>VLOOKUP(K3,B:D,3,0)</f>
        <v>#N/A</v>
      </c>
      <c r="M3">
        <f>VLOOKUP(K3,G:H,2,0)</f>
        <v>0.54948512772330405</v>
      </c>
      <c r="N3">
        <f>VLOOKUP(K3,AA:AB,2,0)</f>
        <v>0.27509109675391002</v>
      </c>
      <c r="Z3" s="1" t="s">
        <v>5</v>
      </c>
      <c r="AA3" s="1">
        <v>40118</v>
      </c>
      <c r="AB3">
        <v>0.27509109675391002</v>
      </c>
    </row>
    <row r="4" spans="2:28" x14ac:dyDescent="0.25">
      <c r="B4" s="1">
        <v>40575</v>
      </c>
      <c r="C4" s="2">
        <v>103852078.04000001</v>
      </c>
      <c r="D4">
        <v>14.24</v>
      </c>
      <c r="F4" s="1" t="s">
        <v>6</v>
      </c>
      <c r="G4" s="1">
        <v>40148</v>
      </c>
      <c r="H4">
        <v>0.89225902321563599</v>
      </c>
      <c r="K4" s="1">
        <f t="shared" ref="K4:K67" si="0">G4</f>
        <v>40148</v>
      </c>
      <c r="L4" t="e">
        <f t="shared" ref="L4:L67" si="1">VLOOKUP(K4,B:D,3,0)</f>
        <v>#N/A</v>
      </c>
      <c r="M4">
        <f t="shared" ref="M4:M67" si="2">VLOOKUP(K4,G:H,2,0)</f>
        <v>0.89225902321563599</v>
      </c>
      <c r="N4">
        <f t="shared" ref="N4:N67" si="3">VLOOKUP(K4,AA:AB,2,0)</f>
        <v>0.44704845161130902</v>
      </c>
      <c r="Z4" s="1" t="s">
        <v>6</v>
      </c>
      <c r="AA4" s="1">
        <v>40148</v>
      </c>
      <c r="AB4">
        <v>0.44704845161130902</v>
      </c>
    </row>
    <row r="5" spans="2:28" x14ac:dyDescent="0.25">
      <c r="B5" s="1">
        <v>40634</v>
      </c>
      <c r="C5" s="2">
        <v>133205839.7</v>
      </c>
      <c r="D5">
        <v>2.0499999999999998</v>
      </c>
      <c r="F5" s="1" t="s">
        <v>7</v>
      </c>
      <c r="G5" s="1">
        <v>40179</v>
      </c>
      <c r="H5">
        <v>0.52278576597274395</v>
      </c>
      <c r="K5" s="1">
        <f t="shared" si="0"/>
        <v>40179</v>
      </c>
      <c r="L5" t="e">
        <f t="shared" si="1"/>
        <v>#N/A</v>
      </c>
      <c r="M5">
        <f t="shared" si="2"/>
        <v>0.52278576597274395</v>
      </c>
      <c r="N5">
        <f t="shared" si="3"/>
        <v>0.261708400963578</v>
      </c>
      <c r="Z5" s="1" t="s">
        <v>7</v>
      </c>
      <c r="AA5" s="1">
        <v>40179</v>
      </c>
      <c r="AB5">
        <v>0.261708400963578</v>
      </c>
    </row>
    <row r="6" spans="2:28" x14ac:dyDescent="0.25">
      <c r="B6" s="1">
        <v>40695</v>
      </c>
      <c r="C6" s="2">
        <v>132114611.86</v>
      </c>
      <c r="D6">
        <v>4.43</v>
      </c>
      <c r="F6" s="1" t="s">
        <v>8</v>
      </c>
      <c r="G6" s="1">
        <v>40210</v>
      </c>
      <c r="H6">
        <v>0.761559213312335</v>
      </c>
      <c r="K6" s="1">
        <f t="shared" si="0"/>
        <v>40210</v>
      </c>
      <c r="L6" t="e">
        <f t="shared" si="1"/>
        <v>#N/A</v>
      </c>
      <c r="M6">
        <f t="shared" si="2"/>
        <v>0.761559213312335</v>
      </c>
      <c r="N6">
        <f t="shared" si="3"/>
        <v>0.38144893679157299</v>
      </c>
      <c r="Z6" s="1" t="s">
        <v>8</v>
      </c>
      <c r="AA6" s="1">
        <v>40210</v>
      </c>
      <c r="AB6">
        <v>0.38144893679157299</v>
      </c>
    </row>
    <row r="7" spans="2:28" x14ac:dyDescent="0.25">
      <c r="B7" s="1">
        <v>40725</v>
      </c>
      <c r="C7" s="2">
        <v>131139714.5</v>
      </c>
      <c r="D7">
        <v>8.3699999999999992</v>
      </c>
      <c r="F7" s="1" t="s">
        <v>9</v>
      </c>
      <c r="G7" s="1">
        <v>40238</v>
      </c>
      <c r="H7">
        <v>1.3057997332592599</v>
      </c>
      <c r="K7" s="1">
        <f t="shared" si="0"/>
        <v>40238</v>
      </c>
      <c r="L7" t="e">
        <f t="shared" si="1"/>
        <v>#N/A</v>
      </c>
      <c r="M7">
        <f t="shared" si="2"/>
        <v>1.3057997332592599</v>
      </c>
      <c r="N7">
        <f t="shared" si="3"/>
        <v>0.65487033711284504</v>
      </c>
      <c r="Z7" s="1" t="s">
        <v>9</v>
      </c>
      <c r="AA7" s="1">
        <v>40238</v>
      </c>
      <c r="AB7">
        <v>0.65487033711284504</v>
      </c>
    </row>
    <row r="8" spans="2:28" x14ac:dyDescent="0.25">
      <c r="B8" s="1">
        <v>40756</v>
      </c>
      <c r="C8" s="2">
        <v>129825080.2</v>
      </c>
      <c r="D8">
        <v>8.76</v>
      </c>
      <c r="F8" s="1" t="s">
        <v>10</v>
      </c>
      <c r="G8" s="1">
        <v>40269</v>
      </c>
      <c r="H8">
        <v>1.8004412305151201</v>
      </c>
      <c r="K8" s="1">
        <f t="shared" si="0"/>
        <v>40269</v>
      </c>
      <c r="L8" t="e">
        <f t="shared" si="1"/>
        <v>#N/A</v>
      </c>
      <c r="M8">
        <f t="shared" si="2"/>
        <v>1.8004412305151201</v>
      </c>
      <c r="N8">
        <f t="shared" si="3"/>
        <v>0.90397404108055701</v>
      </c>
      <c r="Z8" s="1" t="s">
        <v>10</v>
      </c>
      <c r="AA8" s="1">
        <v>40269</v>
      </c>
      <c r="AB8">
        <v>0.90397404108055701</v>
      </c>
    </row>
    <row r="9" spans="2:28" x14ac:dyDescent="0.25">
      <c r="B9" s="1">
        <v>40787</v>
      </c>
      <c r="C9" s="2">
        <v>128439053.59</v>
      </c>
      <c r="D9">
        <v>4.43</v>
      </c>
      <c r="F9" s="1" t="s">
        <v>11</v>
      </c>
      <c r="G9" s="1">
        <v>40299</v>
      </c>
      <c r="H9">
        <v>2.2830924239652099</v>
      </c>
      <c r="K9" s="1">
        <f t="shared" si="0"/>
        <v>40299</v>
      </c>
      <c r="L9" t="e">
        <f t="shared" si="1"/>
        <v>#N/A</v>
      </c>
      <c r="M9">
        <f t="shared" si="2"/>
        <v>2.2830924239652099</v>
      </c>
      <c r="N9">
        <f t="shared" si="3"/>
        <v>1.1475947574835199</v>
      </c>
      <c r="Z9" s="1" t="s">
        <v>11</v>
      </c>
      <c r="AA9" s="1">
        <v>40299</v>
      </c>
      <c r="AB9">
        <v>1.1475947574835199</v>
      </c>
    </row>
    <row r="10" spans="2:28" x14ac:dyDescent="0.25">
      <c r="B10" s="1">
        <v>40817</v>
      </c>
      <c r="C10" s="2">
        <v>127294164.77</v>
      </c>
      <c r="D10">
        <v>1.28</v>
      </c>
      <c r="F10" s="1" t="s">
        <v>12</v>
      </c>
      <c r="G10" s="1">
        <v>40330</v>
      </c>
      <c r="H10">
        <v>2.74065803158271</v>
      </c>
      <c r="K10" s="1">
        <f t="shared" si="0"/>
        <v>40330</v>
      </c>
      <c r="L10" t="e">
        <f t="shared" si="1"/>
        <v>#N/A</v>
      </c>
      <c r="M10">
        <f t="shared" si="2"/>
        <v>2.74065803158271</v>
      </c>
      <c r="N10">
        <f t="shared" si="3"/>
        <v>1.3790636603172099</v>
      </c>
      <c r="Z10" s="1" t="s">
        <v>12</v>
      </c>
      <c r="AA10" s="1">
        <v>40330</v>
      </c>
      <c r="AB10">
        <v>1.3790636603172099</v>
      </c>
    </row>
    <row r="11" spans="2:28" x14ac:dyDescent="0.25">
      <c r="B11" s="1">
        <v>40848</v>
      </c>
      <c r="C11" s="2">
        <v>126986212.98999999</v>
      </c>
      <c r="D11">
        <v>3.44</v>
      </c>
      <c r="F11" s="1" t="s">
        <v>13</v>
      </c>
      <c r="G11" s="1">
        <v>40360</v>
      </c>
      <c r="H11">
        <v>3.27931384367026</v>
      </c>
      <c r="K11" s="1">
        <f t="shared" si="0"/>
        <v>40360</v>
      </c>
      <c r="L11" t="e">
        <f t="shared" si="1"/>
        <v>#N/A</v>
      </c>
      <c r="M11">
        <f t="shared" si="2"/>
        <v>3.27931384367026</v>
      </c>
      <c r="N11">
        <f t="shared" si="3"/>
        <v>1.6521950250138699</v>
      </c>
      <c r="Z11" s="1" t="s">
        <v>13</v>
      </c>
      <c r="AA11" s="1">
        <v>40360</v>
      </c>
      <c r="AB11">
        <v>1.6521950250138699</v>
      </c>
    </row>
    <row r="12" spans="2:28" x14ac:dyDescent="0.25">
      <c r="B12" s="1">
        <v>40878</v>
      </c>
      <c r="C12" s="2">
        <v>126443124.88</v>
      </c>
      <c r="D12">
        <v>7.55</v>
      </c>
      <c r="F12" s="4" t="s">
        <v>14</v>
      </c>
      <c r="G12" s="1">
        <v>40391</v>
      </c>
      <c r="H12">
        <v>3.8306955581869402</v>
      </c>
      <c r="K12" s="1">
        <f t="shared" si="0"/>
        <v>40391</v>
      </c>
      <c r="L12" t="e">
        <f t="shared" si="1"/>
        <v>#N/A</v>
      </c>
      <c r="M12">
        <f t="shared" si="2"/>
        <v>3.8306955581869402</v>
      </c>
      <c r="N12">
        <f t="shared" si="3"/>
        <v>1.93250325662834</v>
      </c>
      <c r="Z12" s="3" t="s">
        <v>14</v>
      </c>
      <c r="AA12" s="1">
        <v>40391</v>
      </c>
      <c r="AB12">
        <v>1.93250325662834</v>
      </c>
    </row>
    <row r="13" spans="2:28" x14ac:dyDescent="0.25">
      <c r="B13" s="1">
        <v>40909</v>
      </c>
      <c r="C13" s="2">
        <v>125201907.31</v>
      </c>
      <c r="D13">
        <v>1.77</v>
      </c>
      <c r="F13" s="4" t="s">
        <v>15</v>
      </c>
      <c r="G13" s="1">
        <v>40422</v>
      </c>
      <c r="H13">
        <v>4.3791373938432701</v>
      </c>
      <c r="K13" s="1">
        <f t="shared" si="0"/>
        <v>40422</v>
      </c>
      <c r="L13" t="e">
        <f t="shared" si="1"/>
        <v>#N/A</v>
      </c>
      <c r="M13">
        <f t="shared" si="2"/>
        <v>4.3791373938432701</v>
      </c>
      <c r="N13">
        <f t="shared" si="3"/>
        <v>2.2120497945091002</v>
      </c>
      <c r="Z13" s="3" t="s">
        <v>15</v>
      </c>
      <c r="AA13" s="1">
        <v>40422</v>
      </c>
      <c r="AB13">
        <v>2.2120497945091002</v>
      </c>
    </row>
    <row r="14" spans="2:28" x14ac:dyDescent="0.25">
      <c r="B14" s="1">
        <v>40940</v>
      </c>
      <c r="C14" s="2">
        <v>124663223.45999999</v>
      </c>
      <c r="D14">
        <v>8.27</v>
      </c>
      <c r="F14" s="4" t="s">
        <v>16</v>
      </c>
      <c r="G14" s="1">
        <v>40452</v>
      </c>
      <c r="H14">
        <v>4.9664950563541401</v>
      </c>
      <c r="K14" s="1">
        <f t="shared" si="0"/>
        <v>40452</v>
      </c>
      <c r="L14" t="e">
        <f t="shared" si="1"/>
        <v>#N/A</v>
      </c>
      <c r="M14">
        <f t="shared" si="2"/>
        <v>4.9664950563541401</v>
      </c>
      <c r="N14">
        <f t="shared" si="3"/>
        <v>2.5122498428776501</v>
      </c>
      <c r="Z14" s="3" t="s">
        <v>16</v>
      </c>
      <c r="AA14" s="1">
        <v>40452</v>
      </c>
      <c r="AB14">
        <v>2.5122498428776501</v>
      </c>
    </row>
    <row r="15" spans="2:28" x14ac:dyDescent="0.25">
      <c r="B15" s="1">
        <v>40969</v>
      </c>
      <c r="C15" s="2">
        <v>123415135.27</v>
      </c>
      <c r="D15">
        <v>2.98</v>
      </c>
      <c r="F15" s="4" t="s">
        <v>17</v>
      </c>
      <c r="G15" s="1">
        <v>40483</v>
      </c>
      <c r="H15">
        <v>5.5391682407004499</v>
      </c>
      <c r="K15" s="1">
        <f t="shared" si="0"/>
        <v>40483</v>
      </c>
      <c r="L15" t="e">
        <f t="shared" si="1"/>
        <v>#N/A</v>
      </c>
      <c r="M15">
        <f t="shared" si="2"/>
        <v>5.5391682407004499</v>
      </c>
      <c r="N15">
        <f t="shared" si="3"/>
        <v>2.80576622244884</v>
      </c>
      <c r="Z15" s="3" t="s">
        <v>17</v>
      </c>
      <c r="AA15" s="1">
        <v>40483</v>
      </c>
      <c r="AB15">
        <v>2.80576622244884</v>
      </c>
    </row>
    <row r="16" spans="2:28" x14ac:dyDescent="0.25">
      <c r="B16" s="1">
        <v>41000</v>
      </c>
      <c r="C16" s="2">
        <v>121842742.28</v>
      </c>
      <c r="D16">
        <v>1.44</v>
      </c>
      <c r="F16" s="4" t="s">
        <v>18</v>
      </c>
      <c r="G16" s="1">
        <v>40513</v>
      </c>
      <c r="H16">
        <v>6.1484341991101399</v>
      </c>
      <c r="K16" s="1">
        <f t="shared" si="0"/>
        <v>40513</v>
      </c>
      <c r="L16" t="e">
        <f t="shared" si="1"/>
        <v>#N/A</v>
      </c>
      <c r="M16">
        <f t="shared" si="2"/>
        <v>6.1484341991101399</v>
      </c>
      <c r="N16">
        <f t="shared" si="3"/>
        <v>3.11893673924475</v>
      </c>
      <c r="Z16" s="3" t="s">
        <v>18</v>
      </c>
      <c r="AA16" s="1">
        <v>40513</v>
      </c>
      <c r="AB16">
        <v>3.11893673924475</v>
      </c>
    </row>
    <row r="17" spans="2:28" x14ac:dyDescent="0.25">
      <c r="B17" s="1">
        <v>41030</v>
      </c>
      <c r="C17" s="2">
        <v>121339601.58</v>
      </c>
      <c r="D17">
        <v>5.68</v>
      </c>
      <c r="F17" s="4" t="s">
        <v>19</v>
      </c>
      <c r="G17" s="1">
        <v>40544</v>
      </c>
      <c r="H17">
        <v>6.8610135121421303</v>
      </c>
      <c r="K17" s="1">
        <f t="shared" si="0"/>
        <v>40544</v>
      </c>
      <c r="L17">
        <f t="shared" si="1"/>
        <v>2.5099999999999998</v>
      </c>
      <c r="M17">
        <f t="shared" si="2"/>
        <v>6.8610135121421303</v>
      </c>
      <c r="N17">
        <f t="shared" si="3"/>
        <v>3.4863994203156099</v>
      </c>
      <c r="Z17" s="3" t="s">
        <v>19</v>
      </c>
      <c r="AA17" s="1">
        <v>40544</v>
      </c>
      <c r="AB17">
        <v>3.4863994203156099</v>
      </c>
    </row>
    <row r="18" spans="2:28" x14ac:dyDescent="0.25">
      <c r="B18" s="1">
        <v>41061</v>
      </c>
      <c r="C18" s="2">
        <v>119817721.13</v>
      </c>
      <c r="D18">
        <v>9.31</v>
      </c>
      <c r="F18" s="4" t="s">
        <v>20</v>
      </c>
      <c r="G18" s="1">
        <v>40575</v>
      </c>
      <c r="H18">
        <v>7.5289282506471196</v>
      </c>
      <c r="K18" s="1">
        <f t="shared" si="0"/>
        <v>40575</v>
      </c>
      <c r="L18">
        <f t="shared" si="1"/>
        <v>14.24</v>
      </c>
      <c r="M18">
        <f t="shared" si="2"/>
        <v>7.5289282506471196</v>
      </c>
      <c r="N18">
        <f t="shared" si="3"/>
        <v>3.8320046608951301</v>
      </c>
      <c r="Z18" s="3" t="s">
        <v>20</v>
      </c>
      <c r="AA18" s="1">
        <v>40575</v>
      </c>
      <c r="AB18">
        <v>3.8320046608951301</v>
      </c>
    </row>
    <row r="19" spans="2:28" x14ac:dyDescent="0.25">
      <c r="B19" s="1">
        <v>41091</v>
      </c>
      <c r="C19" s="2">
        <v>118383571.93000001</v>
      </c>
      <c r="D19">
        <v>4.74</v>
      </c>
      <c r="F19" s="4" t="s">
        <v>21</v>
      </c>
      <c r="G19" s="1">
        <v>40603</v>
      </c>
      <c r="H19">
        <v>8.2865178949550593</v>
      </c>
      <c r="K19" s="1">
        <f t="shared" si="0"/>
        <v>40603</v>
      </c>
      <c r="L19" t="e">
        <f t="shared" si="1"/>
        <v>#N/A</v>
      </c>
      <c r="M19">
        <f t="shared" si="2"/>
        <v>8.2865178949550593</v>
      </c>
      <c r="N19">
        <f t="shared" si="3"/>
        <v>4.2254035873157996</v>
      </c>
      <c r="Z19" s="3" t="s">
        <v>21</v>
      </c>
      <c r="AA19" s="1">
        <v>40603</v>
      </c>
      <c r="AB19">
        <v>4.2254035873157996</v>
      </c>
    </row>
    <row r="20" spans="2:28" x14ac:dyDescent="0.25">
      <c r="B20" s="1">
        <v>41122</v>
      </c>
      <c r="C20" s="2">
        <v>117547859.06999999</v>
      </c>
      <c r="D20">
        <v>13.63</v>
      </c>
      <c r="F20" s="4" t="s">
        <v>22</v>
      </c>
      <c r="G20" s="1">
        <v>40634</v>
      </c>
      <c r="H20">
        <v>8.7230501350177292</v>
      </c>
      <c r="K20" s="1">
        <f t="shared" si="0"/>
        <v>40634</v>
      </c>
      <c r="L20">
        <f t="shared" si="1"/>
        <v>2.0499999999999998</v>
      </c>
      <c r="M20">
        <f t="shared" si="2"/>
        <v>8.7230501350177292</v>
      </c>
      <c r="N20">
        <f t="shared" si="3"/>
        <v>4.4527636742896197</v>
      </c>
      <c r="Z20" s="3" t="s">
        <v>22</v>
      </c>
      <c r="AA20" s="1">
        <v>40634</v>
      </c>
      <c r="AB20">
        <v>4.4527636742896197</v>
      </c>
    </row>
    <row r="21" spans="2:28" x14ac:dyDescent="0.25">
      <c r="B21" s="1">
        <v>41153</v>
      </c>
      <c r="C21" s="2">
        <v>115951648.98</v>
      </c>
      <c r="D21">
        <v>2.87</v>
      </c>
      <c r="F21" s="4" t="s">
        <v>23</v>
      </c>
      <c r="G21" s="1">
        <v>40664</v>
      </c>
      <c r="H21">
        <v>9.1712503747224101</v>
      </c>
      <c r="K21" s="1">
        <f t="shared" si="0"/>
        <v>40664</v>
      </c>
      <c r="L21" t="e">
        <f t="shared" si="1"/>
        <v>#N/A</v>
      </c>
      <c r="M21">
        <f t="shared" si="2"/>
        <v>9.1712503747224101</v>
      </c>
      <c r="N21">
        <f t="shared" si="3"/>
        <v>4.6867219383285104</v>
      </c>
      <c r="Z21" s="3" t="s">
        <v>23</v>
      </c>
      <c r="AA21" s="1">
        <v>40664</v>
      </c>
      <c r="AB21">
        <v>4.6867219383285104</v>
      </c>
    </row>
    <row r="22" spans="2:28" x14ac:dyDescent="0.25">
      <c r="B22" s="1">
        <v>41214</v>
      </c>
      <c r="C22" s="2">
        <v>114247495.97</v>
      </c>
      <c r="D22">
        <v>8.24</v>
      </c>
      <c r="F22" s="4" t="s">
        <v>24</v>
      </c>
      <c r="G22" s="1">
        <v>40695</v>
      </c>
      <c r="H22">
        <v>9.5613656253266299</v>
      </c>
      <c r="K22" s="1">
        <f t="shared" si="0"/>
        <v>40695</v>
      </c>
      <c r="L22">
        <f t="shared" si="1"/>
        <v>4.43</v>
      </c>
      <c r="M22">
        <f t="shared" si="2"/>
        <v>9.5613656253266299</v>
      </c>
      <c r="N22">
        <f t="shared" si="3"/>
        <v>4.8907929293967101</v>
      </c>
      <c r="Z22" s="3" t="s">
        <v>24</v>
      </c>
      <c r="AA22" s="1">
        <v>40695</v>
      </c>
      <c r="AB22">
        <v>4.8907929293967101</v>
      </c>
    </row>
    <row r="23" spans="2:28" x14ac:dyDescent="0.25">
      <c r="B23" s="1">
        <v>41244</v>
      </c>
      <c r="C23" s="2">
        <v>112419082</v>
      </c>
      <c r="D23">
        <v>16.690000000000001</v>
      </c>
      <c r="F23" s="4" t="s">
        <v>25</v>
      </c>
      <c r="G23" s="1">
        <v>40725</v>
      </c>
      <c r="H23">
        <v>9.9152574059672904</v>
      </c>
      <c r="K23" s="1">
        <f t="shared" si="0"/>
        <v>40725</v>
      </c>
      <c r="L23">
        <f t="shared" si="1"/>
        <v>8.3699999999999992</v>
      </c>
      <c r="M23">
        <f t="shared" si="2"/>
        <v>9.9152574059672904</v>
      </c>
      <c r="N23">
        <f t="shared" si="3"/>
        <v>5.0762660099094497</v>
      </c>
      <c r="Z23" s="3" t="s">
        <v>25</v>
      </c>
      <c r="AA23" s="1">
        <v>40725</v>
      </c>
      <c r="AB23">
        <v>5.0762660099094497</v>
      </c>
    </row>
    <row r="24" spans="2:28" x14ac:dyDescent="0.25">
      <c r="B24" s="1">
        <v>41275</v>
      </c>
      <c r="C24" s="2">
        <v>110156394.14</v>
      </c>
      <c r="D24">
        <v>9.09</v>
      </c>
      <c r="F24" s="4" t="s">
        <v>26</v>
      </c>
      <c r="G24" s="1">
        <v>40756</v>
      </c>
      <c r="H24">
        <v>10.2125047681452</v>
      </c>
      <c r="K24" s="1">
        <f t="shared" si="0"/>
        <v>40756</v>
      </c>
      <c r="L24">
        <f t="shared" si="1"/>
        <v>8.76</v>
      </c>
      <c r="M24">
        <f t="shared" si="2"/>
        <v>10.2125047681452</v>
      </c>
      <c r="N24">
        <f t="shared" si="3"/>
        <v>5.2323113309493499</v>
      </c>
      <c r="Z24" s="3" t="s">
        <v>26</v>
      </c>
      <c r="AA24" s="1">
        <v>40756</v>
      </c>
      <c r="AB24">
        <v>5.2323113309493499</v>
      </c>
    </row>
    <row r="25" spans="2:28" x14ac:dyDescent="0.25">
      <c r="B25" s="1">
        <v>41306</v>
      </c>
      <c r="C25" s="2">
        <v>109007615.29000001</v>
      </c>
      <c r="D25">
        <v>8.36</v>
      </c>
      <c r="F25" s="4" t="s">
        <v>27</v>
      </c>
      <c r="G25" s="1">
        <v>40787</v>
      </c>
      <c r="H25">
        <v>10.491738590586699</v>
      </c>
      <c r="K25" s="1">
        <f t="shared" si="0"/>
        <v>40787</v>
      </c>
      <c r="L25">
        <f t="shared" si="1"/>
        <v>4.43</v>
      </c>
      <c r="M25">
        <f t="shared" si="2"/>
        <v>10.491738590586699</v>
      </c>
      <c r="N25">
        <f t="shared" si="3"/>
        <v>5.3791169185036898</v>
      </c>
      <c r="Z25" s="3" t="s">
        <v>27</v>
      </c>
      <c r="AA25" s="1">
        <v>40787</v>
      </c>
      <c r="AB25">
        <v>5.3791169185036898</v>
      </c>
    </row>
    <row r="26" spans="2:28" x14ac:dyDescent="0.25">
      <c r="B26" s="1">
        <v>41334</v>
      </c>
      <c r="C26" s="2">
        <v>106393706.48999999</v>
      </c>
      <c r="D26">
        <v>5.45</v>
      </c>
      <c r="F26" s="4" t="s">
        <v>28</v>
      </c>
      <c r="G26" s="1">
        <v>40817</v>
      </c>
      <c r="H26">
        <v>10.939362983616199</v>
      </c>
      <c r="K26" s="1">
        <f t="shared" si="0"/>
        <v>40817</v>
      </c>
      <c r="L26">
        <f t="shared" si="1"/>
        <v>1.28</v>
      </c>
      <c r="M26">
        <f t="shared" si="2"/>
        <v>10.939362983616199</v>
      </c>
      <c r="N26">
        <f t="shared" si="3"/>
        <v>5.6148935918282499</v>
      </c>
      <c r="Z26" s="3" t="s">
        <v>28</v>
      </c>
      <c r="AA26" s="1">
        <v>40817</v>
      </c>
      <c r="AB26">
        <v>5.6148935918282499</v>
      </c>
    </row>
    <row r="27" spans="2:28" x14ac:dyDescent="0.25">
      <c r="B27" s="1">
        <v>41365</v>
      </c>
      <c r="C27" s="2">
        <v>104897400.2</v>
      </c>
      <c r="D27">
        <v>4.3499999999999996</v>
      </c>
      <c r="F27" s="4" t="s">
        <v>29</v>
      </c>
      <c r="G27" s="1">
        <v>40848</v>
      </c>
      <c r="H27">
        <v>11.3751211741125</v>
      </c>
      <c r="K27" s="1">
        <f t="shared" si="0"/>
        <v>40848</v>
      </c>
      <c r="L27">
        <f t="shared" si="1"/>
        <v>3.44</v>
      </c>
      <c r="M27">
        <f t="shared" si="2"/>
        <v>11.3751211741125</v>
      </c>
      <c r="N27">
        <f t="shared" si="3"/>
        <v>5.84494481614081</v>
      </c>
      <c r="Z27" s="3" t="s">
        <v>29</v>
      </c>
      <c r="AA27" s="1">
        <v>40848</v>
      </c>
      <c r="AB27">
        <v>5.84494481614081</v>
      </c>
    </row>
    <row r="28" spans="2:28" x14ac:dyDescent="0.25">
      <c r="B28" s="1">
        <v>41395</v>
      </c>
      <c r="C28" s="2">
        <v>102939680.28</v>
      </c>
      <c r="D28">
        <v>3.01</v>
      </c>
      <c r="F28" s="4" t="s">
        <v>30</v>
      </c>
      <c r="G28" s="1">
        <v>40878</v>
      </c>
      <c r="H28">
        <v>11.859814122789</v>
      </c>
      <c r="K28" s="1">
        <f t="shared" si="0"/>
        <v>40878</v>
      </c>
      <c r="L28">
        <f t="shared" si="1"/>
        <v>7.55</v>
      </c>
      <c r="M28">
        <f t="shared" si="2"/>
        <v>11.859814122789</v>
      </c>
      <c r="N28">
        <f t="shared" si="3"/>
        <v>6.1014432875406399</v>
      </c>
      <c r="Z28" s="3" t="s">
        <v>30</v>
      </c>
      <c r="AA28" s="1">
        <v>40878</v>
      </c>
      <c r="AB28">
        <v>6.1014432875406399</v>
      </c>
    </row>
    <row r="29" spans="2:28" x14ac:dyDescent="0.25">
      <c r="B29" s="1">
        <v>41426</v>
      </c>
      <c r="C29" s="2">
        <v>102137803.51000001</v>
      </c>
      <c r="D29">
        <v>4.04</v>
      </c>
      <c r="F29" s="4" t="s">
        <v>31</v>
      </c>
      <c r="G29" s="1">
        <v>40909</v>
      </c>
      <c r="H29">
        <v>12.1828698516073</v>
      </c>
      <c r="K29" s="1">
        <f t="shared" si="0"/>
        <v>40909</v>
      </c>
      <c r="L29">
        <f t="shared" si="1"/>
        <v>1.77</v>
      </c>
      <c r="M29">
        <f t="shared" si="2"/>
        <v>12.1828698516073</v>
      </c>
      <c r="N29">
        <f t="shared" si="3"/>
        <v>6.2727647472029</v>
      </c>
      <c r="Z29" s="3" t="s">
        <v>31</v>
      </c>
      <c r="AA29" s="1">
        <v>40909</v>
      </c>
      <c r="AB29">
        <v>6.2727647472029</v>
      </c>
    </row>
    <row r="30" spans="2:28" x14ac:dyDescent="0.25">
      <c r="B30" s="1">
        <v>41456</v>
      </c>
      <c r="C30" s="2">
        <v>101037566.75</v>
      </c>
      <c r="D30">
        <v>9.3800000000000008</v>
      </c>
      <c r="F30" s="4" t="s">
        <v>32</v>
      </c>
      <c r="G30" s="1">
        <v>40940</v>
      </c>
      <c r="H30">
        <v>12.502591095568899</v>
      </c>
      <c r="K30" s="1">
        <f t="shared" si="0"/>
        <v>40940</v>
      </c>
      <c r="L30">
        <f t="shared" si="1"/>
        <v>8.27</v>
      </c>
      <c r="M30">
        <f t="shared" si="2"/>
        <v>12.502591095568899</v>
      </c>
      <c r="N30">
        <f t="shared" si="3"/>
        <v>6.4426040593033402</v>
      </c>
      <c r="Z30" s="3" t="s">
        <v>32</v>
      </c>
      <c r="AA30" s="1">
        <v>40940</v>
      </c>
      <c r="AB30">
        <v>6.4426040593033402</v>
      </c>
    </row>
    <row r="31" spans="2:28" x14ac:dyDescent="0.25">
      <c r="B31" s="1">
        <v>41487</v>
      </c>
      <c r="C31" s="2">
        <v>98373178.019999996</v>
      </c>
      <c r="D31">
        <v>7.08</v>
      </c>
      <c r="F31" s="4" t="s">
        <v>33</v>
      </c>
      <c r="G31" s="1">
        <v>40969</v>
      </c>
      <c r="H31">
        <v>12.835273972305901</v>
      </c>
      <c r="K31" s="1">
        <f t="shared" si="0"/>
        <v>40969</v>
      </c>
      <c r="L31">
        <f t="shared" si="1"/>
        <v>2.98</v>
      </c>
      <c r="M31">
        <f t="shared" si="2"/>
        <v>12.835273972305901</v>
      </c>
      <c r="N31">
        <f t="shared" si="3"/>
        <v>6.6196326604806703</v>
      </c>
      <c r="Z31" s="3" t="s">
        <v>33</v>
      </c>
      <c r="AA31" s="1">
        <v>40969</v>
      </c>
      <c r="AB31">
        <v>6.6196326604806703</v>
      </c>
    </row>
    <row r="32" spans="2:28" x14ac:dyDescent="0.25">
      <c r="B32" s="1">
        <v>41548</v>
      </c>
      <c r="C32" s="2">
        <v>94621060.200000003</v>
      </c>
      <c r="D32">
        <v>6.25</v>
      </c>
      <c r="F32" s="4" t="s">
        <v>34</v>
      </c>
      <c r="G32" s="1">
        <v>41000</v>
      </c>
      <c r="H32">
        <v>12.664880862717901</v>
      </c>
      <c r="K32" s="1">
        <f t="shared" si="0"/>
        <v>41000</v>
      </c>
      <c r="L32">
        <f t="shared" si="1"/>
        <v>1.44</v>
      </c>
      <c r="M32">
        <f t="shared" si="2"/>
        <v>12.664880862717901</v>
      </c>
      <c r="N32">
        <f t="shared" si="3"/>
        <v>6.5289235373897103</v>
      </c>
      <c r="Z32" s="3" t="s">
        <v>34</v>
      </c>
      <c r="AA32" s="1">
        <v>41000</v>
      </c>
      <c r="AB32">
        <v>6.5289235373897103</v>
      </c>
    </row>
    <row r="33" spans="2:28" x14ac:dyDescent="0.25">
      <c r="B33" s="1">
        <v>41579</v>
      </c>
      <c r="C33" s="2">
        <v>92160998.879999995</v>
      </c>
      <c r="D33">
        <v>8.24</v>
      </c>
      <c r="F33" s="4" t="s">
        <v>35</v>
      </c>
      <c r="G33" s="1">
        <v>41030</v>
      </c>
      <c r="H33">
        <v>12.5002063579491</v>
      </c>
      <c r="K33" s="1">
        <f t="shared" si="0"/>
        <v>41030</v>
      </c>
      <c r="L33">
        <f t="shared" si="1"/>
        <v>5.68</v>
      </c>
      <c r="M33">
        <f t="shared" si="2"/>
        <v>12.5002063579491</v>
      </c>
      <c r="N33">
        <f t="shared" si="3"/>
        <v>6.44133620375933</v>
      </c>
      <c r="Z33" s="3" t="s">
        <v>35</v>
      </c>
      <c r="AA33" s="1">
        <v>41030</v>
      </c>
      <c r="AB33">
        <v>6.44133620375933</v>
      </c>
    </row>
    <row r="34" spans="2:28" x14ac:dyDescent="0.25">
      <c r="B34" s="1">
        <v>41609</v>
      </c>
      <c r="C34" s="2">
        <v>90191856.890000001</v>
      </c>
      <c r="D34">
        <v>8.0399999999999991</v>
      </c>
      <c r="F34" s="4" t="s">
        <v>36</v>
      </c>
      <c r="G34" s="1">
        <v>41061</v>
      </c>
      <c r="H34">
        <v>12.2256667646752</v>
      </c>
      <c r="K34" s="1">
        <f t="shared" si="0"/>
        <v>41061</v>
      </c>
      <c r="L34">
        <f t="shared" si="1"/>
        <v>9.31</v>
      </c>
      <c r="M34">
        <f t="shared" si="2"/>
        <v>12.2256667646752</v>
      </c>
      <c r="N34">
        <f t="shared" si="3"/>
        <v>6.2954823826716098</v>
      </c>
      <c r="Z34" s="3" t="s">
        <v>36</v>
      </c>
      <c r="AA34" s="1">
        <v>41061</v>
      </c>
      <c r="AB34">
        <v>6.2954823826716098</v>
      </c>
    </row>
    <row r="35" spans="2:28" x14ac:dyDescent="0.25">
      <c r="B35" s="1">
        <v>41640</v>
      </c>
      <c r="C35" s="2">
        <v>87424143.780000001</v>
      </c>
      <c r="D35">
        <v>9.36</v>
      </c>
      <c r="F35" s="4" t="s">
        <v>37</v>
      </c>
      <c r="G35" s="1">
        <v>41091</v>
      </c>
      <c r="H35">
        <v>12.189367669035899</v>
      </c>
      <c r="K35" s="1">
        <f t="shared" si="0"/>
        <v>41091</v>
      </c>
      <c r="L35">
        <f t="shared" si="1"/>
        <v>4.74</v>
      </c>
      <c r="M35">
        <f t="shared" si="2"/>
        <v>12.189367669035899</v>
      </c>
      <c r="N35">
        <f t="shared" si="3"/>
        <v>6.2762136171810097</v>
      </c>
      <c r="Z35" s="3" t="s">
        <v>37</v>
      </c>
      <c r="AA35" s="1">
        <v>41091</v>
      </c>
      <c r="AB35">
        <v>6.2762136171810097</v>
      </c>
    </row>
    <row r="36" spans="2:28" x14ac:dyDescent="0.25">
      <c r="B36" s="1">
        <v>41699</v>
      </c>
      <c r="C36" s="2">
        <v>84226685.609999999</v>
      </c>
      <c r="D36">
        <v>3.8</v>
      </c>
      <c r="F36" s="4" t="s">
        <v>38</v>
      </c>
      <c r="G36" s="1">
        <v>41122</v>
      </c>
      <c r="H36">
        <v>12.2678749701236</v>
      </c>
      <c r="K36" s="1">
        <f t="shared" si="0"/>
        <v>41122</v>
      </c>
      <c r="L36">
        <f t="shared" si="1"/>
        <v>13.63</v>
      </c>
      <c r="M36">
        <f t="shared" si="2"/>
        <v>12.2678749701236</v>
      </c>
      <c r="N36">
        <f t="shared" si="3"/>
        <v>6.3178925179355403</v>
      </c>
      <c r="Z36" s="3" t="s">
        <v>38</v>
      </c>
      <c r="AA36" s="1">
        <v>41122</v>
      </c>
      <c r="AB36">
        <v>6.3178925179355403</v>
      </c>
    </row>
    <row r="37" spans="2:28" x14ac:dyDescent="0.25">
      <c r="B37" s="1">
        <v>41730</v>
      </c>
      <c r="C37" s="2">
        <v>83568383.290000007</v>
      </c>
      <c r="D37">
        <v>2.99</v>
      </c>
      <c r="F37" s="4" t="s">
        <v>39</v>
      </c>
      <c r="G37" s="1">
        <v>41153</v>
      </c>
      <c r="H37">
        <v>12.0677121911431</v>
      </c>
      <c r="K37" s="1">
        <f t="shared" si="0"/>
        <v>41153</v>
      </c>
      <c r="L37">
        <f t="shared" si="1"/>
        <v>2.87</v>
      </c>
      <c r="M37">
        <f t="shared" si="2"/>
        <v>12.0677121911431</v>
      </c>
      <c r="N37">
        <f t="shared" si="3"/>
        <v>6.2116615988002604</v>
      </c>
      <c r="Z37" s="3" t="s">
        <v>39</v>
      </c>
      <c r="AA37" s="1">
        <v>41153</v>
      </c>
      <c r="AB37">
        <v>6.2116615988002604</v>
      </c>
    </row>
    <row r="38" spans="2:28" x14ac:dyDescent="0.25">
      <c r="B38" s="1">
        <v>41760</v>
      </c>
      <c r="C38" s="2">
        <v>82312409.810000002</v>
      </c>
      <c r="D38">
        <v>10.94</v>
      </c>
      <c r="F38" s="4" t="s">
        <v>40</v>
      </c>
      <c r="G38" s="1">
        <v>41183</v>
      </c>
      <c r="H38">
        <v>12.2303998164546</v>
      </c>
      <c r="K38" s="1">
        <f t="shared" si="0"/>
        <v>41183</v>
      </c>
      <c r="L38" t="e">
        <f t="shared" si="1"/>
        <v>#N/A</v>
      </c>
      <c r="M38">
        <f t="shared" si="2"/>
        <v>12.2303998164546</v>
      </c>
      <c r="N38">
        <f t="shared" si="3"/>
        <v>6.2979951143617496</v>
      </c>
      <c r="Z38" s="3" t="s">
        <v>40</v>
      </c>
      <c r="AA38" s="1">
        <v>41183</v>
      </c>
      <c r="AB38">
        <v>6.2979951143617496</v>
      </c>
    </row>
    <row r="39" spans="2:28" x14ac:dyDescent="0.25">
      <c r="B39" s="1">
        <v>41821</v>
      </c>
      <c r="C39" s="2">
        <v>79174037.420000002</v>
      </c>
      <c r="D39">
        <v>9.1999999999999993</v>
      </c>
      <c r="F39" s="4" t="s">
        <v>41</v>
      </c>
      <c r="G39" s="1">
        <v>41214</v>
      </c>
      <c r="H39">
        <v>12.259450679299499</v>
      </c>
      <c r="K39" s="1">
        <f t="shared" si="0"/>
        <v>41214</v>
      </c>
      <c r="L39">
        <f t="shared" si="1"/>
        <v>8.24</v>
      </c>
      <c r="M39">
        <f t="shared" si="2"/>
        <v>12.259450679299499</v>
      </c>
      <c r="N39">
        <f t="shared" si="3"/>
        <v>6.3134193060942598</v>
      </c>
      <c r="Z39" s="3" t="s">
        <v>41</v>
      </c>
      <c r="AA39" s="1">
        <v>41214</v>
      </c>
      <c r="AB39">
        <v>6.3134193060942598</v>
      </c>
    </row>
    <row r="40" spans="2:28" x14ac:dyDescent="0.25">
      <c r="B40" s="1">
        <v>41852</v>
      </c>
      <c r="C40" s="2">
        <v>77567146.319999993</v>
      </c>
      <c r="D40">
        <v>5.74</v>
      </c>
      <c r="F40" s="4" t="s">
        <v>42</v>
      </c>
      <c r="G40" s="1">
        <v>41244</v>
      </c>
      <c r="H40">
        <v>12.300795440542201</v>
      </c>
      <c r="K40" s="1">
        <f t="shared" si="0"/>
        <v>41244</v>
      </c>
      <c r="L40">
        <f t="shared" si="1"/>
        <v>16.690000000000001</v>
      </c>
      <c r="M40">
        <f t="shared" si="2"/>
        <v>12.300795440542201</v>
      </c>
      <c r="N40">
        <f t="shared" si="3"/>
        <v>6.3353748478385299</v>
      </c>
      <c r="Z40" s="3" t="s">
        <v>42</v>
      </c>
      <c r="AA40" s="1">
        <v>41244</v>
      </c>
      <c r="AB40">
        <v>6.3353748478385299</v>
      </c>
    </row>
    <row r="41" spans="2:28" x14ac:dyDescent="0.25">
      <c r="B41" s="1">
        <v>41883</v>
      </c>
      <c r="C41" s="2">
        <v>75642785.069999993</v>
      </c>
      <c r="D41">
        <v>6.23</v>
      </c>
      <c r="F41" s="4" t="s">
        <v>43</v>
      </c>
      <c r="G41" s="1">
        <v>41275</v>
      </c>
      <c r="H41">
        <v>12.324225738847501</v>
      </c>
      <c r="K41" s="1">
        <f t="shared" si="0"/>
        <v>41275</v>
      </c>
      <c r="L41">
        <f t="shared" si="1"/>
        <v>9.09</v>
      </c>
      <c r="M41">
        <f t="shared" si="2"/>
        <v>12.324225738847501</v>
      </c>
      <c r="N41">
        <f t="shared" si="3"/>
        <v>6.3478192888453897</v>
      </c>
      <c r="Z41" s="3" t="s">
        <v>43</v>
      </c>
      <c r="AA41" s="1">
        <v>41275</v>
      </c>
      <c r="AB41">
        <v>6.3478192888453897</v>
      </c>
    </row>
    <row r="42" spans="2:28" x14ac:dyDescent="0.25">
      <c r="B42" s="1">
        <v>41913</v>
      </c>
      <c r="C42" s="2">
        <v>74370185.549999997</v>
      </c>
      <c r="D42">
        <v>4.4800000000000004</v>
      </c>
      <c r="F42" s="4" t="s">
        <v>44</v>
      </c>
      <c r="G42" s="1">
        <v>41306</v>
      </c>
      <c r="H42">
        <v>12.204619691491599</v>
      </c>
      <c r="K42" s="1">
        <f t="shared" si="0"/>
        <v>41306</v>
      </c>
      <c r="L42">
        <f t="shared" si="1"/>
        <v>8.36</v>
      </c>
      <c r="M42">
        <f t="shared" si="2"/>
        <v>12.204619691491599</v>
      </c>
      <c r="N42">
        <f t="shared" si="3"/>
        <v>6.2846509207004901</v>
      </c>
      <c r="Z42" s="3" t="s">
        <v>44</v>
      </c>
      <c r="AA42" s="1">
        <v>41306</v>
      </c>
      <c r="AB42">
        <v>6.2846509207004901</v>
      </c>
    </row>
    <row r="43" spans="2:28" x14ac:dyDescent="0.25">
      <c r="B43" s="1">
        <v>42005</v>
      </c>
      <c r="C43" s="2">
        <v>70447639.349999994</v>
      </c>
      <c r="D43">
        <v>5.28</v>
      </c>
      <c r="F43" s="4" t="s">
        <v>45</v>
      </c>
      <c r="G43" s="1">
        <v>41334</v>
      </c>
      <c r="H43">
        <v>12.20812178585</v>
      </c>
      <c r="K43" s="1">
        <f t="shared" si="0"/>
        <v>41334</v>
      </c>
      <c r="L43">
        <f t="shared" si="1"/>
        <v>5.45</v>
      </c>
      <c r="M43">
        <f t="shared" si="2"/>
        <v>12.20812178585</v>
      </c>
      <c r="N43">
        <f t="shared" si="3"/>
        <v>6.2884487383663501</v>
      </c>
      <c r="Z43" s="3" t="s">
        <v>45</v>
      </c>
      <c r="AA43" s="1">
        <v>41334</v>
      </c>
      <c r="AB43">
        <v>6.2884487383663501</v>
      </c>
    </row>
    <row r="44" spans="2:28" x14ac:dyDescent="0.25">
      <c r="B44" s="1">
        <v>42036</v>
      </c>
      <c r="C44" s="2">
        <v>69661405.010000005</v>
      </c>
      <c r="D44">
        <v>2.57</v>
      </c>
      <c r="F44" s="4" t="s">
        <v>46</v>
      </c>
      <c r="G44" s="1">
        <v>41365</v>
      </c>
      <c r="H44">
        <v>11.5044940652039</v>
      </c>
      <c r="K44" s="1">
        <f t="shared" si="0"/>
        <v>41365</v>
      </c>
      <c r="L44">
        <f t="shared" si="1"/>
        <v>4.3499999999999996</v>
      </c>
      <c r="M44">
        <f t="shared" si="2"/>
        <v>11.5044940652039</v>
      </c>
      <c r="N44">
        <f t="shared" si="3"/>
        <v>5.9332357047856101</v>
      </c>
      <c r="Z44" s="3" t="s">
        <v>46</v>
      </c>
      <c r="AA44" s="1">
        <v>41365</v>
      </c>
      <c r="AB44">
        <v>5.9332357047856101</v>
      </c>
    </row>
    <row r="45" spans="2:28" x14ac:dyDescent="0.25">
      <c r="B45" s="1">
        <v>42064</v>
      </c>
      <c r="C45" s="2">
        <v>69150797.689999998</v>
      </c>
      <c r="D45">
        <v>4.09</v>
      </c>
      <c r="F45" s="4" t="s">
        <v>47</v>
      </c>
      <c r="G45" s="1">
        <v>41395</v>
      </c>
      <c r="H45">
        <v>10.413557932139399</v>
      </c>
      <c r="K45" s="1">
        <f t="shared" si="0"/>
        <v>41395</v>
      </c>
      <c r="L45">
        <f t="shared" si="1"/>
        <v>3.01</v>
      </c>
      <c r="M45">
        <f t="shared" si="2"/>
        <v>10.413557932139399</v>
      </c>
      <c r="N45">
        <f t="shared" si="3"/>
        <v>5.3908563800154399</v>
      </c>
      <c r="Z45" s="3" t="s">
        <v>47</v>
      </c>
      <c r="AA45" s="1">
        <v>41395</v>
      </c>
      <c r="AB45">
        <v>5.3908563800154399</v>
      </c>
    </row>
    <row r="46" spans="2:28" x14ac:dyDescent="0.25">
      <c r="B46" s="1">
        <v>42156</v>
      </c>
      <c r="C46" s="2">
        <v>65543690.009999998</v>
      </c>
      <c r="D46">
        <v>3.22</v>
      </c>
      <c r="F46" s="4" t="s">
        <v>48</v>
      </c>
      <c r="G46" s="1">
        <v>41426</v>
      </c>
      <c r="H46">
        <v>9.4859962441664205</v>
      </c>
      <c r="K46" s="1">
        <f t="shared" si="0"/>
        <v>41426</v>
      </c>
      <c r="L46">
        <f t="shared" si="1"/>
        <v>4.04</v>
      </c>
      <c r="M46">
        <f t="shared" si="2"/>
        <v>9.4859962441664205</v>
      </c>
      <c r="N46">
        <f t="shared" si="3"/>
        <v>4.9379308639659998</v>
      </c>
      <c r="Z46" s="3" t="s">
        <v>48</v>
      </c>
      <c r="AA46" s="1">
        <v>41426</v>
      </c>
      <c r="AB46">
        <v>4.9379308639659998</v>
      </c>
    </row>
    <row r="47" spans="2:28" x14ac:dyDescent="0.25">
      <c r="B47" s="1">
        <v>42309</v>
      </c>
      <c r="C47" s="2">
        <v>57651128.700000003</v>
      </c>
      <c r="D47">
        <v>3.35</v>
      </c>
      <c r="F47" s="4" t="s">
        <v>49</v>
      </c>
      <c r="G47" s="1">
        <v>41456</v>
      </c>
      <c r="H47">
        <v>8.9529438754610808</v>
      </c>
      <c r="K47" s="1">
        <f t="shared" si="0"/>
        <v>41456</v>
      </c>
      <c r="L47">
        <f t="shared" si="1"/>
        <v>9.3800000000000008</v>
      </c>
      <c r="M47">
        <f t="shared" si="2"/>
        <v>8.9529438754610808</v>
      </c>
      <c r="N47">
        <f t="shared" si="3"/>
        <v>4.6929830372241002</v>
      </c>
      <c r="Z47" s="3" t="s">
        <v>49</v>
      </c>
      <c r="AA47" s="1">
        <v>41456</v>
      </c>
      <c r="AB47">
        <v>4.6929830372241002</v>
      </c>
    </row>
    <row r="48" spans="2:28" x14ac:dyDescent="0.25">
      <c r="F48" s="4" t="s">
        <v>50</v>
      </c>
      <c r="G48" s="1">
        <v>41487</v>
      </c>
      <c r="H48">
        <v>8.4773174311154804</v>
      </c>
      <c r="K48" s="1">
        <f t="shared" si="0"/>
        <v>41487</v>
      </c>
      <c r="L48">
        <f t="shared" si="1"/>
        <v>7.08</v>
      </c>
      <c r="M48">
        <f t="shared" si="2"/>
        <v>8.4773174311154804</v>
      </c>
      <c r="N48">
        <f t="shared" si="3"/>
        <v>4.4790417594357903</v>
      </c>
      <c r="Z48" s="3" t="s">
        <v>50</v>
      </c>
      <c r="AA48" s="1">
        <v>41487</v>
      </c>
      <c r="AB48">
        <v>4.4790417594357903</v>
      </c>
    </row>
    <row r="49" spans="6:28" x14ac:dyDescent="0.25">
      <c r="F49" s="4" t="s">
        <v>51</v>
      </c>
      <c r="G49" s="1">
        <v>41518</v>
      </c>
      <c r="H49">
        <v>8.0361439708348197</v>
      </c>
      <c r="K49" s="1">
        <f t="shared" si="0"/>
        <v>41518</v>
      </c>
      <c r="L49" t="e">
        <f t="shared" si="1"/>
        <v>#N/A</v>
      </c>
      <c r="M49">
        <f t="shared" si="2"/>
        <v>8.0361439708348197</v>
      </c>
      <c r="N49">
        <f t="shared" si="3"/>
        <v>4.2823381628921204</v>
      </c>
      <c r="Z49" s="3" t="s">
        <v>51</v>
      </c>
      <c r="AA49" s="1">
        <v>41518</v>
      </c>
      <c r="AB49">
        <v>4.2823381628921204</v>
      </c>
    </row>
    <row r="50" spans="6:28" x14ac:dyDescent="0.25">
      <c r="F50" s="4" t="s">
        <v>52</v>
      </c>
      <c r="G50" s="1">
        <v>41548</v>
      </c>
      <c r="H50">
        <v>7.7676773316375796</v>
      </c>
      <c r="K50" s="1">
        <f t="shared" si="0"/>
        <v>41548</v>
      </c>
      <c r="L50">
        <f t="shared" si="1"/>
        <v>6.25</v>
      </c>
      <c r="M50">
        <f t="shared" si="2"/>
        <v>7.7676773316375796</v>
      </c>
      <c r="N50">
        <f t="shared" si="3"/>
        <v>4.1729463440216703</v>
      </c>
      <c r="Z50" s="3" t="s">
        <v>52</v>
      </c>
      <c r="AA50" s="1">
        <v>41548</v>
      </c>
      <c r="AB50">
        <v>4.1729463440216703</v>
      </c>
    </row>
    <row r="51" spans="6:28" x14ac:dyDescent="0.25">
      <c r="F51" s="4" t="s">
        <v>53</v>
      </c>
      <c r="G51" s="1">
        <v>41579</v>
      </c>
      <c r="H51">
        <v>7.79715724891624</v>
      </c>
      <c r="K51" s="1">
        <f t="shared" si="0"/>
        <v>41579</v>
      </c>
      <c r="L51">
        <f t="shared" si="1"/>
        <v>8.24</v>
      </c>
      <c r="M51">
        <f t="shared" si="2"/>
        <v>7.79715724891624</v>
      </c>
      <c r="N51">
        <f t="shared" si="3"/>
        <v>4.2248054611717203</v>
      </c>
      <c r="Z51" s="3" t="s">
        <v>53</v>
      </c>
      <c r="AA51" s="1">
        <v>41579</v>
      </c>
      <c r="AB51">
        <v>4.2248054611717203</v>
      </c>
    </row>
    <row r="52" spans="6:28" x14ac:dyDescent="0.25">
      <c r="F52" s="4" t="s">
        <v>54</v>
      </c>
      <c r="G52" s="1">
        <v>41609</v>
      </c>
      <c r="H52">
        <v>7.7390680120501401</v>
      </c>
      <c r="K52" s="1">
        <f t="shared" si="0"/>
        <v>41609</v>
      </c>
      <c r="L52">
        <f t="shared" si="1"/>
        <v>8.0399999999999991</v>
      </c>
      <c r="M52">
        <f t="shared" si="2"/>
        <v>7.7390680120501401</v>
      </c>
      <c r="N52">
        <f t="shared" si="3"/>
        <v>4.2286402190308099</v>
      </c>
      <c r="Z52" s="3" t="s">
        <v>54</v>
      </c>
      <c r="AA52" s="1">
        <v>41609</v>
      </c>
      <c r="AB52">
        <v>4.2286402190308099</v>
      </c>
    </row>
    <row r="53" spans="6:28" x14ac:dyDescent="0.25">
      <c r="F53" s="4" t="s">
        <v>55</v>
      </c>
      <c r="G53" s="1">
        <v>41640</v>
      </c>
      <c r="H53">
        <v>7.7031967552695804</v>
      </c>
      <c r="K53" s="1">
        <f t="shared" si="0"/>
        <v>41640</v>
      </c>
      <c r="L53">
        <f t="shared" si="1"/>
        <v>9.36</v>
      </c>
      <c r="M53">
        <f t="shared" si="2"/>
        <v>7.7031967552695804</v>
      </c>
      <c r="N53">
        <f t="shared" si="3"/>
        <v>4.24492165246936</v>
      </c>
      <c r="Z53" s="3" t="s">
        <v>55</v>
      </c>
      <c r="AA53" s="1">
        <v>41640</v>
      </c>
      <c r="AB53">
        <v>4.24492165246936</v>
      </c>
    </row>
    <row r="54" spans="6:28" x14ac:dyDescent="0.25">
      <c r="F54" s="4" t="s">
        <v>56</v>
      </c>
      <c r="G54" s="1">
        <v>41671</v>
      </c>
      <c r="H54">
        <v>7.5112683669218603</v>
      </c>
      <c r="K54" s="1">
        <f t="shared" si="0"/>
        <v>41671</v>
      </c>
      <c r="L54" t="e">
        <f t="shared" si="1"/>
        <v>#N/A</v>
      </c>
      <c r="M54">
        <f t="shared" si="2"/>
        <v>7.5112683669218603</v>
      </c>
      <c r="N54">
        <f t="shared" si="3"/>
        <v>4.1766174839162797</v>
      </c>
      <c r="Z54" s="3" t="s">
        <v>56</v>
      </c>
      <c r="AA54" s="1">
        <v>41671</v>
      </c>
      <c r="AB54">
        <v>4.1766174839162797</v>
      </c>
    </row>
    <row r="55" spans="6:28" x14ac:dyDescent="0.25">
      <c r="F55" s="4" t="s">
        <v>57</v>
      </c>
      <c r="G55" s="1">
        <v>41699</v>
      </c>
      <c r="H55">
        <v>7.3741558862687704</v>
      </c>
      <c r="K55" s="1">
        <f t="shared" si="0"/>
        <v>41699</v>
      </c>
      <c r="L55">
        <f t="shared" si="1"/>
        <v>3.8</v>
      </c>
      <c r="M55">
        <f t="shared" si="2"/>
        <v>7.3741558862687704</v>
      </c>
      <c r="N55">
        <f t="shared" si="3"/>
        <v>4.1379096466611598</v>
      </c>
      <c r="Z55" s="3" t="s">
        <v>57</v>
      </c>
      <c r="AA55" s="1">
        <v>41699</v>
      </c>
      <c r="AB55">
        <v>4.1379096466611598</v>
      </c>
    </row>
    <row r="56" spans="6:28" x14ac:dyDescent="0.25">
      <c r="F56" s="4" t="s">
        <v>58</v>
      </c>
      <c r="G56" s="1">
        <v>41730</v>
      </c>
      <c r="H56">
        <v>6.7809383305528099</v>
      </c>
      <c r="K56" s="1">
        <f t="shared" si="0"/>
        <v>41730</v>
      </c>
      <c r="L56">
        <f t="shared" si="1"/>
        <v>2.99</v>
      </c>
      <c r="M56">
        <f t="shared" si="2"/>
        <v>6.7809383305528099</v>
      </c>
      <c r="N56">
        <f t="shared" si="3"/>
        <v>3.8641326147442601</v>
      </c>
      <c r="Z56" s="3" t="s">
        <v>58</v>
      </c>
      <c r="AA56" s="1">
        <v>41730</v>
      </c>
      <c r="AB56">
        <v>3.8641326147442601</v>
      </c>
    </row>
    <row r="57" spans="6:28" x14ac:dyDescent="0.25">
      <c r="F57" s="4" t="s">
        <v>59</v>
      </c>
      <c r="G57" s="1">
        <v>41760</v>
      </c>
      <c r="H57">
        <v>6.1968738592160104</v>
      </c>
      <c r="K57" s="1">
        <f t="shared" si="0"/>
        <v>41760</v>
      </c>
      <c r="L57">
        <f t="shared" si="1"/>
        <v>10.94</v>
      </c>
      <c r="M57">
        <f t="shared" si="2"/>
        <v>6.1968738592160104</v>
      </c>
      <c r="N57">
        <f t="shared" si="3"/>
        <v>3.59040778687082</v>
      </c>
      <c r="Z57" s="3" t="s">
        <v>59</v>
      </c>
      <c r="AA57" s="1">
        <v>41760</v>
      </c>
      <c r="AB57">
        <v>3.59040778687082</v>
      </c>
    </row>
    <row r="58" spans="6:28" x14ac:dyDescent="0.25">
      <c r="F58" s="4" t="s">
        <v>60</v>
      </c>
      <c r="G58" s="1">
        <v>41791</v>
      </c>
      <c r="H58">
        <v>5.7525381592457299</v>
      </c>
      <c r="K58" s="1">
        <f t="shared" si="0"/>
        <v>41791</v>
      </c>
      <c r="L58" t="e">
        <f t="shared" si="1"/>
        <v>#N/A</v>
      </c>
      <c r="M58">
        <f t="shared" si="2"/>
        <v>5.7525381592457299</v>
      </c>
      <c r="N58">
        <f t="shared" si="3"/>
        <v>3.3908137914596299</v>
      </c>
      <c r="Z58" s="3" t="s">
        <v>60</v>
      </c>
      <c r="AA58" s="1">
        <v>41791</v>
      </c>
      <c r="AB58">
        <v>3.3908137914596299</v>
      </c>
    </row>
    <row r="59" spans="6:28" x14ac:dyDescent="0.25">
      <c r="F59" s="4" t="s">
        <v>61</v>
      </c>
      <c r="G59" s="1">
        <v>41821</v>
      </c>
      <c r="H59">
        <v>5.5357287068801799</v>
      </c>
      <c r="K59" s="1">
        <f t="shared" si="0"/>
        <v>41821</v>
      </c>
      <c r="L59">
        <f t="shared" si="1"/>
        <v>9.1999999999999993</v>
      </c>
      <c r="M59">
        <f t="shared" si="2"/>
        <v>5.5357287068801799</v>
      </c>
      <c r="N59">
        <f t="shared" si="3"/>
        <v>3.2916724663911698</v>
      </c>
      <c r="Z59" s="3" t="s">
        <v>61</v>
      </c>
      <c r="AA59" s="1">
        <v>41821</v>
      </c>
      <c r="AB59">
        <v>3.2916724663911698</v>
      </c>
    </row>
    <row r="60" spans="6:28" x14ac:dyDescent="0.25">
      <c r="F60" s="4" t="s">
        <v>62</v>
      </c>
      <c r="G60" s="1">
        <v>41852</v>
      </c>
      <c r="H60">
        <v>5.7264865176285999</v>
      </c>
      <c r="K60" s="1">
        <f t="shared" si="0"/>
        <v>41852</v>
      </c>
      <c r="L60">
        <f t="shared" si="1"/>
        <v>5.74</v>
      </c>
      <c r="M60">
        <f t="shared" si="2"/>
        <v>5.7264865176285999</v>
      </c>
      <c r="N60">
        <f t="shared" si="3"/>
        <v>3.4290924363123301</v>
      </c>
      <c r="Z60" s="3" t="s">
        <v>62</v>
      </c>
      <c r="AA60" s="1">
        <v>41852</v>
      </c>
      <c r="AB60">
        <v>3.4290924363123301</v>
      </c>
    </row>
    <row r="61" spans="6:28" x14ac:dyDescent="0.25">
      <c r="F61" s="4" t="s">
        <v>63</v>
      </c>
      <c r="G61" s="1">
        <v>41883</v>
      </c>
      <c r="H61">
        <v>5.1703988691920602</v>
      </c>
      <c r="K61" s="1">
        <f t="shared" si="0"/>
        <v>41883</v>
      </c>
      <c r="L61">
        <f t="shared" si="1"/>
        <v>6.23</v>
      </c>
      <c r="M61">
        <f t="shared" si="2"/>
        <v>5.1703988691920602</v>
      </c>
      <c r="N61">
        <f t="shared" si="3"/>
        <v>3.1198632804290898</v>
      </c>
      <c r="Z61" s="3" t="s">
        <v>63</v>
      </c>
      <c r="AA61" s="1">
        <v>41883</v>
      </c>
      <c r="AB61">
        <v>3.1198632804290898</v>
      </c>
    </row>
    <row r="62" spans="6:28" x14ac:dyDescent="0.25">
      <c r="F62" s="4" t="s">
        <v>64</v>
      </c>
      <c r="G62" s="1">
        <v>41913</v>
      </c>
      <c r="H62">
        <v>5.1681092637357198</v>
      </c>
      <c r="K62" s="1">
        <f t="shared" si="0"/>
        <v>41913</v>
      </c>
      <c r="L62">
        <f t="shared" si="1"/>
        <v>4.4800000000000004</v>
      </c>
      <c r="M62">
        <f t="shared" si="2"/>
        <v>5.1681092637357198</v>
      </c>
      <c r="N62">
        <f t="shared" si="3"/>
        <v>3.14599164092217</v>
      </c>
      <c r="Z62" s="3" t="s">
        <v>64</v>
      </c>
      <c r="AA62" s="1">
        <v>41913</v>
      </c>
      <c r="AB62">
        <v>3.14599164092217</v>
      </c>
    </row>
    <row r="63" spans="6:28" x14ac:dyDescent="0.25">
      <c r="F63" s="4" t="s">
        <v>65</v>
      </c>
      <c r="G63" s="1">
        <v>41944</v>
      </c>
      <c r="H63">
        <v>5.1402099109515396</v>
      </c>
      <c r="K63" s="1">
        <f t="shared" si="0"/>
        <v>41944</v>
      </c>
      <c r="L63" t="e">
        <f t="shared" si="1"/>
        <v>#N/A</v>
      </c>
      <c r="M63">
        <f t="shared" si="2"/>
        <v>5.1402099109515396</v>
      </c>
      <c r="N63">
        <f t="shared" si="3"/>
        <v>3.1548634685172199</v>
      </c>
      <c r="Z63" s="3" t="s">
        <v>65</v>
      </c>
      <c r="AA63" s="1">
        <v>41944</v>
      </c>
      <c r="AB63">
        <v>3.1548634685172199</v>
      </c>
    </row>
    <row r="64" spans="6:28" x14ac:dyDescent="0.25">
      <c r="F64" s="4" t="s">
        <v>66</v>
      </c>
      <c r="G64" s="1">
        <v>41974</v>
      </c>
      <c r="H64">
        <v>5.1291664917459796</v>
      </c>
      <c r="K64" s="1">
        <f t="shared" si="0"/>
        <v>41974</v>
      </c>
      <c r="L64" t="e">
        <f t="shared" si="1"/>
        <v>#N/A</v>
      </c>
      <c r="M64">
        <f t="shared" si="2"/>
        <v>5.1291664917459796</v>
      </c>
      <c r="N64">
        <f t="shared" si="3"/>
        <v>3.1768431461497499</v>
      </c>
      <c r="Z64" s="3" t="s">
        <v>66</v>
      </c>
      <c r="AA64" s="1">
        <v>41974</v>
      </c>
      <c r="AB64">
        <v>3.1768431461497499</v>
      </c>
    </row>
    <row r="65" spans="6:28" x14ac:dyDescent="0.25">
      <c r="F65" s="4" t="s">
        <v>67</v>
      </c>
      <c r="G65" s="1">
        <v>42005</v>
      </c>
      <c r="H65">
        <v>5.0322092123073503</v>
      </c>
      <c r="K65" s="1">
        <f t="shared" si="0"/>
        <v>42005</v>
      </c>
      <c r="L65">
        <f t="shared" si="1"/>
        <v>5.28</v>
      </c>
      <c r="M65">
        <f t="shared" si="2"/>
        <v>5.0322092123073503</v>
      </c>
      <c r="N65">
        <f t="shared" si="3"/>
        <v>3.1342077440782199</v>
      </c>
      <c r="Z65" s="3" t="s">
        <v>67</v>
      </c>
      <c r="AA65" s="1">
        <v>42005</v>
      </c>
      <c r="AB65">
        <v>3.1342077440782199</v>
      </c>
    </row>
    <row r="66" spans="6:28" x14ac:dyDescent="0.25">
      <c r="F66" s="4" t="s">
        <v>68</v>
      </c>
      <c r="G66" s="1">
        <v>42036</v>
      </c>
      <c r="H66">
        <v>4.9304843878423199</v>
      </c>
      <c r="K66" s="1">
        <f t="shared" si="0"/>
        <v>42036</v>
      </c>
      <c r="L66">
        <f t="shared" si="1"/>
        <v>2.57</v>
      </c>
      <c r="M66">
        <f t="shared" si="2"/>
        <v>4.9304843878423199</v>
      </c>
      <c r="N66">
        <f t="shared" si="3"/>
        <v>3.07942882893951</v>
      </c>
      <c r="Z66" s="3" t="s">
        <v>68</v>
      </c>
      <c r="AA66" s="1">
        <v>42036</v>
      </c>
      <c r="AB66">
        <v>3.07942882893951</v>
      </c>
    </row>
    <row r="67" spans="6:28" x14ac:dyDescent="0.25">
      <c r="F67" s="4" t="s">
        <v>69</v>
      </c>
      <c r="G67" s="1">
        <v>42064</v>
      </c>
      <c r="H67">
        <v>4.7798121613147897</v>
      </c>
      <c r="K67" s="1">
        <f t="shared" si="0"/>
        <v>42064</v>
      </c>
      <c r="L67">
        <f t="shared" si="1"/>
        <v>4.09</v>
      </c>
      <c r="M67">
        <f t="shared" si="2"/>
        <v>4.7798121613147897</v>
      </c>
      <c r="N67">
        <f t="shared" si="3"/>
        <v>2.9910453511522901</v>
      </c>
      <c r="Z67" s="3" t="s">
        <v>69</v>
      </c>
      <c r="AA67" s="1">
        <v>42064</v>
      </c>
      <c r="AB67">
        <v>2.9910453511522901</v>
      </c>
    </row>
    <row r="68" spans="6:28" x14ac:dyDescent="0.25">
      <c r="F68" s="4" t="s">
        <v>70</v>
      </c>
      <c r="G68" s="1">
        <v>42095</v>
      </c>
      <c r="H68">
        <v>4.5039596903921604</v>
      </c>
      <c r="K68" s="1">
        <f t="shared" ref="K68:K76" si="4">G68</f>
        <v>42095</v>
      </c>
      <c r="L68" t="e">
        <f t="shared" ref="L68:L76" si="5">VLOOKUP(K68,B:D,3,0)</f>
        <v>#N/A</v>
      </c>
      <c r="M68">
        <f t="shared" ref="M68:M76" si="6">VLOOKUP(K68,G:H,2,0)</f>
        <v>4.5039596903921604</v>
      </c>
      <c r="N68">
        <f t="shared" ref="N68:N76" si="7">VLOOKUP(K68,AA:AB,2,0)</f>
        <v>2.8075309399787902</v>
      </c>
      <c r="Z68" s="3" t="s">
        <v>70</v>
      </c>
      <c r="AA68" s="1">
        <v>42095</v>
      </c>
      <c r="AB68">
        <v>2.8075309399787902</v>
      </c>
    </row>
    <row r="69" spans="6:28" x14ac:dyDescent="0.25">
      <c r="F69" s="4" t="s">
        <v>71</v>
      </c>
      <c r="G69" s="1">
        <v>42125</v>
      </c>
      <c r="H69">
        <v>4.2590940958662902</v>
      </c>
      <c r="K69" s="1">
        <f t="shared" si="4"/>
        <v>42125</v>
      </c>
      <c r="L69" t="e">
        <f t="shared" si="5"/>
        <v>#N/A</v>
      </c>
      <c r="M69">
        <f t="shared" si="6"/>
        <v>4.2590940958662902</v>
      </c>
      <c r="N69">
        <f t="shared" si="7"/>
        <v>2.6242645138120801</v>
      </c>
      <c r="Z69" s="3" t="s">
        <v>71</v>
      </c>
      <c r="AA69" s="1">
        <v>42125</v>
      </c>
      <c r="AB69">
        <v>2.6242645138120801</v>
      </c>
    </row>
    <row r="70" spans="6:28" x14ac:dyDescent="0.25">
      <c r="F70" s="4" t="s">
        <v>72</v>
      </c>
      <c r="G70" s="1">
        <v>42156</v>
      </c>
      <c r="H70">
        <v>4.0412754385211898</v>
      </c>
      <c r="K70" s="1">
        <f t="shared" si="4"/>
        <v>42156</v>
      </c>
      <c r="L70">
        <f t="shared" si="5"/>
        <v>3.22</v>
      </c>
      <c r="M70">
        <f t="shared" si="6"/>
        <v>4.0412754385211898</v>
      </c>
      <c r="N70">
        <f t="shared" si="7"/>
        <v>2.4467333822101298</v>
      </c>
      <c r="Z70" s="3" t="s">
        <v>72</v>
      </c>
      <c r="AA70" s="1">
        <v>42156</v>
      </c>
      <c r="AB70">
        <v>2.4467333822101298</v>
      </c>
    </row>
    <row r="71" spans="6:28" x14ac:dyDescent="0.25">
      <c r="F71" s="4" t="s">
        <v>73</v>
      </c>
      <c r="G71" s="1">
        <v>42186</v>
      </c>
      <c r="H71">
        <v>4.0305747630139104</v>
      </c>
      <c r="K71" s="1">
        <f t="shared" si="4"/>
        <v>42186</v>
      </c>
      <c r="L71" t="e">
        <f t="shared" si="5"/>
        <v>#N/A</v>
      </c>
      <c r="M71">
        <f t="shared" si="6"/>
        <v>4.0305747630139104</v>
      </c>
      <c r="N71">
        <f t="shared" si="7"/>
        <v>2.42385686640465</v>
      </c>
      <c r="Z71" s="3" t="s">
        <v>73</v>
      </c>
      <c r="AA71" s="1">
        <v>42186</v>
      </c>
      <c r="AB71">
        <v>2.42385686640465</v>
      </c>
    </row>
    <row r="72" spans="6:28" x14ac:dyDescent="0.25">
      <c r="F72" s="4" t="s">
        <v>74</v>
      </c>
      <c r="G72" s="1">
        <v>42217</v>
      </c>
      <c r="H72">
        <v>3.9770750273664199</v>
      </c>
      <c r="K72" s="1">
        <f t="shared" si="4"/>
        <v>42217</v>
      </c>
      <c r="L72" t="e">
        <f t="shared" si="5"/>
        <v>#N/A</v>
      </c>
      <c r="M72">
        <f t="shared" si="6"/>
        <v>3.9770750273664199</v>
      </c>
      <c r="N72">
        <f t="shared" si="7"/>
        <v>2.3761553986744</v>
      </c>
      <c r="Z72" s="3" t="s">
        <v>74</v>
      </c>
      <c r="AA72" s="1">
        <v>42217</v>
      </c>
      <c r="AB72">
        <v>2.3761553986744</v>
      </c>
    </row>
    <row r="73" spans="6:28" x14ac:dyDescent="0.25">
      <c r="F73" s="4" t="s">
        <v>75</v>
      </c>
      <c r="G73" s="1">
        <v>42248</v>
      </c>
      <c r="H73">
        <v>3.8607807675564998</v>
      </c>
      <c r="K73" s="1">
        <f t="shared" si="4"/>
        <v>42248</v>
      </c>
      <c r="L73" t="e">
        <f t="shared" si="5"/>
        <v>#N/A</v>
      </c>
      <c r="M73">
        <f t="shared" si="6"/>
        <v>3.8607807675564998</v>
      </c>
      <c r="N73">
        <f t="shared" si="7"/>
        <v>2.27391778206951</v>
      </c>
      <c r="Z73" s="3" t="s">
        <v>75</v>
      </c>
      <c r="AA73" s="1">
        <v>42248</v>
      </c>
      <c r="AB73">
        <v>2.27391778206951</v>
      </c>
    </row>
    <row r="74" spans="6:28" x14ac:dyDescent="0.25">
      <c r="F74" s="4" t="s">
        <v>76</v>
      </c>
      <c r="G74" s="1">
        <v>42278</v>
      </c>
      <c r="H74">
        <v>3.9455780030451</v>
      </c>
      <c r="K74" s="1">
        <f t="shared" si="4"/>
        <v>42278</v>
      </c>
      <c r="L74" t="e">
        <f t="shared" si="5"/>
        <v>#N/A</v>
      </c>
      <c r="M74">
        <f t="shared" si="6"/>
        <v>3.9455780030451</v>
      </c>
      <c r="N74">
        <f t="shared" si="7"/>
        <v>2.34194959016697</v>
      </c>
      <c r="Z74" s="3" t="s">
        <v>76</v>
      </c>
      <c r="AA74" s="1">
        <v>42278</v>
      </c>
      <c r="AB74">
        <v>2.34194959016697</v>
      </c>
    </row>
    <row r="75" spans="6:28" x14ac:dyDescent="0.25">
      <c r="F75" s="4" t="s">
        <v>77</v>
      </c>
      <c r="G75" s="1">
        <v>42309</v>
      </c>
      <c r="H75">
        <v>3.9512773767253799</v>
      </c>
      <c r="K75" s="1">
        <f t="shared" si="4"/>
        <v>42309</v>
      </c>
      <c r="L75">
        <f t="shared" si="5"/>
        <v>3.35</v>
      </c>
      <c r="M75">
        <f t="shared" si="6"/>
        <v>3.9512773767253799</v>
      </c>
      <c r="N75">
        <f t="shared" si="7"/>
        <v>2.3337678675870199</v>
      </c>
      <c r="Z75" s="3" t="s">
        <v>77</v>
      </c>
      <c r="AA75" s="1">
        <v>42309</v>
      </c>
      <c r="AB75">
        <v>2.3337678675870199</v>
      </c>
    </row>
    <row r="76" spans="6:28" x14ac:dyDescent="0.25">
      <c r="F76" s="4" t="s">
        <v>78</v>
      </c>
      <c r="G76" s="1">
        <v>42339</v>
      </c>
      <c r="H76">
        <v>4.0183490747602999</v>
      </c>
      <c r="K76" s="1">
        <f t="shared" si="4"/>
        <v>42339</v>
      </c>
      <c r="L76" t="e">
        <f t="shared" si="5"/>
        <v>#N/A</v>
      </c>
      <c r="M76">
        <f t="shared" si="6"/>
        <v>4.0183490747602999</v>
      </c>
      <c r="N76">
        <f t="shared" si="7"/>
        <v>2.3698518571274598</v>
      </c>
      <c r="Z76" s="3" t="s">
        <v>78</v>
      </c>
      <c r="AA76" s="1">
        <v>42339</v>
      </c>
      <c r="AB76">
        <v>2.3698518571274598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76"/>
  <sheetViews>
    <sheetView workbookViewId="0">
      <selection activeCell="AE17" sqref="AE17"/>
    </sheetView>
  </sheetViews>
  <sheetFormatPr defaultRowHeight="15" x14ac:dyDescent="0.25"/>
  <cols>
    <col min="2" max="2" width="15.42578125" bestFit="1" customWidth="1"/>
    <col min="3" max="3" width="15.28515625" bestFit="1" customWidth="1"/>
    <col min="7" max="7" width="10.42578125" bestFit="1" customWidth="1"/>
    <col min="11" max="11" width="10.42578125" bestFit="1" customWidth="1"/>
  </cols>
  <sheetData>
    <row r="1" spans="2:28" x14ac:dyDescent="0.25">
      <c r="B1">
        <v>2010</v>
      </c>
    </row>
    <row r="2" spans="2:28" x14ac:dyDescent="0.25">
      <c r="B2" t="s">
        <v>0</v>
      </c>
      <c r="C2" t="s">
        <v>1</v>
      </c>
      <c r="D2" t="s">
        <v>2</v>
      </c>
      <c r="F2" t="s">
        <v>3</v>
      </c>
      <c r="G2" t="s">
        <v>4</v>
      </c>
      <c r="L2" t="s">
        <v>79</v>
      </c>
      <c r="M2" t="s">
        <v>80</v>
      </c>
      <c r="N2" t="s">
        <v>81</v>
      </c>
      <c r="Z2" s="3"/>
      <c r="AA2" t="s">
        <v>3</v>
      </c>
      <c r="AB2" t="s">
        <v>4</v>
      </c>
    </row>
    <row r="3" spans="2:28" x14ac:dyDescent="0.25">
      <c r="B3" s="1">
        <v>40544</v>
      </c>
      <c r="C3" s="2">
        <v>2117613354.29</v>
      </c>
      <c r="D3">
        <v>1.4</v>
      </c>
      <c r="F3" s="1" t="s">
        <v>5</v>
      </c>
      <c r="G3" s="1">
        <v>40210</v>
      </c>
      <c r="H3">
        <v>0.37791177867519998</v>
      </c>
      <c r="K3" s="1">
        <f>G3</f>
        <v>40210</v>
      </c>
      <c r="L3" t="e">
        <f>VLOOKUP(K3,B:D,3,0)</f>
        <v>#N/A</v>
      </c>
      <c r="M3">
        <f>VLOOKUP(K3,G:H,2,0)</f>
        <v>0.37791177867519998</v>
      </c>
      <c r="N3">
        <f>VLOOKUP(K3,AA:AB,2,0)</f>
        <v>0.18912095358162301</v>
      </c>
      <c r="Z3" s="1" t="s">
        <v>5</v>
      </c>
      <c r="AA3" s="1">
        <v>40210</v>
      </c>
      <c r="AB3">
        <v>0.18912095358162301</v>
      </c>
    </row>
    <row r="4" spans="2:28" x14ac:dyDescent="0.25">
      <c r="B4" s="1">
        <v>40575</v>
      </c>
      <c r="C4" s="2">
        <v>2590768282.1199999</v>
      </c>
      <c r="D4">
        <v>2.52</v>
      </c>
      <c r="F4" s="1" t="s">
        <v>6</v>
      </c>
      <c r="G4" s="1">
        <v>40238</v>
      </c>
      <c r="H4">
        <v>0.462684556129078</v>
      </c>
      <c r="K4" s="1">
        <f t="shared" ref="K4:K67" si="0">G4</f>
        <v>40238</v>
      </c>
      <c r="L4" t="e">
        <f t="shared" ref="L4:L67" si="1">VLOOKUP(K4,B:D,3,0)</f>
        <v>#N/A</v>
      </c>
      <c r="M4">
        <f t="shared" ref="M4:M67" si="2">VLOOKUP(K4,G:H,2,0)</f>
        <v>0.462684556129078</v>
      </c>
      <c r="N4">
        <f>VLOOKUP(K4,AA:AB,2,0)</f>
        <v>0.23158950207964299</v>
      </c>
      <c r="Z4" s="1" t="s">
        <v>6</v>
      </c>
      <c r="AA4" s="1">
        <v>40238</v>
      </c>
      <c r="AB4">
        <v>0.23158950207964299</v>
      </c>
    </row>
    <row r="5" spans="2:28" x14ac:dyDescent="0.25">
      <c r="B5" s="1">
        <v>40603</v>
      </c>
      <c r="C5" s="2">
        <v>3746432569.3200002</v>
      </c>
      <c r="D5">
        <v>1.7</v>
      </c>
      <c r="F5" s="1" t="s">
        <v>7</v>
      </c>
      <c r="G5" s="1">
        <v>40269</v>
      </c>
      <c r="H5">
        <v>0.69885109720212402</v>
      </c>
      <c r="K5" s="1">
        <f t="shared" si="0"/>
        <v>40269</v>
      </c>
      <c r="L5" t="e">
        <f t="shared" si="1"/>
        <v>#N/A</v>
      </c>
      <c r="M5">
        <f t="shared" si="2"/>
        <v>0.69885109720212402</v>
      </c>
      <c r="N5">
        <f>VLOOKUP(K5,AA:AB,2,0)</f>
        <v>0.34998918113240401</v>
      </c>
      <c r="Z5" s="1" t="s">
        <v>7</v>
      </c>
      <c r="AA5" s="1">
        <v>40269</v>
      </c>
      <c r="AB5">
        <v>0.34998918113240401</v>
      </c>
    </row>
    <row r="6" spans="2:28" x14ac:dyDescent="0.25">
      <c r="B6" s="1">
        <v>40634</v>
      </c>
      <c r="C6" s="2">
        <v>3733366396.6900001</v>
      </c>
      <c r="D6">
        <v>1.8</v>
      </c>
      <c r="F6" s="1" t="s">
        <v>8</v>
      </c>
      <c r="G6" s="1">
        <v>40299</v>
      </c>
      <c r="H6">
        <v>0.96167805102009796</v>
      </c>
      <c r="K6" s="1">
        <f t="shared" si="0"/>
        <v>40299</v>
      </c>
      <c r="L6" t="e">
        <f t="shared" si="1"/>
        <v>#N/A</v>
      </c>
      <c r="M6">
        <f t="shared" si="2"/>
        <v>0.96167805102009796</v>
      </c>
      <c r="N6">
        <f>VLOOKUP(K6,AA:AB,2,0)</f>
        <v>0.48190667009315702</v>
      </c>
      <c r="Z6" s="1" t="s">
        <v>8</v>
      </c>
      <c r="AA6" s="1">
        <v>40299</v>
      </c>
      <c r="AB6">
        <v>0.48190667009315702</v>
      </c>
    </row>
    <row r="7" spans="2:28" x14ac:dyDescent="0.25">
      <c r="B7" s="1">
        <v>40664</v>
      </c>
      <c r="C7" s="2">
        <v>3718825800.8400002</v>
      </c>
      <c r="D7">
        <v>1.61</v>
      </c>
      <c r="F7" s="1" t="s">
        <v>9</v>
      </c>
      <c r="G7" s="1">
        <v>40330</v>
      </c>
      <c r="H7">
        <v>1.11396841423212</v>
      </c>
      <c r="K7" s="1">
        <f t="shared" si="0"/>
        <v>40330</v>
      </c>
      <c r="L7" t="e">
        <f t="shared" si="1"/>
        <v>#N/A</v>
      </c>
      <c r="M7">
        <f t="shared" si="2"/>
        <v>1.11396841423212</v>
      </c>
      <c r="N7">
        <f>VLOOKUP(K7,AA:AB,2,0)</f>
        <v>0.55841734694446199</v>
      </c>
      <c r="Z7" s="1" t="s">
        <v>9</v>
      </c>
      <c r="AA7" s="1">
        <v>40330</v>
      </c>
      <c r="AB7">
        <v>0.55841734694446199</v>
      </c>
    </row>
    <row r="8" spans="2:28" x14ac:dyDescent="0.25">
      <c r="B8" s="1">
        <v>40695</v>
      </c>
      <c r="C8" s="2">
        <v>3705314568.46</v>
      </c>
      <c r="D8">
        <v>2.96</v>
      </c>
      <c r="F8" s="1" t="s">
        <v>10</v>
      </c>
      <c r="G8" s="1">
        <v>40360</v>
      </c>
      <c r="H8">
        <v>1.34351988945254</v>
      </c>
      <c r="K8" s="1">
        <f t="shared" si="0"/>
        <v>40360</v>
      </c>
      <c r="L8" t="e">
        <f t="shared" si="1"/>
        <v>#N/A</v>
      </c>
      <c r="M8">
        <f t="shared" si="2"/>
        <v>1.34351988945254</v>
      </c>
      <c r="N8">
        <f>VLOOKUP(K8,AA:AB,2,0)</f>
        <v>0.67384618268153695</v>
      </c>
      <c r="Z8" s="1" t="s">
        <v>10</v>
      </c>
      <c r="AA8" s="1">
        <v>40360</v>
      </c>
      <c r="AB8">
        <v>0.67384618268153695</v>
      </c>
    </row>
    <row r="9" spans="2:28" x14ac:dyDescent="0.25">
      <c r="B9" s="1">
        <v>40725</v>
      </c>
      <c r="C9" s="2">
        <v>3686271251.3499999</v>
      </c>
      <c r="D9">
        <v>4.3</v>
      </c>
      <c r="F9" s="1" t="s">
        <v>11</v>
      </c>
      <c r="G9" s="1">
        <v>40391</v>
      </c>
      <c r="H9">
        <v>1.6153190160331501</v>
      </c>
      <c r="K9" s="1">
        <f t="shared" si="0"/>
        <v>40391</v>
      </c>
      <c r="L9" t="e">
        <f t="shared" si="1"/>
        <v>#N/A</v>
      </c>
      <c r="M9">
        <f t="shared" si="2"/>
        <v>1.6153190160331501</v>
      </c>
      <c r="N9">
        <f>VLOOKUP(K9,AA:AB,2,0)</f>
        <v>0.81067841701408805</v>
      </c>
      <c r="Z9" s="1" t="s">
        <v>11</v>
      </c>
      <c r="AA9" s="1">
        <v>40391</v>
      </c>
      <c r="AB9">
        <v>0.81067841701408805</v>
      </c>
    </row>
    <row r="10" spans="2:28" x14ac:dyDescent="0.25">
      <c r="B10" s="1">
        <v>40756</v>
      </c>
      <c r="C10" s="2">
        <v>3664691063.9899998</v>
      </c>
      <c r="D10">
        <v>3.39</v>
      </c>
      <c r="F10" s="1" t="s">
        <v>12</v>
      </c>
      <c r="G10" s="1">
        <v>40422</v>
      </c>
      <c r="H10">
        <v>1.86654422267853</v>
      </c>
      <c r="K10" s="1">
        <f t="shared" si="0"/>
        <v>40422</v>
      </c>
      <c r="L10" t="e">
        <f t="shared" si="1"/>
        <v>#N/A</v>
      </c>
      <c r="M10">
        <f t="shared" si="2"/>
        <v>1.86654422267853</v>
      </c>
      <c r="N10">
        <f>VLOOKUP(K10,AA:AB,2,0)</f>
        <v>0.93730735913755103</v>
      </c>
      <c r="Z10" s="1" t="s">
        <v>12</v>
      </c>
      <c r="AA10" s="1">
        <v>40422</v>
      </c>
      <c r="AB10">
        <v>0.93730735913755103</v>
      </c>
    </row>
    <row r="11" spans="2:28" x14ac:dyDescent="0.25">
      <c r="B11" s="1">
        <v>40787</v>
      </c>
      <c r="C11" s="2">
        <v>3644490751.9200001</v>
      </c>
      <c r="D11">
        <v>4.01</v>
      </c>
      <c r="F11" s="1" t="s">
        <v>13</v>
      </c>
      <c r="G11" s="1">
        <v>40452</v>
      </c>
      <c r="H11">
        <v>1.9882510238242499</v>
      </c>
      <c r="K11" s="1">
        <f t="shared" si="0"/>
        <v>40452</v>
      </c>
      <c r="L11" t="e">
        <f t="shared" si="1"/>
        <v>#N/A</v>
      </c>
      <c r="M11">
        <f t="shared" si="2"/>
        <v>1.9882510238242499</v>
      </c>
      <c r="N11">
        <f>VLOOKUP(K11,AA:AB,2,0)</f>
        <v>0.99870659134982898</v>
      </c>
      <c r="Z11" s="1" t="s">
        <v>13</v>
      </c>
      <c r="AA11" s="1">
        <v>40452</v>
      </c>
      <c r="AB11">
        <v>0.99870659134982898</v>
      </c>
    </row>
    <row r="12" spans="2:28" x14ac:dyDescent="0.25">
      <c r="B12" s="1">
        <v>40817</v>
      </c>
      <c r="C12" s="2">
        <v>3622449606.8400002</v>
      </c>
      <c r="D12">
        <v>3.77</v>
      </c>
      <c r="F12" s="4" t="s">
        <v>14</v>
      </c>
      <c r="G12" s="1">
        <v>40483</v>
      </c>
      <c r="H12">
        <v>2.2103985919253</v>
      </c>
      <c r="K12" s="1">
        <f t="shared" si="0"/>
        <v>40483</v>
      </c>
      <c r="L12" t="e">
        <f t="shared" si="1"/>
        <v>#N/A</v>
      </c>
      <c r="M12">
        <f t="shared" si="2"/>
        <v>2.2103985919253</v>
      </c>
      <c r="N12">
        <f>VLOOKUP(K12,AA:AB,2,0)</f>
        <v>1.11086691411928</v>
      </c>
      <c r="Z12" s="3" t="s">
        <v>14</v>
      </c>
      <c r="AA12" s="1">
        <v>40483</v>
      </c>
      <c r="AB12">
        <v>1.11086691411928</v>
      </c>
    </row>
    <row r="13" spans="2:28" x14ac:dyDescent="0.25">
      <c r="B13" s="1">
        <v>40848</v>
      </c>
      <c r="C13" s="2">
        <v>3601613218.2600002</v>
      </c>
      <c r="D13">
        <v>3.41</v>
      </c>
      <c r="F13" s="4" t="s">
        <v>15</v>
      </c>
      <c r="G13" s="1">
        <v>40513</v>
      </c>
      <c r="H13">
        <v>2.7951283435831602</v>
      </c>
      <c r="K13" s="1">
        <f t="shared" si="0"/>
        <v>40513</v>
      </c>
      <c r="L13" t="e">
        <f t="shared" si="1"/>
        <v>#N/A</v>
      </c>
      <c r="M13">
        <f t="shared" si="2"/>
        <v>2.7951283435831602</v>
      </c>
      <c r="N13">
        <f>VLOOKUP(K13,AA:AB,2,0)</f>
        <v>1.4066518293411101</v>
      </c>
      <c r="Z13" s="3" t="s">
        <v>15</v>
      </c>
      <c r="AA13" s="1">
        <v>40513</v>
      </c>
      <c r="AB13">
        <v>1.4066518293411101</v>
      </c>
    </row>
    <row r="14" spans="2:28" x14ac:dyDescent="0.25">
      <c r="B14" s="1">
        <v>40878</v>
      </c>
      <c r="C14" s="2">
        <v>3579149624.77</v>
      </c>
      <c r="D14">
        <v>5.17</v>
      </c>
      <c r="F14" s="4" t="s">
        <v>16</v>
      </c>
      <c r="G14" s="1">
        <v>40544</v>
      </c>
      <c r="H14">
        <v>2.8813830078579299</v>
      </c>
      <c r="K14" s="1">
        <f t="shared" si="0"/>
        <v>40544</v>
      </c>
      <c r="L14">
        <f t="shared" si="1"/>
        <v>1.4</v>
      </c>
      <c r="M14">
        <f t="shared" si="2"/>
        <v>2.8813830078579299</v>
      </c>
      <c r="N14">
        <f>VLOOKUP(K14,AA:AB,2,0)</f>
        <v>1.4503526786091101</v>
      </c>
      <c r="Z14" s="3" t="s">
        <v>16</v>
      </c>
      <c r="AA14" s="1">
        <v>40544</v>
      </c>
      <c r="AB14">
        <v>1.4503526786091101</v>
      </c>
    </row>
    <row r="15" spans="2:28" x14ac:dyDescent="0.25">
      <c r="B15" s="1">
        <v>40909</v>
      </c>
      <c r="C15" s="2">
        <v>3552965335.1799998</v>
      </c>
      <c r="D15">
        <v>4.9400000000000004</v>
      </c>
      <c r="F15" s="4" t="s">
        <v>17</v>
      </c>
      <c r="G15" s="1">
        <v>40575</v>
      </c>
      <c r="H15">
        <v>3.2078312123258601</v>
      </c>
      <c r="K15" s="1">
        <f t="shared" si="0"/>
        <v>40575</v>
      </c>
      <c r="L15">
        <f t="shared" si="1"/>
        <v>2.52</v>
      </c>
      <c r="M15">
        <f t="shared" si="2"/>
        <v>3.2078312123258601</v>
      </c>
      <c r="N15">
        <f>VLOOKUP(K15,AA:AB,2,0)</f>
        <v>1.61590886795449</v>
      </c>
      <c r="Z15" s="3" t="s">
        <v>17</v>
      </c>
      <c r="AA15" s="1">
        <v>40575</v>
      </c>
      <c r="AB15">
        <v>1.61590886795449</v>
      </c>
    </row>
    <row r="16" spans="2:28" x14ac:dyDescent="0.25">
      <c r="B16" s="1">
        <v>40940</v>
      </c>
      <c r="C16" s="2">
        <v>3523516800.6500001</v>
      </c>
      <c r="D16">
        <v>5.22</v>
      </c>
      <c r="F16" s="4" t="s">
        <v>18</v>
      </c>
      <c r="G16" s="1">
        <v>40603</v>
      </c>
      <c r="H16">
        <v>3.80829814699021</v>
      </c>
      <c r="K16" s="1">
        <f t="shared" si="0"/>
        <v>40603</v>
      </c>
      <c r="L16">
        <f t="shared" si="1"/>
        <v>1.7</v>
      </c>
      <c r="M16">
        <f t="shared" si="2"/>
        <v>3.80829814699021</v>
      </c>
      <c r="N16">
        <f>VLOOKUP(K16,AA:AB,2,0)</f>
        <v>1.9211026386401</v>
      </c>
      <c r="Z16" s="3" t="s">
        <v>18</v>
      </c>
      <c r="AA16" s="1">
        <v>40603</v>
      </c>
      <c r="AB16">
        <v>1.9211026386401</v>
      </c>
    </row>
    <row r="17" spans="2:28" x14ac:dyDescent="0.25">
      <c r="B17" s="1">
        <v>40969</v>
      </c>
      <c r="C17" s="2">
        <v>3499209131.8400002</v>
      </c>
      <c r="D17">
        <v>5.31</v>
      </c>
      <c r="F17" s="4" t="s">
        <v>19</v>
      </c>
      <c r="G17" s="1">
        <v>40634</v>
      </c>
      <c r="H17">
        <v>4.3057590715170804</v>
      </c>
      <c r="K17" s="1">
        <f t="shared" si="0"/>
        <v>40634</v>
      </c>
      <c r="L17">
        <f t="shared" si="1"/>
        <v>1.8</v>
      </c>
      <c r="M17">
        <f t="shared" si="2"/>
        <v>4.3057590715170804</v>
      </c>
      <c r="N17">
        <f>VLOOKUP(K17,AA:AB,2,0)</f>
        <v>2.17460551602796</v>
      </c>
      <c r="Z17" s="3" t="s">
        <v>19</v>
      </c>
      <c r="AA17" s="1">
        <v>40634</v>
      </c>
      <c r="AB17">
        <v>2.17460551602796</v>
      </c>
    </row>
    <row r="18" spans="2:28" x14ac:dyDescent="0.25">
      <c r="B18" s="1">
        <v>41000</v>
      </c>
      <c r="C18" s="2">
        <v>3475352184.9099998</v>
      </c>
      <c r="D18">
        <v>5.09</v>
      </c>
      <c r="F18" s="4" t="s">
        <v>20</v>
      </c>
      <c r="G18" s="1">
        <v>40664</v>
      </c>
      <c r="H18">
        <v>4.7895451683039498</v>
      </c>
      <c r="K18" s="1">
        <f t="shared" si="0"/>
        <v>40664</v>
      </c>
      <c r="L18">
        <f t="shared" si="1"/>
        <v>1.61</v>
      </c>
      <c r="M18">
        <f t="shared" si="2"/>
        <v>4.7895451683039498</v>
      </c>
      <c r="N18">
        <f>VLOOKUP(K18,AA:AB,2,0)</f>
        <v>2.4217208270916801</v>
      </c>
      <c r="Z18" s="3" t="s">
        <v>20</v>
      </c>
      <c r="AA18" s="1">
        <v>40664</v>
      </c>
      <c r="AB18">
        <v>2.4217208270916801</v>
      </c>
    </row>
    <row r="19" spans="2:28" x14ac:dyDescent="0.25">
      <c r="B19" s="1">
        <v>41030</v>
      </c>
      <c r="C19" s="2">
        <v>3447881239.6799998</v>
      </c>
      <c r="D19">
        <v>3.81</v>
      </c>
      <c r="F19" s="4" t="s">
        <v>21</v>
      </c>
      <c r="G19" s="1">
        <v>40695</v>
      </c>
      <c r="H19">
        <v>5.2628020427505904</v>
      </c>
      <c r="K19" s="1">
        <f t="shared" si="0"/>
        <v>40695</v>
      </c>
      <c r="L19">
        <f t="shared" si="1"/>
        <v>2.96</v>
      </c>
      <c r="M19">
        <f t="shared" si="2"/>
        <v>5.2628020427505904</v>
      </c>
      <c r="N19">
        <f>VLOOKUP(K19,AA:AB,2,0)</f>
        <v>2.6640164819128298</v>
      </c>
      <c r="Z19" s="3" t="s">
        <v>21</v>
      </c>
      <c r="AA19" s="1">
        <v>40695</v>
      </c>
      <c r="AB19">
        <v>2.6640164819128298</v>
      </c>
    </row>
    <row r="20" spans="2:28" x14ac:dyDescent="0.25">
      <c r="B20" s="1">
        <v>41061</v>
      </c>
      <c r="C20" s="2">
        <v>3425375584.0999999</v>
      </c>
      <c r="D20">
        <v>5.31</v>
      </c>
      <c r="F20" s="4" t="s">
        <v>22</v>
      </c>
      <c r="G20" s="1">
        <v>40725</v>
      </c>
      <c r="H20">
        <v>5.7154646037892203</v>
      </c>
      <c r="K20" s="1">
        <f t="shared" si="0"/>
        <v>40725</v>
      </c>
      <c r="L20">
        <f t="shared" si="1"/>
        <v>4.3</v>
      </c>
      <c r="M20">
        <f t="shared" si="2"/>
        <v>5.7154646037892203</v>
      </c>
      <c r="N20">
        <f>VLOOKUP(K20,AA:AB,2,0)</f>
        <v>2.89628914592297</v>
      </c>
      <c r="Z20" s="3" t="s">
        <v>22</v>
      </c>
      <c r="AA20" s="1">
        <v>40725</v>
      </c>
      <c r="AB20">
        <v>2.89628914592297</v>
      </c>
    </row>
    <row r="21" spans="2:28" x14ac:dyDescent="0.25">
      <c r="B21" s="1">
        <v>41091</v>
      </c>
      <c r="C21" s="2">
        <v>3395022724.5799999</v>
      </c>
      <c r="D21">
        <v>5.09</v>
      </c>
      <c r="F21" s="4" t="s">
        <v>23</v>
      </c>
      <c r="G21" s="1">
        <v>40756</v>
      </c>
      <c r="H21">
        <v>6.1635158898304496</v>
      </c>
      <c r="K21" s="1">
        <f t="shared" si="0"/>
        <v>40756</v>
      </c>
      <c r="L21">
        <f t="shared" si="1"/>
        <v>3.39</v>
      </c>
      <c r="M21">
        <f t="shared" si="2"/>
        <v>6.1635158898304496</v>
      </c>
      <c r="N21">
        <f>VLOOKUP(K21,AA:AB,2,0)</f>
        <v>3.12670075153668</v>
      </c>
      <c r="Z21" s="3" t="s">
        <v>23</v>
      </c>
      <c r="AA21" s="1">
        <v>40756</v>
      </c>
      <c r="AB21">
        <v>3.12670075153668</v>
      </c>
    </row>
    <row r="22" spans="2:28" x14ac:dyDescent="0.25">
      <c r="B22" s="1">
        <v>41122</v>
      </c>
      <c r="C22" s="2">
        <v>3363015523.3200002</v>
      </c>
      <c r="D22">
        <v>4.33</v>
      </c>
      <c r="F22" s="4" t="s">
        <v>24</v>
      </c>
      <c r="G22" s="1">
        <v>40787</v>
      </c>
      <c r="H22">
        <v>6.5984924303331498</v>
      </c>
      <c r="K22" s="1">
        <f t="shared" si="0"/>
        <v>40787</v>
      </c>
      <c r="L22">
        <f t="shared" si="1"/>
        <v>4.01</v>
      </c>
      <c r="M22">
        <f t="shared" si="2"/>
        <v>6.5984924303331498</v>
      </c>
      <c r="N22">
        <f>VLOOKUP(K22,AA:AB,2,0)</f>
        <v>3.3508727967831402</v>
      </c>
      <c r="Z22" s="3" t="s">
        <v>24</v>
      </c>
      <c r="AA22" s="1">
        <v>40787</v>
      </c>
      <c r="AB22">
        <v>3.3508727967831402</v>
      </c>
    </row>
    <row r="23" spans="2:28" x14ac:dyDescent="0.25">
      <c r="B23" s="1">
        <v>41153</v>
      </c>
      <c r="C23" s="2">
        <v>3338599618.46</v>
      </c>
      <c r="D23">
        <v>4.6900000000000004</v>
      </c>
      <c r="F23" s="4" t="s">
        <v>25</v>
      </c>
      <c r="G23" s="1">
        <v>40817</v>
      </c>
      <c r="H23">
        <v>7.0948249560970602</v>
      </c>
      <c r="K23" s="1">
        <f t="shared" si="0"/>
        <v>40817</v>
      </c>
      <c r="L23">
        <f t="shared" si="1"/>
        <v>3.77</v>
      </c>
      <c r="M23">
        <f t="shared" si="2"/>
        <v>7.0948249560970602</v>
      </c>
      <c r="N23">
        <f>VLOOKUP(K23,AA:AB,2,0)</f>
        <v>3.6072525969089599</v>
      </c>
      <c r="Z23" s="3" t="s">
        <v>25</v>
      </c>
      <c r="AA23" s="1">
        <v>40817</v>
      </c>
      <c r="AB23">
        <v>3.6072525969089599</v>
      </c>
    </row>
    <row r="24" spans="2:28" x14ac:dyDescent="0.25">
      <c r="B24" s="1">
        <v>41183</v>
      </c>
      <c r="C24" s="2">
        <v>3304760617.04</v>
      </c>
      <c r="D24">
        <v>4.67</v>
      </c>
      <c r="F24" s="4" t="s">
        <v>26</v>
      </c>
      <c r="G24" s="1">
        <v>40848</v>
      </c>
      <c r="H24">
        <v>7.6321543931776796</v>
      </c>
      <c r="K24" s="1">
        <f t="shared" si="0"/>
        <v>40848</v>
      </c>
      <c r="L24">
        <f t="shared" si="1"/>
        <v>3.41</v>
      </c>
      <c r="M24">
        <f t="shared" si="2"/>
        <v>7.6321543931776796</v>
      </c>
      <c r="N24">
        <f>VLOOKUP(K24,AA:AB,2,0)</f>
        <v>3.8855201763916001</v>
      </c>
      <c r="Z24" s="3" t="s">
        <v>26</v>
      </c>
      <c r="AA24" s="1">
        <v>40848</v>
      </c>
      <c r="AB24">
        <v>3.8855201763916001</v>
      </c>
    </row>
    <row r="25" spans="2:28" x14ac:dyDescent="0.25">
      <c r="B25" s="1">
        <v>41214</v>
      </c>
      <c r="C25" s="2">
        <v>3274488069.0599999</v>
      </c>
      <c r="D25">
        <v>4.49</v>
      </c>
      <c r="F25" s="4" t="s">
        <v>27</v>
      </c>
      <c r="G25" s="1">
        <v>40878</v>
      </c>
      <c r="H25">
        <v>8.1532610902562794</v>
      </c>
      <c r="K25" s="1">
        <f t="shared" si="0"/>
        <v>40878</v>
      </c>
      <c r="L25">
        <f t="shared" si="1"/>
        <v>5.17</v>
      </c>
      <c r="M25">
        <f t="shared" si="2"/>
        <v>8.1532610902562794</v>
      </c>
      <c r="N25">
        <f>VLOOKUP(K25,AA:AB,2,0)</f>
        <v>4.1560983660022499</v>
      </c>
      <c r="Z25" s="3" t="s">
        <v>27</v>
      </c>
      <c r="AA25" s="1">
        <v>40878</v>
      </c>
      <c r="AB25">
        <v>4.1560983660022499</v>
      </c>
    </row>
    <row r="26" spans="2:28" x14ac:dyDescent="0.25">
      <c r="B26" s="1">
        <v>41244</v>
      </c>
      <c r="C26" s="2">
        <v>3241815524.4499998</v>
      </c>
      <c r="D26">
        <v>5.29</v>
      </c>
      <c r="F26" s="4" t="s">
        <v>28</v>
      </c>
      <c r="G26" s="1">
        <v>40909</v>
      </c>
      <c r="H26">
        <v>8.59238714139323</v>
      </c>
      <c r="K26" s="1">
        <f t="shared" si="0"/>
        <v>40909</v>
      </c>
      <c r="L26">
        <f t="shared" si="1"/>
        <v>4.9400000000000004</v>
      </c>
      <c r="M26">
        <f t="shared" si="2"/>
        <v>8.59238714139323</v>
      </c>
      <c r="N26">
        <f>VLOOKUP(K26,AA:AB,2,0)</f>
        <v>4.3846578137715504</v>
      </c>
      <c r="Z26" s="3" t="s">
        <v>28</v>
      </c>
      <c r="AA26" s="1">
        <v>40909</v>
      </c>
      <c r="AB26">
        <v>4.3846578137715504</v>
      </c>
    </row>
    <row r="27" spans="2:28" x14ac:dyDescent="0.25">
      <c r="B27" s="1">
        <v>41275</v>
      </c>
      <c r="C27" s="2">
        <v>3206910444.7199998</v>
      </c>
      <c r="D27">
        <v>4.3</v>
      </c>
      <c r="F27" s="4" t="s">
        <v>29</v>
      </c>
      <c r="G27" s="1">
        <v>40940</v>
      </c>
      <c r="H27">
        <v>9.0036656395058898</v>
      </c>
      <c r="K27" s="1">
        <f t="shared" si="0"/>
        <v>40940</v>
      </c>
      <c r="L27">
        <f t="shared" si="1"/>
        <v>5.22</v>
      </c>
      <c r="M27">
        <f t="shared" si="2"/>
        <v>9.0036656395058898</v>
      </c>
      <c r="N27">
        <f>VLOOKUP(K27,AA:AB,2,0)</f>
        <v>4.5991815085280798</v>
      </c>
      <c r="Z27" s="3" t="s">
        <v>29</v>
      </c>
      <c r="AA27" s="1">
        <v>40940</v>
      </c>
      <c r="AB27">
        <v>4.5991815085280798</v>
      </c>
    </row>
    <row r="28" spans="2:28" x14ac:dyDescent="0.25">
      <c r="B28" s="1">
        <v>41306</v>
      </c>
      <c r="C28" s="2">
        <v>3177524574.8200002</v>
      </c>
      <c r="D28">
        <v>3.82</v>
      </c>
      <c r="F28" s="4" t="s">
        <v>30</v>
      </c>
      <c r="G28" s="1">
        <v>40969</v>
      </c>
      <c r="H28">
        <v>9.3950670959460805</v>
      </c>
      <c r="K28" s="1">
        <f t="shared" si="0"/>
        <v>40969</v>
      </c>
      <c r="L28">
        <f t="shared" si="1"/>
        <v>5.31</v>
      </c>
      <c r="M28">
        <f t="shared" si="2"/>
        <v>9.3950670959460805</v>
      </c>
      <c r="N28">
        <f>VLOOKUP(K28,AA:AB,2,0)</f>
        <v>4.8037520030578502</v>
      </c>
      <c r="Z28" s="3" t="s">
        <v>30</v>
      </c>
      <c r="AA28" s="1">
        <v>40969</v>
      </c>
      <c r="AB28">
        <v>4.8037520030578502</v>
      </c>
    </row>
    <row r="29" spans="2:28" x14ac:dyDescent="0.25">
      <c r="B29" s="1">
        <v>41334</v>
      </c>
      <c r="C29" s="2">
        <v>3145875152.6399999</v>
      </c>
      <c r="D29">
        <v>3.63</v>
      </c>
      <c r="F29" s="4" t="s">
        <v>31</v>
      </c>
      <c r="G29" s="1">
        <v>41000</v>
      </c>
      <c r="H29">
        <v>9.3931591277594908</v>
      </c>
      <c r="K29" s="1">
        <f t="shared" si="0"/>
        <v>41000</v>
      </c>
      <c r="L29">
        <f t="shared" si="1"/>
        <v>5.09</v>
      </c>
      <c r="M29">
        <f t="shared" si="2"/>
        <v>9.3931591277594908</v>
      </c>
      <c r="N29">
        <f>VLOOKUP(K29,AA:AB,2,0)</f>
        <v>4.8027537961677496</v>
      </c>
      <c r="Z29" s="3" t="s">
        <v>31</v>
      </c>
      <c r="AA29" s="1">
        <v>41000</v>
      </c>
      <c r="AB29">
        <v>4.8027537961677496</v>
      </c>
    </row>
    <row r="30" spans="2:28" x14ac:dyDescent="0.25">
      <c r="B30" s="1">
        <v>41365</v>
      </c>
      <c r="C30" s="2">
        <v>3114862278.0500002</v>
      </c>
      <c r="D30">
        <v>5.23</v>
      </c>
      <c r="F30" s="4" t="s">
        <v>32</v>
      </c>
      <c r="G30" s="1">
        <v>41030</v>
      </c>
      <c r="H30">
        <v>9.33659317783329</v>
      </c>
      <c r="K30" s="1">
        <f t="shared" si="0"/>
        <v>41030</v>
      </c>
      <c r="L30">
        <f t="shared" si="1"/>
        <v>3.81</v>
      </c>
      <c r="M30">
        <f t="shared" si="2"/>
        <v>9.33659317783329</v>
      </c>
      <c r="N30">
        <f>VLOOKUP(K30,AA:AB,2,0)</f>
        <v>4.7731641313558901</v>
      </c>
      <c r="Z30" s="3" t="s">
        <v>32</v>
      </c>
      <c r="AA30" s="1">
        <v>41030</v>
      </c>
      <c r="AB30">
        <v>4.7731641313558901</v>
      </c>
    </row>
    <row r="31" spans="2:28" x14ac:dyDescent="0.25">
      <c r="B31" s="1">
        <v>41395</v>
      </c>
      <c r="C31" s="2">
        <v>3078775447.1399999</v>
      </c>
      <c r="D31">
        <v>2.4900000000000002</v>
      </c>
      <c r="F31" s="4" t="s">
        <v>33</v>
      </c>
      <c r="G31" s="1">
        <v>41061</v>
      </c>
      <c r="H31">
        <v>9.22936781132071</v>
      </c>
      <c r="K31" s="1">
        <f t="shared" si="0"/>
        <v>41061</v>
      </c>
      <c r="L31">
        <f t="shared" si="1"/>
        <v>5.31</v>
      </c>
      <c r="M31">
        <f t="shared" si="2"/>
        <v>9.22936781132071</v>
      </c>
      <c r="N31">
        <f>VLOOKUP(K31,AA:AB,2,0)</f>
        <v>4.7170978174976996</v>
      </c>
      <c r="Z31" s="3" t="s">
        <v>33</v>
      </c>
      <c r="AA31" s="1">
        <v>41061</v>
      </c>
      <c r="AB31">
        <v>4.7170978174976996</v>
      </c>
    </row>
    <row r="32" spans="2:28" x14ac:dyDescent="0.25">
      <c r="B32" s="1">
        <v>41426</v>
      </c>
      <c r="C32" s="2">
        <v>3046829517.1799998</v>
      </c>
      <c r="D32">
        <v>3.14</v>
      </c>
      <c r="F32" s="4" t="s">
        <v>34</v>
      </c>
      <c r="G32" s="1">
        <v>41091</v>
      </c>
      <c r="H32">
        <v>9.3399812756977507</v>
      </c>
      <c r="K32" s="1">
        <f t="shared" si="0"/>
        <v>41091</v>
      </c>
      <c r="L32">
        <f t="shared" si="1"/>
        <v>5.09</v>
      </c>
      <c r="M32">
        <f t="shared" si="2"/>
        <v>9.3399812756977507</v>
      </c>
      <c r="N32">
        <f>VLOOKUP(K32,AA:AB,2,0)</f>
        <v>4.7749362071018204</v>
      </c>
      <c r="Z32" s="3" t="s">
        <v>34</v>
      </c>
      <c r="AA32" s="1">
        <v>41091</v>
      </c>
      <c r="AB32">
        <v>4.7749362071018204</v>
      </c>
    </row>
    <row r="33" spans="2:28" x14ac:dyDescent="0.25">
      <c r="B33" s="1">
        <v>41456</v>
      </c>
      <c r="C33" s="2">
        <v>3007619119</v>
      </c>
      <c r="D33">
        <v>2.2400000000000002</v>
      </c>
      <c r="F33" s="4" t="s">
        <v>35</v>
      </c>
      <c r="G33" s="1">
        <v>41122</v>
      </c>
      <c r="H33">
        <v>9.4108089003562405</v>
      </c>
      <c r="K33" s="1">
        <f t="shared" si="0"/>
        <v>41122</v>
      </c>
      <c r="L33">
        <f t="shared" si="1"/>
        <v>4.33</v>
      </c>
      <c r="M33">
        <f t="shared" si="2"/>
        <v>9.4108089003562405</v>
      </c>
      <c r="N33">
        <f>VLOOKUP(K33,AA:AB,2,0)</f>
        <v>4.8119881373990898</v>
      </c>
      <c r="Z33" s="3" t="s">
        <v>35</v>
      </c>
      <c r="AA33" s="1">
        <v>41122</v>
      </c>
      <c r="AB33">
        <v>4.8119881373990898</v>
      </c>
    </row>
    <row r="34" spans="2:28" x14ac:dyDescent="0.25">
      <c r="B34" s="1">
        <v>41487</v>
      </c>
      <c r="C34" s="2">
        <v>2965782741.73</v>
      </c>
      <c r="D34">
        <v>3.79</v>
      </c>
      <c r="F34" s="4" t="s">
        <v>36</v>
      </c>
      <c r="G34" s="1">
        <v>41153</v>
      </c>
      <c r="H34">
        <v>9.4577305407798509</v>
      </c>
      <c r="K34" s="1">
        <f t="shared" si="0"/>
        <v>41153</v>
      </c>
      <c r="L34">
        <f t="shared" si="1"/>
        <v>4.6900000000000004</v>
      </c>
      <c r="M34">
        <f t="shared" si="2"/>
        <v>9.4577305407798509</v>
      </c>
      <c r="N34">
        <f>VLOOKUP(K34,AA:AB,2,0)</f>
        <v>4.8365415144066901</v>
      </c>
      <c r="Z34" s="3" t="s">
        <v>36</v>
      </c>
      <c r="AA34" s="1">
        <v>41153</v>
      </c>
      <c r="AB34">
        <v>4.8365415144066901</v>
      </c>
    </row>
    <row r="35" spans="2:28" x14ac:dyDescent="0.25">
      <c r="B35" s="1">
        <v>41518</v>
      </c>
      <c r="C35" s="2">
        <v>2919215194.4699998</v>
      </c>
      <c r="D35">
        <v>4.3600000000000003</v>
      </c>
      <c r="F35" s="4" t="s">
        <v>37</v>
      </c>
      <c r="G35" s="1">
        <v>41183</v>
      </c>
      <c r="H35">
        <v>9.5934085383674503</v>
      </c>
      <c r="K35" s="1">
        <f t="shared" si="0"/>
        <v>41183</v>
      </c>
      <c r="L35">
        <f t="shared" si="1"/>
        <v>4.67</v>
      </c>
      <c r="M35">
        <f t="shared" si="2"/>
        <v>9.5934085383674503</v>
      </c>
      <c r="N35">
        <f>VLOOKUP(K35,AA:AB,2,0)</f>
        <v>4.9075727049144797</v>
      </c>
      <c r="Z35" s="3" t="s">
        <v>37</v>
      </c>
      <c r="AA35" s="1">
        <v>41183</v>
      </c>
      <c r="AB35">
        <v>4.9075727049144797</v>
      </c>
    </row>
    <row r="36" spans="2:28" x14ac:dyDescent="0.25">
      <c r="B36" s="1">
        <v>41548</v>
      </c>
      <c r="C36" s="2">
        <v>2872513560.2600002</v>
      </c>
      <c r="D36">
        <v>3.51</v>
      </c>
      <c r="F36" s="4" t="s">
        <v>38</v>
      </c>
      <c r="G36" s="1">
        <v>41214</v>
      </c>
      <c r="H36">
        <v>9.7367998389263803</v>
      </c>
      <c r="K36" s="1">
        <f t="shared" si="0"/>
        <v>41214</v>
      </c>
      <c r="L36">
        <f t="shared" si="1"/>
        <v>4.49</v>
      </c>
      <c r="M36">
        <f t="shared" si="2"/>
        <v>9.7367998389263803</v>
      </c>
      <c r="N36">
        <f>VLOOKUP(K36,AA:AB,2,0)</f>
        <v>4.98269537061684</v>
      </c>
      <c r="Z36" s="3" t="s">
        <v>38</v>
      </c>
      <c r="AA36" s="1">
        <v>41214</v>
      </c>
      <c r="AB36">
        <v>4.98269537061684</v>
      </c>
    </row>
    <row r="37" spans="2:28" x14ac:dyDescent="0.25">
      <c r="B37" s="1">
        <v>41579</v>
      </c>
      <c r="C37" s="2">
        <v>2839186719.5500002</v>
      </c>
      <c r="D37">
        <v>4.16</v>
      </c>
      <c r="F37" s="4" t="s">
        <v>39</v>
      </c>
      <c r="G37" s="1">
        <v>41244</v>
      </c>
      <c r="H37">
        <v>9.8719321972174292</v>
      </c>
      <c r="K37" s="1">
        <f t="shared" si="0"/>
        <v>41244</v>
      </c>
      <c r="L37">
        <f t="shared" si="1"/>
        <v>5.29</v>
      </c>
      <c r="M37">
        <f t="shared" si="2"/>
        <v>9.8719321972174292</v>
      </c>
      <c r="N37">
        <f>VLOOKUP(K37,AA:AB,2,0)</f>
        <v>5.0535414703200603</v>
      </c>
      <c r="Z37" s="3" t="s">
        <v>39</v>
      </c>
      <c r="AA37" s="1">
        <v>41244</v>
      </c>
      <c r="AB37">
        <v>5.0535414703200603</v>
      </c>
    </row>
    <row r="38" spans="2:28" x14ac:dyDescent="0.25">
      <c r="B38" s="1">
        <v>41609</v>
      </c>
      <c r="C38" s="2">
        <v>2804923957.0999999</v>
      </c>
      <c r="D38">
        <v>3.62</v>
      </c>
      <c r="F38" s="4" t="s">
        <v>40</v>
      </c>
      <c r="G38" s="1">
        <v>41275</v>
      </c>
      <c r="H38">
        <v>9.8509427916019696</v>
      </c>
      <c r="K38" s="1">
        <f t="shared" si="0"/>
        <v>41275</v>
      </c>
      <c r="L38">
        <f t="shared" si="1"/>
        <v>4.3</v>
      </c>
      <c r="M38">
        <f t="shared" si="2"/>
        <v>9.8509427916019696</v>
      </c>
      <c r="N38">
        <f>VLOOKUP(K38,AA:AB,2,0)</f>
        <v>5.0431486630232998</v>
      </c>
      <c r="Z38" s="3" t="s">
        <v>40</v>
      </c>
      <c r="AA38" s="1">
        <v>41275</v>
      </c>
      <c r="AB38">
        <v>5.0431486630232998</v>
      </c>
    </row>
    <row r="39" spans="2:28" x14ac:dyDescent="0.25">
      <c r="B39" s="1">
        <v>41640</v>
      </c>
      <c r="C39" s="2">
        <v>2765749237.5900002</v>
      </c>
      <c r="D39">
        <v>3.19</v>
      </c>
      <c r="F39" s="4" t="s">
        <v>41</v>
      </c>
      <c r="G39" s="1">
        <v>41306</v>
      </c>
      <c r="H39">
        <v>9.7923417872576604</v>
      </c>
      <c r="K39" s="1">
        <f t="shared" si="0"/>
        <v>41306</v>
      </c>
      <c r="L39">
        <f t="shared" si="1"/>
        <v>3.82</v>
      </c>
      <c r="M39">
        <f t="shared" si="2"/>
        <v>9.7923417872576604</v>
      </c>
      <c r="N39">
        <f>VLOOKUP(K39,AA:AB,2,0)</f>
        <v>5.0130479461478004</v>
      </c>
      <c r="Z39" s="3" t="s">
        <v>41</v>
      </c>
      <c r="AA39" s="1">
        <v>41306</v>
      </c>
      <c r="AB39">
        <v>5.0130479461478004</v>
      </c>
    </row>
    <row r="40" spans="2:28" x14ac:dyDescent="0.25">
      <c r="B40" s="1">
        <v>41671</v>
      </c>
      <c r="C40" s="2">
        <v>2728873279.5300002</v>
      </c>
      <c r="D40">
        <v>2.93</v>
      </c>
      <c r="F40" s="4" t="s">
        <v>42</v>
      </c>
      <c r="G40" s="1">
        <v>41334</v>
      </c>
      <c r="H40">
        <v>9.74147044378598</v>
      </c>
      <c r="K40" s="1">
        <f t="shared" si="0"/>
        <v>41334</v>
      </c>
      <c r="L40">
        <f t="shared" si="1"/>
        <v>3.63</v>
      </c>
      <c r="M40">
        <f t="shared" si="2"/>
        <v>9.74147044378598</v>
      </c>
      <c r="N40">
        <f>VLOOKUP(K40,AA:AB,2,0)</f>
        <v>4.9870301123453702</v>
      </c>
      <c r="Z40" s="3" t="s">
        <v>42</v>
      </c>
      <c r="AA40" s="1">
        <v>41334</v>
      </c>
      <c r="AB40">
        <v>4.9870301123453702</v>
      </c>
    </row>
    <row r="41" spans="2:28" x14ac:dyDescent="0.25">
      <c r="B41" s="1">
        <v>41699</v>
      </c>
      <c r="C41" s="2">
        <v>2698988452.4000001</v>
      </c>
      <c r="D41">
        <v>4.5199999999999996</v>
      </c>
      <c r="F41" s="4" t="s">
        <v>43</v>
      </c>
      <c r="G41" s="1">
        <v>41365</v>
      </c>
      <c r="H41">
        <v>9.1187399142375298</v>
      </c>
      <c r="K41" s="1">
        <f t="shared" si="0"/>
        <v>41365</v>
      </c>
      <c r="L41">
        <f t="shared" si="1"/>
        <v>5.23</v>
      </c>
      <c r="M41">
        <f t="shared" si="2"/>
        <v>9.1187399142375298</v>
      </c>
      <c r="N41">
        <f>VLOOKUP(K41,AA:AB,2,0)</f>
        <v>4.6617600627745297</v>
      </c>
      <c r="Z41" s="3" t="s">
        <v>43</v>
      </c>
      <c r="AA41" s="1">
        <v>41365</v>
      </c>
      <c r="AB41">
        <v>4.6617600627745297</v>
      </c>
    </row>
    <row r="42" spans="2:28" x14ac:dyDescent="0.25">
      <c r="B42" s="1">
        <v>41730</v>
      </c>
      <c r="C42" s="2">
        <v>2664787261.6100001</v>
      </c>
      <c r="D42">
        <v>3.49</v>
      </c>
      <c r="F42" s="4" t="s">
        <v>44</v>
      </c>
      <c r="G42" s="1">
        <v>41395</v>
      </c>
      <c r="H42">
        <v>8.4501219484524306</v>
      </c>
      <c r="K42" s="1">
        <f t="shared" si="0"/>
        <v>41395</v>
      </c>
      <c r="L42">
        <f t="shared" si="1"/>
        <v>2.4900000000000002</v>
      </c>
      <c r="M42">
        <f t="shared" si="2"/>
        <v>8.4501219484524306</v>
      </c>
      <c r="N42">
        <f>VLOOKUP(K42,AA:AB,2,0)</f>
        <v>4.3138236179254097</v>
      </c>
      <c r="Z42" s="3" t="s">
        <v>44</v>
      </c>
      <c r="AA42" s="1">
        <v>41395</v>
      </c>
      <c r="AB42">
        <v>4.3138236179254097</v>
      </c>
    </row>
    <row r="43" spans="2:28" x14ac:dyDescent="0.25">
      <c r="B43" s="1">
        <v>41760</v>
      </c>
      <c r="C43" s="2">
        <v>2631180758.0300002</v>
      </c>
      <c r="D43">
        <v>2.15</v>
      </c>
      <c r="F43" s="4" t="s">
        <v>45</v>
      </c>
      <c r="G43" s="1">
        <v>41426</v>
      </c>
      <c r="H43">
        <v>7.7867656012144399</v>
      </c>
      <c r="K43" s="1">
        <f t="shared" si="0"/>
        <v>41426</v>
      </c>
      <c r="L43">
        <f t="shared" si="1"/>
        <v>3.14</v>
      </c>
      <c r="M43">
        <f t="shared" si="2"/>
        <v>7.7867656012144399</v>
      </c>
      <c r="N43">
        <f>VLOOKUP(K43,AA:AB,2,0)</f>
        <v>3.9710805147391102</v>
      </c>
      <c r="Z43" s="3" t="s">
        <v>45</v>
      </c>
      <c r="AA43" s="1">
        <v>41426</v>
      </c>
      <c r="AB43">
        <v>3.9710805147391102</v>
      </c>
    </row>
    <row r="44" spans="2:28" x14ac:dyDescent="0.25">
      <c r="B44" s="1">
        <v>41791</v>
      </c>
      <c r="C44" s="2">
        <v>2599835676.27</v>
      </c>
      <c r="D44">
        <v>2.92</v>
      </c>
      <c r="F44" s="4" t="s">
        <v>46</v>
      </c>
      <c r="G44" s="1">
        <v>41456</v>
      </c>
      <c r="H44">
        <v>7.4770987237556303</v>
      </c>
      <c r="K44" s="1">
        <f t="shared" si="0"/>
        <v>41456</v>
      </c>
      <c r="L44">
        <f t="shared" si="1"/>
        <v>2.2400000000000002</v>
      </c>
      <c r="M44">
        <f t="shared" si="2"/>
        <v>7.4770987237556303</v>
      </c>
      <c r="N44">
        <f>VLOOKUP(K44,AA:AB,2,0)</f>
        <v>3.8157437627666</v>
      </c>
      <c r="Z44" s="3" t="s">
        <v>46</v>
      </c>
      <c r="AA44" s="1">
        <v>41456</v>
      </c>
      <c r="AB44">
        <v>3.8157437627666</v>
      </c>
    </row>
    <row r="45" spans="2:28" x14ac:dyDescent="0.25">
      <c r="B45" s="1">
        <v>41821</v>
      </c>
      <c r="C45" s="2">
        <v>2568735542.9000001</v>
      </c>
      <c r="D45">
        <v>1.61</v>
      </c>
      <c r="F45" s="4" t="s">
        <v>47</v>
      </c>
      <c r="G45" s="1">
        <v>41487</v>
      </c>
      <c r="H45">
        <v>7.1906604557571399</v>
      </c>
      <c r="K45" s="1">
        <f t="shared" si="0"/>
        <v>41487</v>
      </c>
      <c r="L45">
        <f t="shared" si="1"/>
        <v>3.79</v>
      </c>
      <c r="M45">
        <f t="shared" si="2"/>
        <v>7.1906604557571399</v>
      </c>
      <c r="N45">
        <f>VLOOKUP(K45,AA:AB,2,0)</f>
        <v>3.67415875512767</v>
      </c>
      <c r="Z45" s="3" t="s">
        <v>47</v>
      </c>
      <c r="AA45" s="1">
        <v>41487</v>
      </c>
      <c r="AB45">
        <v>3.67415875512767</v>
      </c>
    </row>
    <row r="46" spans="2:28" x14ac:dyDescent="0.25">
      <c r="B46" s="1">
        <v>41852</v>
      </c>
      <c r="C46" s="2">
        <v>2531892072.0700002</v>
      </c>
      <c r="D46">
        <v>2.57</v>
      </c>
      <c r="F46" s="4" t="s">
        <v>48</v>
      </c>
      <c r="G46" s="1">
        <v>41518</v>
      </c>
      <c r="H46">
        <v>6.8535220234287797</v>
      </c>
      <c r="K46" s="1">
        <f t="shared" si="0"/>
        <v>41518</v>
      </c>
      <c r="L46">
        <f t="shared" si="1"/>
        <v>4.3600000000000003</v>
      </c>
      <c r="M46">
        <f t="shared" si="2"/>
        <v>6.8535220234287797</v>
      </c>
      <c r="N46">
        <f>VLOOKUP(K46,AA:AB,2,0)</f>
        <v>3.5086858791943101</v>
      </c>
      <c r="Z46" s="3" t="s">
        <v>48</v>
      </c>
      <c r="AA46" s="1">
        <v>41518</v>
      </c>
      <c r="AB46">
        <v>3.5086858791943101</v>
      </c>
    </row>
    <row r="47" spans="2:28" x14ac:dyDescent="0.25">
      <c r="B47" s="1">
        <v>41883</v>
      </c>
      <c r="C47" s="2">
        <v>2489889376.29</v>
      </c>
      <c r="D47">
        <v>2.19</v>
      </c>
      <c r="F47" s="4" t="s">
        <v>49</v>
      </c>
      <c r="G47" s="1">
        <v>41548</v>
      </c>
      <c r="H47">
        <v>6.8962227894412198</v>
      </c>
      <c r="K47" s="1">
        <f t="shared" si="0"/>
        <v>41548</v>
      </c>
      <c r="L47">
        <f t="shared" si="1"/>
        <v>3.51</v>
      </c>
      <c r="M47">
        <f t="shared" si="2"/>
        <v>6.8962227894412198</v>
      </c>
      <c r="N47">
        <f>VLOOKUP(K47,AA:AB,2,0)</f>
        <v>3.5425118320495801</v>
      </c>
      <c r="Z47" s="3" t="s">
        <v>49</v>
      </c>
      <c r="AA47" s="1">
        <v>41548</v>
      </c>
      <c r="AB47">
        <v>3.5425118320495801</v>
      </c>
    </row>
    <row r="48" spans="2:28" x14ac:dyDescent="0.25">
      <c r="B48" s="1">
        <v>41913</v>
      </c>
      <c r="C48">
        <v>2449801423.7399998</v>
      </c>
      <c r="D48">
        <v>1.75</v>
      </c>
      <c r="F48" s="4" t="s">
        <v>50</v>
      </c>
      <c r="G48" s="1">
        <v>41579</v>
      </c>
      <c r="H48">
        <v>6.8930973427860502</v>
      </c>
      <c r="K48" s="1">
        <f t="shared" si="0"/>
        <v>41579</v>
      </c>
      <c r="L48">
        <f t="shared" si="1"/>
        <v>4.16</v>
      </c>
      <c r="M48">
        <f t="shared" si="2"/>
        <v>6.8930973427860502</v>
      </c>
      <c r="N48">
        <f>VLOOKUP(K48,AA:AB,2,0)</f>
        <v>3.5543936360042001</v>
      </c>
      <c r="Z48" s="3" t="s">
        <v>50</v>
      </c>
      <c r="AA48" s="1">
        <v>41579</v>
      </c>
      <c r="AB48">
        <v>3.5543936360042001</v>
      </c>
    </row>
    <row r="49" spans="2:28" x14ac:dyDescent="0.25">
      <c r="B49" s="1">
        <v>41944</v>
      </c>
      <c r="C49">
        <v>2412295851.3499999</v>
      </c>
      <c r="D49">
        <v>3.22</v>
      </c>
      <c r="F49" s="4" t="s">
        <v>51</v>
      </c>
      <c r="G49" s="1">
        <v>41609</v>
      </c>
      <c r="H49">
        <v>6.92484206147385</v>
      </c>
      <c r="K49" s="1">
        <f t="shared" si="0"/>
        <v>41609</v>
      </c>
      <c r="L49">
        <f t="shared" si="1"/>
        <v>3.62</v>
      </c>
      <c r="M49">
        <f t="shared" si="2"/>
        <v>6.92484206147385</v>
      </c>
      <c r="N49">
        <f>VLOOKUP(K49,AA:AB,2,0)</f>
        <v>3.5865221332205</v>
      </c>
      <c r="Z49" s="3" t="s">
        <v>51</v>
      </c>
      <c r="AA49" s="1">
        <v>41609</v>
      </c>
      <c r="AB49">
        <v>3.5865221332205</v>
      </c>
    </row>
    <row r="50" spans="2:28" x14ac:dyDescent="0.25">
      <c r="B50" s="1">
        <v>41974</v>
      </c>
      <c r="C50">
        <v>2370142335.1799998</v>
      </c>
      <c r="D50">
        <v>1.74</v>
      </c>
      <c r="F50" s="4" t="s">
        <v>52</v>
      </c>
      <c r="G50" s="1">
        <v>41640</v>
      </c>
      <c r="H50">
        <v>6.8259323781569501</v>
      </c>
      <c r="K50" s="1">
        <f t="shared" si="0"/>
        <v>41640</v>
      </c>
      <c r="L50">
        <f t="shared" si="1"/>
        <v>3.19</v>
      </c>
      <c r="M50">
        <f t="shared" si="2"/>
        <v>6.8259323781569501</v>
      </c>
      <c r="N50">
        <f>VLOOKUP(K50,AA:AB,2,0)</f>
        <v>3.5544795135676299</v>
      </c>
      <c r="Z50" s="3" t="s">
        <v>52</v>
      </c>
      <c r="AA50" s="1">
        <v>41640</v>
      </c>
      <c r="AB50">
        <v>3.5544795135676299</v>
      </c>
    </row>
    <row r="51" spans="2:28" x14ac:dyDescent="0.25">
      <c r="B51" s="1">
        <v>42005</v>
      </c>
      <c r="C51">
        <v>2334788451.6999998</v>
      </c>
      <c r="D51">
        <v>2.66</v>
      </c>
      <c r="F51" s="4" t="s">
        <v>53</v>
      </c>
      <c r="G51" s="1">
        <v>41671</v>
      </c>
      <c r="H51">
        <v>6.7159903098655596</v>
      </c>
      <c r="K51" s="1">
        <f t="shared" si="0"/>
        <v>41671</v>
      </c>
      <c r="L51">
        <f t="shared" si="1"/>
        <v>2.93</v>
      </c>
      <c r="M51">
        <f t="shared" si="2"/>
        <v>6.7159903098655596</v>
      </c>
      <c r="N51">
        <f>VLOOKUP(K51,AA:AB,2,0)</f>
        <v>3.52003199591709</v>
      </c>
      <c r="Z51" s="3" t="s">
        <v>53</v>
      </c>
      <c r="AA51" s="1">
        <v>41671</v>
      </c>
      <c r="AB51">
        <v>3.52003199591709</v>
      </c>
    </row>
    <row r="52" spans="2:28" x14ac:dyDescent="0.25">
      <c r="B52" s="1">
        <v>42036</v>
      </c>
      <c r="C52">
        <v>2290913474.1500001</v>
      </c>
      <c r="D52">
        <v>2.4500000000000002</v>
      </c>
      <c r="F52" s="4" t="s">
        <v>54</v>
      </c>
      <c r="G52" s="1">
        <v>41699</v>
      </c>
      <c r="H52">
        <v>6.5862882990721197</v>
      </c>
      <c r="K52" s="1">
        <f t="shared" si="0"/>
        <v>41699</v>
      </c>
      <c r="L52">
        <f t="shared" si="1"/>
        <v>4.5199999999999996</v>
      </c>
      <c r="M52">
        <f t="shared" si="2"/>
        <v>6.5862882990721197</v>
      </c>
      <c r="N52">
        <f>VLOOKUP(K52,AA:AB,2,0)</f>
        <v>3.4779574306230701</v>
      </c>
      <c r="Z52" s="3" t="s">
        <v>54</v>
      </c>
      <c r="AA52" s="1">
        <v>41699</v>
      </c>
      <c r="AB52">
        <v>3.4779574306230701</v>
      </c>
    </row>
    <row r="53" spans="2:28" x14ac:dyDescent="0.25">
      <c r="B53" s="1">
        <v>42064</v>
      </c>
      <c r="C53">
        <v>2257414620.7600002</v>
      </c>
      <c r="D53">
        <v>2.73</v>
      </c>
      <c r="F53" s="4" t="s">
        <v>55</v>
      </c>
      <c r="G53" s="1">
        <v>41730</v>
      </c>
      <c r="H53">
        <v>6.0084508477163698</v>
      </c>
      <c r="K53" s="1">
        <f t="shared" si="0"/>
        <v>41730</v>
      </c>
      <c r="L53">
        <f t="shared" si="1"/>
        <v>3.49</v>
      </c>
      <c r="M53">
        <f t="shared" si="2"/>
        <v>6.0084508477163698</v>
      </c>
      <c r="N53">
        <f>VLOOKUP(K53,AA:AB,2,0)</f>
        <v>3.2102801027790799</v>
      </c>
      <c r="Z53" s="3" t="s">
        <v>55</v>
      </c>
      <c r="AA53" s="1">
        <v>41730</v>
      </c>
      <c r="AB53">
        <v>3.2102801027790799</v>
      </c>
    </row>
    <row r="54" spans="2:28" x14ac:dyDescent="0.25">
      <c r="B54" s="1">
        <v>42095</v>
      </c>
      <c r="C54">
        <v>2218117594.1700001</v>
      </c>
      <c r="D54">
        <v>2.2200000000000002</v>
      </c>
      <c r="F54" s="4" t="s">
        <v>56</v>
      </c>
      <c r="G54" s="1">
        <v>41760</v>
      </c>
      <c r="H54">
        <v>5.4663166505999801</v>
      </c>
      <c r="K54" s="1">
        <f t="shared" si="0"/>
        <v>41760</v>
      </c>
      <c r="L54">
        <f t="shared" si="1"/>
        <v>2.15</v>
      </c>
      <c r="M54">
        <f t="shared" si="2"/>
        <v>5.4663166505999801</v>
      </c>
      <c r="N54">
        <f>VLOOKUP(K54,AA:AB,2,0)</f>
        <v>2.9616111293350298</v>
      </c>
      <c r="Z54" s="3" t="s">
        <v>56</v>
      </c>
      <c r="AA54" s="1">
        <v>41760</v>
      </c>
      <c r="AB54">
        <v>2.9616111293350298</v>
      </c>
    </row>
    <row r="55" spans="2:28" x14ac:dyDescent="0.25">
      <c r="B55" s="1">
        <v>42125</v>
      </c>
      <c r="C55">
        <v>2170861507.0100002</v>
      </c>
      <c r="D55">
        <v>2.3199999999999998</v>
      </c>
      <c r="F55" s="4" t="s">
        <v>57</v>
      </c>
      <c r="G55" s="1">
        <v>41791</v>
      </c>
      <c r="H55">
        <v>4.9945076171345901</v>
      </c>
      <c r="K55" s="1">
        <f t="shared" si="0"/>
        <v>41791</v>
      </c>
      <c r="L55">
        <f t="shared" si="1"/>
        <v>2.92</v>
      </c>
      <c r="M55">
        <f t="shared" si="2"/>
        <v>4.9945076171345901</v>
      </c>
      <c r="N55">
        <f>VLOOKUP(K55,AA:AB,2,0)</f>
        <v>2.7447227918370198</v>
      </c>
      <c r="Z55" s="3" t="s">
        <v>57</v>
      </c>
      <c r="AA55" s="1">
        <v>41791</v>
      </c>
      <c r="AB55">
        <v>2.7447227918370198</v>
      </c>
    </row>
    <row r="56" spans="2:28" x14ac:dyDescent="0.25">
      <c r="B56" s="1">
        <v>42156</v>
      </c>
      <c r="C56">
        <v>2116953247.29</v>
      </c>
      <c r="D56">
        <v>1.61</v>
      </c>
      <c r="F56" s="4" t="s">
        <v>58</v>
      </c>
      <c r="G56" s="1">
        <v>41821</v>
      </c>
      <c r="H56">
        <v>4.8252718566911996</v>
      </c>
      <c r="K56" s="1">
        <f t="shared" si="0"/>
        <v>41821</v>
      </c>
      <c r="L56">
        <f t="shared" si="1"/>
        <v>1.61</v>
      </c>
      <c r="M56">
        <f t="shared" si="2"/>
        <v>4.8252718566911996</v>
      </c>
      <c r="N56">
        <f>VLOOKUP(K56,AA:AB,2,0)</f>
        <v>2.6818534288551001</v>
      </c>
      <c r="Z56" s="3" t="s">
        <v>58</v>
      </c>
      <c r="AA56" s="1">
        <v>41821</v>
      </c>
      <c r="AB56">
        <v>2.6818534288551001</v>
      </c>
    </row>
    <row r="57" spans="2:28" x14ac:dyDescent="0.25">
      <c r="B57" s="1">
        <v>42186</v>
      </c>
      <c r="C57">
        <v>2074677387.1099999</v>
      </c>
      <c r="D57">
        <v>1.95</v>
      </c>
      <c r="F57" s="4" t="s">
        <v>59</v>
      </c>
      <c r="G57" s="1">
        <v>41852</v>
      </c>
      <c r="H57">
        <v>4.8801166343429703</v>
      </c>
      <c r="K57" s="1">
        <f t="shared" si="0"/>
        <v>41852</v>
      </c>
      <c r="L57">
        <f t="shared" si="1"/>
        <v>2.57</v>
      </c>
      <c r="M57">
        <f t="shared" si="2"/>
        <v>4.8801166343429703</v>
      </c>
      <c r="N57">
        <f>VLOOKUP(K57,AA:AB,2,0)</f>
        <v>2.74147351419324</v>
      </c>
      <c r="Z57" s="3" t="s">
        <v>59</v>
      </c>
      <c r="AA57" s="1">
        <v>41852</v>
      </c>
      <c r="AB57">
        <v>2.74147351419324</v>
      </c>
    </row>
    <row r="58" spans="2:28" x14ac:dyDescent="0.25">
      <c r="B58" s="1">
        <v>42217</v>
      </c>
      <c r="C58">
        <v>2026881719.5999999</v>
      </c>
      <c r="D58">
        <v>3.35</v>
      </c>
      <c r="F58" s="4" t="s">
        <v>60</v>
      </c>
      <c r="G58" s="1">
        <v>41883</v>
      </c>
      <c r="H58">
        <v>4.5630970718356396</v>
      </c>
      <c r="K58" s="1">
        <f t="shared" si="0"/>
        <v>41883</v>
      </c>
      <c r="L58">
        <f t="shared" si="1"/>
        <v>2.19</v>
      </c>
      <c r="M58">
        <f t="shared" si="2"/>
        <v>4.5630970718356396</v>
      </c>
      <c r="N58">
        <f>VLOOKUP(K58,AA:AB,2,0)</f>
        <v>2.5917640729797902</v>
      </c>
      <c r="Z58" s="3" t="s">
        <v>60</v>
      </c>
      <c r="AA58" s="1">
        <v>41883</v>
      </c>
      <c r="AB58">
        <v>2.5917640729797902</v>
      </c>
    </row>
    <row r="59" spans="2:28" x14ac:dyDescent="0.25">
      <c r="B59" s="1">
        <v>42248</v>
      </c>
      <c r="C59">
        <v>1979754105.3900001</v>
      </c>
      <c r="D59">
        <v>1.91</v>
      </c>
      <c r="F59" s="4" t="s">
        <v>61</v>
      </c>
      <c r="G59" s="1">
        <v>41913</v>
      </c>
      <c r="H59">
        <v>4.5665392456112697</v>
      </c>
      <c r="K59" s="1">
        <f t="shared" si="0"/>
        <v>41913</v>
      </c>
      <c r="L59">
        <f t="shared" si="1"/>
        <v>1.75</v>
      </c>
      <c r="M59">
        <f t="shared" si="2"/>
        <v>4.5665392456112697</v>
      </c>
      <c r="N59">
        <f>VLOOKUP(K59,AA:AB,2,0)</f>
        <v>2.61826870881143</v>
      </c>
      <c r="Z59" s="3" t="s">
        <v>61</v>
      </c>
      <c r="AA59" s="1">
        <v>41913</v>
      </c>
      <c r="AB59">
        <v>2.61826870881143</v>
      </c>
    </row>
    <row r="60" spans="2:28" x14ac:dyDescent="0.25">
      <c r="B60" s="1">
        <v>42278</v>
      </c>
      <c r="C60">
        <v>1935154235.6700001</v>
      </c>
      <c r="D60">
        <v>1.91</v>
      </c>
      <c r="F60" s="4" t="s">
        <v>62</v>
      </c>
      <c r="G60" s="1">
        <v>41944</v>
      </c>
      <c r="H60">
        <v>4.5447268829130598</v>
      </c>
      <c r="K60" s="1">
        <f t="shared" si="0"/>
        <v>41944</v>
      </c>
      <c r="L60">
        <f t="shared" si="1"/>
        <v>3.22</v>
      </c>
      <c r="M60">
        <f t="shared" si="2"/>
        <v>4.5447268829130598</v>
      </c>
      <c r="N60">
        <f>VLOOKUP(K60,AA:AB,2,0)</f>
        <v>2.63090213102415</v>
      </c>
      <c r="Z60" s="3" t="s">
        <v>62</v>
      </c>
      <c r="AA60" s="1">
        <v>41944</v>
      </c>
      <c r="AB60">
        <v>2.63090213102415</v>
      </c>
    </row>
    <row r="61" spans="2:28" x14ac:dyDescent="0.25">
      <c r="B61" s="1">
        <v>42309</v>
      </c>
      <c r="C61">
        <v>1894435823.0799999</v>
      </c>
      <c r="D61">
        <v>2.0499999999999998</v>
      </c>
      <c r="F61" s="4" t="s">
        <v>63</v>
      </c>
      <c r="G61" s="1">
        <v>41974</v>
      </c>
      <c r="H61">
        <v>4.5541677259808697</v>
      </c>
      <c r="K61" s="1">
        <f t="shared" si="0"/>
        <v>41974</v>
      </c>
      <c r="L61">
        <f t="shared" si="1"/>
        <v>1.74</v>
      </c>
      <c r="M61">
        <f t="shared" si="2"/>
        <v>4.5541677259808697</v>
      </c>
      <c r="N61">
        <f>VLOOKUP(K61,AA:AB,2,0)</f>
        <v>2.6603323992907399</v>
      </c>
      <c r="Z61" s="3" t="s">
        <v>63</v>
      </c>
      <c r="AA61" s="1">
        <v>41974</v>
      </c>
      <c r="AB61">
        <v>2.6603323992907399</v>
      </c>
    </row>
    <row r="62" spans="2:28" x14ac:dyDescent="0.25">
      <c r="B62" s="1">
        <v>42339</v>
      </c>
      <c r="C62">
        <v>1855806779.9000001</v>
      </c>
      <c r="D62">
        <v>2.35</v>
      </c>
      <c r="F62" s="4" t="s">
        <v>64</v>
      </c>
      <c r="G62" s="1">
        <v>42005</v>
      </c>
      <c r="H62">
        <v>4.5077005112374904</v>
      </c>
      <c r="K62" s="1">
        <f t="shared" si="0"/>
        <v>42005</v>
      </c>
      <c r="L62">
        <f t="shared" si="1"/>
        <v>2.66</v>
      </c>
      <c r="M62">
        <f t="shared" si="2"/>
        <v>4.5077005112374904</v>
      </c>
      <c r="N62">
        <f>VLOOKUP(K62,AA:AB,2,0)</f>
        <v>2.65323615069138</v>
      </c>
      <c r="Z62" s="3" t="s">
        <v>64</v>
      </c>
      <c r="AA62" s="1">
        <v>42005</v>
      </c>
      <c r="AB62">
        <v>2.65323615069138</v>
      </c>
    </row>
    <row r="63" spans="2:28" x14ac:dyDescent="0.25">
      <c r="F63" s="4" t="s">
        <v>65</v>
      </c>
      <c r="G63" s="1">
        <v>42036</v>
      </c>
      <c r="H63">
        <v>4.4515292650540896</v>
      </c>
      <c r="K63" s="1">
        <f t="shared" si="0"/>
        <v>42036</v>
      </c>
      <c r="L63">
        <f t="shared" si="1"/>
        <v>2.4500000000000002</v>
      </c>
      <c r="M63">
        <f t="shared" si="2"/>
        <v>4.4515292650540896</v>
      </c>
      <c r="N63">
        <f>VLOOKUP(K63,AA:AB,2,0)</f>
        <v>2.6384871268061798</v>
      </c>
      <c r="Z63" s="3" t="s">
        <v>65</v>
      </c>
      <c r="AA63" s="1">
        <v>42036</v>
      </c>
      <c r="AB63">
        <v>2.6384871268061798</v>
      </c>
    </row>
    <row r="64" spans="2:28" x14ac:dyDescent="0.25">
      <c r="F64" s="4" t="s">
        <v>66</v>
      </c>
      <c r="G64" s="1">
        <v>42064</v>
      </c>
      <c r="H64">
        <v>4.4048378200551603</v>
      </c>
      <c r="K64" s="1">
        <f t="shared" si="0"/>
        <v>42064</v>
      </c>
      <c r="L64">
        <f t="shared" si="1"/>
        <v>2.73</v>
      </c>
      <c r="M64">
        <f t="shared" si="2"/>
        <v>4.4048378200551603</v>
      </c>
      <c r="N64">
        <f>VLOOKUP(K64,AA:AB,2,0)</f>
        <v>2.62549970353456</v>
      </c>
      <c r="Z64" s="3" t="s">
        <v>66</v>
      </c>
      <c r="AA64" s="1">
        <v>42064</v>
      </c>
      <c r="AB64">
        <v>2.62549970353456</v>
      </c>
    </row>
    <row r="65" spans="6:28" x14ac:dyDescent="0.25">
      <c r="F65" s="4" t="s">
        <v>67</v>
      </c>
      <c r="G65" s="1">
        <v>42095</v>
      </c>
      <c r="H65">
        <v>4.1302062401379702</v>
      </c>
      <c r="K65" s="1">
        <f t="shared" si="0"/>
        <v>42095</v>
      </c>
      <c r="L65">
        <f t="shared" si="1"/>
        <v>2.2200000000000002</v>
      </c>
      <c r="M65">
        <f t="shared" si="2"/>
        <v>4.1302062401379702</v>
      </c>
      <c r="N65">
        <f>VLOOKUP(K65,AA:AB,2,0)</f>
        <v>2.4450188127535002</v>
      </c>
      <c r="Z65" s="3" t="s">
        <v>67</v>
      </c>
      <c r="AA65" s="1">
        <v>42095</v>
      </c>
      <c r="AB65">
        <v>2.4450188127535002</v>
      </c>
    </row>
    <row r="66" spans="6:28" x14ac:dyDescent="0.25">
      <c r="F66" s="4" t="s">
        <v>68</v>
      </c>
      <c r="G66" s="1">
        <v>42125</v>
      </c>
      <c r="H66">
        <v>3.90210311287237</v>
      </c>
      <c r="K66" s="1">
        <f t="shared" si="0"/>
        <v>42125</v>
      </c>
      <c r="L66">
        <f t="shared" si="1"/>
        <v>2.3199999999999998</v>
      </c>
      <c r="M66">
        <f t="shared" si="2"/>
        <v>3.90210311287237</v>
      </c>
      <c r="N66">
        <f>VLOOKUP(K66,AA:AB,2,0)</f>
        <v>2.27944566025498</v>
      </c>
      <c r="Z66" s="3" t="s">
        <v>68</v>
      </c>
      <c r="AA66" s="1">
        <v>42125</v>
      </c>
      <c r="AB66">
        <v>2.27944566025498</v>
      </c>
    </row>
    <row r="67" spans="6:28" x14ac:dyDescent="0.25">
      <c r="F67" s="4" t="s">
        <v>69</v>
      </c>
      <c r="G67" s="1">
        <v>42156</v>
      </c>
      <c r="H67">
        <v>3.7199997101628002</v>
      </c>
      <c r="K67" s="1">
        <f t="shared" si="0"/>
        <v>42156</v>
      </c>
      <c r="L67">
        <f t="shared" si="1"/>
        <v>1.61</v>
      </c>
      <c r="M67">
        <f t="shared" si="2"/>
        <v>3.7199997101628002</v>
      </c>
      <c r="N67">
        <f>VLOOKUP(K67,AA:AB,2,0)</f>
        <v>2.1347421444261698</v>
      </c>
      <c r="Z67" s="3" t="s">
        <v>69</v>
      </c>
      <c r="AA67" s="1">
        <v>42156</v>
      </c>
      <c r="AB67">
        <v>2.1347421444261698</v>
      </c>
    </row>
    <row r="68" spans="6:28" x14ac:dyDescent="0.25">
      <c r="F68" s="4" t="s">
        <v>70</v>
      </c>
      <c r="G68" s="1">
        <v>42186</v>
      </c>
      <c r="H68">
        <v>3.6836297099759898</v>
      </c>
      <c r="K68" s="1">
        <f t="shared" ref="K68:K76" si="3">G68</f>
        <v>42186</v>
      </c>
      <c r="L68">
        <f t="shared" ref="L68:L76" si="4">VLOOKUP(K68,B:D,3,0)</f>
        <v>1.95</v>
      </c>
      <c r="M68">
        <f t="shared" ref="M68:M76" si="5">VLOOKUP(K68,G:H,2,0)</f>
        <v>3.6836297099759898</v>
      </c>
      <c r="N68">
        <f>VLOOKUP(K68,AA:AB,2,0)</f>
        <v>2.1034637806510599</v>
      </c>
      <c r="Z68" s="3" t="s">
        <v>70</v>
      </c>
      <c r="AA68" s="1">
        <v>42186</v>
      </c>
      <c r="AB68">
        <v>2.1034637806510599</v>
      </c>
    </row>
    <row r="69" spans="6:28" x14ac:dyDescent="0.25">
      <c r="F69" s="4" t="s">
        <v>71</v>
      </c>
      <c r="G69" s="1">
        <v>42217</v>
      </c>
      <c r="H69">
        <v>3.63660868484209</v>
      </c>
      <c r="K69" s="1">
        <f t="shared" si="3"/>
        <v>42217</v>
      </c>
      <c r="L69">
        <f t="shared" si="4"/>
        <v>3.35</v>
      </c>
      <c r="M69">
        <f t="shared" si="5"/>
        <v>3.63660868484209</v>
      </c>
      <c r="N69">
        <f>VLOOKUP(K69,AA:AB,2,0)</f>
        <v>2.0622269766983901</v>
      </c>
      <c r="Z69" s="3" t="s">
        <v>71</v>
      </c>
      <c r="AA69" s="1">
        <v>42217</v>
      </c>
      <c r="AB69">
        <v>2.0622269766983901</v>
      </c>
    </row>
    <row r="70" spans="6:28" x14ac:dyDescent="0.25">
      <c r="F70" s="4" t="s">
        <v>72</v>
      </c>
      <c r="G70" s="1">
        <v>42248</v>
      </c>
      <c r="H70">
        <v>3.5902995883770301</v>
      </c>
      <c r="K70" s="1">
        <f t="shared" si="3"/>
        <v>42248</v>
      </c>
      <c r="L70">
        <f t="shared" si="4"/>
        <v>1.91</v>
      </c>
      <c r="M70">
        <f t="shared" si="5"/>
        <v>3.5902995883770301</v>
      </c>
      <c r="N70">
        <f>VLOOKUP(K70,AA:AB,2,0)</f>
        <v>2.02079191665243</v>
      </c>
      <c r="Z70" s="3" t="s">
        <v>72</v>
      </c>
      <c r="AA70" s="1">
        <v>42248</v>
      </c>
      <c r="AB70">
        <v>2.02079191665243</v>
      </c>
    </row>
    <row r="71" spans="6:28" x14ac:dyDescent="0.25">
      <c r="F71" s="4" t="s">
        <v>73</v>
      </c>
      <c r="G71" s="1">
        <v>42278</v>
      </c>
      <c r="H71">
        <v>3.62145628525042</v>
      </c>
      <c r="K71" s="1">
        <f t="shared" si="3"/>
        <v>42278</v>
      </c>
      <c r="L71">
        <f t="shared" si="4"/>
        <v>1.91</v>
      </c>
      <c r="M71">
        <f t="shared" si="5"/>
        <v>3.62145628525042</v>
      </c>
      <c r="N71">
        <f>VLOOKUP(K71,AA:AB,2,0)</f>
        <v>2.0433554938402598</v>
      </c>
      <c r="Z71" s="3" t="s">
        <v>73</v>
      </c>
      <c r="AA71" s="1">
        <v>42278</v>
      </c>
      <c r="AB71">
        <v>2.0433554938402598</v>
      </c>
    </row>
    <row r="72" spans="6:28" x14ac:dyDescent="0.25">
      <c r="F72" s="4" t="s">
        <v>74</v>
      </c>
      <c r="G72" s="1">
        <v>42309</v>
      </c>
      <c r="H72">
        <v>3.6481288990465699</v>
      </c>
      <c r="K72" s="1">
        <f t="shared" si="3"/>
        <v>42309</v>
      </c>
      <c r="L72">
        <f t="shared" si="4"/>
        <v>2.0499999999999998</v>
      </c>
      <c r="M72">
        <f t="shared" si="5"/>
        <v>3.6481288990465699</v>
      </c>
      <c r="N72">
        <f>VLOOKUP(K72,AA:AB,2,0)</f>
        <v>2.0627657711634302</v>
      </c>
      <c r="Z72" s="3" t="s">
        <v>74</v>
      </c>
      <c r="AA72" s="1">
        <v>42309</v>
      </c>
      <c r="AB72">
        <v>2.0627657711634302</v>
      </c>
    </row>
    <row r="73" spans="6:28" x14ac:dyDescent="0.25">
      <c r="F73" s="4" t="s">
        <v>75</v>
      </c>
      <c r="G73" s="1">
        <v>42339</v>
      </c>
      <c r="H73">
        <v>3.6635048691987899</v>
      </c>
      <c r="K73" s="1">
        <f t="shared" si="3"/>
        <v>42339</v>
      </c>
      <c r="L73">
        <f t="shared" si="4"/>
        <v>2.35</v>
      </c>
      <c r="M73">
        <f t="shared" si="5"/>
        <v>3.6635048691987899</v>
      </c>
      <c r="N73">
        <f>VLOOKUP(K73,AA:AB,2,0)</f>
        <v>2.0699461258121401</v>
      </c>
      <c r="Z73" s="3" t="s">
        <v>75</v>
      </c>
      <c r="AA73" s="1">
        <v>42339</v>
      </c>
      <c r="AB73">
        <v>2.0699461258121401</v>
      </c>
    </row>
    <row r="74" spans="6:28" x14ac:dyDescent="0.25">
      <c r="F74" s="4" t="s">
        <v>76</v>
      </c>
      <c r="G74" s="1">
        <v>42278</v>
      </c>
      <c r="H74">
        <v>3.9455780030451</v>
      </c>
      <c r="K74" s="1">
        <f t="shared" si="3"/>
        <v>42278</v>
      </c>
      <c r="L74">
        <f t="shared" si="4"/>
        <v>1.91</v>
      </c>
      <c r="M74">
        <f t="shared" si="5"/>
        <v>3.62145628525042</v>
      </c>
      <c r="N74">
        <f>VLOOKUP(K74,AA:AB,2,0)</f>
        <v>2.0433554938402598</v>
      </c>
      <c r="Z74" s="3" t="s">
        <v>76</v>
      </c>
      <c r="AA74" s="1">
        <v>42278</v>
      </c>
      <c r="AB74">
        <v>1.30863273875341</v>
      </c>
    </row>
    <row r="75" spans="6:28" x14ac:dyDescent="0.25">
      <c r="F75" s="4" t="s">
        <v>77</v>
      </c>
      <c r="G75" s="1">
        <v>42309</v>
      </c>
      <c r="H75">
        <v>3.9512773767253799</v>
      </c>
      <c r="K75" s="1">
        <f t="shared" si="3"/>
        <v>42309</v>
      </c>
      <c r="L75">
        <f t="shared" si="4"/>
        <v>2.0499999999999998</v>
      </c>
      <c r="M75">
        <f t="shared" si="5"/>
        <v>3.6481288990465699</v>
      </c>
      <c r="N75">
        <f>VLOOKUP(K75,AA:AB,2,0)</f>
        <v>2.0627657711634302</v>
      </c>
      <c r="Z75" s="3" t="s">
        <v>77</v>
      </c>
      <c r="AA75" s="1">
        <v>42309</v>
      </c>
      <c r="AB75">
        <v>1.33584744403711</v>
      </c>
    </row>
    <row r="76" spans="6:28" x14ac:dyDescent="0.25">
      <c r="F76" s="4" t="s">
        <v>78</v>
      </c>
      <c r="G76" s="1">
        <v>42339</v>
      </c>
      <c r="H76">
        <v>4.0183490747602999</v>
      </c>
      <c r="K76" s="1">
        <f t="shared" si="3"/>
        <v>42339</v>
      </c>
      <c r="L76">
        <f t="shared" si="4"/>
        <v>2.35</v>
      </c>
      <c r="M76">
        <f t="shared" si="5"/>
        <v>3.6635048691987899</v>
      </c>
      <c r="N76">
        <f>VLOOKUP(K76,AA:AB,2,0)</f>
        <v>2.0699461258121401</v>
      </c>
      <c r="Z76" s="3" t="s">
        <v>78</v>
      </c>
      <c r="AA76" s="1">
        <v>42339</v>
      </c>
      <c r="AB76">
        <v>1.35980514358282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76"/>
  <sheetViews>
    <sheetView workbookViewId="0">
      <selection activeCell="Z22" sqref="Z22"/>
    </sheetView>
  </sheetViews>
  <sheetFormatPr defaultRowHeight="15" x14ac:dyDescent="0.25"/>
  <cols>
    <col min="2" max="2" width="15.42578125" bestFit="1" customWidth="1"/>
    <col min="3" max="3" width="15.28515625" bestFit="1" customWidth="1"/>
    <col min="7" max="7" width="10.42578125" bestFit="1" customWidth="1"/>
    <col min="11" max="11" width="10.42578125" bestFit="1" customWidth="1"/>
  </cols>
  <sheetData>
    <row r="1" spans="2:29" x14ac:dyDescent="0.25">
      <c r="B1">
        <v>2010</v>
      </c>
    </row>
    <row r="2" spans="2:29" x14ac:dyDescent="0.25">
      <c r="B2" t="s">
        <v>0</v>
      </c>
      <c r="C2" t="s">
        <v>1</v>
      </c>
      <c r="D2" t="s">
        <v>2</v>
      </c>
      <c r="F2" t="s">
        <v>3</v>
      </c>
      <c r="G2" t="s">
        <v>4</v>
      </c>
      <c r="L2" t="s">
        <v>79</v>
      </c>
      <c r="M2" t="s">
        <v>80</v>
      </c>
      <c r="N2" t="s">
        <v>81</v>
      </c>
      <c r="AA2" s="3"/>
      <c r="AB2" t="s">
        <v>3</v>
      </c>
      <c r="AC2" t="s">
        <v>4</v>
      </c>
    </row>
    <row r="3" spans="2:29" x14ac:dyDescent="0.25">
      <c r="B3" s="1">
        <v>40725</v>
      </c>
      <c r="C3" s="2">
        <v>3498911147.2800002</v>
      </c>
      <c r="D3">
        <v>0.59</v>
      </c>
      <c r="F3" s="1" t="s">
        <v>5</v>
      </c>
      <c r="G3" s="1">
        <v>40575</v>
      </c>
      <c r="H3">
        <v>0.40851036474546198</v>
      </c>
      <c r="K3" s="1">
        <f>G3</f>
        <v>40575</v>
      </c>
      <c r="L3" t="e">
        <f>VLOOKUP(K3,B:D,3,0)</f>
        <v>#N/A</v>
      </c>
      <c r="M3">
        <f>VLOOKUP(K3,G:H,2,0)</f>
        <v>0.40851036474546198</v>
      </c>
      <c r="N3">
        <f>VLOOKUP(K3,AB:AC,2,0)</f>
        <v>0.20444799072272299</v>
      </c>
      <c r="AA3" s="1" t="s">
        <v>5</v>
      </c>
      <c r="AB3" s="1">
        <v>40575</v>
      </c>
      <c r="AC3">
        <v>0.20444799072272299</v>
      </c>
    </row>
    <row r="4" spans="2:29" x14ac:dyDescent="0.25">
      <c r="B4" s="1">
        <v>40756</v>
      </c>
      <c r="C4" s="2">
        <v>4151088960.4699998</v>
      </c>
      <c r="D4">
        <v>0.6</v>
      </c>
      <c r="F4" s="1" t="s">
        <v>6</v>
      </c>
      <c r="G4" s="1">
        <v>40603</v>
      </c>
      <c r="H4">
        <v>0.34297989254136202</v>
      </c>
      <c r="K4" s="1">
        <f t="shared" ref="K4:K67" si="0">G4</f>
        <v>40603</v>
      </c>
      <c r="L4" t="e">
        <f t="shared" ref="L4:L67" si="1">VLOOKUP(K4,B:D,3,0)</f>
        <v>#N/A</v>
      </c>
      <c r="M4">
        <f t="shared" ref="M4:M67" si="2">VLOOKUP(K4,G:H,2,0)</f>
        <v>0.34297989254136202</v>
      </c>
      <c r="N4">
        <f t="shared" ref="N4:N61" si="3">VLOOKUP(K4,AB:AC,2,0)</f>
        <v>0.17162597516550099</v>
      </c>
      <c r="AA4" s="1" t="s">
        <v>6</v>
      </c>
      <c r="AB4" s="1">
        <v>40603</v>
      </c>
      <c r="AC4">
        <v>0.17162597516550099</v>
      </c>
    </row>
    <row r="5" spans="2:29" x14ac:dyDescent="0.25">
      <c r="B5" s="1">
        <v>40787</v>
      </c>
      <c r="C5" s="2">
        <v>4661124463.79</v>
      </c>
      <c r="D5">
        <v>0.54</v>
      </c>
      <c r="F5" s="1" t="s">
        <v>7</v>
      </c>
      <c r="G5" s="1">
        <v>40634</v>
      </c>
      <c r="H5">
        <v>0.52809510764843004</v>
      </c>
      <c r="K5" s="1">
        <f t="shared" si="0"/>
        <v>40634</v>
      </c>
      <c r="L5" t="e">
        <f t="shared" si="1"/>
        <v>#N/A</v>
      </c>
      <c r="M5">
        <f t="shared" si="2"/>
        <v>0.52809510764843004</v>
      </c>
      <c r="N5">
        <f t="shared" si="3"/>
        <v>0.26436950585473401</v>
      </c>
      <c r="AA5" s="1" t="s">
        <v>7</v>
      </c>
      <c r="AB5" s="1">
        <v>40634</v>
      </c>
      <c r="AC5">
        <v>0.26436950585473401</v>
      </c>
    </row>
    <row r="6" spans="2:29" x14ac:dyDescent="0.25">
      <c r="B6" s="1">
        <v>40817</v>
      </c>
      <c r="C6" s="2">
        <v>5220562972.5699997</v>
      </c>
      <c r="D6">
        <v>0.71</v>
      </c>
      <c r="F6" s="1" t="s">
        <v>8</v>
      </c>
      <c r="G6" s="1">
        <v>40664</v>
      </c>
      <c r="H6">
        <v>0.78157565157823705</v>
      </c>
      <c r="K6" s="1">
        <f t="shared" si="0"/>
        <v>40664</v>
      </c>
      <c r="L6" t="e">
        <f t="shared" si="1"/>
        <v>#N/A</v>
      </c>
      <c r="M6">
        <f t="shared" si="2"/>
        <v>0.78157565157823705</v>
      </c>
      <c r="N6">
        <f t="shared" si="3"/>
        <v>0.39149281341311898</v>
      </c>
      <c r="AA6" s="1" t="s">
        <v>8</v>
      </c>
      <c r="AB6" s="1">
        <v>40664</v>
      </c>
      <c r="AC6">
        <v>0.39149281341311898</v>
      </c>
    </row>
    <row r="7" spans="2:29" x14ac:dyDescent="0.25">
      <c r="B7" s="1">
        <v>40848</v>
      </c>
      <c r="C7" s="2">
        <v>5802163253.3599997</v>
      </c>
      <c r="D7">
        <v>1.1200000000000001</v>
      </c>
      <c r="F7" s="1" t="s">
        <v>9</v>
      </c>
      <c r="G7" s="1">
        <v>40695</v>
      </c>
      <c r="H7">
        <v>1.0078393803618</v>
      </c>
      <c r="K7" s="1">
        <f t="shared" si="0"/>
        <v>40695</v>
      </c>
      <c r="L7" t="e">
        <f t="shared" si="1"/>
        <v>#N/A</v>
      </c>
      <c r="M7">
        <f t="shared" si="2"/>
        <v>1.0078393803618</v>
      </c>
      <c r="N7">
        <f t="shared" si="3"/>
        <v>0.50509242028021795</v>
      </c>
      <c r="AA7" s="1" t="s">
        <v>9</v>
      </c>
      <c r="AB7" s="1">
        <v>40695</v>
      </c>
      <c r="AC7">
        <v>0.50509242028021795</v>
      </c>
    </row>
    <row r="8" spans="2:29" x14ac:dyDescent="0.25">
      <c r="B8" s="1">
        <v>40878</v>
      </c>
      <c r="C8" s="2">
        <v>6320570919.8800001</v>
      </c>
      <c r="D8">
        <v>1.1499999999999999</v>
      </c>
      <c r="F8" s="1" t="s">
        <v>10</v>
      </c>
      <c r="G8" s="1">
        <v>40725</v>
      </c>
      <c r="H8">
        <v>1.2499373631255</v>
      </c>
      <c r="K8" s="1">
        <f t="shared" si="0"/>
        <v>40725</v>
      </c>
      <c r="L8">
        <f t="shared" si="1"/>
        <v>0.59</v>
      </c>
      <c r="M8">
        <f t="shared" si="2"/>
        <v>1.2499373631255</v>
      </c>
      <c r="N8">
        <f t="shared" si="3"/>
        <v>0.62677381289293299</v>
      </c>
      <c r="AA8" s="1" t="s">
        <v>10</v>
      </c>
      <c r="AB8" s="1">
        <v>40725</v>
      </c>
      <c r="AC8">
        <v>0.62677381289293299</v>
      </c>
    </row>
    <row r="9" spans="2:29" x14ac:dyDescent="0.25">
      <c r="B9" s="1">
        <v>40909</v>
      </c>
      <c r="C9" s="2">
        <v>6807761223.6099997</v>
      </c>
      <c r="D9">
        <v>1.33</v>
      </c>
      <c r="F9" s="1" t="s">
        <v>11</v>
      </c>
      <c r="G9" s="1">
        <v>40756</v>
      </c>
      <c r="H9">
        <v>1.50273793049608</v>
      </c>
      <c r="K9" s="1">
        <f t="shared" si="0"/>
        <v>40756</v>
      </c>
      <c r="L9">
        <f t="shared" si="1"/>
        <v>0.6</v>
      </c>
      <c r="M9">
        <f t="shared" si="2"/>
        <v>1.50273793049608</v>
      </c>
      <c r="N9">
        <f t="shared" si="3"/>
        <v>0.75398054952822102</v>
      </c>
      <c r="AA9" s="1" t="s">
        <v>11</v>
      </c>
      <c r="AB9" s="1">
        <v>40756</v>
      </c>
      <c r="AC9">
        <v>0.75398054952822102</v>
      </c>
    </row>
    <row r="10" spans="2:29" x14ac:dyDescent="0.25">
      <c r="B10" s="1">
        <v>40940</v>
      </c>
      <c r="C10" s="2">
        <v>7014487012.6899996</v>
      </c>
      <c r="D10">
        <v>1.57</v>
      </c>
      <c r="F10" s="1" t="s">
        <v>12</v>
      </c>
      <c r="G10" s="1">
        <v>40787</v>
      </c>
      <c r="H10">
        <v>1.7510466683486501</v>
      </c>
      <c r="K10" s="1">
        <f t="shared" si="0"/>
        <v>40787</v>
      </c>
      <c r="L10">
        <f t="shared" si="1"/>
        <v>0.54</v>
      </c>
      <c r="M10">
        <f t="shared" si="2"/>
        <v>1.7510466683486501</v>
      </c>
      <c r="N10">
        <f t="shared" si="3"/>
        <v>0.87907289047496295</v>
      </c>
      <c r="AA10" s="1" t="s">
        <v>12</v>
      </c>
      <c r="AB10" s="1">
        <v>40787</v>
      </c>
      <c r="AC10">
        <v>0.87907289047496295</v>
      </c>
    </row>
    <row r="11" spans="2:29" x14ac:dyDescent="0.25">
      <c r="B11" s="1">
        <v>40969</v>
      </c>
      <c r="C11" s="2">
        <v>6990068949.0299997</v>
      </c>
      <c r="D11">
        <v>1.61</v>
      </c>
      <c r="F11" s="1" t="s">
        <v>13</v>
      </c>
      <c r="G11" s="1">
        <v>40817</v>
      </c>
      <c r="H11">
        <v>2.0214457401212602</v>
      </c>
      <c r="K11" s="1">
        <f t="shared" si="0"/>
        <v>40817</v>
      </c>
      <c r="L11">
        <f t="shared" si="1"/>
        <v>0.71</v>
      </c>
      <c r="M11">
        <f t="shared" si="2"/>
        <v>2.0214457401212602</v>
      </c>
      <c r="N11">
        <f t="shared" si="3"/>
        <v>1.01545889067242</v>
      </c>
      <c r="AA11" s="1" t="s">
        <v>13</v>
      </c>
      <c r="AB11" s="1">
        <v>40817</v>
      </c>
      <c r="AC11">
        <v>1.01545889067242</v>
      </c>
    </row>
    <row r="12" spans="2:29" x14ac:dyDescent="0.25">
      <c r="B12" s="1">
        <v>41000</v>
      </c>
      <c r="C12" s="2">
        <v>6963851362.25</v>
      </c>
      <c r="D12">
        <v>2.2200000000000002</v>
      </c>
      <c r="F12" s="4" t="s">
        <v>14</v>
      </c>
      <c r="G12" s="1">
        <v>40848</v>
      </c>
      <c r="H12">
        <v>2.2493980356381602</v>
      </c>
      <c r="K12" s="1">
        <f t="shared" si="0"/>
        <v>40848</v>
      </c>
      <c r="L12">
        <f t="shared" si="1"/>
        <v>1.1200000000000001</v>
      </c>
      <c r="M12">
        <f t="shared" si="2"/>
        <v>2.2493980356381602</v>
      </c>
      <c r="N12">
        <f t="shared" si="3"/>
        <v>1.13056944139005</v>
      </c>
      <c r="AA12" s="3" t="s">
        <v>14</v>
      </c>
      <c r="AB12" s="1">
        <v>40848</v>
      </c>
      <c r="AC12">
        <v>1.13056944139005</v>
      </c>
    </row>
    <row r="13" spans="2:29" x14ac:dyDescent="0.25">
      <c r="B13" s="1">
        <v>41030</v>
      </c>
      <c r="C13" s="2">
        <v>6933590308.3199997</v>
      </c>
      <c r="D13">
        <v>1.93</v>
      </c>
      <c r="F13" s="4" t="s">
        <v>15</v>
      </c>
      <c r="G13" s="1">
        <v>40878</v>
      </c>
      <c r="H13">
        <v>2.56205509016183</v>
      </c>
      <c r="K13" s="1">
        <f t="shared" si="0"/>
        <v>40878</v>
      </c>
      <c r="L13">
        <f t="shared" si="1"/>
        <v>1.1499999999999999</v>
      </c>
      <c r="M13">
        <f t="shared" si="2"/>
        <v>2.56205509016183</v>
      </c>
      <c r="N13">
        <f t="shared" si="3"/>
        <v>1.28865439081101</v>
      </c>
      <c r="AA13" s="3" t="s">
        <v>15</v>
      </c>
      <c r="AB13" s="1">
        <v>40878</v>
      </c>
      <c r="AC13">
        <v>1.28865439081101</v>
      </c>
    </row>
    <row r="14" spans="2:29" x14ac:dyDescent="0.25">
      <c r="B14" s="1">
        <v>41061</v>
      </c>
      <c r="C14" s="2">
        <v>6905136024.5600004</v>
      </c>
      <c r="D14">
        <v>2.42</v>
      </c>
      <c r="F14" s="4" t="s">
        <v>16</v>
      </c>
      <c r="G14" s="1">
        <v>40909</v>
      </c>
      <c r="H14">
        <v>2.7883747870184701</v>
      </c>
      <c r="K14" s="1">
        <f t="shared" si="0"/>
        <v>40909</v>
      </c>
      <c r="L14">
        <f t="shared" si="1"/>
        <v>1.33</v>
      </c>
      <c r="M14">
        <f t="shared" si="2"/>
        <v>2.7883747870184701</v>
      </c>
      <c r="N14">
        <f t="shared" si="3"/>
        <v>1.40323089721179</v>
      </c>
      <c r="AA14" s="3" t="s">
        <v>16</v>
      </c>
      <c r="AB14" s="1">
        <v>40909</v>
      </c>
      <c r="AC14">
        <v>1.40323089721179</v>
      </c>
    </row>
    <row r="15" spans="2:29" x14ac:dyDescent="0.25">
      <c r="B15" s="1">
        <v>41091</v>
      </c>
      <c r="C15" s="2">
        <v>6868029951.75</v>
      </c>
      <c r="D15">
        <v>3.01</v>
      </c>
      <c r="F15" s="4" t="s">
        <v>17</v>
      </c>
      <c r="G15" s="1">
        <v>40940</v>
      </c>
      <c r="H15">
        <v>3.1480408925114798</v>
      </c>
      <c r="K15" s="1">
        <f t="shared" si="0"/>
        <v>40940</v>
      </c>
      <c r="L15">
        <f t="shared" si="1"/>
        <v>1.57</v>
      </c>
      <c r="M15">
        <f t="shared" si="2"/>
        <v>3.1480408925114798</v>
      </c>
      <c r="N15">
        <f t="shared" si="3"/>
        <v>1.5855674305048799</v>
      </c>
      <c r="AA15" s="3" t="s">
        <v>17</v>
      </c>
      <c r="AB15" s="1">
        <v>40940</v>
      </c>
      <c r="AC15">
        <v>1.5855674305048799</v>
      </c>
    </row>
    <row r="16" spans="2:29" x14ac:dyDescent="0.25">
      <c r="B16" s="1">
        <v>41122</v>
      </c>
      <c r="C16" s="2">
        <v>6830080444.0500002</v>
      </c>
      <c r="D16">
        <v>2.6</v>
      </c>
      <c r="F16" s="4" t="s">
        <v>18</v>
      </c>
      <c r="G16" s="1">
        <v>40969</v>
      </c>
      <c r="H16">
        <v>3.5734921946231699</v>
      </c>
      <c r="K16" s="1">
        <f t="shared" si="0"/>
        <v>40969</v>
      </c>
      <c r="L16">
        <f t="shared" si="1"/>
        <v>1.61</v>
      </c>
      <c r="M16">
        <f t="shared" si="2"/>
        <v>3.5734921946231699</v>
      </c>
      <c r="N16">
        <f t="shared" si="3"/>
        <v>1.80165615994425</v>
      </c>
      <c r="AA16" s="3" t="s">
        <v>18</v>
      </c>
      <c r="AB16" s="1">
        <v>40969</v>
      </c>
      <c r="AC16">
        <v>1.80165615994425</v>
      </c>
    </row>
    <row r="17" spans="2:29" x14ac:dyDescent="0.25">
      <c r="B17" s="1">
        <v>41153</v>
      </c>
      <c r="C17" s="2">
        <v>6791956260.3800001</v>
      </c>
      <c r="D17">
        <v>2.78</v>
      </c>
      <c r="F17" s="4" t="s">
        <v>19</v>
      </c>
      <c r="G17" s="1">
        <v>41000</v>
      </c>
      <c r="H17">
        <v>3.8244529874070801</v>
      </c>
      <c r="K17" s="1">
        <f t="shared" si="0"/>
        <v>41000</v>
      </c>
      <c r="L17">
        <f t="shared" si="1"/>
        <v>2.2200000000000002</v>
      </c>
      <c r="M17">
        <f t="shared" si="2"/>
        <v>3.8244529874070801</v>
      </c>
      <c r="N17">
        <f t="shared" si="3"/>
        <v>1.9293255720395299</v>
      </c>
      <c r="AA17" s="3" t="s">
        <v>19</v>
      </c>
      <c r="AB17" s="1">
        <v>41000</v>
      </c>
      <c r="AC17">
        <v>1.9293255720395299</v>
      </c>
    </row>
    <row r="18" spans="2:29" x14ac:dyDescent="0.25">
      <c r="B18" s="1">
        <v>41183</v>
      </c>
      <c r="C18" s="2">
        <v>6750857804.8699999</v>
      </c>
      <c r="D18">
        <v>2.82</v>
      </c>
      <c r="F18" s="4" t="s">
        <v>20</v>
      </c>
      <c r="G18" s="1">
        <v>41030</v>
      </c>
      <c r="H18">
        <v>4.0241829837856598</v>
      </c>
      <c r="K18" s="1">
        <f t="shared" si="0"/>
        <v>41030</v>
      </c>
      <c r="L18">
        <f t="shared" si="1"/>
        <v>1.93</v>
      </c>
      <c r="M18">
        <f t="shared" si="2"/>
        <v>4.0241829837856598</v>
      </c>
      <c r="N18">
        <f t="shared" si="3"/>
        <v>2.0310420526803901</v>
      </c>
      <c r="AA18" s="3" t="s">
        <v>20</v>
      </c>
      <c r="AB18" s="1">
        <v>41030</v>
      </c>
      <c r="AC18">
        <v>2.0310420526803901</v>
      </c>
    </row>
    <row r="19" spans="2:29" x14ac:dyDescent="0.25">
      <c r="B19" s="1">
        <v>41214</v>
      </c>
      <c r="C19" s="2">
        <v>6710860361.4499998</v>
      </c>
      <c r="D19">
        <v>2.81</v>
      </c>
      <c r="F19" s="4" t="s">
        <v>21</v>
      </c>
      <c r="G19" s="1">
        <v>41061</v>
      </c>
      <c r="H19">
        <v>4.1665301584074301</v>
      </c>
      <c r="K19" s="1">
        <f t="shared" si="0"/>
        <v>41061</v>
      </c>
      <c r="L19">
        <f t="shared" si="1"/>
        <v>2.42</v>
      </c>
      <c r="M19">
        <f t="shared" si="2"/>
        <v>4.1665301584074301</v>
      </c>
      <c r="N19">
        <f t="shared" si="3"/>
        <v>2.1035945116255901</v>
      </c>
      <c r="AA19" s="3" t="s">
        <v>21</v>
      </c>
      <c r="AB19" s="1">
        <v>41061</v>
      </c>
      <c r="AC19">
        <v>2.1035945116255901</v>
      </c>
    </row>
    <row r="20" spans="2:29" x14ac:dyDescent="0.25">
      <c r="B20" s="1">
        <v>41244</v>
      </c>
      <c r="C20" s="2">
        <v>6669865133.4899998</v>
      </c>
      <c r="D20">
        <v>3.57</v>
      </c>
      <c r="F20" s="4" t="s">
        <v>22</v>
      </c>
      <c r="G20" s="1">
        <v>41091</v>
      </c>
      <c r="H20">
        <v>4.4115487138339899</v>
      </c>
      <c r="K20" s="1">
        <f t="shared" si="0"/>
        <v>41091</v>
      </c>
      <c r="L20">
        <f t="shared" si="1"/>
        <v>3.01</v>
      </c>
      <c r="M20">
        <f t="shared" si="2"/>
        <v>4.4115487138339899</v>
      </c>
      <c r="N20">
        <f t="shared" si="3"/>
        <v>2.2285931919608601</v>
      </c>
      <c r="AA20" s="3" t="s">
        <v>22</v>
      </c>
      <c r="AB20" s="1">
        <v>41091</v>
      </c>
      <c r="AC20">
        <v>2.2285931919608601</v>
      </c>
    </row>
    <row r="21" spans="2:29" x14ac:dyDescent="0.25">
      <c r="B21" s="1">
        <v>41275</v>
      </c>
      <c r="C21" s="2">
        <v>6620763643.5500002</v>
      </c>
      <c r="D21">
        <v>4.0199999999999996</v>
      </c>
      <c r="F21" s="4" t="s">
        <v>23</v>
      </c>
      <c r="G21" s="1">
        <v>41122</v>
      </c>
      <c r="H21">
        <v>4.6281110555739904</v>
      </c>
      <c r="K21" s="1">
        <f t="shared" si="0"/>
        <v>41122</v>
      </c>
      <c r="L21">
        <f t="shared" si="1"/>
        <v>2.6</v>
      </c>
      <c r="M21">
        <f t="shared" si="2"/>
        <v>4.6281110555739904</v>
      </c>
      <c r="N21">
        <f t="shared" si="3"/>
        <v>2.3391971914915199</v>
      </c>
      <c r="AA21" s="3" t="s">
        <v>23</v>
      </c>
      <c r="AB21" s="1">
        <v>41122</v>
      </c>
      <c r="AC21">
        <v>2.3391971914915199</v>
      </c>
    </row>
    <row r="22" spans="2:29" x14ac:dyDescent="0.25">
      <c r="B22" s="1">
        <v>41306</v>
      </c>
      <c r="C22" s="2">
        <v>6565106376.8900003</v>
      </c>
      <c r="D22">
        <v>3</v>
      </c>
      <c r="F22" s="4" t="s">
        <v>24</v>
      </c>
      <c r="G22" s="1">
        <v>41153</v>
      </c>
      <c r="H22">
        <v>4.8157579244402697</v>
      </c>
      <c r="K22" s="1">
        <f t="shared" si="0"/>
        <v>41153</v>
      </c>
      <c r="L22">
        <f t="shared" si="1"/>
        <v>2.78</v>
      </c>
      <c r="M22">
        <f t="shared" si="2"/>
        <v>4.8157579244402697</v>
      </c>
      <c r="N22">
        <f t="shared" si="3"/>
        <v>2.43512660974408</v>
      </c>
      <c r="AA22" s="3" t="s">
        <v>24</v>
      </c>
      <c r="AB22" s="1">
        <v>41153</v>
      </c>
      <c r="AC22">
        <v>2.43512660974408</v>
      </c>
    </row>
    <row r="23" spans="2:29" x14ac:dyDescent="0.25">
      <c r="B23" s="1">
        <v>41334</v>
      </c>
      <c r="C23" s="2">
        <v>6519589897.8599997</v>
      </c>
      <c r="D23">
        <v>2.86</v>
      </c>
      <c r="F23" s="4" t="s">
        <v>25</v>
      </c>
      <c r="G23" s="1">
        <v>41183</v>
      </c>
      <c r="H23">
        <v>5.04664066008809</v>
      </c>
      <c r="K23" s="1">
        <f t="shared" si="0"/>
        <v>41183</v>
      </c>
      <c r="L23">
        <f t="shared" si="1"/>
        <v>2.82</v>
      </c>
      <c r="M23">
        <f t="shared" si="2"/>
        <v>5.04664066008809</v>
      </c>
      <c r="N23">
        <f t="shared" si="3"/>
        <v>2.5532784642505102</v>
      </c>
      <c r="AA23" s="3" t="s">
        <v>25</v>
      </c>
      <c r="AB23" s="1">
        <v>41183</v>
      </c>
      <c r="AC23">
        <v>2.5532784642505102</v>
      </c>
    </row>
    <row r="24" spans="2:29" x14ac:dyDescent="0.25">
      <c r="B24" s="1">
        <v>41365</v>
      </c>
      <c r="C24" s="2">
        <v>6470578640.0600004</v>
      </c>
      <c r="D24">
        <v>3.33</v>
      </c>
      <c r="F24" s="4" t="s">
        <v>26</v>
      </c>
      <c r="G24" s="1">
        <v>41214</v>
      </c>
      <c r="H24">
        <v>5.2681881201261298</v>
      </c>
      <c r="K24" s="1">
        <f t="shared" si="0"/>
        <v>41214</v>
      </c>
      <c r="L24">
        <f t="shared" si="1"/>
        <v>2.81</v>
      </c>
      <c r="M24">
        <f t="shared" si="2"/>
        <v>5.2681881201261298</v>
      </c>
      <c r="N24">
        <f t="shared" si="3"/>
        <v>2.6667772142053798</v>
      </c>
      <c r="AA24" s="3" t="s">
        <v>26</v>
      </c>
      <c r="AB24" s="1">
        <v>41214</v>
      </c>
      <c r="AC24">
        <v>2.6667772142053798</v>
      </c>
    </row>
    <row r="25" spans="2:29" x14ac:dyDescent="0.25">
      <c r="B25" s="1">
        <v>41395</v>
      </c>
      <c r="C25" s="2">
        <v>6420129101.5900002</v>
      </c>
      <c r="D25">
        <v>3.2</v>
      </c>
      <c r="F25" s="4" t="s">
        <v>27</v>
      </c>
      <c r="G25" s="1">
        <v>41244</v>
      </c>
      <c r="H25">
        <v>5.4620686910265803</v>
      </c>
      <c r="K25" s="1">
        <f t="shared" si="0"/>
        <v>41244</v>
      </c>
      <c r="L25">
        <f t="shared" si="1"/>
        <v>3.57</v>
      </c>
      <c r="M25">
        <f t="shared" si="2"/>
        <v>5.4620686910265803</v>
      </c>
      <c r="N25">
        <f t="shared" si="3"/>
        <v>2.7662023005768801</v>
      </c>
      <c r="AA25" s="3" t="s">
        <v>27</v>
      </c>
      <c r="AB25" s="1">
        <v>41244</v>
      </c>
      <c r="AC25">
        <v>2.7662023005768801</v>
      </c>
    </row>
    <row r="26" spans="2:29" x14ac:dyDescent="0.25">
      <c r="B26" s="1">
        <v>41426</v>
      </c>
      <c r="C26" s="2">
        <v>6352371035.5500002</v>
      </c>
      <c r="D26">
        <v>3.14</v>
      </c>
      <c r="F26" s="4" t="s">
        <v>28</v>
      </c>
      <c r="G26" s="1">
        <v>41275</v>
      </c>
      <c r="H26">
        <v>5.5375552210110497</v>
      </c>
      <c r="K26" s="1">
        <f t="shared" si="0"/>
        <v>41275</v>
      </c>
      <c r="L26">
        <f t="shared" si="1"/>
        <v>4.0199999999999996</v>
      </c>
      <c r="M26">
        <f t="shared" si="2"/>
        <v>5.5375552210110497</v>
      </c>
      <c r="N26">
        <f t="shared" si="3"/>
        <v>2.8049383434703299</v>
      </c>
      <c r="AA26" s="3" t="s">
        <v>28</v>
      </c>
      <c r="AB26" s="1">
        <v>41275</v>
      </c>
      <c r="AC26">
        <v>2.8049383434703299</v>
      </c>
    </row>
    <row r="27" spans="2:29" x14ac:dyDescent="0.25">
      <c r="B27" s="1">
        <v>41456</v>
      </c>
      <c r="C27" s="2">
        <v>6280823387.3199997</v>
      </c>
      <c r="D27">
        <v>3.07</v>
      </c>
      <c r="F27" s="4" t="s">
        <v>29</v>
      </c>
      <c r="G27" s="1">
        <v>41306</v>
      </c>
      <c r="H27">
        <v>5.5848322300526396</v>
      </c>
      <c r="K27" s="1">
        <f t="shared" si="0"/>
        <v>41306</v>
      </c>
      <c r="L27">
        <f t="shared" si="1"/>
        <v>3</v>
      </c>
      <c r="M27">
        <f t="shared" si="2"/>
        <v>5.5848322300526396</v>
      </c>
      <c r="N27">
        <f t="shared" si="3"/>
        <v>2.8292058647788401</v>
      </c>
      <c r="AA27" s="3" t="s">
        <v>29</v>
      </c>
      <c r="AB27" s="1">
        <v>41306</v>
      </c>
      <c r="AC27">
        <v>2.8292058647788401</v>
      </c>
    </row>
    <row r="28" spans="2:29" x14ac:dyDescent="0.25">
      <c r="B28" s="1">
        <v>41487</v>
      </c>
      <c r="C28" s="2">
        <v>6199438938.0699997</v>
      </c>
      <c r="D28">
        <v>2.79</v>
      </c>
      <c r="F28" s="4" t="s">
        <v>30</v>
      </c>
      <c r="G28" s="1">
        <v>41334</v>
      </c>
      <c r="H28">
        <v>5.6057265183651399</v>
      </c>
      <c r="K28" s="1">
        <f t="shared" si="0"/>
        <v>41334</v>
      </c>
      <c r="L28">
        <f t="shared" si="1"/>
        <v>2.86</v>
      </c>
      <c r="M28">
        <f t="shared" si="2"/>
        <v>5.6057265183651399</v>
      </c>
      <c r="N28">
        <f t="shared" si="3"/>
        <v>2.8399327846024298</v>
      </c>
      <c r="AA28" s="3" t="s">
        <v>30</v>
      </c>
      <c r="AB28" s="1">
        <v>41334</v>
      </c>
      <c r="AC28">
        <v>2.8399327846024298</v>
      </c>
    </row>
    <row r="29" spans="2:29" x14ac:dyDescent="0.25">
      <c r="B29" s="1">
        <v>41518</v>
      </c>
      <c r="C29" s="2">
        <v>6119476090.9300003</v>
      </c>
      <c r="D29">
        <v>2.52</v>
      </c>
      <c r="F29" s="4" t="s">
        <v>31</v>
      </c>
      <c r="G29" s="1">
        <v>41365</v>
      </c>
      <c r="H29">
        <v>5.2289713474586303</v>
      </c>
      <c r="K29" s="1">
        <f t="shared" si="0"/>
        <v>41365</v>
      </c>
      <c r="L29">
        <f t="shared" si="1"/>
        <v>3.33</v>
      </c>
      <c r="M29">
        <f t="shared" si="2"/>
        <v>5.2289713474586303</v>
      </c>
      <c r="N29">
        <f t="shared" si="3"/>
        <v>2.6466775899222501</v>
      </c>
      <c r="AA29" s="3" t="s">
        <v>31</v>
      </c>
      <c r="AB29" s="1">
        <v>41365</v>
      </c>
      <c r="AC29">
        <v>2.6466775899222501</v>
      </c>
    </row>
    <row r="30" spans="2:29" x14ac:dyDescent="0.25">
      <c r="B30" s="1">
        <v>41548</v>
      </c>
      <c r="C30" s="2">
        <v>6056350653.9499998</v>
      </c>
      <c r="D30">
        <v>2.59</v>
      </c>
      <c r="F30" s="4" t="s">
        <v>32</v>
      </c>
      <c r="G30" s="1">
        <v>41395</v>
      </c>
      <c r="H30">
        <v>4.8341976907928004</v>
      </c>
      <c r="K30" s="1">
        <f t="shared" si="0"/>
        <v>41395</v>
      </c>
      <c r="L30">
        <f t="shared" si="1"/>
        <v>3.2</v>
      </c>
      <c r="M30">
        <f t="shared" si="2"/>
        <v>4.8341976907928004</v>
      </c>
      <c r="N30">
        <f t="shared" si="3"/>
        <v>2.4445581295663401</v>
      </c>
      <c r="AA30" s="3" t="s">
        <v>32</v>
      </c>
      <c r="AB30" s="1">
        <v>41395</v>
      </c>
      <c r="AC30">
        <v>2.4445581295663401</v>
      </c>
    </row>
    <row r="31" spans="2:29" x14ac:dyDescent="0.25">
      <c r="B31" s="1">
        <v>41579</v>
      </c>
      <c r="C31" s="2">
        <v>6008507148.04</v>
      </c>
      <c r="D31">
        <v>2.29</v>
      </c>
      <c r="F31" s="4" t="s">
        <v>33</v>
      </c>
      <c r="G31" s="1">
        <v>41426</v>
      </c>
      <c r="H31">
        <v>4.40927108802014</v>
      </c>
      <c r="K31" s="1">
        <f t="shared" si="0"/>
        <v>41426</v>
      </c>
      <c r="L31">
        <f t="shared" si="1"/>
        <v>3.14</v>
      </c>
      <c r="M31">
        <f t="shared" si="2"/>
        <v>4.40927108802014</v>
      </c>
      <c r="N31">
        <f t="shared" si="3"/>
        <v>2.2274305612115</v>
      </c>
      <c r="AA31" s="3" t="s">
        <v>33</v>
      </c>
      <c r="AB31" s="1">
        <v>41426</v>
      </c>
      <c r="AC31">
        <v>2.2274305612115</v>
      </c>
    </row>
    <row r="32" spans="2:29" x14ac:dyDescent="0.25">
      <c r="B32" s="1">
        <v>41609</v>
      </c>
      <c r="C32" s="2">
        <v>5951052183.9099998</v>
      </c>
      <c r="D32">
        <v>2.56</v>
      </c>
      <c r="F32" s="4" t="s">
        <v>34</v>
      </c>
      <c r="G32" s="1">
        <v>41456</v>
      </c>
      <c r="H32">
        <v>4.2447354982892103</v>
      </c>
      <c r="K32" s="1">
        <f t="shared" si="0"/>
        <v>41456</v>
      </c>
      <c r="L32">
        <f t="shared" si="1"/>
        <v>3.07</v>
      </c>
      <c r="M32">
        <f t="shared" si="2"/>
        <v>4.2447354982892103</v>
      </c>
      <c r="N32">
        <f t="shared" si="3"/>
        <v>2.14347579155358</v>
      </c>
      <c r="AA32" s="3" t="s">
        <v>34</v>
      </c>
      <c r="AB32" s="1">
        <v>41456</v>
      </c>
      <c r="AC32">
        <v>2.14347579155358</v>
      </c>
    </row>
    <row r="33" spans="2:29" x14ac:dyDescent="0.25">
      <c r="B33" s="1">
        <v>41640</v>
      </c>
      <c r="C33" s="2">
        <v>5887879743.6199999</v>
      </c>
      <c r="D33">
        <v>2.2799999999999998</v>
      </c>
      <c r="F33" s="4" t="s">
        <v>35</v>
      </c>
      <c r="G33" s="1">
        <v>41487</v>
      </c>
      <c r="H33">
        <v>4.05923806993599</v>
      </c>
      <c r="K33" s="1">
        <f t="shared" si="0"/>
        <v>41487</v>
      </c>
      <c r="L33">
        <f t="shared" si="1"/>
        <v>2.79</v>
      </c>
      <c r="M33">
        <f t="shared" si="2"/>
        <v>4.05923806993599</v>
      </c>
      <c r="N33">
        <f t="shared" si="3"/>
        <v>2.0489045753344102</v>
      </c>
      <c r="AA33" s="3" t="s">
        <v>35</v>
      </c>
      <c r="AB33" s="1">
        <v>41487</v>
      </c>
      <c r="AC33">
        <v>2.0489045753344102</v>
      </c>
    </row>
    <row r="34" spans="2:29" x14ac:dyDescent="0.25">
      <c r="B34" s="1">
        <v>41671</v>
      </c>
      <c r="C34" s="2">
        <v>5829721510.1000004</v>
      </c>
      <c r="D34">
        <v>2.5099999999999998</v>
      </c>
      <c r="F34" s="4" t="s">
        <v>36</v>
      </c>
      <c r="G34" s="1">
        <v>41518</v>
      </c>
      <c r="H34">
        <v>3.8741687590610399</v>
      </c>
      <c r="K34" s="1">
        <f t="shared" si="0"/>
        <v>41518</v>
      </c>
      <c r="L34">
        <f t="shared" si="1"/>
        <v>2.52</v>
      </c>
      <c r="M34">
        <f t="shared" si="2"/>
        <v>3.8741687590610399</v>
      </c>
      <c r="N34">
        <f t="shared" si="3"/>
        <v>1.9546352470307999</v>
      </c>
      <c r="AA34" s="3" t="s">
        <v>36</v>
      </c>
      <c r="AB34" s="1">
        <v>41518</v>
      </c>
      <c r="AC34">
        <v>1.9546352470307999</v>
      </c>
    </row>
    <row r="35" spans="2:29" x14ac:dyDescent="0.25">
      <c r="B35" s="1">
        <v>41699</v>
      </c>
      <c r="C35" s="2">
        <v>5777407236.6499996</v>
      </c>
      <c r="D35">
        <v>2.04</v>
      </c>
      <c r="F35" s="4" t="s">
        <v>37</v>
      </c>
      <c r="G35" s="1">
        <v>41548</v>
      </c>
      <c r="H35">
        <v>3.94533211777232</v>
      </c>
      <c r="K35" s="1">
        <f t="shared" si="0"/>
        <v>41548</v>
      </c>
      <c r="L35">
        <f t="shared" si="1"/>
        <v>2.59</v>
      </c>
      <c r="M35">
        <f t="shared" si="2"/>
        <v>3.94533211777232</v>
      </c>
      <c r="N35">
        <f t="shared" si="3"/>
        <v>1.99087407909014</v>
      </c>
      <c r="AA35" s="3" t="s">
        <v>37</v>
      </c>
      <c r="AB35" s="1">
        <v>41548</v>
      </c>
      <c r="AC35">
        <v>1.99087407909014</v>
      </c>
    </row>
    <row r="36" spans="2:29" x14ac:dyDescent="0.25">
      <c r="B36" s="1">
        <v>41730</v>
      </c>
      <c r="C36" s="2">
        <v>5724828063.8599997</v>
      </c>
      <c r="D36">
        <v>2.1800000000000002</v>
      </c>
      <c r="F36" s="4" t="s">
        <v>38</v>
      </c>
      <c r="G36" s="1">
        <v>41579</v>
      </c>
      <c r="H36">
        <v>4.0245225858034104</v>
      </c>
      <c r="K36" s="1">
        <f t="shared" si="0"/>
        <v>41579</v>
      </c>
      <c r="L36">
        <f t="shared" si="1"/>
        <v>2.29</v>
      </c>
      <c r="M36">
        <f t="shared" si="2"/>
        <v>4.0245225858034104</v>
      </c>
      <c r="N36">
        <f t="shared" si="3"/>
        <v>2.0312150844536898</v>
      </c>
      <c r="AA36" s="3" t="s">
        <v>38</v>
      </c>
      <c r="AB36" s="1">
        <v>41579</v>
      </c>
      <c r="AC36">
        <v>2.0312150844536898</v>
      </c>
    </row>
    <row r="37" spans="2:29" x14ac:dyDescent="0.25">
      <c r="B37" s="1">
        <v>41760</v>
      </c>
      <c r="C37" s="2">
        <v>5663476030.4399996</v>
      </c>
      <c r="D37">
        <v>1.53</v>
      </c>
      <c r="F37" s="4" t="s">
        <v>39</v>
      </c>
      <c r="G37" s="1">
        <v>41609</v>
      </c>
      <c r="H37">
        <v>4.0969127999357804</v>
      </c>
      <c r="K37" s="1">
        <f t="shared" si="0"/>
        <v>41609</v>
      </c>
      <c r="L37">
        <f t="shared" si="1"/>
        <v>2.56</v>
      </c>
      <c r="M37">
        <f t="shared" si="2"/>
        <v>4.0969127999357804</v>
      </c>
      <c r="N37">
        <f t="shared" si="3"/>
        <v>2.0681052938774598</v>
      </c>
      <c r="AA37" s="3" t="s">
        <v>39</v>
      </c>
      <c r="AB37" s="1">
        <v>41609</v>
      </c>
      <c r="AC37">
        <v>2.0681052938774598</v>
      </c>
    </row>
    <row r="38" spans="2:29" x14ac:dyDescent="0.25">
      <c r="B38" s="1">
        <v>41791</v>
      </c>
      <c r="C38" s="2">
        <v>5601075954.4799995</v>
      </c>
      <c r="D38">
        <v>1.73</v>
      </c>
      <c r="F38" s="4" t="s">
        <v>40</v>
      </c>
      <c r="G38" s="1">
        <v>41640</v>
      </c>
      <c r="H38">
        <v>4.1095175022183197</v>
      </c>
      <c r="K38" s="1">
        <f t="shared" si="0"/>
        <v>41640</v>
      </c>
      <c r="L38">
        <f t="shared" si="1"/>
        <v>2.2799999999999998</v>
      </c>
      <c r="M38">
        <f t="shared" si="2"/>
        <v>4.1095175022183197</v>
      </c>
      <c r="N38">
        <f t="shared" si="3"/>
        <v>2.07452998405642</v>
      </c>
      <c r="AA38" s="3" t="s">
        <v>40</v>
      </c>
      <c r="AB38" s="1">
        <v>41640</v>
      </c>
      <c r="AC38">
        <v>2.07452998405642</v>
      </c>
    </row>
    <row r="39" spans="2:29" x14ac:dyDescent="0.25">
      <c r="B39" s="1">
        <v>41821</v>
      </c>
      <c r="C39" s="2">
        <v>5540289469.5900002</v>
      </c>
      <c r="D39">
        <v>2.68</v>
      </c>
      <c r="F39" s="4" t="s">
        <v>41</v>
      </c>
      <c r="G39" s="1">
        <v>41671</v>
      </c>
      <c r="H39">
        <v>4.1082275419234797</v>
      </c>
      <c r="K39" s="1">
        <f t="shared" si="0"/>
        <v>41671</v>
      </c>
      <c r="L39">
        <f t="shared" si="1"/>
        <v>2.5099999999999998</v>
      </c>
      <c r="M39">
        <f t="shared" si="2"/>
        <v>4.1082275419234797</v>
      </c>
      <c r="N39">
        <f t="shared" si="3"/>
        <v>2.0738744624704499</v>
      </c>
      <c r="AA39" s="3" t="s">
        <v>41</v>
      </c>
      <c r="AB39" s="1">
        <v>41671</v>
      </c>
      <c r="AC39">
        <v>2.0738744624704499</v>
      </c>
    </row>
    <row r="40" spans="2:29" x14ac:dyDescent="0.25">
      <c r="B40" s="1">
        <v>41852</v>
      </c>
      <c r="C40" s="2">
        <v>5470166418.1999998</v>
      </c>
      <c r="D40">
        <v>2.06</v>
      </c>
      <c r="F40" s="4" t="s">
        <v>42</v>
      </c>
      <c r="G40" s="1">
        <v>41699</v>
      </c>
      <c r="H40">
        <v>4.1025680512594098</v>
      </c>
      <c r="K40" s="1">
        <f t="shared" si="0"/>
        <v>41699</v>
      </c>
      <c r="L40">
        <f t="shared" si="1"/>
        <v>2.04</v>
      </c>
      <c r="M40">
        <f t="shared" si="2"/>
        <v>4.1025680512594098</v>
      </c>
      <c r="N40">
        <f t="shared" si="3"/>
        <v>2.0709913608878501</v>
      </c>
      <c r="AA40" s="3" t="s">
        <v>42</v>
      </c>
      <c r="AB40" s="1">
        <v>41699</v>
      </c>
      <c r="AC40">
        <v>2.0709913608878501</v>
      </c>
    </row>
    <row r="41" spans="2:29" x14ac:dyDescent="0.25">
      <c r="B41" s="1">
        <v>41883</v>
      </c>
      <c r="C41" s="2">
        <v>5394730259.9300003</v>
      </c>
      <c r="D41">
        <v>1.97</v>
      </c>
      <c r="F41" s="4" t="s">
        <v>43</v>
      </c>
      <c r="G41" s="1">
        <v>41730</v>
      </c>
      <c r="H41">
        <v>3.7510867432312698</v>
      </c>
      <c r="K41" s="1">
        <f t="shared" si="0"/>
        <v>41730</v>
      </c>
      <c r="L41">
        <f t="shared" si="1"/>
        <v>2.1800000000000002</v>
      </c>
      <c r="M41">
        <f t="shared" si="2"/>
        <v>3.7510867432312698</v>
      </c>
      <c r="N41">
        <f t="shared" si="3"/>
        <v>1.8919949081061</v>
      </c>
      <c r="AA41" s="3" t="s">
        <v>43</v>
      </c>
      <c r="AB41" s="1">
        <v>41730</v>
      </c>
      <c r="AC41">
        <v>1.8919949081061</v>
      </c>
    </row>
    <row r="42" spans="2:29" x14ac:dyDescent="0.25">
      <c r="B42" s="1">
        <v>41913</v>
      </c>
      <c r="C42" s="2">
        <v>5325381692.8400002</v>
      </c>
      <c r="D42">
        <v>2.16</v>
      </c>
      <c r="F42" s="4" t="s">
        <v>44</v>
      </c>
      <c r="G42" s="1">
        <v>41760</v>
      </c>
      <c r="H42">
        <v>3.4573500107544901</v>
      </c>
      <c r="K42" s="1">
        <f t="shared" si="0"/>
        <v>41760</v>
      </c>
      <c r="L42">
        <f t="shared" si="1"/>
        <v>1.53</v>
      </c>
      <c r="M42">
        <f t="shared" si="2"/>
        <v>3.4573500107544901</v>
      </c>
      <c r="N42">
        <f t="shared" si="3"/>
        <v>1.7426581345500001</v>
      </c>
      <c r="AA42" s="3" t="s">
        <v>44</v>
      </c>
      <c r="AB42" s="1">
        <v>41760</v>
      </c>
      <c r="AC42">
        <v>1.7426581345500001</v>
      </c>
    </row>
    <row r="43" spans="2:29" x14ac:dyDescent="0.25">
      <c r="B43" s="1">
        <v>41944</v>
      </c>
      <c r="C43" s="2">
        <v>5248026034.0299997</v>
      </c>
      <c r="D43">
        <v>1.61</v>
      </c>
      <c r="F43" s="4" t="s">
        <v>45</v>
      </c>
      <c r="G43" s="1">
        <v>41791</v>
      </c>
      <c r="H43">
        <v>3.1799377628115599</v>
      </c>
      <c r="K43" s="1">
        <f t="shared" si="0"/>
        <v>41791</v>
      </c>
      <c r="L43">
        <f t="shared" si="1"/>
        <v>1.73</v>
      </c>
      <c r="M43">
        <f t="shared" si="2"/>
        <v>3.1799377628115599</v>
      </c>
      <c r="N43">
        <f t="shared" si="3"/>
        <v>1.60320253967842</v>
      </c>
      <c r="AA43" s="3" t="s">
        <v>45</v>
      </c>
      <c r="AB43" s="1">
        <v>41791</v>
      </c>
      <c r="AC43">
        <v>1.60320253967842</v>
      </c>
    </row>
    <row r="44" spans="2:29" x14ac:dyDescent="0.25">
      <c r="B44" s="1">
        <v>41974</v>
      </c>
      <c r="C44" s="2">
        <v>5173445395.2200003</v>
      </c>
      <c r="D44">
        <v>1.98</v>
      </c>
      <c r="F44" s="4" t="s">
        <v>46</v>
      </c>
      <c r="G44" s="1">
        <v>41821</v>
      </c>
      <c r="H44">
        <v>3.1209746185112999</v>
      </c>
      <c r="K44" s="1">
        <f t="shared" si="0"/>
        <v>41821</v>
      </c>
      <c r="L44">
        <f t="shared" si="1"/>
        <v>2.68</v>
      </c>
      <c r="M44">
        <f t="shared" si="2"/>
        <v>3.1209746185112999</v>
      </c>
      <c r="N44">
        <f t="shared" si="3"/>
        <v>1.57570440624094</v>
      </c>
      <c r="AA44" s="3" t="s">
        <v>46</v>
      </c>
      <c r="AB44" s="1">
        <v>41821</v>
      </c>
      <c r="AC44">
        <v>1.57570440624094</v>
      </c>
    </row>
    <row r="45" spans="2:29" x14ac:dyDescent="0.25">
      <c r="B45" s="1">
        <v>42005</v>
      </c>
      <c r="C45" s="2">
        <v>5106370070.7799997</v>
      </c>
      <c r="D45">
        <v>1.59</v>
      </c>
      <c r="F45" s="4" t="s">
        <v>47</v>
      </c>
      <c r="G45" s="1">
        <v>41852</v>
      </c>
      <c r="H45">
        <v>3.1410285617950802</v>
      </c>
      <c r="K45" s="1">
        <f t="shared" si="0"/>
        <v>41852</v>
      </c>
      <c r="L45">
        <f t="shared" si="1"/>
        <v>2.06</v>
      </c>
      <c r="M45">
        <f t="shared" si="2"/>
        <v>3.1410285617950802</v>
      </c>
      <c r="N45">
        <f t="shared" si="3"/>
        <v>1.5891071498198801</v>
      </c>
      <c r="AA45" s="3" t="s">
        <v>47</v>
      </c>
      <c r="AB45" s="1">
        <v>41852</v>
      </c>
      <c r="AC45">
        <v>1.5891071498198801</v>
      </c>
    </row>
    <row r="46" spans="2:29" x14ac:dyDescent="0.25">
      <c r="B46" s="1">
        <v>42036</v>
      </c>
      <c r="C46" s="2">
        <v>5028608596.3299999</v>
      </c>
      <c r="D46">
        <v>1.42</v>
      </c>
      <c r="F46" s="4" t="s">
        <v>48</v>
      </c>
      <c r="G46" s="1">
        <v>41883</v>
      </c>
      <c r="H46">
        <v>3.0053955085744302</v>
      </c>
      <c r="K46" s="1">
        <f t="shared" si="0"/>
        <v>41883</v>
      </c>
      <c r="L46">
        <f t="shared" si="1"/>
        <v>1.97</v>
      </c>
      <c r="M46">
        <f t="shared" si="2"/>
        <v>3.0053955085744302</v>
      </c>
      <c r="N46">
        <f t="shared" si="3"/>
        <v>1.52347355198784</v>
      </c>
      <c r="AA46" s="3" t="s">
        <v>48</v>
      </c>
      <c r="AB46" s="1">
        <v>41883</v>
      </c>
      <c r="AC46">
        <v>1.52347355198784</v>
      </c>
    </row>
    <row r="47" spans="2:29" x14ac:dyDescent="0.25">
      <c r="B47" s="1">
        <v>42064</v>
      </c>
      <c r="C47" s="2">
        <v>4970681473.1300001</v>
      </c>
      <c r="D47">
        <v>2.17</v>
      </c>
      <c r="F47" s="4" t="s">
        <v>49</v>
      </c>
      <c r="G47" s="1">
        <v>41913</v>
      </c>
      <c r="H47">
        <v>3.03327372057085</v>
      </c>
      <c r="K47" s="1">
        <f t="shared" si="0"/>
        <v>41913</v>
      </c>
      <c r="L47">
        <f t="shared" si="1"/>
        <v>2.16</v>
      </c>
      <c r="M47">
        <f t="shared" si="2"/>
        <v>3.03327372057085</v>
      </c>
      <c r="N47">
        <f t="shared" si="3"/>
        <v>1.54285454289499</v>
      </c>
      <c r="AA47" s="3" t="s">
        <v>49</v>
      </c>
      <c r="AB47" s="1">
        <v>41913</v>
      </c>
      <c r="AC47">
        <v>1.54285454289499</v>
      </c>
    </row>
    <row r="48" spans="2:29" x14ac:dyDescent="0.25">
      <c r="B48" s="1">
        <v>42095</v>
      </c>
      <c r="C48">
        <v>4902175722.8999996</v>
      </c>
      <c r="D48">
        <v>1.86</v>
      </c>
      <c r="F48" s="4" t="s">
        <v>50</v>
      </c>
      <c r="G48" s="1">
        <v>41944</v>
      </c>
      <c r="H48">
        <v>3.0559786129443398</v>
      </c>
      <c r="K48" s="1">
        <f t="shared" si="0"/>
        <v>41944</v>
      </c>
      <c r="L48">
        <f t="shared" si="1"/>
        <v>1.61</v>
      </c>
      <c r="M48">
        <f t="shared" si="2"/>
        <v>3.0559786129443398</v>
      </c>
      <c r="N48">
        <f t="shared" si="3"/>
        <v>1.56061194010391</v>
      </c>
      <c r="AA48" s="3" t="s">
        <v>50</v>
      </c>
      <c r="AB48" s="1">
        <v>41944</v>
      </c>
      <c r="AC48">
        <v>1.56061194010391</v>
      </c>
    </row>
    <row r="49" spans="2:29" x14ac:dyDescent="0.25">
      <c r="B49" s="1">
        <v>42125</v>
      </c>
      <c r="C49">
        <v>4808158295.3500004</v>
      </c>
      <c r="D49">
        <v>1.56</v>
      </c>
      <c r="F49" s="4" t="s">
        <v>51</v>
      </c>
      <c r="G49" s="1">
        <v>41974</v>
      </c>
      <c r="H49">
        <v>3.08420549742489</v>
      </c>
      <c r="K49" s="1">
        <f t="shared" si="0"/>
        <v>41974</v>
      </c>
      <c r="L49">
        <f t="shared" si="1"/>
        <v>1.98</v>
      </c>
      <c r="M49">
        <f t="shared" si="2"/>
        <v>3.08420549742489</v>
      </c>
      <c r="N49">
        <f t="shared" si="3"/>
        <v>1.5824431037814199</v>
      </c>
      <c r="AA49" s="3" t="s">
        <v>51</v>
      </c>
      <c r="AB49" s="1">
        <v>41974</v>
      </c>
      <c r="AC49">
        <v>1.5824431037814199</v>
      </c>
    </row>
    <row r="50" spans="2:29" x14ac:dyDescent="0.25">
      <c r="B50" s="1">
        <v>42156</v>
      </c>
      <c r="C50">
        <v>4718278545.79</v>
      </c>
      <c r="D50">
        <v>1.75</v>
      </c>
      <c r="F50" s="4" t="s">
        <v>52</v>
      </c>
      <c r="G50" s="1">
        <v>42005</v>
      </c>
      <c r="H50">
        <v>3.0764190886176102</v>
      </c>
      <c r="K50" s="1">
        <f t="shared" si="0"/>
        <v>42005</v>
      </c>
      <c r="L50">
        <f t="shared" si="1"/>
        <v>1.59</v>
      </c>
      <c r="M50">
        <f t="shared" si="2"/>
        <v>3.0764190886176102</v>
      </c>
      <c r="N50">
        <f t="shared" si="3"/>
        <v>1.5849891386708099</v>
      </c>
      <c r="AA50" s="3" t="s">
        <v>52</v>
      </c>
      <c r="AB50" s="1">
        <v>42005</v>
      </c>
      <c r="AC50">
        <v>1.5849891386708099</v>
      </c>
    </row>
    <row r="51" spans="2:29" x14ac:dyDescent="0.25">
      <c r="B51" s="1">
        <v>42186</v>
      </c>
      <c r="C51">
        <v>4631489309.75</v>
      </c>
      <c r="D51">
        <v>1.01</v>
      </c>
      <c r="F51" s="4" t="s">
        <v>53</v>
      </c>
      <c r="G51" s="1">
        <v>42036</v>
      </c>
      <c r="H51">
        <v>3.0507585308314802</v>
      </c>
      <c r="K51" s="1">
        <f t="shared" si="0"/>
        <v>42036</v>
      </c>
      <c r="L51">
        <f t="shared" si="1"/>
        <v>1.42</v>
      </c>
      <c r="M51">
        <f t="shared" si="2"/>
        <v>3.0507585308314802</v>
      </c>
      <c r="N51">
        <f t="shared" si="3"/>
        <v>1.5789048035776001</v>
      </c>
      <c r="AA51" s="3" t="s">
        <v>53</v>
      </c>
      <c r="AB51" s="1">
        <v>42036</v>
      </c>
      <c r="AC51">
        <v>1.5789048035776001</v>
      </c>
    </row>
    <row r="52" spans="2:29" x14ac:dyDescent="0.25">
      <c r="B52" s="1">
        <v>42217</v>
      </c>
      <c r="C52">
        <v>4531329681.3000002</v>
      </c>
      <c r="D52">
        <v>1.33</v>
      </c>
      <c r="F52" s="4" t="s">
        <v>54</v>
      </c>
      <c r="G52" s="1">
        <v>42064</v>
      </c>
      <c r="H52">
        <v>3.0394546851007802</v>
      </c>
      <c r="K52" s="1">
        <f t="shared" si="0"/>
        <v>42064</v>
      </c>
      <c r="L52">
        <f t="shared" si="1"/>
        <v>2.17</v>
      </c>
      <c r="M52">
        <f t="shared" si="2"/>
        <v>3.0394546851007802</v>
      </c>
      <c r="N52">
        <f t="shared" si="3"/>
        <v>1.5800976006993299</v>
      </c>
      <c r="AA52" s="3" t="s">
        <v>54</v>
      </c>
      <c r="AB52" s="1">
        <v>42064</v>
      </c>
      <c r="AC52">
        <v>1.5800976006993299</v>
      </c>
    </row>
    <row r="53" spans="2:29" x14ac:dyDescent="0.25">
      <c r="B53" s="1">
        <v>42248</v>
      </c>
      <c r="C53">
        <v>4438619478.6400003</v>
      </c>
      <c r="D53">
        <v>1.43</v>
      </c>
      <c r="F53" s="4" t="s">
        <v>55</v>
      </c>
      <c r="G53" s="1">
        <v>42095</v>
      </c>
      <c r="H53">
        <v>2.8657921762335601</v>
      </c>
      <c r="K53" s="1">
        <f t="shared" si="0"/>
        <v>42095</v>
      </c>
      <c r="L53">
        <f t="shared" si="1"/>
        <v>1.86</v>
      </c>
      <c r="M53">
        <f t="shared" si="2"/>
        <v>2.8657921762335601</v>
      </c>
      <c r="N53">
        <f t="shared" si="3"/>
        <v>1.4839677667131099</v>
      </c>
      <c r="AA53" s="3" t="s">
        <v>55</v>
      </c>
      <c r="AB53" s="1">
        <v>42095</v>
      </c>
      <c r="AC53">
        <v>1.4839677667131099</v>
      </c>
    </row>
    <row r="54" spans="2:29" x14ac:dyDescent="0.25">
      <c r="B54" s="1">
        <v>42278</v>
      </c>
      <c r="C54">
        <v>4359597373.3299999</v>
      </c>
      <c r="D54">
        <v>1.08</v>
      </c>
      <c r="F54" s="4" t="s">
        <v>56</v>
      </c>
      <c r="G54" s="1">
        <v>42125</v>
      </c>
      <c r="H54">
        <v>2.7262524895020901</v>
      </c>
      <c r="K54" s="1">
        <f t="shared" si="0"/>
        <v>42125</v>
      </c>
      <c r="L54">
        <f t="shared" si="1"/>
        <v>1.56</v>
      </c>
      <c r="M54">
        <f t="shared" si="2"/>
        <v>2.7262524895020901</v>
      </c>
      <c r="N54">
        <f t="shared" si="3"/>
        <v>1.4047632392825999</v>
      </c>
      <c r="AA54" s="3" t="s">
        <v>56</v>
      </c>
      <c r="AB54" s="1">
        <v>42125</v>
      </c>
      <c r="AC54">
        <v>1.4047632392825999</v>
      </c>
    </row>
    <row r="55" spans="2:29" x14ac:dyDescent="0.25">
      <c r="B55" s="1">
        <v>42309</v>
      </c>
      <c r="C55">
        <v>4278418621.5500002</v>
      </c>
      <c r="D55">
        <v>1.29</v>
      </c>
      <c r="F55" s="4" t="s">
        <v>57</v>
      </c>
      <c r="G55" s="1">
        <v>42156</v>
      </c>
      <c r="H55">
        <v>2.6065203258838898</v>
      </c>
      <c r="K55" s="1">
        <f t="shared" si="0"/>
        <v>42156</v>
      </c>
      <c r="L55">
        <f t="shared" si="1"/>
        <v>1.75</v>
      </c>
      <c r="M55">
        <f t="shared" si="2"/>
        <v>2.6065203258838898</v>
      </c>
      <c r="N55">
        <f t="shared" si="3"/>
        <v>1.3349984166704301</v>
      </c>
      <c r="AA55" s="3" t="s">
        <v>57</v>
      </c>
      <c r="AB55" s="1">
        <v>42156</v>
      </c>
      <c r="AC55">
        <v>1.3349984166704301</v>
      </c>
    </row>
    <row r="56" spans="2:29" x14ac:dyDescent="0.25">
      <c r="B56" s="1">
        <v>42339</v>
      </c>
      <c r="C56">
        <v>4208591274.5900002</v>
      </c>
      <c r="D56">
        <v>1.59</v>
      </c>
      <c r="F56" s="4" t="s">
        <v>58</v>
      </c>
      <c r="G56" s="1">
        <v>42186</v>
      </c>
      <c r="H56">
        <v>2.6051416315586602</v>
      </c>
      <c r="K56" s="1">
        <f t="shared" si="0"/>
        <v>42186</v>
      </c>
      <c r="L56">
        <f t="shared" si="1"/>
        <v>1.01</v>
      </c>
      <c r="M56">
        <f t="shared" si="2"/>
        <v>2.6051416315586602</v>
      </c>
      <c r="N56">
        <f t="shared" si="3"/>
        <v>1.3334944180328101</v>
      </c>
      <c r="AA56" s="3" t="s">
        <v>58</v>
      </c>
      <c r="AB56" s="1">
        <v>42186</v>
      </c>
      <c r="AC56">
        <v>1.3334944180328101</v>
      </c>
    </row>
    <row r="57" spans="2:29" x14ac:dyDescent="0.25">
      <c r="B57" s="1"/>
      <c r="F57" s="4" t="s">
        <v>59</v>
      </c>
      <c r="G57" s="1">
        <v>42217</v>
      </c>
      <c r="H57">
        <v>2.59162200421355</v>
      </c>
      <c r="K57" s="1">
        <f t="shared" si="0"/>
        <v>42217</v>
      </c>
      <c r="L57">
        <f t="shared" si="1"/>
        <v>1.33</v>
      </c>
      <c r="M57">
        <f t="shared" si="2"/>
        <v>2.59162200421355</v>
      </c>
      <c r="N57">
        <f t="shared" si="3"/>
        <v>1.3238932292359999</v>
      </c>
      <c r="AA57" s="3" t="s">
        <v>59</v>
      </c>
      <c r="AB57" s="1">
        <v>42217</v>
      </c>
      <c r="AC57">
        <v>1.3238932292359999</v>
      </c>
    </row>
    <row r="58" spans="2:29" x14ac:dyDescent="0.25">
      <c r="B58" s="1"/>
      <c r="F58" s="4" t="s">
        <v>60</v>
      </c>
      <c r="G58" s="1">
        <v>42248</v>
      </c>
      <c r="H58">
        <v>2.5765810189891298</v>
      </c>
      <c r="K58" s="1">
        <f t="shared" si="0"/>
        <v>42248</v>
      </c>
      <c r="L58">
        <f t="shared" si="1"/>
        <v>1.43</v>
      </c>
      <c r="M58">
        <f t="shared" si="2"/>
        <v>2.5765810189891298</v>
      </c>
      <c r="N58">
        <f t="shared" si="3"/>
        <v>1.3141467809146801</v>
      </c>
      <c r="AA58" s="3" t="s">
        <v>60</v>
      </c>
      <c r="AB58" s="1">
        <v>42248</v>
      </c>
      <c r="AC58">
        <v>1.3141467809146801</v>
      </c>
    </row>
    <row r="59" spans="2:29" x14ac:dyDescent="0.25">
      <c r="B59" s="1"/>
      <c r="F59" s="4" t="s">
        <v>61</v>
      </c>
      <c r="G59" s="1">
        <v>42278</v>
      </c>
      <c r="H59">
        <v>2.6103005160871602</v>
      </c>
      <c r="K59" s="1">
        <f t="shared" si="0"/>
        <v>42278</v>
      </c>
      <c r="L59">
        <f t="shared" si="1"/>
        <v>1.08</v>
      </c>
      <c r="M59">
        <f t="shared" si="2"/>
        <v>2.6103005160871602</v>
      </c>
      <c r="N59">
        <f t="shared" si="3"/>
        <v>1.3326102862285301</v>
      </c>
      <c r="AA59" s="3" t="s">
        <v>61</v>
      </c>
      <c r="AB59" s="1">
        <v>42278</v>
      </c>
      <c r="AC59">
        <v>1.3326102862285301</v>
      </c>
    </row>
    <row r="60" spans="2:29" x14ac:dyDescent="0.25">
      <c r="B60" s="1"/>
      <c r="F60" s="4" t="s">
        <v>62</v>
      </c>
      <c r="G60" s="1">
        <v>42309</v>
      </c>
      <c r="H60">
        <v>2.6376509729551998</v>
      </c>
      <c r="K60" s="1">
        <f t="shared" si="0"/>
        <v>42309</v>
      </c>
      <c r="L60">
        <f t="shared" si="1"/>
        <v>1.29</v>
      </c>
      <c r="M60">
        <f t="shared" si="2"/>
        <v>2.6376509729551998</v>
      </c>
      <c r="N60">
        <f t="shared" si="3"/>
        <v>1.3473241092950199</v>
      </c>
      <c r="AA60" s="3" t="s">
        <v>62</v>
      </c>
      <c r="AB60" s="1">
        <v>42309</v>
      </c>
      <c r="AC60">
        <v>1.3473241092950199</v>
      </c>
    </row>
    <row r="61" spans="2:29" x14ac:dyDescent="0.25">
      <c r="B61" s="1"/>
      <c r="F61" s="4" t="s">
        <v>63</v>
      </c>
      <c r="G61" s="1">
        <v>42339</v>
      </c>
      <c r="H61">
        <v>2.6647158162961402</v>
      </c>
      <c r="K61" s="1">
        <f t="shared" si="0"/>
        <v>42339</v>
      </c>
      <c r="L61">
        <f t="shared" si="1"/>
        <v>1.59</v>
      </c>
      <c r="M61">
        <f t="shared" si="2"/>
        <v>2.6647158162961402</v>
      </c>
      <c r="N61">
        <f t="shared" si="3"/>
        <v>1.3620778664447999</v>
      </c>
      <c r="AA61" s="3" t="s">
        <v>63</v>
      </c>
      <c r="AB61" s="1">
        <v>42339</v>
      </c>
      <c r="AC61">
        <v>1.3620778664447999</v>
      </c>
    </row>
    <row r="62" spans="2:29" x14ac:dyDescent="0.25">
      <c r="B62" s="1"/>
      <c r="F62" s="4"/>
      <c r="G62" s="1"/>
      <c r="K62" s="1"/>
    </row>
    <row r="63" spans="2:29" x14ac:dyDescent="0.25">
      <c r="F63" s="4"/>
      <c r="G63" s="1"/>
      <c r="K63" s="1"/>
    </row>
    <row r="64" spans="2:29" x14ac:dyDescent="0.25">
      <c r="F64" s="4"/>
      <c r="G64" s="1"/>
      <c r="K64" s="1"/>
    </row>
    <row r="65" spans="6:11" x14ac:dyDescent="0.25">
      <c r="F65" s="4"/>
      <c r="G65" s="1"/>
      <c r="K65" s="1"/>
    </row>
    <row r="66" spans="6:11" x14ac:dyDescent="0.25">
      <c r="F66" s="4"/>
      <c r="G66" s="1"/>
      <c r="K66" s="1"/>
    </row>
    <row r="67" spans="6:11" x14ac:dyDescent="0.25">
      <c r="F67" s="4"/>
      <c r="G67" s="1"/>
      <c r="K67" s="1"/>
    </row>
    <row r="68" spans="6:11" x14ac:dyDescent="0.25">
      <c r="F68" s="4"/>
      <c r="G68" s="1"/>
      <c r="K68" s="1"/>
    </row>
    <row r="69" spans="6:11" x14ac:dyDescent="0.25">
      <c r="F69" s="4"/>
      <c r="G69" s="1"/>
      <c r="K69" s="1"/>
    </row>
    <row r="70" spans="6:11" x14ac:dyDescent="0.25">
      <c r="F70" s="4"/>
      <c r="G70" s="1"/>
      <c r="K70" s="1"/>
    </row>
    <row r="71" spans="6:11" x14ac:dyDescent="0.25">
      <c r="F71" s="4"/>
      <c r="G71" s="1"/>
      <c r="K71" s="1"/>
    </row>
    <row r="72" spans="6:11" x14ac:dyDescent="0.25">
      <c r="F72" s="4"/>
      <c r="G72" s="1"/>
      <c r="K72" s="1"/>
    </row>
    <row r="73" spans="6:11" x14ac:dyDescent="0.25">
      <c r="F73" s="4"/>
      <c r="G73" s="1"/>
      <c r="K73" s="1"/>
    </row>
    <row r="74" spans="6:11" x14ac:dyDescent="0.25">
      <c r="F74" s="4"/>
      <c r="G74" s="1"/>
      <c r="K74" s="1"/>
    </row>
    <row r="75" spans="6:11" x14ac:dyDescent="0.25">
      <c r="F75" s="4"/>
      <c r="G75" s="1"/>
      <c r="K75" s="1"/>
    </row>
    <row r="76" spans="6:11" x14ac:dyDescent="0.25">
      <c r="F76" s="4"/>
      <c r="G76" s="1"/>
      <c r="K76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76"/>
  <sheetViews>
    <sheetView workbookViewId="0">
      <selection activeCell="N2" sqref="N2:N3"/>
    </sheetView>
  </sheetViews>
  <sheetFormatPr defaultRowHeight="15" x14ac:dyDescent="0.25"/>
  <cols>
    <col min="2" max="2" width="15.42578125" bestFit="1" customWidth="1"/>
    <col min="3" max="3" width="15.28515625" bestFit="1" customWidth="1"/>
    <col min="7" max="7" width="10.42578125" bestFit="1" customWidth="1"/>
    <col min="11" max="11" width="10.42578125" bestFit="1" customWidth="1"/>
  </cols>
  <sheetData>
    <row r="1" spans="2:28" x14ac:dyDescent="0.25">
      <c r="B1">
        <v>2010</v>
      </c>
    </row>
    <row r="2" spans="2:28" x14ac:dyDescent="0.25">
      <c r="B2" t="s">
        <v>0</v>
      </c>
      <c r="C2" t="s">
        <v>1</v>
      </c>
      <c r="D2" t="s">
        <v>2</v>
      </c>
      <c r="F2" s="4"/>
      <c r="G2" t="s">
        <v>3</v>
      </c>
      <c r="H2" t="s">
        <v>4</v>
      </c>
      <c r="L2" t="s">
        <v>79</v>
      </c>
      <c r="M2" t="s">
        <v>80</v>
      </c>
      <c r="N2" t="s">
        <v>81</v>
      </c>
      <c r="Z2" s="3"/>
      <c r="AA2" t="s">
        <v>3</v>
      </c>
      <c r="AB2" t="s">
        <v>4</v>
      </c>
    </row>
    <row r="3" spans="2:28" x14ac:dyDescent="0.25">
      <c r="B3" s="1">
        <v>41030</v>
      </c>
      <c r="C3" s="2">
        <v>3621532830.1799998</v>
      </c>
      <c r="D3">
        <v>0.12</v>
      </c>
      <c r="F3" s="1" t="s">
        <v>5</v>
      </c>
      <c r="G3" s="1">
        <v>40940</v>
      </c>
      <c r="H3">
        <v>0.31956019566602401</v>
      </c>
      <c r="K3" s="1">
        <f>G3</f>
        <v>40940</v>
      </c>
      <c r="L3" t="e">
        <f>VLOOKUP(K3,B:D,3,0)</f>
        <v>#N/A</v>
      </c>
      <c r="M3">
        <f>VLOOKUP(K3,G:H,2,0)</f>
        <v>0.31956019566602401</v>
      </c>
      <c r="N3">
        <f>VLOOKUP(K3,AA:AB,2,0)</f>
        <v>0.15989823435018599</v>
      </c>
      <c r="Z3" s="1" t="s">
        <v>5</v>
      </c>
      <c r="AA3" s="1">
        <v>40940</v>
      </c>
      <c r="AB3">
        <v>0.15989823435018599</v>
      </c>
    </row>
    <row r="4" spans="2:28" x14ac:dyDescent="0.25">
      <c r="B4" s="1">
        <v>41061</v>
      </c>
      <c r="C4" s="2">
        <v>4663050632.3699999</v>
      </c>
      <c r="D4">
        <v>0.09</v>
      </c>
      <c r="F4" s="1" t="s">
        <v>6</v>
      </c>
      <c r="G4" s="1">
        <v>40969</v>
      </c>
      <c r="H4">
        <v>0.60315185529740101</v>
      </c>
      <c r="K4" s="1">
        <f t="shared" ref="K4:K67" si="0">G4</f>
        <v>40969</v>
      </c>
      <c r="L4" t="e">
        <f t="shared" ref="L4:L67" si="1">VLOOKUP(K4,B:D,3,0)</f>
        <v>#N/A</v>
      </c>
      <c r="M4">
        <f t="shared" ref="M4:M67" si="2">VLOOKUP(K4,G:H,2,0)</f>
        <v>0.60315185529740101</v>
      </c>
      <c r="N4">
        <f t="shared" ref="N4:N49" si="3">VLOOKUP(K4,AA:AB,2,0)</f>
        <v>0.30199580542055199</v>
      </c>
      <c r="Z4" s="1" t="s">
        <v>6</v>
      </c>
      <c r="AA4" s="1">
        <v>40969</v>
      </c>
      <c r="AB4">
        <v>0.30199580542055199</v>
      </c>
    </row>
    <row r="5" spans="2:28" x14ac:dyDescent="0.25">
      <c r="B5" s="1">
        <v>41091</v>
      </c>
      <c r="C5" s="2">
        <v>5796160547.2299995</v>
      </c>
      <c r="D5">
        <v>0.24</v>
      </c>
      <c r="F5" s="1" t="s">
        <v>7</v>
      </c>
      <c r="G5" s="1">
        <v>41000</v>
      </c>
      <c r="H5">
        <v>0.71262735156328905</v>
      </c>
      <c r="K5" s="1">
        <f t="shared" si="0"/>
        <v>41000</v>
      </c>
      <c r="L5" t="e">
        <f t="shared" si="1"/>
        <v>#N/A</v>
      </c>
      <c r="M5">
        <f t="shared" si="2"/>
        <v>0.71262735156328905</v>
      </c>
      <c r="N5">
        <f t="shared" si="3"/>
        <v>0.35689974799322199</v>
      </c>
      <c r="Z5" s="1" t="s">
        <v>7</v>
      </c>
      <c r="AA5" s="1">
        <v>41000</v>
      </c>
      <c r="AB5">
        <v>0.35689974799322199</v>
      </c>
    </row>
    <row r="6" spans="2:28" x14ac:dyDescent="0.25">
      <c r="B6" s="1">
        <v>41122</v>
      </c>
      <c r="C6" s="2">
        <v>8069398577.6400003</v>
      </c>
      <c r="D6">
        <v>0.19</v>
      </c>
      <c r="F6" s="1" t="s">
        <v>8</v>
      </c>
      <c r="G6" s="1">
        <v>41030</v>
      </c>
      <c r="H6">
        <v>0.69089009606822005</v>
      </c>
      <c r="K6" s="1">
        <f t="shared" si="0"/>
        <v>41030</v>
      </c>
      <c r="L6">
        <f t="shared" si="1"/>
        <v>0.12</v>
      </c>
      <c r="M6">
        <f t="shared" si="2"/>
        <v>0.69089009606822005</v>
      </c>
      <c r="N6">
        <f t="shared" si="3"/>
        <v>0.345995913548514</v>
      </c>
      <c r="Z6" s="1" t="s">
        <v>8</v>
      </c>
      <c r="AA6" s="1">
        <v>41030</v>
      </c>
      <c r="AB6">
        <v>0.345995913548514</v>
      </c>
    </row>
    <row r="7" spans="2:28" x14ac:dyDescent="0.25">
      <c r="B7" s="1">
        <v>41153</v>
      </c>
      <c r="C7" s="2">
        <v>9807663419.4599991</v>
      </c>
      <c r="D7">
        <v>0.32</v>
      </c>
      <c r="F7" s="1" t="s">
        <v>9</v>
      </c>
      <c r="G7" s="1">
        <v>41061</v>
      </c>
      <c r="H7">
        <v>0.81049370349363103</v>
      </c>
      <c r="K7" s="1">
        <f t="shared" si="0"/>
        <v>41061</v>
      </c>
      <c r="L7">
        <f t="shared" si="1"/>
        <v>0.09</v>
      </c>
      <c r="M7">
        <f t="shared" si="2"/>
        <v>0.81049370349363103</v>
      </c>
      <c r="N7">
        <f t="shared" si="3"/>
        <v>0.40600499501509701</v>
      </c>
      <c r="Z7" s="1" t="s">
        <v>9</v>
      </c>
      <c r="AA7" s="1">
        <v>41061</v>
      </c>
      <c r="AB7">
        <v>0.40600499501509701</v>
      </c>
    </row>
    <row r="8" spans="2:28" x14ac:dyDescent="0.25">
      <c r="B8" s="1">
        <v>41183</v>
      </c>
      <c r="C8" s="2">
        <v>11429461700.280001</v>
      </c>
      <c r="D8">
        <v>0.61</v>
      </c>
      <c r="F8" s="1" t="s">
        <v>10</v>
      </c>
      <c r="G8" s="1">
        <v>41091</v>
      </c>
      <c r="H8">
        <v>0.99230921532267302</v>
      </c>
      <c r="K8" s="1">
        <f t="shared" si="0"/>
        <v>41091</v>
      </c>
      <c r="L8">
        <f t="shared" si="1"/>
        <v>0.24</v>
      </c>
      <c r="M8">
        <f t="shared" si="2"/>
        <v>0.99230921532267302</v>
      </c>
      <c r="N8">
        <f t="shared" si="3"/>
        <v>0.49729143033968598</v>
      </c>
      <c r="Z8" s="1" t="s">
        <v>10</v>
      </c>
      <c r="AA8" s="1">
        <v>41091</v>
      </c>
      <c r="AB8">
        <v>0.49729143033968598</v>
      </c>
    </row>
    <row r="9" spans="2:28" x14ac:dyDescent="0.25">
      <c r="B9" s="1">
        <v>41214</v>
      </c>
      <c r="C9" s="2">
        <v>12915464091.49</v>
      </c>
      <c r="D9">
        <v>0.47</v>
      </c>
      <c r="F9" s="1" t="s">
        <v>11</v>
      </c>
      <c r="G9" s="1">
        <v>41122</v>
      </c>
      <c r="H9">
        <v>1.09799485010237</v>
      </c>
      <c r="K9" s="1">
        <f t="shared" si="0"/>
        <v>41122</v>
      </c>
      <c r="L9">
        <f t="shared" si="1"/>
        <v>0.19</v>
      </c>
      <c r="M9">
        <f t="shared" si="2"/>
        <v>1.09799485010237</v>
      </c>
      <c r="N9">
        <f t="shared" si="3"/>
        <v>0.55038969336082</v>
      </c>
      <c r="Z9" s="1" t="s">
        <v>11</v>
      </c>
      <c r="AA9" s="1">
        <v>41122</v>
      </c>
      <c r="AB9">
        <v>0.55038969336082</v>
      </c>
    </row>
    <row r="10" spans="2:28" x14ac:dyDescent="0.25">
      <c r="B10" s="1">
        <v>41244</v>
      </c>
      <c r="C10" s="2">
        <v>14244606894.27</v>
      </c>
      <c r="D10">
        <v>0.67</v>
      </c>
      <c r="F10" s="1" t="s">
        <v>12</v>
      </c>
      <c r="G10" s="1">
        <v>41153</v>
      </c>
      <c r="H10">
        <v>1.2222813076107699</v>
      </c>
      <c r="K10" s="1">
        <f t="shared" si="0"/>
        <v>41153</v>
      </c>
      <c r="L10">
        <f t="shared" si="1"/>
        <v>0.32</v>
      </c>
      <c r="M10">
        <f t="shared" si="2"/>
        <v>1.2222813076107699</v>
      </c>
      <c r="N10">
        <f t="shared" si="3"/>
        <v>0.61286662730897201</v>
      </c>
      <c r="Z10" s="1" t="s">
        <v>12</v>
      </c>
      <c r="AA10" s="1">
        <v>41153</v>
      </c>
      <c r="AB10">
        <v>0.61286662730897201</v>
      </c>
    </row>
    <row r="11" spans="2:28" x14ac:dyDescent="0.25">
      <c r="B11" s="1">
        <v>41275</v>
      </c>
      <c r="C11" s="2">
        <v>16077932260.66</v>
      </c>
      <c r="D11">
        <v>0.64</v>
      </c>
      <c r="F11" s="1" t="s">
        <v>13</v>
      </c>
      <c r="G11" s="1">
        <v>41183</v>
      </c>
      <c r="H11">
        <v>1.3803243054546399</v>
      </c>
      <c r="K11" s="1">
        <f t="shared" si="0"/>
        <v>41183</v>
      </c>
      <c r="L11">
        <f t="shared" si="1"/>
        <v>0.61</v>
      </c>
      <c r="M11">
        <f t="shared" si="2"/>
        <v>1.3803243054546399</v>
      </c>
      <c r="N11">
        <f t="shared" si="3"/>
        <v>0.69236455487944304</v>
      </c>
      <c r="Z11" s="1" t="s">
        <v>13</v>
      </c>
      <c r="AA11" s="1">
        <v>41183</v>
      </c>
      <c r="AB11">
        <v>0.69236455487944304</v>
      </c>
    </row>
    <row r="12" spans="2:28" x14ac:dyDescent="0.25">
      <c r="B12" s="1">
        <v>41306</v>
      </c>
      <c r="C12" s="2">
        <v>16934330762.959999</v>
      </c>
      <c r="D12">
        <v>0.79</v>
      </c>
      <c r="F12" s="4" t="s">
        <v>14</v>
      </c>
      <c r="G12" s="1">
        <v>41214</v>
      </c>
      <c r="H12">
        <v>1.56546094966176</v>
      </c>
      <c r="K12" s="1">
        <f t="shared" si="0"/>
        <v>41214</v>
      </c>
      <c r="L12">
        <f t="shared" si="1"/>
        <v>0.47</v>
      </c>
      <c r="M12">
        <f t="shared" si="2"/>
        <v>1.56546094966176</v>
      </c>
      <c r="N12">
        <f t="shared" si="3"/>
        <v>0.78556532563974801</v>
      </c>
      <c r="Z12" s="3" t="s">
        <v>14</v>
      </c>
      <c r="AA12" s="1">
        <v>41214</v>
      </c>
      <c r="AB12">
        <v>0.78556532563974801</v>
      </c>
    </row>
    <row r="13" spans="2:28" x14ac:dyDescent="0.25">
      <c r="B13" s="1">
        <v>41334</v>
      </c>
      <c r="C13" s="2">
        <v>16873146399.66</v>
      </c>
      <c r="D13">
        <v>0.53</v>
      </c>
      <c r="F13" s="4" t="s">
        <v>15</v>
      </c>
      <c r="G13" s="1">
        <v>41244</v>
      </c>
      <c r="H13">
        <v>1.76496467878769</v>
      </c>
      <c r="K13" s="1">
        <f t="shared" si="0"/>
        <v>41244</v>
      </c>
      <c r="L13">
        <f t="shared" si="1"/>
        <v>0.67</v>
      </c>
      <c r="M13">
        <f t="shared" si="2"/>
        <v>1.76496467878769</v>
      </c>
      <c r="N13">
        <f t="shared" si="3"/>
        <v>0.88608875929199205</v>
      </c>
      <c r="Z13" s="3" t="s">
        <v>15</v>
      </c>
      <c r="AA13" s="1">
        <v>41244</v>
      </c>
      <c r="AB13">
        <v>0.88608875929199205</v>
      </c>
    </row>
    <row r="14" spans="2:28" x14ac:dyDescent="0.25">
      <c r="B14" s="1">
        <v>41365</v>
      </c>
      <c r="C14" s="2">
        <v>16821283836.280001</v>
      </c>
      <c r="D14">
        <v>1.06</v>
      </c>
      <c r="F14" s="4" t="s">
        <v>16</v>
      </c>
      <c r="G14" s="1">
        <v>41275</v>
      </c>
      <c r="H14">
        <v>1.90266455092246</v>
      </c>
      <c r="K14" s="1">
        <f t="shared" si="0"/>
        <v>41275</v>
      </c>
      <c r="L14">
        <f t="shared" si="1"/>
        <v>0.64</v>
      </c>
      <c r="M14">
        <f t="shared" si="2"/>
        <v>1.90266455092246</v>
      </c>
      <c r="N14">
        <f t="shared" si="3"/>
        <v>0.95552586927222205</v>
      </c>
      <c r="Z14" s="3" t="s">
        <v>16</v>
      </c>
      <c r="AA14" s="1">
        <v>41275</v>
      </c>
      <c r="AB14">
        <v>0.95552586927222205</v>
      </c>
    </row>
    <row r="15" spans="2:28" x14ac:dyDescent="0.25">
      <c r="B15" s="1">
        <v>41395</v>
      </c>
      <c r="C15" s="2">
        <v>16749058008.540001</v>
      </c>
      <c r="D15">
        <v>1</v>
      </c>
      <c r="F15" s="4" t="s">
        <v>17</v>
      </c>
      <c r="G15" s="1">
        <v>41306</v>
      </c>
      <c r="H15">
        <v>2.0976882888897701</v>
      </c>
      <c r="K15" s="1">
        <f t="shared" si="0"/>
        <v>41306</v>
      </c>
      <c r="L15">
        <f t="shared" si="1"/>
        <v>0.79</v>
      </c>
      <c r="M15">
        <f t="shared" si="2"/>
        <v>2.0976882888897701</v>
      </c>
      <c r="N15">
        <f t="shared" si="3"/>
        <v>1.05394589842757</v>
      </c>
      <c r="Z15" s="3" t="s">
        <v>17</v>
      </c>
      <c r="AA15" s="1">
        <v>41306</v>
      </c>
      <c r="AB15">
        <v>1.05394589842757</v>
      </c>
    </row>
    <row r="16" spans="2:28" x14ac:dyDescent="0.25">
      <c r="B16" s="1">
        <v>41426</v>
      </c>
      <c r="C16" s="2">
        <v>16660329318.15</v>
      </c>
      <c r="D16">
        <v>0.91</v>
      </c>
      <c r="F16" s="4" t="s">
        <v>18</v>
      </c>
      <c r="G16" s="1">
        <v>41334</v>
      </c>
      <c r="H16">
        <v>2.3715299790006199</v>
      </c>
      <c r="K16" s="1">
        <f t="shared" si="0"/>
        <v>41334</v>
      </c>
      <c r="L16">
        <f t="shared" si="1"/>
        <v>0.53</v>
      </c>
      <c r="M16">
        <f t="shared" si="2"/>
        <v>2.3715299790006199</v>
      </c>
      <c r="N16">
        <f t="shared" si="3"/>
        <v>1.1922938672007</v>
      </c>
      <c r="Z16" s="3" t="s">
        <v>18</v>
      </c>
      <c r="AA16" s="1">
        <v>41334</v>
      </c>
      <c r="AB16">
        <v>1.1922938672007</v>
      </c>
    </row>
    <row r="17" spans="2:28" x14ac:dyDescent="0.25">
      <c r="B17" s="1">
        <v>41456</v>
      </c>
      <c r="C17" s="2">
        <v>16556029000.41</v>
      </c>
      <c r="D17">
        <v>0.99</v>
      </c>
      <c r="F17" s="4" t="s">
        <v>19</v>
      </c>
      <c r="G17" s="1">
        <v>41365</v>
      </c>
      <c r="H17">
        <v>2.4827066238959801</v>
      </c>
      <c r="K17" s="1">
        <f t="shared" si="0"/>
        <v>41365</v>
      </c>
      <c r="L17">
        <f t="shared" si="1"/>
        <v>1.06</v>
      </c>
      <c r="M17">
        <f t="shared" si="2"/>
        <v>2.4827066238959801</v>
      </c>
      <c r="N17">
        <f t="shared" si="3"/>
        <v>1.2485123891972001</v>
      </c>
      <c r="Z17" s="3" t="s">
        <v>19</v>
      </c>
      <c r="AA17" s="1">
        <v>41365</v>
      </c>
      <c r="AB17">
        <v>1.2485123891972001</v>
      </c>
    </row>
    <row r="18" spans="2:28" x14ac:dyDescent="0.25">
      <c r="B18" s="1">
        <v>41487</v>
      </c>
      <c r="C18" s="2">
        <v>16448677764.34</v>
      </c>
      <c r="D18">
        <v>1.02</v>
      </c>
      <c r="F18" s="4" t="s">
        <v>20</v>
      </c>
      <c r="G18" s="1">
        <v>41395</v>
      </c>
      <c r="H18">
        <v>2.5418832219112799</v>
      </c>
      <c r="K18" s="1">
        <f t="shared" si="0"/>
        <v>41395</v>
      </c>
      <c r="L18">
        <f t="shared" si="1"/>
        <v>1</v>
      </c>
      <c r="M18">
        <f t="shared" si="2"/>
        <v>2.5418832219112799</v>
      </c>
      <c r="N18">
        <f t="shared" si="3"/>
        <v>1.2784481197931299</v>
      </c>
      <c r="Z18" s="3" t="s">
        <v>20</v>
      </c>
      <c r="AA18" s="1">
        <v>41395</v>
      </c>
      <c r="AB18">
        <v>1.2784481197931299</v>
      </c>
    </row>
    <row r="19" spans="2:28" x14ac:dyDescent="0.25">
      <c r="B19" s="1">
        <v>41518</v>
      </c>
      <c r="C19" s="2">
        <v>16332164779.35</v>
      </c>
      <c r="D19">
        <v>0.93</v>
      </c>
      <c r="F19" s="4" t="s">
        <v>21</v>
      </c>
      <c r="G19" s="1">
        <v>41426</v>
      </c>
      <c r="H19">
        <v>2.5541624491753199</v>
      </c>
      <c r="K19" s="1">
        <f t="shared" si="0"/>
        <v>41426</v>
      </c>
      <c r="L19">
        <f t="shared" si="1"/>
        <v>0.91</v>
      </c>
      <c r="M19">
        <f t="shared" si="2"/>
        <v>2.5541624491753199</v>
      </c>
      <c r="N19">
        <f t="shared" si="3"/>
        <v>1.28466087068785</v>
      </c>
      <c r="Z19" s="3" t="s">
        <v>21</v>
      </c>
      <c r="AA19" s="1">
        <v>41426</v>
      </c>
      <c r="AB19">
        <v>1.28466087068785</v>
      </c>
    </row>
    <row r="20" spans="2:28" x14ac:dyDescent="0.25">
      <c r="B20" s="1">
        <v>41548</v>
      </c>
      <c r="C20" s="2">
        <v>16228593086.440001</v>
      </c>
      <c r="D20">
        <v>0.97</v>
      </c>
      <c r="F20" s="4" t="s">
        <v>22</v>
      </c>
      <c r="G20" s="1">
        <v>41456</v>
      </c>
      <c r="H20">
        <v>2.6544480260435899</v>
      </c>
      <c r="K20" s="1">
        <f t="shared" si="0"/>
        <v>41456</v>
      </c>
      <c r="L20">
        <f t="shared" si="1"/>
        <v>0.99</v>
      </c>
      <c r="M20">
        <f t="shared" si="2"/>
        <v>2.6544480260435899</v>
      </c>
      <c r="N20">
        <f t="shared" si="3"/>
        <v>1.33541443080641</v>
      </c>
      <c r="Z20" s="3" t="s">
        <v>22</v>
      </c>
      <c r="AA20" s="1">
        <v>41456</v>
      </c>
      <c r="AB20">
        <v>1.33541443080641</v>
      </c>
    </row>
    <row r="21" spans="2:28" x14ac:dyDescent="0.25">
      <c r="B21" s="1">
        <v>41579</v>
      </c>
      <c r="C21" s="2">
        <v>16133142884.18</v>
      </c>
      <c r="D21">
        <v>0.97</v>
      </c>
      <c r="F21" s="4" t="s">
        <v>23</v>
      </c>
      <c r="G21" s="1">
        <v>41487</v>
      </c>
      <c r="H21">
        <v>2.7276580648256301</v>
      </c>
      <c r="K21" s="1">
        <f t="shared" si="0"/>
        <v>41487</v>
      </c>
      <c r="L21">
        <f t="shared" si="1"/>
        <v>1.02</v>
      </c>
      <c r="M21">
        <f t="shared" si="2"/>
        <v>2.7276580648256301</v>
      </c>
      <c r="N21">
        <f t="shared" si="3"/>
        <v>1.3724804743366501</v>
      </c>
      <c r="Z21" s="3" t="s">
        <v>23</v>
      </c>
      <c r="AA21" s="1">
        <v>41487</v>
      </c>
      <c r="AB21">
        <v>1.3724804743366501</v>
      </c>
    </row>
    <row r="22" spans="2:28" x14ac:dyDescent="0.25">
      <c r="B22" s="1">
        <v>41609</v>
      </c>
      <c r="C22" s="2">
        <v>16044192157.26</v>
      </c>
      <c r="D22">
        <v>1.01</v>
      </c>
      <c r="F22" s="4" t="s">
        <v>24</v>
      </c>
      <c r="G22" s="1">
        <v>41518</v>
      </c>
      <c r="H22">
        <v>2.7772352901789898</v>
      </c>
      <c r="K22" s="1">
        <f t="shared" si="0"/>
        <v>41518</v>
      </c>
      <c r="L22">
        <f t="shared" si="1"/>
        <v>0.93</v>
      </c>
      <c r="M22">
        <f t="shared" si="2"/>
        <v>2.7772352901789898</v>
      </c>
      <c r="N22">
        <f t="shared" si="3"/>
        <v>1.3975885585105301</v>
      </c>
      <c r="Z22" s="3" t="s">
        <v>24</v>
      </c>
      <c r="AA22" s="1">
        <v>41518</v>
      </c>
      <c r="AB22">
        <v>1.3975885585105301</v>
      </c>
    </row>
    <row r="23" spans="2:28" x14ac:dyDescent="0.25">
      <c r="B23" s="1">
        <v>41640</v>
      </c>
      <c r="C23" s="2">
        <v>15954944679.610001</v>
      </c>
      <c r="D23">
        <v>1.43</v>
      </c>
      <c r="F23" s="4" t="s">
        <v>25</v>
      </c>
      <c r="G23" s="1">
        <v>41548</v>
      </c>
      <c r="H23">
        <v>2.9650381981810199</v>
      </c>
      <c r="K23" s="1">
        <f t="shared" si="0"/>
        <v>41548</v>
      </c>
      <c r="L23">
        <f t="shared" si="1"/>
        <v>0.97</v>
      </c>
      <c r="M23">
        <f t="shared" si="2"/>
        <v>2.9650381981810199</v>
      </c>
      <c r="N23">
        <f t="shared" si="3"/>
        <v>1.49275352344477</v>
      </c>
      <c r="Z23" s="3" t="s">
        <v>25</v>
      </c>
      <c r="AA23" s="1">
        <v>41548</v>
      </c>
      <c r="AB23">
        <v>1.49275352344477</v>
      </c>
    </row>
    <row r="24" spans="2:28" x14ac:dyDescent="0.25">
      <c r="B24" s="1">
        <v>41671</v>
      </c>
      <c r="C24" s="2">
        <v>15847161434.459999</v>
      </c>
      <c r="D24">
        <v>1.28</v>
      </c>
      <c r="F24" s="4" t="s">
        <v>26</v>
      </c>
      <c r="G24" s="1">
        <v>41579</v>
      </c>
      <c r="H24">
        <v>3.14870130357889</v>
      </c>
      <c r="K24" s="1">
        <f t="shared" si="0"/>
        <v>41579</v>
      </c>
      <c r="L24">
        <f t="shared" si="1"/>
        <v>0.97</v>
      </c>
      <c r="M24">
        <f t="shared" si="2"/>
        <v>3.14870130357889</v>
      </c>
      <c r="N24">
        <f t="shared" si="3"/>
        <v>1.5859025183970299</v>
      </c>
      <c r="Z24" s="3" t="s">
        <v>26</v>
      </c>
      <c r="AA24" s="1">
        <v>41579</v>
      </c>
      <c r="AB24">
        <v>1.5859025183970299</v>
      </c>
    </row>
    <row r="25" spans="2:28" x14ac:dyDescent="0.25">
      <c r="B25" s="1">
        <v>41699</v>
      </c>
      <c r="C25" s="2">
        <v>15769749923.530001</v>
      </c>
      <c r="D25">
        <v>1.37</v>
      </c>
      <c r="F25" s="4" t="s">
        <v>27</v>
      </c>
      <c r="G25" s="1">
        <v>41609</v>
      </c>
      <c r="H25">
        <v>3.3243898938547098</v>
      </c>
      <c r="K25" s="1">
        <f t="shared" si="0"/>
        <v>41609</v>
      </c>
      <c r="L25">
        <f t="shared" si="1"/>
        <v>1.01</v>
      </c>
      <c r="M25">
        <f t="shared" si="2"/>
        <v>3.3243898938547098</v>
      </c>
      <c r="N25">
        <f t="shared" si="3"/>
        <v>1.6750829483891201</v>
      </c>
      <c r="Z25" s="3" t="s">
        <v>27</v>
      </c>
      <c r="AA25" s="1">
        <v>41609</v>
      </c>
      <c r="AB25">
        <v>1.6750829483891201</v>
      </c>
    </row>
    <row r="26" spans="2:28" x14ac:dyDescent="0.25">
      <c r="B26" s="1">
        <v>41730</v>
      </c>
      <c r="C26" s="2">
        <v>15684426573.299999</v>
      </c>
      <c r="D26">
        <v>1.23</v>
      </c>
      <c r="F26" s="4" t="s">
        <v>28</v>
      </c>
      <c r="G26" s="1">
        <v>41640</v>
      </c>
      <c r="H26">
        <v>3.44168133880315</v>
      </c>
      <c r="K26" s="1">
        <f t="shared" si="0"/>
        <v>41640</v>
      </c>
      <c r="L26">
        <f t="shared" si="1"/>
        <v>1.43</v>
      </c>
      <c r="M26">
        <f t="shared" si="2"/>
        <v>3.44168133880315</v>
      </c>
      <c r="N26">
        <f t="shared" si="3"/>
        <v>1.73466209951275</v>
      </c>
      <c r="Z26" s="3" t="s">
        <v>28</v>
      </c>
      <c r="AA26" s="1">
        <v>41640</v>
      </c>
      <c r="AB26">
        <v>1.73466209951275</v>
      </c>
    </row>
    <row r="27" spans="2:28" x14ac:dyDescent="0.25">
      <c r="B27" s="1">
        <v>41760</v>
      </c>
      <c r="C27" s="2">
        <v>15584931800.280001</v>
      </c>
      <c r="D27">
        <v>0.94</v>
      </c>
      <c r="F27" s="4" t="s">
        <v>29</v>
      </c>
      <c r="G27" s="1">
        <v>41671</v>
      </c>
      <c r="H27">
        <v>3.5452774606908202</v>
      </c>
      <c r="K27" s="1">
        <f t="shared" si="0"/>
        <v>41671</v>
      </c>
      <c r="L27">
        <f t="shared" si="1"/>
        <v>1.28</v>
      </c>
      <c r="M27">
        <f t="shared" si="2"/>
        <v>3.5452774606908202</v>
      </c>
      <c r="N27">
        <f t="shared" si="3"/>
        <v>1.78731223184795</v>
      </c>
      <c r="Z27" s="3" t="s">
        <v>29</v>
      </c>
      <c r="AA27" s="1">
        <v>41671</v>
      </c>
      <c r="AB27">
        <v>1.78731223184795</v>
      </c>
    </row>
    <row r="28" spans="2:28" x14ac:dyDescent="0.25">
      <c r="B28" s="1">
        <v>41791</v>
      </c>
      <c r="C28" s="2">
        <v>15476490363.110001</v>
      </c>
      <c r="D28">
        <v>1.05</v>
      </c>
      <c r="F28" s="4" t="s">
        <v>30</v>
      </c>
      <c r="G28" s="1">
        <v>41699</v>
      </c>
      <c r="H28">
        <v>3.6418901421048102</v>
      </c>
      <c r="K28" s="1">
        <f t="shared" si="0"/>
        <v>41699</v>
      </c>
      <c r="L28">
        <f t="shared" si="1"/>
        <v>1.37</v>
      </c>
      <c r="M28">
        <f t="shared" si="2"/>
        <v>3.6418901421048102</v>
      </c>
      <c r="N28">
        <f t="shared" si="3"/>
        <v>1.8364366016650999</v>
      </c>
      <c r="Z28" s="3" t="s">
        <v>30</v>
      </c>
      <c r="AA28" s="1">
        <v>41699</v>
      </c>
      <c r="AB28">
        <v>1.8364366016650999</v>
      </c>
    </row>
    <row r="29" spans="2:28" x14ac:dyDescent="0.25">
      <c r="B29" s="1">
        <v>41821</v>
      </c>
      <c r="C29" s="2">
        <v>15352011173.799999</v>
      </c>
      <c r="D29">
        <v>1.2</v>
      </c>
      <c r="F29" s="4" t="s">
        <v>31</v>
      </c>
      <c r="G29" s="1">
        <v>41730</v>
      </c>
      <c r="H29">
        <v>3.4591593841152002</v>
      </c>
      <c r="K29" s="1">
        <f t="shared" si="0"/>
        <v>41730</v>
      </c>
      <c r="L29">
        <f t="shared" si="1"/>
        <v>1.23</v>
      </c>
      <c r="M29">
        <f t="shared" si="2"/>
        <v>3.4591593841152002</v>
      </c>
      <c r="N29">
        <f t="shared" si="3"/>
        <v>1.74354305908893</v>
      </c>
      <c r="Z29" s="3" t="s">
        <v>31</v>
      </c>
      <c r="AA29" s="1">
        <v>41730</v>
      </c>
      <c r="AB29">
        <v>1.74354305908893</v>
      </c>
    </row>
    <row r="30" spans="2:28" x14ac:dyDescent="0.25">
      <c r="B30" s="1">
        <v>41852</v>
      </c>
      <c r="C30" s="2">
        <v>15219286389.32</v>
      </c>
      <c r="D30">
        <v>0.91</v>
      </c>
      <c r="F30" s="4" t="s">
        <v>32</v>
      </c>
      <c r="G30" s="1">
        <v>41760</v>
      </c>
      <c r="H30">
        <v>3.2657309103576102</v>
      </c>
      <c r="K30" s="1">
        <f t="shared" si="0"/>
        <v>41760</v>
      </c>
      <c r="L30">
        <f t="shared" si="1"/>
        <v>0.94</v>
      </c>
      <c r="M30">
        <f t="shared" si="2"/>
        <v>3.2657309103576102</v>
      </c>
      <c r="N30">
        <f t="shared" si="3"/>
        <v>1.6452990821273801</v>
      </c>
      <c r="Z30" s="3" t="s">
        <v>32</v>
      </c>
      <c r="AA30" s="1">
        <v>41760</v>
      </c>
      <c r="AB30">
        <v>1.6452990821273801</v>
      </c>
    </row>
    <row r="31" spans="2:28" x14ac:dyDescent="0.25">
      <c r="B31" s="1">
        <v>41883</v>
      </c>
      <c r="C31" s="2">
        <v>15074916019.98</v>
      </c>
      <c r="D31">
        <v>1.1399999999999999</v>
      </c>
      <c r="F31" s="4" t="s">
        <v>33</v>
      </c>
      <c r="G31" s="1">
        <v>41791</v>
      </c>
      <c r="H31">
        <v>3.0644539692277699</v>
      </c>
      <c r="K31" s="1">
        <f t="shared" si="0"/>
        <v>41791</v>
      </c>
      <c r="L31">
        <f t="shared" si="1"/>
        <v>1.05</v>
      </c>
      <c r="M31">
        <f t="shared" si="2"/>
        <v>3.0644539692277699</v>
      </c>
      <c r="N31">
        <f t="shared" si="3"/>
        <v>1.5431644778886899</v>
      </c>
      <c r="Z31" s="3" t="s">
        <v>33</v>
      </c>
      <c r="AA31" s="1">
        <v>41791</v>
      </c>
      <c r="AB31">
        <v>1.5431644778886899</v>
      </c>
    </row>
    <row r="32" spans="2:28" x14ac:dyDescent="0.25">
      <c r="B32" s="1">
        <v>41913</v>
      </c>
      <c r="C32" s="2">
        <v>14942700051.74</v>
      </c>
      <c r="D32">
        <v>1.1299999999999999</v>
      </c>
      <c r="F32" s="4" t="s">
        <v>34</v>
      </c>
      <c r="G32" s="1">
        <v>41821</v>
      </c>
      <c r="H32">
        <v>3.03892406081768</v>
      </c>
      <c r="K32" s="1">
        <f t="shared" si="0"/>
        <v>41821</v>
      </c>
      <c r="L32">
        <f t="shared" si="1"/>
        <v>1.2</v>
      </c>
      <c r="M32">
        <f t="shared" si="2"/>
        <v>3.03892406081768</v>
      </c>
      <c r="N32">
        <f t="shared" si="3"/>
        <v>1.5302167127766</v>
      </c>
      <c r="Z32" s="3" t="s">
        <v>34</v>
      </c>
      <c r="AA32" s="1">
        <v>41821</v>
      </c>
      <c r="AB32">
        <v>1.5302167127766</v>
      </c>
    </row>
    <row r="33" spans="2:28" x14ac:dyDescent="0.25">
      <c r="B33" s="1">
        <v>41944</v>
      </c>
      <c r="C33" s="2">
        <v>14819554822.219999</v>
      </c>
      <c r="D33">
        <v>1.1299999999999999</v>
      </c>
      <c r="F33" s="4" t="s">
        <v>35</v>
      </c>
      <c r="G33" s="1">
        <v>41852</v>
      </c>
      <c r="H33">
        <v>3.0343700180754198</v>
      </c>
      <c r="K33" s="1">
        <f t="shared" si="0"/>
        <v>41852</v>
      </c>
      <c r="L33">
        <f t="shared" si="1"/>
        <v>0.91</v>
      </c>
      <c r="M33">
        <f t="shared" si="2"/>
        <v>3.0343700180754198</v>
      </c>
      <c r="N33">
        <f t="shared" si="3"/>
        <v>1.52790724590949</v>
      </c>
      <c r="Z33" s="3" t="s">
        <v>35</v>
      </c>
      <c r="AA33" s="1">
        <v>41852</v>
      </c>
      <c r="AB33">
        <v>1.52790724590949</v>
      </c>
    </row>
    <row r="34" spans="2:28" x14ac:dyDescent="0.25">
      <c r="B34" s="1">
        <v>41974</v>
      </c>
      <c r="C34" s="2">
        <v>14691835705.66</v>
      </c>
      <c r="D34">
        <v>1.1200000000000001</v>
      </c>
      <c r="F34" s="4" t="s">
        <v>36</v>
      </c>
      <c r="G34" s="1">
        <v>41883</v>
      </c>
      <c r="H34">
        <v>2.9773473102844799</v>
      </c>
      <c r="K34" s="1">
        <f t="shared" si="0"/>
        <v>41883</v>
      </c>
      <c r="L34">
        <f t="shared" si="1"/>
        <v>1.1399999999999999</v>
      </c>
      <c r="M34">
        <f t="shared" si="2"/>
        <v>2.9773473102844799</v>
      </c>
      <c r="N34">
        <f t="shared" si="3"/>
        <v>1.4989938435485399</v>
      </c>
      <c r="Z34" s="3" t="s">
        <v>36</v>
      </c>
      <c r="AA34" s="1">
        <v>41883</v>
      </c>
      <c r="AB34">
        <v>1.4989938435485399</v>
      </c>
    </row>
    <row r="35" spans="2:28" x14ac:dyDescent="0.25">
      <c r="B35" s="1">
        <v>42005</v>
      </c>
      <c r="C35" s="2">
        <v>14579640436.98</v>
      </c>
      <c r="D35">
        <v>1.27</v>
      </c>
      <c r="F35" s="4" t="s">
        <v>37</v>
      </c>
      <c r="G35" s="1">
        <v>41913</v>
      </c>
      <c r="H35">
        <v>3.0213499154561201</v>
      </c>
      <c r="K35" s="1">
        <f t="shared" si="0"/>
        <v>41913</v>
      </c>
      <c r="L35">
        <f t="shared" si="1"/>
        <v>1.1299999999999999</v>
      </c>
      <c r="M35">
        <f t="shared" si="2"/>
        <v>3.0213499154561201</v>
      </c>
      <c r="N35">
        <f t="shared" si="3"/>
        <v>1.5213047068335299</v>
      </c>
      <c r="Z35" s="3" t="s">
        <v>37</v>
      </c>
      <c r="AA35" s="1">
        <v>41913</v>
      </c>
      <c r="AB35">
        <v>1.5213047068335299</v>
      </c>
    </row>
    <row r="36" spans="2:28" x14ac:dyDescent="0.25">
      <c r="B36" s="1">
        <v>42036</v>
      </c>
      <c r="C36" s="2">
        <v>14445025930.370001</v>
      </c>
      <c r="D36">
        <v>1.1100000000000001</v>
      </c>
      <c r="F36" s="4" t="s">
        <v>38</v>
      </c>
      <c r="G36" s="1">
        <v>41944</v>
      </c>
      <c r="H36">
        <v>3.0583388908930602</v>
      </c>
      <c r="K36" s="1">
        <f t="shared" si="0"/>
        <v>41944</v>
      </c>
      <c r="L36">
        <f t="shared" si="1"/>
        <v>1.1299999999999999</v>
      </c>
      <c r="M36">
        <f t="shared" si="2"/>
        <v>3.0583388908930602</v>
      </c>
      <c r="N36">
        <f t="shared" si="3"/>
        <v>1.5401029491735601</v>
      </c>
      <c r="Z36" s="3" t="s">
        <v>38</v>
      </c>
      <c r="AA36" s="1">
        <v>41944</v>
      </c>
      <c r="AB36">
        <v>1.5401029491735601</v>
      </c>
    </row>
    <row r="37" spans="2:28" x14ac:dyDescent="0.25">
      <c r="B37" s="1">
        <v>42064</v>
      </c>
      <c r="C37" s="2">
        <v>14338212477.5</v>
      </c>
      <c r="D37">
        <v>1.04</v>
      </c>
      <c r="F37" s="4" t="s">
        <v>39</v>
      </c>
      <c r="G37" s="1">
        <v>41974</v>
      </c>
      <c r="H37">
        <v>3.0964616421090398</v>
      </c>
      <c r="K37" s="1">
        <f t="shared" si="0"/>
        <v>41974</v>
      </c>
      <c r="L37">
        <f t="shared" si="1"/>
        <v>1.1200000000000001</v>
      </c>
      <c r="M37">
        <f t="shared" si="2"/>
        <v>3.0964616421090398</v>
      </c>
      <c r="N37">
        <f t="shared" si="3"/>
        <v>1.5594989710999501</v>
      </c>
      <c r="Z37" s="3" t="s">
        <v>39</v>
      </c>
      <c r="AA37" s="1">
        <v>41974</v>
      </c>
      <c r="AB37">
        <v>1.5594989710999501</v>
      </c>
    </row>
    <row r="38" spans="2:28" x14ac:dyDescent="0.25">
      <c r="B38" s="1">
        <v>42095</v>
      </c>
      <c r="C38" s="2">
        <v>14205490597.09</v>
      </c>
      <c r="D38">
        <v>0.92</v>
      </c>
      <c r="F38" s="4" t="s">
        <v>40</v>
      </c>
      <c r="G38" s="1">
        <v>42005</v>
      </c>
      <c r="H38">
        <v>3.0798423678498099</v>
      </c>
      <c r="K38" s="1">
        <f t="shared" si="0"/>
        <v>42005</v>
      </c>
      <c r="L38">
        <f t="shared" si="1"/>
        <v>1.27</v>
      </c>
      <c r="M38">
        <f t="shared" si="2"/>
        <v>3.0798423678498099</v>
      </c>
      <c r="N38">
        <f t="shared" si="3"/>
        <v>1.5511421743074201</v>
      </c>
      <c r="Z38" s="3" t="s">
        <v>40</v>
      </c>
      <c r="AA38" s="1">
        <v>42005</v>
      </c>
      <c r="AB38">
        <v>1.5511421743074201</v>
      </c>
    </row>
    <row r="39" spans="2:28" x14ac:dyDescent="0.25">
      <c r="B39" s="1">
        <v>42125</v>
      </c>
      <c r="C39" s="2">
        <v>14040606134.1</v>
      </c>
      <c r="D39">
        <v>0.83</v>
      </c>
      <c r="F39" s="4" t="s">
        <v>41</v>
      </c>
      <c r="G39" s="1">
        <v>42036</v>
      </c>
      <c r="H39">
        <v>3.0624792713854401</v>
      </c>
      <c r="K39" s="1">
        <f t="shared" si="0"/>
        <v>42036</v>
      </c>
      <c r="L39">
        <f t="shared" si="1"/>
        <v>1.1100000000000001</v>
      </c>
      <c r="M39">
        <f t="shared" si="2"/>
        <v>3.0624792713854401</v>
      </c>
      <c r="N39">
        <f t="shared" si="3"/>
        <v>1.54240150080222</v>
      </c>
      <c r="Z39" s="3" t="s">
        <v>41</v>
      </c>
      <c r="AA39" s="1">
        <v>42036</v>
      </c>
      <c r="AB39">
        <v>1.54240150080222</v>
      </c>
    </row>
    <row r="40" spans="2:28" x14ac:dyDescent="0.25">
      <c r="B40" s="1">
        <v>42156</v>
      </c>
      <c r="C40" s="2">
        <v>13875082941.08</v>
      </c>
      <c r="D40">
        <v>0.75</v>
      </c>
      <c r="F40" s="4" t="s">
        <v>42</v>
      </c>
      <c r="G40" s="1">
        <v>42064</v>
      </c>
      <c r="H40">
        <v>3.04650222125791</v>
      </c>
      <c r="K40" s="1">
        <f t="shared" si="0"/>
        <v>42064</v>
      </c>
      <c r="L40">
        <f t="shared" si="1"/>
        <v>1.04</v>
      </c>
      <c r="M40">
        <f t="shared" si="2"/>
        <v>3.04650222125791</v>
      </c>
      <c r="N40">
        <f t="shared" si="3"/>
        <v>1.5343798730209</v>
      </c>
      <c r="Z40" s="3" t="s">
        <v>42</v>
      </c>
      <c r="AA40" s="1">
        <v>42064</v>
      </c>
      <c r="AB40">
        <v>1.5343798730209</v>
      </c>
    </row>
    <row r="41" spans="2:28" x14ac:dyDescent="0.25">
      <c r="B41" s="1">
        <v>42186</v>
      </c>
      <c r="C41" s="2">
        <v>13700315060.190001</v>
      </c>
      <c r="D41">
        <v>1.05</v>
      </c>
      <c r="F41" s="4" t="s">
        <v>43</v>
      </c>
      <c r="G41" s="1">
        <v>42095</v>
      </c>
      <c r="H41">
        <v>2.8088163757703302</v>
      </c>
      <c r="K41" s="1">
        <f t="shared" si="0"/>
        <v>42095</v>
      </c>
      <c r="L41">
        <f t="shared" si="1"/>
        <v>0.92</v>
      </c>
      <c r="M41">
        <f t="shared" si="2"/>
        <v>2.8088163757703302</v>
      </c>
      <c r="N41">
        <f t="shared" si="3"/>
        <v>1.4139319842589</v>
      </c>
      <c r="Z41" s="3" t="s">
        <v>43</v>
      </c>
      <c r="AA41" s="1">
        <v>42095</v>
      </c>
      <c r="AB41">
        <v>1.4139319842589</v>
      </c>
    </row>
    <row r="42" spans="2:28" x14ac:dyDescent="0.25">
      <c r="B42" s="1">
        <v>42217</v>
      </c>
      <c r="C42" s="2">
        <v>13508420987.889999</v>
      </c>
      <c r="D42">
        <v>0.83</v>
      </c>
      <c r="F42" s="4" t="s">
        <v>44</v>
      </c>
      <c r="G42" s="1">
        <v>42125</v>
      </c>
      <c r="H42">
        <v>2.6098640494608198</v>
      </c>
      <c r="K42" s="1">
        <f t="shared" si="0"/>
        <v>42125</v>
      </c>
      <c r="L42">
        <f t="shared" si="1"/>
        <v>0.83</v>
      </c>
      <c r="M42">
        <f t="shared" si="2"/>
        <v>2.6098640494608198</v>
      </c>
      <c r="N42">
        <f t="shared" si="3"/>
        <v>1.31328106409576</v>
      </c>
      <c r="Z42" s="3" t="s">
        <v>44</v>
      </c>
      <c r="AA42" s="1">
        <v>42125</v>
      </c>
      <c r="AB42">
        <v>1.31328106409576</v>
      </c>
    </row>
    <row r="43" spans="2:28" x14ac:dyDescent="0.25">
      <c r="B43" s="1">
        <v>42248</v>
      </c>
      <c r="C43" s="2">
        <v>13337383126.49</v>
      </c>
      <c r="D43">
        <v>0.95</v>
      </c>
      <c r="F43" s="4" t="s">
        <v>45</v>
      </c>
      <c r="G43" s="1">
        <v>42156</v>
      </c>
      <c r="H43">
        <v>2.4395250186482</v>
      </c>
      <c r="K43" s="1">
        <f t="shared" si="0"/>
        <v>42156</v>
      </c>
      <c r="L43">
        <f t="shared" si="1"/>
        <v>0.75</v>
      </c>
      <c r="M43">
        <f t="shared" si="2"/>
        <v>2.4395250186482</v>
      </c>
      <c r="N43">
        <f t="shared" si="3"/>
        <v>1.2271382318698401</v>
      </c>
      <c r="Z43" s="3" t="s">
        <v>45</v>
      </c>
      <c r="AA43" s="1">
        <v>42156</v>
      </c>
      <c r="AB43">
        <v>1.2271382318698401</v>
      </c>
    </row>
    <row r="44" spans="2:28" x14ac:dyDescent="0.25">
      <c r="B44" s="1">
        <v>42278</v>
      </c>
      <c r="C44" s="2">
        <v>13175117939.1</v>
      </c>
      <c r="D44">
        <v>0.94</v>
      </c>
      <c r="F44" s="4" t="s">
        <v>46</v>
      </c>
      <c r="G44" s="1">
        <v>42186</v>
      </c>
      <c r="H44">
        <v>2.3978431394082</v>
      </c>
      <c r="K44" s="1">
        <f t="shared" si="0"/>
        <v>42186</v>
      </c>
      <c r="L44">
        <f t="shared" si="1"/>
        <v>1.05</v>
      </c>
      <c r="M44">
        <f t="shared" si="2"/>
        <v>2.3978431394082</v>
      </c>
      <c r="N44">
        <f t="shared" si="3"/>
        <v>1.20619417544403</v>
      </c>
      <c r="Z44" s="3" t="s">
        <v>46</v>
      </c>
      <c r="AA44" s="1">
        <v>42186</v>
      </c>
      <c r="AB44">
        <v>1.20619417544403</v>
      </c>
    </row>
    <row r="45" spans="2:28" x14ac:dyDescent="0.25">
      <c r="B45" s="1">
        <v>42309</v>
      </c>
      <c r="C45" s="2">
        <v>13018308954.02</v>
      </c>
      <c r="D45">
        <v>1.1000000000000001</v>
      </c>
      <c r="F45" s="4" t="s">
        <v>47</v>
      </c>
      <c r="G45" s="1">
        <v>42217</v>
      </c>
      <c r="H45">
        <v>2.3611436633545599</v>
      </c>
      <c r="K45" s="1">
        <f t="shared" si="0"/>
        <v>42217</v>
      </c>
      <c r="L45">
        <f t="shared" si="1"/>
        <v>0.83</v>
      </c>
      <c r="M45">
        <f t="shared" si="2"/>
        <v>2.3611436633545599</v>
      </c>
      <c r="N45">
        <f t="shared" si="3"/>
        <v>1.1877305481323901</v>
      </c>
      <c r="Z45" s="3" t="s">
        <v>47</v>
      </c>
      <c r="AA45" s="1">
        <v>42217</v>
      </c>
      <c r="AB45">
        <v>1.1877305481323901</v>
      </c>
    </row>
    <row r="46" spans="2:28" x14ac:dyDescent="0.25">
      <c r="B46" s="1">
        <v>42339</v>
      </c>
      <c r="C46" s="2">
        <v>12874068038.120001</v>
      </c>
      <c r="D46">
        <v>1.02</v>
      </c>
      <c r="F46" s="4" t="s">
        <v>48</v>
      </c>
      <c r="G46" s="1">
        <v>42248</v>
      </c>
      <c r="H46">
        <v>2.3289538088548598</v>
      </c>
      <c r="K46" s="1">
        <f t="shared" si="0"/>
        <v>42248</v>
      </c>
      <c r="L46">
        <f t="shared" si="1"/>
        <v>0.95</v>
      </c>
      <c r="M46">
        <f t="shared" si="2"/>
        <v>2.3289538088548598</v>
      </c>
      <c r="N46">
        <f t="shared" si="3"/>
        <v>1.17163772981889</v>
      </c>
      <c r="Z46" s="3" t="s">
        <v>48</v>
      </c>
      <c r="AA46" s="1">
        <v>42248</v>
      </c>
      <c r="AB46">
        <v>1.17163772981889</v>
      </c>
    </row>
    <row r="47" spans="2:28" x14ac:dyDescent="0.25">
      <c r="B47" s="1"/>
      <c r="C47" s="2"/>
      <c r="F47" s="4" t="s">
        <v>49</v>
      </c>
      <c r="G47" s="1">
        <v>42278</v>
      </c>
      <c r="H47">
        <v>2.3539513709564499</v>
      </c>
      <c r="K47" s="1">
        <f t="shared" si="0"/>
        <v>42278</v>
      </c>
      <c r="L47">
        <f t="shared" si="1"/>
        <v>0.94</v>
      </c>
      <c r="M47">
        <f t="shared" si="2"/>
        <v>2.3539513709564499</v>
      </c>
      <c r="N47">
        <f t="shared" si="3"/>
        <v>1.18487445465782</v>
      </c>
      <c r="Z47" s="3" t="s">
        <v>49</v>
      </c>
      <c r="AA47" s="1">
        <v>42278</v>
      </c>
      <c r="AB47">
        <v>1.18487445465782</v>
      </c>
    </row>
    <row r="48" spans="2:28" x14ac:dyDescent="0.25">
      <c r="B48" s="1"/>
      <c r="F48" s="4" t="s">
        <v>50</v>
      </c>
      <c r="G48" s="1">
        <v>42309</v>
      </c>
      <c r="H48">
        <v>2.3733839310677101</v>
      </c>
      <c r="K48" s="1">
        <f t="shared" si="0"/>
        <v>42309</v>
      </c>
      <c r="L48">
        <f t="shared" si="1"/>
        <v>1.1000000000000001</v>
      </c>
      <c r="M48">
        <f t="shared" si="2"/>
        <v>2.3733839310677101</v>
      </c>
      <c r="N48">
        <f t="shared" si="3"/>
        <v>1.19577965252138</v>
      </c>
      <c r="Z48" s="3" t="s">
        <v>50</v>
      </c>
      <c r="AA48" s="1">
        <v>42309</v>
      </c>
      <c r="AB48">
        <v>1.19577965252138</v>
      </c>
    </row>
    <row r="49" spans="2:28" x14ac:dyDescent="0.25">
      <c r="B49" s="1"/>
      <c r="F49" s="4" t="s">
        <v>51</v>
      </c>
      <c r="G49" s="1">
        <v>42339</v>
      </c>
      <c r="H49">
        <v>2.3911684546001299</v>
      </c>
      <c r="K49" s="1">
        <f t="shared" si="0"/>
        <v>42339</v>
      </c>
      <c r="L49">
        <f t="shared" si="1"/>
        <v>1.02</v>
      </c>
      <c r="M49">
        <f t="shared" si="2"/>
        <v>2.3911684546001299</v>
      </c>
      <c r="N49">
        <f t="shared" si="3"/>
        <v>1.2063673681278599</v>
      </c>
      <c r="Z49" s="3" t="s">
        <v>51</v>
      </c>
      <c r="AA49" s="1">
        <v>42339</v>
      </c>
      <c r="AB49">
        <v>1.2063673681278599</v>
      </c>
    </row>
    <row r="50" spans="2:28" x14ac:dyDescent="0.25">
      <c r="B50" s="1"/>
      <c r="F50" s="4"/>
      <c r="G50" s="1"/>
      <c r="K50" s="1"/>
    </row>
    <row r="51" spans="2:28" x14ac:dyDescent="0.25">
      <c r="B51" s="1"/>
      <c r="F51" s="4"/>
      <c r="G51" s="1"/>
      <c r="K51" s="1"/>
    </row>
    <row r="52" spans="2:28" x14ac:dyDescent="0.25">
      <c r="B52" s="1"/>
      <c r="F52" s="4"/>
      <c r="G52" s="1"/>
      <c r="K52" s="1"/>
    </row>
    <row r="53" spans="2:28" x14ac:dyDescent="0.25">
      <c r="B53" s="1"/>
      <c r="F53" s="4"/>
      <c r="G53" s="1"/>
      <c r="K53" s="1"/>
    </row>
    <row r="54" spans="2:28" x14ac:dyDescent="0.25">
      <c r="B54" s="1"/>
      <c r="F54" s="4"/>
      <c r="G54" s="1"/>
      <c r="K54" s="1"/>
    </row>
    <row r="55" spans="2:28" x14ac:dyDescent="0.25">
      <c r="B55" s="1"/>
      <c r="F55" s="4"/>
      <c r="G55" s="1"/>
      <c r="K55" s="1"/>
    </row>
    <row r="56" spans="2:28" x14ac:dyDescent="0.25">
      <c r="B56" s="1"/>
      <c r="F56" s="4"/>
      <c r="G56" s="1"/>
      <c r="K56" s="1"/>
    </row>
    <row r="57" spans="2:28" x14ac:dyDescent="0.25">
      <c r="B57" s="1"/>
      <c r="F57" s="4"/>
      <c r="G57" s="1"/>
      <c r="K57" s="1"/>
    </row>
    <row r="58" spans="2:28" x14ac:dyDescent="0.25">
      <c r="B58" s="1"/>
      <c r="F58" s="4"/>
      <c r="G58" s="1"/>
      <c r="K58" s="1"/>
    </row>
    <row r="59" spans="2:28" x14ac:dyDescent="0.25">
      <c r="B59" s="1"/>
      <c r="F59" s="4"/>
      <c r="G59" s="1"/>
      <c r="K59" s="1"/>
    </row>
    <row r="60" spans="2:28" x14ac:dyDescent="0.25">
      <c r="B60" s="1"/>
      <c r="F60" s="4"/>
      <c r="G60" s="1"/>
      <c r="K60" s="1"/>
    </row>
    <row r="61" spans="2:28" x14ac:dyDescent="0.25">
      <c r="B61" s="1"/>
      <c r="F61" s="4"/>
      <c r="G61" s="1"/>
      <c r="K61" s="1"/>
    </row>
    <row r="62" spans="2:28" x14ac:dyDescent="0.25">
      <c r="B62" s="1"/>
      <c r="F62" s="4"/>
      <c r="G62" s="1"/>
      <c r="K62" s="1"/>
    </row>
    <row r="63" spans="2:28" x14ac:dyDescent="0.25">
      <c r="F63" s="4"/>
      <c r="G63" s="1"/>
      <c r="K63" s="1"/>
    </row>
    <row r="64" spans="2:28" x14ac:dyDescent="0.25">
      <c r="F64" s="4"/>
      <c r="G64" s="1"/>
      <c r="K64" s="1"/>
    </row>
    <row r="65" spans="6:11" x14ac:dyDescent="0.25">
      <c r="F65" s="4"/>
      <c r="G65" s="1"/>
      <c r="K65" s="1"/>
    </row>
    <row r="66" spans="6:11" x14ac:dyDescent="0.25">
      <c r="F66" s="4"/>
      <c r="G66" s="1"/>
      <c r="K66" s="1"/>
    </row>
    <row r="67" spans="6:11" x14ac:dyDescent="0.25">
      <c r="F67" s="4"/>
      <c r="G67" s="1"/>
      <c r="K67" s="1"/>
    </row>
    <row r="68" spans="6:11" x14ac:dyDescent="0.25">
      <c r="F68" s="4"/>
      <c r="G68" s="1"/>
      <c r="K68" s="1"/>
    </row>
    <row r="69" spans="6:11" x14ac:dyDescent="0.25">
      <c r="F69" s="4"/>
      <c r="G69" s="1"/>
      <c r="K69" s="1"/>
    </row>
    <row r="70" spans="6:11" x14ac:dyDescent="0.25">
      <c r="F70" s="4"/>
      <c r="G70" s="1"/>
      <c r="K70" s="1"/>
    </row>
    <row r="71" spans="6:11" x14ac:dyDescent="0.25">
      <c r="F71" s="4"/>
      <c r="G71" s="1"/>
      <c r="K71" s="1"/>
    </row>
    <row r="72" spans="6:11" x14ac:dyDescent="0.25">
      <c r="F72" s="4"/>
      <c r="G72" s="1"/>
      <c r="K72" s="1"/>
    </row>
    <row r="73" spans="6:11" x14ac:dyDescent="0.25">
      <c r="F73" s="4"/>
      <c r="G73" s="1"/>
      <c r="K73" s="1"/>
    </row>
    <row r="74" spans="6:11" x14ac:dyDescent="0.25">
      <c r="F74" s="4"/>
      <c r="G74" s="1"/>
      <c r="K74" s="1"/>
    </row>
    <row r="75" spans="6:11" x14ac:dyDescent="0.25">
      <c r="F75" s="4"/>
      <c r="G75" s="1"/>
      <c r="K75" s="1"/>
    </row>
    <row r="76" spans="6:11" x14ac:dyDescent="0.25">
      <c r="F76" s="4"/>
      <c r="G76" s="1"/>
      <c r="K76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76"/>
  <sheetViews>
    <sheetView workbookViewId="0">
      <selection activeCell="D54" sqref="D54"/>
    </sheetView>
  </sheetViews>
  <sheetFormatPr defaultRowHeight="15" x14ac:dyDescent="0.25"/>
  <cols>
    <col min="2" max="2" width="15.42578125" bestFit="1" customWidth="1"/>
    <col min="3" max="3" width="15.28515625" bestFit="1" customWidth="1"/>
    <col min="7" max="7" width="10.42578125" bestFit="1" customWidth="1"/>
    <col min="11" max="11" width="10.42578125" bestFit="1" customWidth="1"/>
  </cols>
  <sheetData>
    <row r="1" spans="2:28" x14ac:dyDescent="0.25">
      <c r="B1">
        <v>2010</v>
      </c>
    </row>
    <row r="2" spans="2:28" x14ac:dyDescent="0.25">
      <c r="B2" t="s">
        <v>0</v>
      </c>
      <c r="C2" t="s">
        <v>1</v>
      </c>
      <c r="D2" t="s">
        <v>2</v>
      </c>
      <c r="F2" s="4"/>
      <c r="G2" t="s">
        <v>3</v>
      </c>
      <c r="H2" t="s">
        <v>4</v>
      </c>
      <c r="L2" t="s">
        <v>79</v>
      </c>
      <c r="M2" t="s">
        <v>80</v>
      </c>
      <c r="N2" t="s">
        <v>81</v>
      </c>
      <c r="Z2" s="3"/>
      <c r="AA2" t="s">
        <v>3</v>
      </c>
      <c r="AB2" t="s">
        <v>4</v>
      </c>
    </row>
    <row r="3" spans="2:28" x14ac:dyDescent="0.25">
      <c r="B3" s="1">
        <v>41426</v>
      </c>
      <c r="C3" s="2">
        <v>5880599796.5100002</v>
      </c>
      <c r="D3">
        <v>0.06</v>
      </c>
      <c r="F3" s="1" t="s">
        <v>5</v>
      </c>
      <c r="G3" s="1">
        <v>41306</v>
      </c>
      <c r="H3">
        <v>0.41387949806330798</v>
      </c>
      <c r="K3" s="1">
        <f>G3</f>
        <v>41306</v>
      </c>
      <c r="L3" t="e">
        <f>VLOOKUP(K3,B:D,3,0)</f>
        <v>#N/A</v>
      </c>
      <c r="M3">
        <f>VLOOKUP(K3,G:H,2,0)</f>
        <v>0.41387949806330798</v>
      </c>
      <c r="N3">
        <f>VLOOKUP(K3,AA:AB,2,0)</f>
        <v>0.20713764825312</v>
      </c>
      <c r="Z3" t="s">
        <v>5</v>
      </c>
      <c r="AA3" s="1">
        <v>41306</v>
      </c>
      <c r="AB3">
        <v>0.20713764825312</v>
      </c>
    </row>
    <row r="4" spans="2:28" x14ac:dyDescent="0.25">
      <c r="B4" s="1">
        <v>41456</v>
      </c>
      <c r="C4" s="2">
        <v>7147157849.8100004</v>
      </c>
      <c r="D4">
        <v>0.04</v>
      </c>
      <c r="F4" s="1" t="s">
        <v>6</v>
      </c>
      <c r="G4" s="1">
        <v>41334</v>
      </c>
      <c r="H4">
        <v>0.48133968799378701</v>
      </c>
      <c r="K4" s="1">
        <f t="shared" ref="K4:K49" si="0">G4</f>
        <v>41334</v>
      </c>
      <c r="L4" t="e">
        <f t="shared" ref="L4:L49" si="1">VLOOKUP(K4,B:D,3,0)</f>
        <v>#N/A</v>
      </c>
      <c r="M4">
        <f t="shared" ref="M4:M67" si="2">VLOOKUP(K4,G:H,2,0)</f>
        <v>0.48133968799378701</v>
      </c>
      <c r="N4">
        <f t="shared" ref="N4:N37" si="3">VLOOKUP(K4,AA:AB,2,0)</f>
        <v>0.240937373661265</v>
      </c>
      <c r="Z4" t="s">
        <v>6</v>
      </c>
      <c r="AA4" s="1">
        <v>41334</v>
      </c>
      <c r="AB4">
        <v>0.240937373661265</v>
      </c>
    </row>
    <row r="5" spans="2:28" x14ac:dyDescent="0.25">
      <c r="B5" s="1">
        <v>41487</v>
      </c>
      <c r="C5" s="2">
        <v>8297261429.4700003</v>
      </c>
      <c r="D5">
        <v>0.11</v>
      </c>
      <c r="F5" s="1" t="s">
        <v>7</v>
      </c>
      <c r="G5" s="1">
        <v>41365</v>
      </c>
      <c r="H5">
        <v>0.92067493966979697</v>
      </c>
      <c r="K5" s="1">
        <f t="shared" si="0"/>
        <v>41365</v>
      </c>
      <c r="L5" t="e">
        <f t="shared" si="1"/>
        <v>#N/A</v>
      </c>
      <c r="M5">
        <f t="shared" si="2"/>
        <v>0.92067493966979697</v>
      </c>
      <c r="N5">
        <f t="shared" si="3"/>
        <v>0.46131592662840298</v>
      </c>
      <c r="Z5" t="s">
        <v>7</v>
      </c>
      <c r="AA5" s="1">
        <v>41365</v>
      </c>
      <c r="AB5">
        <v>0.46131592662840298</v>
      </c>
    </row>
    <row r="6" spans="2:28" x14ac:dyDescent="0.25">
      <c r="B6" s="1">
        <v>41518</v>
      </c>
      <c r="C6" s="2">
        <v>9192616890.3799992</v>
      </c>
      <c r="D6">
        <v>0.28000000000000003</v>
      </c>
      <c r="F6" s="1" t="s">
        <v>8</v>
      </c>
      <c r="G6" s="1">
        <v>41395</v>
      </c>
      <c r="H6">
        <v>0.9835395593631</v>
      </c>
      <c r="K6" s="1">
        <f t="shared" si="0"/>
        <v>41395</v>
      </c>
      <c r="L6" t="e">
        <f t="shared" si="1"/>
        <v>#N/A</v>
      </c>
      <c r="M6">
        <f t="shared" si="2"/>
        <v>0.9835395593631</v>
      </c>
      <c r="N6">
        <f t="shared" si="3"/>
        <v>0.49294295396259402</v>
      </c>
      <c r="Z6" t="s">
        <v>8</v>
      </c>
      <c r="AA6" s="1">
        <v>41395</v>
      </c>
      <c r="AB6">
        <v>0.49294295396259402</v>
      </c>
    </row>
    <row r="7" spans="2:28" x14ac:dyDescent="0.25">
      <c r="B7" s="1">
        <v>41548</v>
      </c>
      <c r="C7" s="2">
        <v>9869502634.9099998</v>
      </c>
      <c r="D7">
        <v>0.42</v>
      </c>
      <c r="F7" s="1" t="s">
        <v>9</v>
      </c>
      <c r="G7" s="1">
        <v>41426</v>
      </c>
      <c r="H7">
        <v>1.06821720256371</v>
      </c>
      <c r="K7" s="1">
        <f t="shared" si="0"/>
        <v>41426</v>
      </c>
      <c r="L7">
        <f t="shared" si="1"/>
        <v>0.06</v>
      </c>
      <c r="M7">
        <f t="shared" si="2"/>
        <v>1.06821720256371</v>
      </c>
      <c r="N7">
        <f t="shared" si="3"/>
        <v>0.53551361100568895</v>
      </c>
      <c r="Z7" t="s">
        <v>9</v>
      </c>
      <c r="AA7" s="1">
        <v>41426</v>
      </c>
      <c r="AB7">
        <v>0.53551361100568895</v>
      </c>
    </row>
    <row r="8" spans="2:28" x14ac:dyDescent="0.25">
      <c r="B8" s="1">
        <v>41579</v>
      </c>
      <c r="C8" s="2">
        <v>10518298604.77</v>
      </c>
      <c r="D8">
        <v>0.56999999999999995</v>
      </c>
      <c r="F8" s="1" t="s">
        <v>10</v>
      </c>
      <c r="G8" s="1">
        <v>41456</v>
      </c>
      <c r="H8">
        <v>1.2269502887369099</v>
      </c>
      <c r="K8" s="1">
        <f t="shared" si="0"/>
        <v>41456</v>
      </c>
      <c r="L8">
        <f t="shared" si="1"/>
        <v>0.04</v>
      </c>
      <c r="M8">
        <f t="shared" si="2"/>
        <v>1.2269502887369099</v>
      </c>
      <c r="N8">
        <f t="shared" si="3"/>
        <v>0.61532359635796396</v>
      </c>
      <c r="Z8" t="s">
        <v>10</v>
      </c>
      <c r="AA8" s="1">
        <v>41456</v>
      </c>
      <c r="AB8">
        <v>0.61532359635796396</v>
      </c>
    </row>
    <row r="9" spans="2:28" x14ac:dyDescent="0.25">
      <c r="B9" s="1">
        <v>41609</v>
      </c>
      <c r="C9" s="2">
        <v>11023052755.42</v>
      </c>
      <c r="D9">
        <v>0.59</v>
      </c>
      <c r="F9" s="1" t="s">
        <v>11</v>
      </c>
      <c r="G9" s="1">
        <v>41487</v>
      </c>
      <c r="H9">
        <v>1.3651058278938499</v>
      </c>
      <c r="K9" s="1">
        <f t="shared" si="0"/>
        <v>41487</v>
      </c>
      <c r="L9">
        <f t="shared" si="1"/>
        <v>0.11</v>
      </c>
      <c r="M9">
        <f t="shared" si="2"/>
        <v>1.3651058278938499</v>
      </c>
      <c r="N9">
        <f t="shared" si="3"/>
        <v>0.68483016167004696</v>
      </c>
      <c r="Z9" t="s">
        <v>11</v>
      </c>
      <c r="AA9" s="1">
        <v>41487</v>
      </c>
      <c r="AB9">
        <v>0.68483016167004696</v>
      </c>
    </row>
    <row r="10" spans="2:28" x14ac:dyDescent="0.25">
      <c r="B10" s="1">
        <v>41640</v>
      </c>
      <c r="C10" s="2">
        <v>11463281679.049999</v>
      </c>
      <c r="D10">
        <v>0.63</v>
      </c>
      <c r="F10" s="1" t="s">
        <v>12</v>
      </c>
      <c r="G10" s="1">
        <v>41518</v>
      </c>
      <c r="H10">
        <v>1.5676619105418701</v>
      </c>
      <c r="K10" s="1">
        <f t="shared" si="0"/>
        <v>41518</v>
      </c>
      <c r="L10">
        <f t="shared" si="1"/>
        <v>0.28000000000000003</v>
      </c>
      <c r="M10">
        <f t="shared" si="2"/>
        <v>1.5676619105418701</v>
      </c>
      <c r="N10">
        <f t="shared" si="3"/>
        <v>0.78681444659405297</v>
      </c>
      <c r="Z10" t="s">
        <v>12</v>
      </c>
      <c r="AA10" s="1">
        <v>41518</v>
      </c>
      <c r="AB10">
        <v>0.78681444659405297</v>
      </c>
    </row>
    <row r="11" spans="2:28" x14ac:dyDescent="0.25">
      <c r="B11" s="1">
        <v>41671</v>
      </c>
      <c r="C11" s="2">
        <v>11697135650.469999</v>
      </c>
      <c r="D11">
        <v>0.56999999999999995</v>
      </c>
      <c r="F11" s="1" t="s">
        <v>13</v>
      </c>
      <c r="G11" s="1">
        <v>41548</v>
      </c>
      <c r="H11">
        <v>1.8128297286781101</v>
      </c>
      <c r="K11" s="1">
        <f t="shared" si="0"/>
        <v>41548</v>
      </c>
      <c r="L11">
        <f t="shared" si="1"/>
        <v>0.42</v>
      </c>
      <c r="M11">
        <f t="shared" si="2"/>
        <v>1.8128297286781101</v>
      </c>
      <c r="N11">
        <f t="shared" si="3"/>
        <v>0.91037466398303801</v>
      </c>
      <c r="Z11" t="s">
        <v>13</v>
      </c>
      <c r="AA11" s="1">
        <v>41548</v>
      </c>
      <c r="AB11">
        <v>0.91037466398303801</v>
      </c>
    </row>
    <row r="12" spans="2:28" x14ac:dyDescent="0.25">
      <c r="B12" s="1">
        <v>41699</v>
      </c>
      <c r="C12" s="2">
        <v>11656961837.280001</v>
      </c>
      <c r="D12">
        <v>0.86</v>
      </c>
      <c r="F12" s="4" t="s">
        <v>14</v>
      </c>
      <c r="G12" s="1">
        <v>41579</v>
      </c>
      <c r="H12">
        <v>2.0971851800781001</v>
      </c>
      <c r="K12" s="1">
        <f t="shared" si="0"/>
        <v>41579</v>
      </c>
      <c r="L12">
        <f t="shared" si="1"/>
        <v>0.56999999999999995</v>
      </c>
      <c r="M12">
        <f t="shared" si="2"/>
        <v>2.0971851800781001</v>
      </c>
      <c r="N12">
        <f t="shared" si="3"/>
        <v>1.05386095643815</v>
      </c>
      <c r="Z12" s="3" t="s">
        <v>14</v>
      </c>
      <c r="AA12" s="1">
        <v>41579</v>
      </c>
      <c r="AB12">
        <v>1.05386095643815</v>
      </c>
    </row>
    <row r="13" spans="2:28" x14ac:dyDescent="0.25">
      <c r="B13" s="1">
        <v>41730</v>
      </c>
      <c r="C13" s="2">
        <v>11613797227.23</v>
      </c>
      <c r="D13">
        <v>0.89</v>
      </c>
      <c r="F13" s="4" t="s">
        <v>15</v>
      </c>
      <c r="G13" s="1">
        <v>41609</v>
      </c>
      <c r="H13">
        <v>2.4385580356184402</v>
      </c>
      <c r="K13" s="1">
        <f t="shared" si="0"/>
        <v>41609</v>
      </c>
      <c r="L13">
        <f t="shared" si="1"/>
        <v>0.59</v>
      </c>
      <c r="M13">
        <f t="shared" si="2"/>
        <v>2.4385580356184402</v>
      </c>
      <c r="N13">
        <f t="shared" si="3"/>
        <v>1.2297289879926001</v>
      </c>
      <c r="Z13" s="3" t="s">
        <v>15</v>
      </c>
      <c r="AA13" s="1">
        <v>41609</v>
      </c>
      <c r="AB13">
        <v>1.2297289879926001</v>
      </c>
    </row>
    <row r="14" spans="2:28" x14ac:dyDescent="0.25">
      <c r="B14" s="1">
        <v>41760</v>
      </c>
      <c r="C14" s="2">
        <v>11563242875.4</v>
      </c>
      <c r="D14">
        <v>0.71</v>
      </c>
      <c r="F14" s="4" t="s">
        <v>16</v>
      </c>
      <c r="G14" s="1">
        <v>41640</v>
      </c>
      <c r="H14">
        <v>2.7275271188533798</v>
      </c>
      <c r="K14" s="1">
        <f t="shared" si="0"/>
        <v>41640</v>
      </c>
      <c r="L14">
        <f t="shared" si="1"/>
        <v>0.63</v>
      </c>
      <c r="M14">
        <f t="shared" si="2"/>
        <v>2.7275271188533798</v>
      </c>
      <c r="N14">
        <f t="shared" si="3"/>
        <v>1.3758930863469701</v>
      </c>
      <c r="Z14" s="3" t="s">
        <v>16</v>
      </c>
      <c r="AA14" s="1">
        <v>41640</v>
      </c>
      <c r="AB14">
        <v>1.3758930863469701</v>
      </c>
    </row>
    <row r="15" spans="2:28" x14ac:dyDescent="0.25">
      <c r="B15" s="1">
        <v>41791</v>
      </c>
      <c r="C15" s="2">
        <v>11509247974.780001</v>
      </c>
      <c r="D15">
        <v>0.84</v>
      </c>
      <c r="F15" s="4" t="s">
        <v>17</v>
      </c>
      <c r="G15" s="1">
        <v>41671</v>
      </c>
      <c r="H15">
        <v>3.0619926512440498</v>
      </c>
      <c r="K15" s="1">
        <f t="shared" si="0"/>
        <v>41671</v>
      </c>
      <c r="L15">
        <f t="shared" si="1"/>
        <v>0.56999999999999995</v>
      </c>
      <c r="M15">
        <f t="shared" si="2"/>
        <v>3.0619926512440498</v>
      </c>
      <c r="N15">
        <f t="shared" si="3"/>
        <v>1.5454102955277</v>
      </c>
      <c r="Z15" s="3" t="s">
        <v>17</v>
      </c>
      <c r="AA15" s="1">
        <v>41671</v>
      </c>
      <c r="AB15">
        <v>1.5454102955277</v>
      </c>
    </row>
    <row r="16" spans="2:28" x14ac:dyDescent="0.25">
      <c r="B16" s="1">
        <v>41821</v>
      </c>
      <c r="C16" s="2">
        <v>11450450456.709999</v>
      </c>
      <c r="D16">
        <v>0.73</v>
      </c>
      <c r="F16" s="4" t="s">
        <v>18</v>
      </c>
      <c r="G16" s="1">
        <v>41699</v>
      </c>
      <c r="H16">
        <v>3.4237955972142302</v>
      </c>
      <c r="K16" s="1">
        <f t="shared" si="0"/>
        <v>41699</v>
      </c>
      <c r="L16">
        <f t="shared" si="1"/>
        <v>0.86</v>
      </c>
      <c r="M16">
        <f t="shared" si="2"/>
        <v>3.4237955972142302</v>
      </c>
      <c r="N16">
        <f t="shared" si="3"/>
        <v>1.7291348019600301</v>
      </c>
      <c r="Z16" s="3" t="s">
        <v>18</v>
      </c>
      <c r="AA16" s="1">
        <v>41699</v>
      </c>
      <c r="AB16">
        <v>1.7291348019600301</v>
      </c>
    </row>
    <row r="17" spans="2:28" x14ac:dyDescent="0.25">
      <c r="B17" s="1">
        <v>41852</v>
      </c>
      <c r="C17" s="2">
        <v>11393021567.26</v>
      </c>
      <c r="D17">
        <v>0.95</v>
      </c>
      <c r="F17" s="4" t="s">
        <v>19</v>
      </c>
      <c r="G17" s="1">
        <v>41730</v>
      </c>
      <c r="H17">
        <v>3.6063599068965599</v>
      </c>
      <c r="K17" s="1">
        <f t="shared" si="0"/>
        <v>41730</v>
      </c>
      <c r="L17">
        <f t="shared" si="1"/>
        <v>0.89</v>
      </c>
      <c r="M17">
        <f t="shared" si="2"/>
        <v>3.6063599068965599</v>
      </c>
      <c r="N17">
        <f t="shared" si="3"/>
        <v>1.82202685233567</v>
      </c>
      <c r="Z17" s="3" t="s">
        <v>19</v>
      </c>
      <c r="AA17" s="1">
        <v>41730</v>
      </c>
      <c r="AB17">
        <v>1.82202685233567</v>
      </c>
    </row>
    <row r="18" spans="2:28" x14ac:dyDescent="0.25">
      <c r="B18" s="1">
        <v>41883</v>
      </c>
      <c r="C18" s="2">
        <v>11332283567.16</v>
      </c>
      <c r="D18">
        <v>1.08</v>
      </c>
      <c r="F18" s="4" t="s">
        <v>20</v>
      </c>
      <c r="G18" s="1">
        <v>41760</v>
      </c>
      <c r="H18">
        <v>3.7500491651974999</v>
      </c>
      <c r="K18" s="1">
        <f t="shared" si="0"/>
        <v>41760</v>
      </c>
      <c r="L18">
        <f t="shared" si="1"/>
        <v>0.71</v>
      </c>
      <c r="M18">
        <f t="shared" si="2"/>
        <v>3.7500491651974999</v>
      </c>
      <c r="N18">
        <f t="shared" si="3"/>
        <v>1.8953024300721799</v>
      </c>
      <c r="Z18" s="3" t="s">
        <v>20</v>
      </c>
      <c r="AA18" s="1">
        <v>41760</v>
      </c>
      <c r="AB18">
        <v>1.8953024300721799</v>
      </c>
    </row>
    <row r="19" spans="2:28" x14ac:dyDescent="0.25">
      <c r="B19" s="1">
        <v>41913</v>
      </c>
      <c r="C19" s="2">
        <v>11260094340.75</v>
      </c>
      <c r="D19">
        <v>1.17</v>
      </c>
      <c r="F19" s="4" t="s">
        <v>21</v>
      </c>
      <c r="G19" s="1">
        <v>41791</v>
      </c>
      <c r="H19">
        <v>3.8496947868825</v>
      </c>
      <c r="K19" s="1">
        <f t="shared" si="0"/>
        <v>41791</v>
      </c>
      <c r="L19">
        <f t="shared" si="1"/>
        <v>0.84</v>
      </c>
      <c r="M19">
        <f t="shared" si="2"/>
        <v>3.8496947868825</v>
      </c>
      <c r="N19">
        <f t="shared" si="3"/>
        <v>1.9461195158370199</v>
      </c>
      <c r="Z19" s="3" t="s">
        <v>21</v>
      </c>
      <c r="AA19" s="1">
        <v>41791</v>
      </c>
      <c r="AB19">
        <v>1.9461195158370199</v>
      </c>
    </row>
    <row r="20" spans="2:28" x14ac:dyDescent="0.25">
      <c r="B20" s="1">
        <v>41944</v>
      </c>
      <c r="C20" s="2">
        <v>11196350977.82</v>
      </c>
      <c r="D20">
        <v>1.08</v>
      </c>
      <c r="F20" s="4" t="s">
        <v>22</v>
      </c>
      <c r="G20" s="1">
        <v>41821</v>
      </c>
      <c r="H20">
        <v>4.0638893341198701</v>
      </c>
      <c r="K20" s="1">
        <f t="shared" si="0"/>
        <v>41821</v>
      </c>
      <c r="L20">
        <f t="shared" si="1"/>
        <v>0.73</v>
      </c>
      <c r="M20">
        <f t="shared" si="2"/>
        <v>4.0638893341198701</v>
      </c>
      <c r="N20">
        <f t="shared" si="3"/>
        <v>2.0553322927580902</v>
      </c>
      <c r="Z20" s="3" t="s">
        <v>22</v>
      </c>
      <c r="AA20" s="1">
        <v>41821</v>
      </c>
      <c r="AB20">
        <v>2.0553322927580902</v>
      </c>
    </row>
    <row r="21" spans="2:28" x14ac:dyDescent="0.25">
      <c r="B21" s="1">
        <v>41974</v>
      </c>
      <c r="C21" s="2">
        <v>11125845905.23</v>
      </c>
      <c r="D21">
        <v>1.37</v>
      </c>
      <c r="F21" s="4" t="s">
        <v>23</v>
      </c>
      <c r="G21" s="1">
        <v>41852</v>
      </c>
      <c r="H21">
        <v>4.2660964614047296</v>
      </c>
      <c r="K21" s="1">
        <f t="shared" si="0"/>
        <v>41852</v>
      </c>
      <c r="L21">
        <f t="shared" si="1"/>
        <v>0.95</v>
      </c>
      <c r="M21">
        <f t="shared" si="2"/>
        <v>4.2660964614047296</v>
      </c>
      <c r="N21">
        <f t="shared" si="3"/>
        <v>2.1585373359520998</v>
      </c>
      <c r="Z21" s="3" t="s">
        <v>23</v>
      </c>
      <c r="AA21" s="1">
        <v>41852</v>
      </c>
      <c r="AB21">
        <v>2.1585373359520998</v>
      </c>
    </row>
    <row r="22" spans="2:28" x14ac:dyDescent="0.25">
      <c r="B22" s="1">
        <v>42005</v>
      </c>
      <c r="C22" s="2">
        <v>11063774129.6</v>
      </c>
      <c r="D22">
        <v>1.18</v>
      </c>
      <c r="F22" s="4" t="s">
        <v>24</v>
      </c>
      <c r="G22" s="1">
        <v>41883</v>
      </c>
      <c r="H22">
        <v>4.4303835086956198</v>
      </c>
      <c r="K22" s="1">
        <f t="shared" si="0"/>
        <v>41883</v>
      </c>
      <c r="L22">
        <f t="shared" si="1"/>
        <v>1.08</v>
      </c>
      <c r="M22">
        <f t="shared" si="2"/>
        <v>4.4303835086956198</v>
      </c>
      <c r="N22">
        <f t="shared" si="3"/>
        <v>2.2424502653498699</v>
      </c>
      <c r="Z22" s="3" t="s">
        <v>24</v>
      </c>
      <c r="AA22" s="1">
        <v>41883</v>
      </c>
      <c r="AB22">
        <v>2.2424502653498699</v>
      </c>
    </row>
    <row r="23" spans="2:28" x14ac:dyDescent="0.25">
      <c r="B23" s="1">
        <v>42036</v>
      </c>
      <c r="C23" s="2">
        <v>10998511464.42</v>
      </c>
      <c r="D23">
        <v>1.39</v>
      </c>
      <c r="F23" s="4" t="s">
        <v>25</v>
      </c>
      <c r="G23" s="1">
        <v>41913</v>
      </c>
      <c r="H23">
        <v>4.6681020948330598</v>
      </c>
      <c r="K23" s="1">
        <f t="shared" si="0"/>
        <v>41913</v>
      </c>
      <c r="L23">
        <f t="shared" si="1"/>
        <v>1.17</v>
      </c>
      <c r="M23">
        <f t="shared" si="2"/>
        <v>4.6681020948330598</v>
      </c>
      <c r="N23">
        <f t="shared" si="3"/>
        <v>2.3641271745496399</v>
      </c>
      <c r="Z23" s="3" t="s">
        <v>25</v>
      </c>
      <c r="AA23" s="1">
        <v>41913</v>
      </c>
      <c r="AB23">
        <v>2.3641271745496399</v>
      </c>
    </row>
    <row r="24" spans="2:28" x14ac:dyDescent="0.25">
      <c r="B24" s="1">
        <v>42064</v>
      </c>
      <c r="C24" s="2">
        <v>10935956094.25</v>
      </c>
      <c r="D24">
        <v>1.45</v>
      </c>
      <c r="F24" s="4" t="s">
        <v>26</v>
      </c>
      <c r="G24" s="1">
        <v>41944</v>
      </c>
      <c r="H24">
        <v>4.8949020347757797</v>
      </c>
      <c r="K24" s="1">
        <f t="shared" si="0"/>
        <v>41944</v>
      </c>
      <c r="L24">
        <f t="shared" si="1"/>
        <v>1.08</v>
      </c>
      <c r="M24">
        <f t="shared" si="2"/>
        <v>4.8949020347757797</v>
      </c>
      <c r="N24">
        <f t="shared" si="3"/>
        <v>2.4803354173602798</v>
      </c>
      <c r="Z24" s="3" t="s">
        <v>26</v>
      </c>
      <c r="AA24" s="1">
        <v>41944</v>
      </c>
      <c r="AB24">
        <v>2.4803354173602798</v>
      </c>
    </row>
    <row r="25" spans="2:28" x14ac:dyDescent="0.25">
      <c r="B25" s="1">
        <v>42095</v>
      </c>
      <c r="C25" s="2">
        <v>10872667871.76</v>
      </c>
      <c r="D25">
        <v>1.0900000000000001</v>
      </c>
      <c r="F25" s="4" t="s">
        <v>27</v>
      </c>
      <c r="G25" s="1">
        <v>41974</v>
      </c>
      <c r="H25">
        <v>5.1096120262259497</v>
      </c>
      <c r="K25" s="1">
        <f t="shared" si="0"/>
        <v>41974</v>
      </c>
      <c r="L25">
        <f t="shared" si="1"/>
        <v>1.37</v>
      </c>
      <c r="M25">
        <f t="shared" si="2"/>
        <v>5.1096120262259497</v>
      </c>
      <c r="N25">
        <f t="shared" si="3"/>
        <v>2.5904513583864102</v>
      </c>
      <c r="Z25" s="3" t="s">
        <v>27</v>
      </c>
      <c r="AA25" s="1">
        <v>41974</v>
      </c>
      <c r="AB25">
        <v>2.5904513583864102</v>
      </c>
    </row>
    <row r="26" spans="2:28" x14ac:dyDescent="0.25">
      <c r="B26" s="1">
        <v>42125</v>
      </c>
      <c r="C26" s="2">
        <v>10797018327.85</v>
      </c>
      <c r="D26">
        <v>1.18</v>
      </c>
      <c r="F26" s="4" t="s">
        <v>28</v>
      </c>
      <c r="G26" s="1">
        <v>42005</v>
      </c>
      <c r="H26">
        <v>5.23763521059524</v>
      </c>
      <c r="K26" s="1">
        <f t="shared" si="0"/>
        <v>42005</v>
      </c>
      <c r="L26">
        <f t="shared" si="1"/>
        <v>1.18</v>
      </c>
      <c r="M26">
        <f t="shared" si="2"/>
        <v>5.23763521059524</v>
      </c>
      <c r="N26">
        <f t="shared" si="3"/>
        <v>2.6563373474127498</v>
      </c>
      <c r="Z26" s="3" t="s">
        <v>28</v>
      </c>
      <c r="AA26" s="1">
        <v>42005</v>
      </c>
      <c r="AB26">
        <v>2.6563373474127498</v>
      </c>
    </row>
    <row r="27" spans="2:28" x14ac:dyDescent="0.25">
      <c r="B27" s="1">
        <v>42156</v>
      </c>
      <c r="C27" s="2">
        <v>10709727124.66</v>
      </c>
      <c r="D27">
        <v>1.01</v>
      </c>
      <c r="F27" s="4" t="s">
        <v>29</v>
      </c>
      <c r="G27" s="1">
        <v>42036</v>
      </c>
      <c r="H27">
        <v>5.3424596088316196</v>
      </c>
      <c r="K27" s="1">
        <f t="shared" si="0"/>
        <v>42036</v>
      </c>
      <c r="L27">
        <f t="shared" si="1"/>
        <v>1.39</v>
      </c>
      <c r="M27">
        <f t="shared" si="2"/>
        <v>5.3424596088316196</v>
      </c>
      <c r="N27">
        <f t="shared" si="3"/>
        <v>2.7101244790512502</v>
      </c>
      <c r="Z27" s="3" t="s">
        <v>29</v>
      </c>
      <c r="AA27" s="1">
        <v>42036</v>
      </c>
      <c r="AB27">
        <v>2.7101244790512502</v>
      </c>
    </row>
    <row r="28" spans="2:28" x14ac:dyDescent="0.25">
      <c r="B28" s="1">
        <v>42186</v>
      </c>
      <c r="C28" s="2">
        <v>10622333474.870001</v>
      </c>
      <c r="D28">
        <v>0.98</v>
      </c>
      <c r="F28" s="4" t="s">
        <v>30</v>
      </c>
      <c r="G28" s="1">
        <v>42064</v>
      </c>
      <c r="H28">
        <v>5.4342834976513696</v>
      </c>
      <c r="K28" s="1">
        <f t="shared" si="0"/>
        <v>42064</v>
      </c>
      <c r="L28">
        <f t="shared" si="1"/>
        <v>1.45</v>
      </c>
      <c r="M28">
        <f t="shared" si="2"/>
        <v>5.4342834976513696</v>
      </c>
      <c r="N28">
        <f t="shared" si="3"/>
        <v>2.7573647838327799</v>
      </c>
      <c r="Z28" s="3" t="s">
        <v>30</v>
      </c>
      <c r="AA28" s="1">
        <v>42064</v>
      </c>
      <c r="AB28">
        <v>2.7573647838327799</v>
      </c>
    </row>
    <row r="29" spans="2:28" x14ac:dyDescent="0.25">
      <c r="B29" s="1">
        <v>42217</v>
      </c>
      <c r="C29" s="2">
        <v>10524391033.92</v>
      </c>
      <c r="D29">
        <v>1.1200000000000001</v>
      </c>
      <c r="F29" s="4" t="s">
        <v>31</v>
      </c>
      <c r="G29" s="1">
        <v>42095</v>
      </c>
      <c r="H29">
        <v>5.16368989924577</v>
      </c>
      <c r="K29" s="1">
        <f t="shared" si="0"/>
        <v>42095</v>
      </c>
      <c r="L29">
        <f t="shared" si="1"/>
        <v>1.0900000000000001</v>
      </c>
      <c r="M29">
        <f t="shared" si="2"/>
        <v>5.16368989924577</v>
      </c>
      <c r="N29">
        <f t="shared" si="3"/>
        <v>2.6183387068297299</v>
      </c>
      <c r="Z29" s="3" t="s">
        <v>31</v>
      </c>
      <c r="AA29" s="1">
        <v>42095</v>
      </c>
      <c r="AB29">
        <v>2.6183387068297299</v>
      </c>
    </row>
    <row r="30" spans="2:28" x14ac:dyDescent="0.25">
      <c r="B30" s="1">
        <v>42248</v>
      </c>
      <c r="C30" s="2">
        <v>10424192690.51</v>
      </c>
      <c r="D30">
        <v>1.0900000000000001</v>
      </c>
      <c r="F30" s="4" t="s">
        <v>32</v>
      </c>
      <c r="G30" s="1">
        <v>42125</v>
      </c>
      <c r="H30">
        <v>4.87897341670757</v>
      </c>
      <c r="K30" s="1">
        <f t="shared" si="0"/>
        <v>42125</v>
      </c>
      <c r="L30">
        <f t="shared" si="1"/>
        <v>1.18</v>
      </c>
      <c r="M30">
        <f t="shared" si="2"/>
        <v>4.87897341670757</v>
      </c>
      <c r="N30">
        <f t="shared" si="3"/>
        <v>2.47185528116005</v>
      </c>
      <c r="Z30" s="3" t="s">
        <v>32</v>
      </c>
      <c r="AA30" s="1">
        <v>42125</v>
      </c>
      <c r="AB30">
        <v>2.47185528116005</v>
      </c>
    </row>
    <row r="31" spans="2:28" x14ac:dyDescent="0.25">
      <c r="B31" s="1">
        <v>42278</v>
      </c>
      <c r="C31" s="2">
        <v>10334220983.059999</v>
      </c>
      <c r="D31">
        <v>0.89</v>
      </c>
      <c r="F31" s="4" t="s">
        <v>33</v>
      </c>
      <c r="G31" s="1">
        <v>42156</v>
      </c>
      <c r="H31">
        <v>4.5968714256048804</v>
      </c>
      <c r="K31" s="1">
        <f t="shared" si="0"/>
        <v>42156</v>
      </c>
      <c r="L31">
        <f t="shared" si="1"/>
        <v>1.01</v>
      </c>
      <c r="M31">
        <f t="shared" si="2"/>
        <v>4.5968714256048804</v>
      </c>
      <c r="N31">
        <f t="shared" si="3"/>
        <v>2.3270764680810401</v>
      </c>
      <c r="Z31" s="3" t="s">
        <v>33</v>
      </c>
      <c r="AA31" s="1">
        <v>42156</v>
      </c>
      <c r="AB31">
        <v>2.3270764680810401</v>
      </c>
    </row>
    <row r="32" spans="2:28" x14ac:dyDescent="0.25">
      <c r="B32" s="1">
        <v>42309</v>
      </c>
      <c r="C32" s="2">
        <v>10244316808.530001</v>
      </c>
      <c r="D32">
        <v>1.1399999999999999</v>
      </c>
      <c r="F32" s="4" t="s">
        <v>34</v>
      </c>
      <c r="G32" s="1">
        <v>42186</v>
      </c>
      <c r="H32">
        <v>4.5403717658652303</v>
      </c>
      <c r="K32" s="1">
        <f t="shared" si="0"/>
        <v>42186</v>
      </c>
      <c r="L32">
        <f t="shared" si="1"/>
        <v>0.98</v>
      </c>
      <c r="M32">
        <f t="shared" si="2"/>
        <v>4.5403717658652303</v>
      </c>
      <c r="N32">
        <f t="shared" si="3"/>
        <v>2.2980267904341698</v>
      </c>
      <c r="Z32" s="3" t="s">
        <v>34</v>
      </c>
      <c r="AA32" s="1">
        <v>42186</v>
      </c>
      <c r="AB32">
        <v>2.2980267904341698</v>
      </c>
    </row>
    <row r="33" spans="2:28" x14ac:dyDescent="0.25">
      <c r="B33" s="1">
        <v>42339</v>
      </c>
      <c r="C33" s="2">
        <v>10155972601.08</v>
      </c>
      <c r="D33">
        <v>1.26</v>
      </c>
      <c r="F33" s="4" t="s">
        <v>35</v>
      </c>
      <c r="G33" s="1">
        <v>42217</v>
      </c>
      <c r="H33">
        <v>4.4717195717325504</v>
      </c>
      <c r="K33" s="1">
        <f t="shared" si="0"/>
        <v>42217</v>
      </c>
      <c r="L33">
        <f t="shared" si="1"/>
        <v>1.1200000000000001</v>
      </c>
      <c r="M33">
        <f t="shared" si="2"/>
        <v>4.4717195717325504</v>
      </c>
      <c r="N33">
        <f t="shared" si="3"/>
        <v>2.2628480625549998</v>
      </c>
      <c r="Z33" s="3" t="s">
        <v>35</v>
      </c>
      <c r="AA33" s="1">
        <v>42217</v>
      </c>
      <c r="AB33">
        <v>2.2628480625549998</v>
      </c>
    </row>
    <row r="34" spans="2:28" x14ac:dyDescent="0.25">
      <c r="B34" s="1"/>
      <c r="C34" s="2"/>
      <c r="F34" s="4" t="s">
        <v>36</v>
      </c>
      <c r="G34" s="1">
        <v>42248</v>
      </c>
      <c r="H34">
        <v>4.3960255835134197</v>
      </c>
      <c r="K34" s="1">
        <f t="shared" si="0"/>
        <v>42248</v>
      </c>
      <c r="L34">
        <f t="shared" si="1"/>
        <v>1.0900000000000001</v>
      </c>
      <c r="M34">
        <f t="shared" si="2"/>
        <v>4.3960255835134197</v>
      </c>
      <c r="N34">
        <f t="shared" si="3"/>
        <v>2.2240414037509599</v>
      </c>
      <c r="Z34" s="3" t="s">
        <v>36</v>
      </c>
      <c r="AA34" s="1">
        <v>42248</v>
      </c>
      <c r="AB34">
        <v>2.2240414037509599</v>
      </c>
    </row>
    <row r="35" spans="2:28" x14ac:dyDescent="0.25">
      <c r="B35" s="1"/>
      <c r="C35" s="2"/>
      <c r="F35" s="4" t="s">
        <v>37</v>
      </c>
      <c r="G35" s="1">
        <v>42278</v>
      </c>
      <c r="H35">
        <v>4.4681824905274903</v>
      </c>
      <c r="K35" s="1">
        <f t="shared" si="0"/>
        <v>42278</v>
      </c>
      <c r="L35">
        <f t="shared" si="1"/>
        <v>0.89</v>
      </c>
      <c r="M35">
        <f t="shared" si="2"/>
        <v>4.4681824905274903</v>
      </c>
      <c r="N35">
        <f t="shared" si="3"/>
        <v>2.2608810768885701</v>
      </c>
      <c r="Z35" s="3" t="s">
        <v>37</v>
      </c>
      <c r="AA35" s="1">
        <v>42278</v>
      </c>
      <c r="AB35">
        <v>2.2608810768885701</v>
      </c>
    </row>
    <row r="36" spans="2:28" x14ac:dyDescent="0.25">
      <c r="B36" s="1"/>
      <c r="C36" s="2"/>
      <c r="F36" s="4" t="s">
        <v>38</v>
      </c>
      <c r="G36" s="1">
        <v>42309</v>
      </c>
      <c r="H36">
        <v>4.5369073747401103</v>
      </c>
      <c r="K36" s="1">
        <f t="shared" si="0"/>
        <v>42309</v>
      </c>
      <c r="L36">
        <f t="shared" si="1"/>
        <v>1.1399999999999999</v>
      </c>
      <c r="M36">
        <f t="shared" si="2"/>
        <v>4.5369073747401103</v>
      </c>
      <c r="N36">
        <f t="shared" si="3"/>
        <v>2.2959034252630599</v>
      </c>
      <c r="Z36" s="3" t="s">
        <v>38</v>
      </c>
      <c r="AA36" s="1">
        <v>42309</v>
      </c>
      <c r="AB36">
        <v>2.2959034252630599</v>
      </c>
    </row>
    <row r="37" spans="2:28" x14ac:dyDescent="0.25">
      <c r="B37" s="1"/>
      <c r="C37" s="2"/>
      <c r="F37" s="4" t="s">
        <v>39</v>
      </c>
      <c r="G37" s="1">
        <v>42339</v>
      </c>
      <c r="H37">
        <v>4.5950271317003599</v>
      </c>
      <c r="K37" s="1">
        <f t="shared" si="0"/>
        <v>42339</v>
      </c>
      <c r="L37">
        <f t="shared" si="1"/>
        <v>1.26</v>
      </c>
      <c r="M37">
        <f t="shared" si="2"/>
        <v>4.5950271317003599</v>
      </c>
      <c r="N37">
        <f t="shared" si="3"/>
        <v>2.3255900703828498</v>
      </c>
      <c r="Z37" s="3" t="s">
        <v>39</v>
      </c>
      <c r="AA37" s="1">
        <v>42339</v>
      </c>
      <c r="AB37">
        <v>2.3255900703828498</v>
      </c>
    </row>
    <row r="38" spans="2:28" x14ac:dyDescent="0.25">
      <c r="B38" s="1"/>
      <c r="C38" s="2"/>
      <c r="F38" s="4"/>
      <c r="G38" s="1"/>
      <c r="K38" s="1"/>
    </row>
    <row r="39" spans="2:28" x14ac:dyDescent="0.25">
      <c r="B39" s="1"/>
      <c r="C39" s="2"/>
      <c r="F39" s="4"/>
      <c r="G39" s="1"/>
      <c r="K39" s="1"/>
    </row>
    <row r="40" spans="2:28" x14ac:dyDescent="0.25">
      <c r="B40" s="1"/>
      <c r="C40" s="2"/>
      <c r="F40" s="4"/>
      <c r="G40" s="1"/>
      <c r="K40" s="1"/>
    </row>
    <row r="41" spans="2:28" x14ac:dyDescent="0.25">
      <c r="B41" s="1"/>
      <c r="C41" s="2"/>
      <c r="F41" s="4"/>
      <c r="G41" s="1"/>
      <c r="K41" s="1"/>
    </row>
    <row r="42" spans="2:28" x14ac:dyDescent="0.25">
      <c r="B42" s="1"/>
      <c r="C42" s="2"/>
      <c r="F42" s="4"/>
      <c r="G42" s="1"/>
      <c r="K42" s="1"/>
    </row>
    <row r="43" spans="2:28" x14ac:dyDescent="0.25">
      <c r="B43" s="1"/>
      <c r="C43" s="2"/>
      <c r="F43" s="4"/>
      <c r="G43" s="1"/>
      <c r="K43" s="1"/>
    </row>
    <row r="44" spans="2:28" x14ac:dyDescent="0.25">
      <c r="B44" s="1"/>
      <c r="C44" s="2"/>
      <c r="F44" s="4"/>
      <c r="G44" s="1"/>
      <c r="K44" s="1"/>
    </row>
    <row r="45" spans="2:28" x14ac:dyDescent="0.25">
      <c r="B45" s="1"/>
      <c r="C45" s="2"/>
      <c r="F45" s="4"/>
      <c r="G45" s="1"/>
      <c r="K45" s="1"/>
    </row>
    <row r="46" spans="2:28" x14ac:dyDescent="0.25">
      <c r="B46" s="1"/>
      <c r="C46" s="2"/>
      <c r="F46" s="4"/>
      <c r="G46" s="1"/>
      <c r="K46" s="1"/>
    </row>
    <row r="47" spans="2:28" x14ac:dyDescent="0.25">
      <c r="B47" s="1"/>
      <c r="C47" s="2"/>
      <c r="F47" s="4"/>
      <c r="G47" s="1"/>
      <c r="K47" s="1"/>
    </row>
    <row r="48" spans="2:28" x14ac:dyDescent="0.25">
      <c r="B48" s="1"/>
      <c r="F48" s="4"/>
      <c r="G48" s="1"/>
      <c r="K48" s="1"/>
    </row>
    <row r="49" spans="2:11" x14ac:dyDescent="0.25">
      <c r="B49" s="1"/>
      <c r="F49" s="4"/>
      <c r="G49" s="1"/>
      <c r="K49" s="1"/>
    </row>
    <row r="50" spans="2:11" x14ac:dyDescent="0.25">
      <c r="B50" s="1"/>
      <c r="F50" s="4"/>
      <c r="G50" s="1"/>
      <c r="K50" s="1"/>
    </row>
    <row r="51" spans="2:11" x14ac:dyDescent="0.25">
      <c r="B51" s="1"/>
      <c r="F51" s="4"/>
      <c r="G51" s="1"/>
      <c r="K51" s="1"/>
    </row>
    <row r="52" spans="2:11" x14ac:dyDescent="0.25">
      <c r="B52" s="1"/>
      <c r="F52" s="4"/>
      <c r="G52" s="1"/>
      <c r="K52" s="1"/>
    </row>
    <row r="53" spans="2:11" x14ac:dyDescent="0.25">
      <c r="B53" s="1"/>
      <c r="F53" s="4"/>
      <c r="G53" s="1"/>
      <c r="K53" s="1"/>
    </row>
    <row r="54" spans="2:11" x14ac:dyDescent="0.25">
      <c r="B54" s="1"/>
      <c r="F54" s="4"/>
      <c r="G54" s="1"/>
      <c r="K54" s="1"/>
    </row>
    <row r="55" spans="2:11" x14ac:dyDescent="0.25">
      <c r="B55" s="1"/>
      <c r="F55" s="4"/>
      <c r="G55" s="1"/>
      <c r="K55" s="1"/>
    </row>
    <row r="56" spans="2:11" x14ac:dyDescent="0.25">
      <c r="B56" s="1"/>
      <c r="F56" s="4"/>
      <c r="G56" s="1"/>
      <c r="K56" s="1"/>
    </row>
    <row r="57" spans="2:11" x14ac:dyDescent="0.25">
      <c r="B57" s="1"/>
      <c r="F57" s="4"/>
      <c r="G57" s="1"/>
      <c r="K57" s="1"/>
    </row>
    <row r="58" spans="2:11" x14ac:dyDescent="0.25">
      <c r="B58" s="1"/>
      <c r="F58" s="4"/>
      <c r="G58" s="1"/>
      <c r="K58" s="1"/>
    </row>
    <row r="59" spans="2:11" x14ac:dyDescent="0.25">
      <c r="B59" s="1"/>
      <c r="F59" s="4"/>
      <c r="G59" s="1"/>
      <c r="K59" s="1"/>
    </row>
    <row r="60" spans="2:11" x14ac:dyDescent="0.25">
      <c r="B60" s="1"/>
      <c r="F60" s="4"/>
      <c r="G60" s="1"/>
      <c r="K60" s="1"/>
    </row>
    <row r="61" spans="2:11" x14ac:dyDescent="0.25">
      <c r="B61" s="1"/>
      <c r="F61" s="4"/>
      <c r="G61" s="1"/>
      <c r="K61" s="1"/>
    </row>
    <row r="62" spans="2:11" x14ac:dyDescent="0.25">
      <c r="B62" s="1"/>
      <c r="F62" s="4"/>
      <c r="G62" s="1"/>
      <c r="K62" s="1"/>
    </row>
    <row r="63" spans="2:11" x14ac:dyDescent="0.25">
      <c r="F63" s="4"/>
      <c r="G63" s="1"/>
      <c r="K63" s="1"/>
    </row>
    <row r="64" spans="2:11" x14ac:dyDescent="0.25">
      <c r="F64" s="4"/>
      <c r="G64" s="1"/>
      <c r="K64" s="1"/>
    </row>
    <row r="65" spans="6:11" x14ac:dyDescent="0.25">
      <c r="F65" s="4"/>
      <c r="G65" s="1"/>
      <c r="K65" s="1"/>
    </row>
    <row r="66" spans="6:11" x14ac:dyDescent="0.25">
      <c r="F66" s="4"/>
      <c r="G66" s="1"/>
      <c r="K66" s="1"/>
    </row>
    <row r="67" spans="6:11" x14ac:dyDescent="0.25">
      <c r="F67" s="4"/>
      <c r="G67" s="1"/>
      <c r="K67" s="1"/>
    </row>
    <row r="68" spans="6:11" x14ac:dyDescent="0.25">
      <c r="F68" s="4"/>
      <c r="G68" s="1"/>
      <c r="K68" s="1"/>
    </row>
    <row r="69" spans="6:11" x14ac:dyDescent="0.25">
      <c r="F69" s="4"/>
      <c r="G69" s="1"/>
      <c r="K69" s="1"/>
    </row>
    <row r="70" spans="6:11" x14ac:dyDescent="0.25">
      <c r="F70" s="4"/>
      <c r="G70" s="1"/>
      <c r="K70" s="1"/>
    </row>
    <row r="71" spans="6:11" x14ac:dyDescent="0.25">
      <c r="F71" s="4"/>
      <c r="G71" s="1"/>
      <c r="K71" s="1"/>
    </row>
    <row r="72" spans="6:11" x14ac:dyDescent="0.25">
      <c r="F72" s="4"/>
      <c r="G72" s="1"/>
      <c r="K72" s="1"/>
    </row>
    <row r="73" spans="6:11" x14ac:dyDescent="0.25">
      <c r="F73" s="4"/>
      <c r="G73" s="1"/>
      <c r="K73" s="1"/>
    </row>
    <row r="74" spans="6:11" x14ac:dyDescent="0.25">
      <c r="F74" s="4"/>
      <c r="G74" s="1"/>
      <c r="K74" s="1"/>
    </row>
    <row r="75" spans="6:11" x14ac:dyDescent="0.25">
      <c r="F75" s="4"/>
      <c r="G75" s="1"/>
      <c r="K75" s="1"/>
    </row>
    <row r="76" spans="6:11" x14ac:dyDescent="0.25">
      <c r="F76" s="4"/>
      <c r="G76" s="1"/>
      <c r="K76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76"/>
  <sheetViews>
    <sheetView workbookViewId="0">
      <selection activeCell="T30" sqref="T30"/>
    </sheetView>
  </sheetViews>
  <sheetFormatPr defaultRowHeight="15" x14ac:dyDescent="0.25"/>
  <cols>
    <col min="2" max="2" width="15.42578125" bestFit="1" customWidth="1"/>
    <col min="3" max="3" width="15.28515625" bestFit="1" customWidth="1"/>
    <col min="7" max="7" width="10.42578125" bestFit="1" customWidth="1"/>
    <col min="11" max="11" width="10.42578125" bestFit="1" customWidth="1"/>
  </cols>
  <sheetData>
    <row r="1" spans="2:28" x14ac:dyDescent="0.25">
      <c r="B1">
        <v>2010</v>
      </c>
    </row>
    <row r="2" spans="2:28" x14ac:dyDescent="0.25">
      <c r="B2" t="s">
        <v>0</v>
      </c>
      <c r="C2" t="s">
        <v>1</v>
      </c>
      <c r="D2" t="s">
        <v>2</v>
      </c>
      <c r="F2" s="4"/>
      <c r="G2" t="s">
        <v>3</v>
      </c>
      <c r="H2" t="s">
        <v>4</v>
      </c>
      <c r="L2" t="s">
        <v>79</v>
      </c>
      <c r="M2" t="s">
        <v>80</v>
      </c>
      <c r="N2" t="s">
        <v>81</v>
      </c>
      <c r="Z2" s="3"/>
      <c r="AA2" t="s">
        <v>3</v>
      </c>
      <c r="AB2" t="s">
        <v>4</v>
      </c>
    </row>
    <row r="3" spans="2:28" x14ac:dyDescent="0.25">
      <c r="B3" s="1">
        <v>41791</v>
      </c>
      <c r="C3" s="2">
        <v>1107607066.8399999</v>
      </c>
      <c r="D3">
        <v>0.35</v>
      </c>
      <c r="F3" s="1" t="s">
        <v>5</v>
      </c>
      <c r="G3" s="1">
        <v>41671</v>
      </c>
      <c r="H3">
        <v>0.52858841069389795</v>
      </c>
      <c r="K3" s="1">
        <f>G3</f>
        <v>41671</v>
      </c>
      <c r="L3" t="e">
        <f>VLOOKUP(K3,B:D,3,0)</f>
        <v>#N/A</v>
      </c>
      <c r="M3">
        <f>VLOOKUP(K3,G:H,2,0)</f>
        <v>0.52858841069389795</v>
      </c>
      <c r="N3">
        <f>VLOOKUP(K3,AA:AB,2,0)</f>
        <v>0.26461675848722399</v>
      </c>
      <c r="Z3" t="s">
        <v>5</v>
      </c>
      <c r="AA3" s="1">
        <v>41671</v>
      </c>
      <c r="AB3">
        <v>0.26461675848722399</v>
      </c>
    </row>
    <row r="4" spans="2:28" x14ac:dyDescent="0.25">
      <c r="B4" s="1">
        <v>41852</v>
      </c>
      <c r="C4" s="2">
        <v>1434697150.47</v>
      </c>
      <c r="D4">
        <v>0.14000000000000001</v>
      </c>
      <c r="F4" s="1" t="s">
        <v>6</v>
      </c>
      <c r="G4" s="1">
        <v>41699</v>
      </c>
      <c r="H4">
        <v>0.82181663685889605</v>
      </c>
      <c r="K4" s="1">
        <f t="shared" ref="K4:K25" si="0">G4</f>
        <v>41699</v>
      </c>
      <c r="L4" t="e">
        <f t="shared" ref="L4:L37" si="1">VLOOKUP(K4,B:D,3,0)</f>
        <v>#N/A</v>
      </c>
      <c r="M4">
        <f t="shared" ref="M4:M67" si="2">VLOOKUP(K4,G:H,2,0)</f>
        <v>0.82181663685889605</v>
      </c>
      <c r="N4">
        <f t="shared" ref="N4:N25" si="3">VLOOKUP(K4,AA:AB,2,0)</f>
        <v>0.41168780337774702</v>
      </c>
      <c r="Z4" t="s">
        <v>6</v>
      </c>
      <c r="AA4" s="1">
        <v>41699</v>
      </c>
      <c r="AB4">
        <v>0.41168780337774702</v>
      </c>
    </row>
    <row r="5" spans="2:28" x14ac:dyDescent="0.25">
      <c r="B5" s="1">
        <v>41883</v>
      </c>
      <c r="C5" s="2">
        <v>1556500737.4400001</v>
      </c>
      <c r="D5">
        <v>0.28000000000000003</v>
      </c>
      <c r="F5" s="1" t="s">
        <v>7</v>
      </c>
      <c r="G5" s="1">
        <v>41730</v>
      </c>
      <c r="H5">
        <v>1.2036285752984099</v>
      </c>
      <c r="K5" s="1">
        <f t="shared" si="0"/>
        <v>41730</v>
      </c>
      <c r="L5" t="e">
        <f t="shared" si="1"/>
        <v>#N/A</v>
      </c>
      <c r="M5">
        <f t="shared" si="2"/>
        <v>1.2036285752984099</v>
      </c>
      <c r="N5">
        <f t="shared" si="3"/>
        <v>0.60348788108239804</v>
      </c>
      <c r="Z5" t="s">
        <v>7</v>
      </c>
      <c r="AA5" s="1">
        <v>41730</v>
      </c>
      <c r="AB5">
        <v>0.60348788108239804</v>
      </c>
    </row>
    <row r="6" spans="2:28" x14ac:dyDescent="0.25">
      <c r="B6" s="1">
        <v>41913</v>
      </c>
      <c r="C6" s="2">
        <v>1691864528.8199999</v>
      </c>
      <c r="D6">
        <v>0.7</v>
      </c>
      <c r="F6" s="1" t="s">
        <v>8</v>
      </c>
      <c r="G6" s="1">
        <v>41760</v>
      </c>
      <c r="H6">
        <v>1.5469712070036401</v>
      </c>
      <c r="K6" s="1">
        <f t="shared" si="0"/>
        <v>41760</v>
      </c>
      <c r="L6" t="e">
        <f t="shared" si="1"/>
        <v>#N/A</v>
      </c>
      <c r="M6">
        <f t="shared" si="2"/>
        <v>1.5469712070036401</v>
      </c>
      <c r="N6">
        <f t="shared" si="3"/>
        <v>0.77625367972716797</v>
      </c>
      <c r="Z6" t="s">
        <v>8</v>
      </c>
      <c r="AA6" s="1">
        <v>41760</v>
      </c>
      <c r="AB6">
        <v>0.77625367972716797</v>
      </c>
    </row>
    <row r="7" spans="2:28" x14ac:dyDescent="0.25">
      <c r="B7" s="1">
        <v>41944</v>
      </c>
      <c r="C7" s="2">
        <v>1819812054.8</v>
      </c>
      <c r="D7">
        <v>0.66</v>
      </c>
      <c r="F7" s="1" t="s">
        <v>9</v>
      </c>
      <c r="G7" s="1">
        <v>41791</v>
      </c>
      <c r="H7">
        <v>1.8028093144764199</v>
      </c>
      <c r="K7" s="1">
        <f t="shared" si="0"/>
        <v>41791</v>
      </c>
      <c r="L7">
        <f t="shared" si="1"/>
        <v>0.35</v>
      </c>
      <c r="M7">
        <f t="shared" si="2"/>
        <v>1.8028093144764199</v>
      </c>
      <c r="N7">
        <f t="shared" si="3"/>
        <v>0.90516800132082198</v>
      </c>
      <c r="Z7" t="s">
        <v>9</v>
      </c>
      <c r="AA7" s="1">
        <v>41791</v>
      </c>
      <c r="AB7">
        <v>0.90516800132082198</v>
      </c>
    </row>
    <row r="8" spans="2:28" x14ac:dyDescent="0.25">
      <c r="B8" s="1">
        <v>41974</v>
      </c>
      <c r="C8" s="2">
        <v>1928816848.8900001</v>
      </c>
      <c r="D8">
        <v>0.69</v>
      </c>
      <c r="F8" s="1" t="s">
        <v>10</v>
      </c>
      <c r="G8" s="1">
        <v>41821</v>
      </c>
      <c r="H8">
        <v>2.1375426994098699</v>
      </c>
      <c r="K8" s="1">
        <f t="shared" si="0"/>
        <v>41821</v>
      </c>
      <c r="L8" t="e">
        <f t="shared" si="1"/>
        <v>#N/A</v>
      </c>
      <c r="M8">
        <f t="shared" si="2"/>
        <v>2.1375426994098699</v>
      </c>
      <c r="N8">
        <f t="shared" si="3"/>
        <v>1.07406975623376</v>
      </c>
      <c r="Z8" t="s">
        <v>10</v>
      </c>
      <c r="AA8" s="1">
        <v>41821</v>
      </c>
      <c r="AB8">
        <v>1.07406975623376</v>
      </c>
    </row>
    <row r="9" spans="2:28" x14ac:dyDescent="0.25">
      <c r="B9" s="1">
        <v>42005</v>
      </c>
      <c r="C9" s="2">
        <v>2062307576.48</v>
      </c>
      <c r="D9">
        <v>0.51</v>
      </c>
      <c r="F9" s="1" t="s">
        <v>11</v>
      </c>
      <c r="G9" s="1">
        <v>41852</v>
      </c>
      <c r="H9">
        <v>2.4718760700646998</v>
      </c>
      <c r="K9" s="1">
        <f t="shared" si="0"/>
        <v>41852</v>
      </c>
      <c r="L9">
        <f t="shared" si="1"/>
        <v>0.14000000000000001</v>
      </c>
      <c r="M9">
        <f t="shared" si="2"/>
        <v>2.4718760700646998</v>
      </c>
      <c r="N9">
        <f t="shared" si="3"/>
        <v>1.24303442745364</v>
      </c>
      <c r="Z9" t="s">
        <v>11</v>
      </c>
      <c r="AA9" s="1">
        <v>41852</v>
      </c>
      <c r="AB9">
        <v>1.24303442745364</v>
      </c>
    </row>
    <row r="10" spans="2:28" x14ac:dyDescent="0.25">
      <c r="B10" s="1">
        <v>42036</v>
      </c>
      <c r="C10" s="2">
        <v>2160721379.5</v>
      </c>
      <c r="D10">
        <v>1.1399999999999999</v>
      </c>
      <c r="F10" s="1" t="s">
        <v>12</v>
      </c>
      <c r="G10" s="1">
        <v>41883</v>
      </c>
      <c r="H10">
        <v>2.8667703389721702</v>
      </c>
      <c r="K10" s="1">
        <f t="shared" si="0"/>
        <v>41883</v>
      </c>
      <c r="L10">
        <f t="shared" si="1"/>
        <v>0.28000000000000003</v>
      </c>
      <c r="M10">
        <f t="shared" si="2"/>
        <v>2.8667703389721702</v>
      </c>
      <c r="N10">
        <f t="shared" si="3"/>
        <v>1.4429479301827099</v>
      </c>
      <c r="Z10" t="s">
        <v>12</v>
      </c>
      <c r="AA10" s="1">
        <v>41883</v>
      </c>
      <c r="AB10">
        <v>1.4429479301827099</v>
      </c>
    </row>
    <row r="11" spans="2:28" x14ac:dyDescent="0.25">
      <c r="B11" s="1">
        <v>42064</v>
      </c>
      <c r="C11" s="2">
        <v>2153309847.8899999</v>
      </c>
      <c r="D11">
        <v>0.94</v>
      </c>
      <c r="F11" s="1" t="s">
        <v>13</v>
      </c>
      <c r="G11" s="1">
        <v>41913</v>
      </c>
      <c r="H11">
        <v>3.2144757357643101</v>
      </c>
      <c r="K11" s="1">
        <f t="shared" si="0"/>
        <v>41913</v>
      </c>
      <c r="L11">
        <f t="shared" si="1"/>
        <v>0.7</v>
      </c>
      <c r="M11">
        <f t="shared" si="2"/>
        <v>3.2144757357643101</v>
      </c>
      <c r="N11">
        <f t="shared" si="3"/>
        <v>1.6192812557140399</v>
      </c>
      <c r="Z11" t="s">
        <v>13</v>
      </c>
      <c r="AA11" s="1">
        <v>41913</v>
      </c>
      <c r="AB11">
        <v>1.6192812557140399</v>
      </c>
    </row>
    <row r="12" spans="2:28" x14ac:dyDescent="0.25">
      <c r="B12" s="1">
        <v>42095</v>
      </c>
      <c r="C12" s="2">
        <v>2144656804.1400001</v>
      </c>
      <c r="D12">
        <v>1.06</v>
      </c>
      <c r="F12" s="4" t="s">
        <v>14</v>
      </c>
      <c r="G12" s="1">
        <v>41944</v>
      </c>
      <c r="H12">
        <v>3.6257488554883599</v>
      </c>
      <c r="K12" s="1">
        <f t="shared" si="0"/>
        <v>41944</v>
      </c>
      <c r="L12">
        <f t="shared" si="1"/>
        <v>0.66</v>
      </c>
      <c r="M12">
        <f t="shared" si="2"/>
        <v>3.6257488554883599</v>
      </c>
      <c r="N12">
        <f t="shared" si="3"/>
        <v>1.82822771591252</v>
      </c>
      <c r="Z12" s="3" t="s">
        <v>14</v>
      </c>
      <c r="AA12" s="1">
        <v>41944</v>
      </c>
      <c r="AB12">
        <v>1.82822771591252</v>
      </c>
    </row>
    <row r="13" spans="2:28" x14ac:dyDescent="0.25">
      <c r="B13" s="1">
        <v>42125</v>
      </c>
      <c r="C13" s="2">
        <v>2135515535.95</v>
      </c>
      <c r="D13">
        <v>1.73</v>
      </c>
      <c r="F13" s="4" t="s">
        <v>15</v>
      </c>
      <c r="G13" s="1">
        <v>41974</v>
      </c>
      <c r="H13">
        <v>3.9852452272328001</v>
      </c>
      <c r="K13" s="1">
        <f t="shared" si="0"/>
        <v>41974</v>
      </c>
      <c r="L13">
        <f t="shared" si="1"/>
        <v>0.69</v>
      </c>
      <c r="M13">
        <f t="shared" si="2"/>
        <v>3.9852452272328001</v>
      </c>
      <c r="N13">
        <f t="shared" si="3"/>
        <v>2.0112046037876898</v>
      </c>
      <c r="Z13" s="3" t="s">
        <v>15</v>
      </c>
      <c r="AA13" s="1">
        <v>41974</v>
      </c>
      <c r="AB13">
        <v>2.0112046037876898</v>
      </c>
    </row>
    <row r="14" spans="2:28" x14ac:dyDescent="0.25">
      <c r="B14" s="1">
        <v>42156</v>
      </c>
      <c r="C14" s="2">
        <v>2125677420.76</v>
      </c>
      <c r="D14">
        <v>0.64</v>
      </c>
      <c r="F14" s="4" t="s">
        <v>16</v>
      </c>
      <c r="G14" s="1">
        <v>42005</v>
      </c>
      <c r="H14">
        <v>4.3312348190518302</v>
      </c>
      <c r="K14" s="1">
        <f t="shared" si="0"/>
        <v>42005</v>
      </c>
      <c r="L14">
        <f t="shared" si="1"/>
        <v>0.51</v>
      </c>
      <c r="M14">
        <f t="shared" si="2"/>
        <v>4.3312348190518302</v>
      </c>
      <c r="N14">
        <f t="shared" si="3"/>
        <v>2.1876040595852602</v>
      </c>
      <c r="Z14" s="3" t="s">
        <v>16</v>
      </c>
      <c r="AA14" s="1">
        <v>42005</v>
      </c>
      <c r="AB14">
        <v>2.1876040595852602</v>
      </c>
    </row>
    <row r="15" spans="2:28" x14ac:dyDescent="0.25">
      <c r="B15" s="1">
        <v>42186</v>
      </c>
      <c r="C15" s="2">
        <v>2118098217.3</v>
      </c>
      <c r="D15">
        <v>2.04</v>
      </c>
      <c r="F15" s="4" t="s">
        <v>17</v>
      </c>
      <c r="G15" s="1">
        <v>42036</v>
      </c>
      <c r="H15">
        <v>4.8107832840118201</v>
      </c>
      <c r="K15" s="1">
        <f t="shared" si="0"/>
        <v>42036</v>
      </c>
      <c r="L15">
        <f t="shared" si="1"/>
        <v>1.1399999999999999</v>
      </c>
      <c r="M15">
        <f t="shared" si="2"/>
        <v>4.8107832840118201</v>
      </c>
      <c r="N15">
        <f t="shared" si="3"/>
        <v>2.4325823383756799</v>
      </c>
      <c r="Z15" s="3" t="s">
        <v>17</v>
      </c>
      <c r="AA15" s="1">
        <v>42036</v>
      </c>
      <c r="AB15">
        <v>2.4325823383756799</v>
      </c>
    </row>
    <row r="16" spans="2:28" x14ac:dyDescent="0.25">
      <c r="B16" s="1">
        <v>42217</v>
      </c>
      <c r="C16" s="2">
        <v>2104519340.78</v>
      </c>
      <c r="D16">
        <v>2.34</v>
      </c>
      <c r="F16" s="4" t="s">
        <v>18</v>
      </c>
      <c r="G16" s="1">
        <v>42064</v>
      </c>
      <c r="H16">
        <v>5.3428797342783803</v>
      </c>
      <c r="K16" s="1">
        <f t="shared" si="0"/>
        <v>42064</v>
      </c>
      <c r="L16">
        <f t="shared" si="1"/>
        <v>0.94</v>
      </c>
      <c r="M16">
        <f t="shared" si="2"/>
        <v>5.3428797342783803</v>
      </c>
      <c r="N16">
        <f t="shared" si="3"/>
        <v>2.7050692002983898</v>
      </c>
      <c r="Z16" s="3" t="s">
        <v>18</v>
      </c>
      <c r="AA16" s="1">
        <v>42064</v>
      </c>
      <c r="AB16">
        <v>2.7050692002983898</v>
      </c>
    </row>
    <row r="17" spans="2:28" x14ac:dyDescent="0.25">
      <c r="B17" s="1">
        <v>42248</v>
      </c>
      <c r="C17" s="2">
        <v>2088603185.26</v>
      </c>
      <c r="D17">
        <v>1.42</v>
      </c>
      <c r="F17" s="4" t="s">
        <v>19</v>
      </c>
      <c r="G17" s="1">
        <v>42095</v>
      </c>
      <c r="H17">
        <v>5.6030406173304703</v>
      </c>
      <c r="K17" s="1">
        <f t="shared" si="0"/>
        <v>42095</v>
      </c>
      <c r="L17">
        <f t="shared" si="1"/>
        <v>1.06</v>
      </c>
      <c r="M17">
        <f t="shared" si="2"/>
        <v>5.6030406173304703</v>
      </c>
      <c r="N17">
        <f t="shared" si="3"/>
        <v>2.8385538086381699</v>
      </c>
      <c r="Z17" s="3" t="s">
        <v>19</v>
      </c>
      <c r="AA17" s="1">
        <v>42095</v>
      </c>
      <c r="AB17">
        <v>2.8385538086381699</v>
      </c>
    </row>
    <row r="18" spans="2:28" x14ac:dyDescent="0.25">
      <c r="B18" s="1">
        <v>42278</v>
      </c>
      <c r="C18" s="2">
        <v>2075999836.8599999</v>
      </c>
      <c r="D18">
        <v>1.61</v>
      </c>
      <c r="F18" s="4" t="s">
        <v>20</v>
      </c>
      <c r="G18" s="1">
        <v>42125</v>
      </c>
      <c r="H18">
        <v>5.7966085244108498</v>
      </c>
      <c r="K18" s="1">
        <f t="shared" si="0"/>
        <v>42125</v>
      </c>
      <c r="L18">
        <f t="shared" si="1"/>
        <v>1.73</v>
      </c>
      <c r="M18">
        <f t="shared" si="2"/>
        <v>5.7966085244108498</v>
      </c>
      <c r="N18">
        <f t="shared" si="3"/>
        <v>2.93798026150432</v>
      </c>
      <c r="Z18" s="3" t="s">
        <v>20</v>
      </c>
      <c r="AA18" s="1">
        <v>42125</v>
      </c>
      <c r="AB18">
        <v>2.93798026150432</v>
      </c>
    </row>
    <row r="19" spans="2:28" x14ac:dyDescent="0.25">
      <c r="B19" s="1">
        <v>42309</v>
      </c>
      <c r="C19" s="2">
        <v>2062225331.04</v>
      </c>
      <c r="D19">
        <v>1.66</v>
      </c>
      <c r="F19" s="4" t="s">
        <v>21</v>
      </c>
      <c r="G19" s="1">
        <v>42156</v>
      </c>
      <c r="H19">
        <v>5.92525907576315</v>
      </c>
      <c r="K19" s="1">
        <f t="shared" si="0"/>
        <v>42156</v>
      </c>
      <c r="L19">
        <f t="shared" si="1"/>
        <v>0.64</v>
      </c>
      <c r="M19">
        <f t="shared" si="2"/>
        <v>5.92525907576315</v>
      </c>
      <c r="N19">
        <f t="shared" si="3"/>
        <v>3.00411374838087</v>
      </c>
      <c r="Z19" s="3" t="s">
        <v>21</v>
      </c>
      <c r="AA19" s="1">
        <v>42156</v>
      </c>
      <c r="AB19">
        <v>3.00411374838087</v>
      </c>
    </row>
    <row r="20" spans="2:28" x14ac:dyDescent="0.25">
      <c r="B20" s="1">
        <v>42339</v>
      </c>
      <c r="C20" s="2">
        <v>2048467673.3099999</v>
      </c>
      <c r="D20">
        <v>1.82</v>
      </c>
      <c r="F20" s="4" t="s">
        <v>22</v>
      </c>
      <c r="G20" s="1">
        <v>42186</v>
      </c>
      <c r="H20">
        <v>6.2153419158826697</v>
      </c>
      <c r="K20" s="1">
        <f t="shared" si="0"/>
        <v>42186</v>
      </c>
      <c r="L20">
        <f t="shared" si="1"/>
        <v>2.04</v>
      </c>
      <c r="M20">
        <f t="shared" si="2"/>
        <v>6.2153419158826697</v>
      </c>
      <c r="N20">
        <f t="shared" si="3"/>
        <v>3.15338501717914</v>
      </c>
      <c r="Z20" s="3" t="s">
        <v>22</v>
      </c>
      <c r="AA20" s="1">
        <v>42186</v>
      </c>
      <c r="AB20">
        <v>3.15338501717914</v>
      </c>
    </row>
    <row r="21" spans="2:28" x14ac:dyDescent="0.25">
      <c r="B21" s="1"/>
      <c r="C21" s="2"/>
      <c r="F21" s="4" t="s">
        <v>23</v>
      </c>
      <c r="G21" s="1">
        <v>42217</v>
      </c>
      <c r="H21">
        <v>6.4569860916156498</v>
      </c>
      <c r="K21" s="1">
        <f t="shared" si="0"/>
        <v>42217</v>
      </c>
      <c r="L21">
        <f t="shared" si="1"/>
        <v>2.34</v>
      </c>
      <c r="M21">
        <f t="shared" si="2"/>
        <v>6.4569860916156498</v>
      </c>
      <c r="N21">
        <f t="shared" si="3"/>
        <v>3.2778927108865501</v>
      </c>
      <c r="Z21" s="3" t="s">
        <v>23</v>
      </c>
      <c r="AA21" s="1">
        <v>42217</v>
      </c>
      <c r="AB21">
        <v>3.2778927108865501</v>
      </c>
    </row>
    <row r="22" spans="2:28" x14ac:dyDescent="0.25">
      <c r="B22" s="1"/>
      <c r="C22" s="2"/>
      <c r="F22" s="4" t="s">
        <v>24</v>
      </c>
      <c r="G22" s="1">
        <v>42248</v>
      </c>
      <c r="H22">
        <v>6.6796309884234804</v>
      </c>
      <c r="K22" s="1">
        <f t="shared" si="0"/>
        <v>42248</v>
      </c>
      <c r="L22">
        <f t="shared" si="1"/>
        <v>1.42</v>
      </c>
      <c r="M22">
        <f t="shared" si="2"/>
        <v>6.6796309884234804</v>
      </c>
      <c r="N22">
        <f t="shared" si="3"/>
        <v>3.3927418961640501</v>
      </c>
      <c r="Z22" s="3" t="s">
        <v>24</v>
      </c>
      <c r="AA22" s="1">
        <v>42248</v>
      </c>
      <c r="AB22">
        <v>3.3927418961640501</v>
      </c>
    </row>
    <row r="23" spans="2:28" x14ac:dyDescent="0.25">
      <c r="B23" s="1"/>
      <c r="C23" s="2"/>
      <c r="F23" s="4" t="s">
        <v>25</v>
      </c>
      <c r="G23" s="1">
        <v>42278</v>
      </c>
      <c r="H23">
        <v>7.0530574483890502</v>
      </c>
      <c r="K23" s="1">
        <f t="shared" si="0"/>
        <v>42278</v>
      </c>
      <c r="L23">
        <f t="shared" si="1"/>
        <v>1.61</v>
      </c>
      <c r="M23">
        <f t="shared" si="2"/>
        <v>7.0530574483890502</v>
      </c>
      <c r="N23">
        <f t="shared" si="3"/>
        <v>3.5856534304592702</v>
      </c>
      <c r="Z23" s="3" t="s">
        <v>25</v>
      </c>
      <c r="AA23" s="1">
        <v>42278</v>
      </c>
      <c r="AB23">
        <v>3.5856534304592702</v>
      </c>
    </row>
    <row r="24" spans="2:28" x14ac:dyDescent="0.25">
      <c r="B24" s="1"/>
      <c r="C24" s="2"/>
      <c r="F24" s="4" t="s">
        <v>26</v>
      </c>
      <c r="G24" s="1">
        <v>42309</v>
      </c>
      <c r="H24">
        <v>7.4097788268732598</v>
      </c>
      <c r="K24" s="1">
        <f t="shared" si="0"/>
        <v>42309</v>
      </c>
      <c r="L24">
        <f t="shared" si="1"/>
        <v>1.66</v>
      </c>
      <c r="M24">
        <f t="shared" si="2"/>
        <v>7.4097788268732598</v>
      </c>
      <c r="N24">
        <f t="shared" si="3"/>
        <v>3.7702681819063999</v>
      </c>
      <c r="Z24" s="3" t="s">
        <v>26</v>
      </c>
      <c r="AA24" s="1">
        <v>42309</v>
      </c>
      <c r="AB24">
        <v>3.7702681819063999</v>
      </c>
    </row>
    <row r="25" spans="2:28" x14ac:dyDescent="0.25">
      <c r="B25" s="1"/>
      <c r="C25" s="2"/>
      <c r="F25" s="4" t="s">
        <v>27</v>
      </c>
      <c r="G25" s="1">
        <v>42339</v>
      </c>
      <c r="H25">
        <v>7.7358143811265201</v>
      </c>
      <c r="K25" s="1">
        <f t="shared" si="0"/>
        <v>42339</v>
      </c>
      <c r="L25">
        <f t="shared" si="1"/>
        <v>1.82</v>
      </c>
      <c r="M25">
        <f t="shared" si="2"/>
        <v>7.7358143811265201</v>
      </c>
      <c r="N25">
        <f t="shared" si="3"/>
        <v>3.9393132712477898</v>
      </c>
      <c r="Z25" s="3" t="s">
        <v>27</v>
      </c>
      <c r="AA25" s="1">
        <v>42339</v>
      </c>
      <c r="AB25">
        <v>3.9393132712477898</v>
      </c>
    </row>
    <row r="26" spans="2:28" x14ac:dyDescent="0.25">
      <c r="B26" s="1"/>
      <c r="C26" s="2"/>
      <c r="F26" s="4"/>
      <c r="G26" s="1"/>
      <c r="K26" s="1"/>
    </row>
    <row r="27" spans="2:28" x14ac:dyDescent="0.25">
      <c r="B27" s="1"/>
      <c r="C27" s="2"/>
      <c r="F27" s="4"/>
      <c r="G27" s="1"/>
      <c r="K27" s="1"/>
    </row>
    <row r="28" spans="2:28" x14ac:dyDescent="0.25">
      <c r="B28" s="1"/>
      <c r="C28" s="2"/>
      <c r="F28" s="4"/>
      <c r="G28" s="1"/>
      <c r="K28" s="1"/>
    </row>
    <row r="29" spans="2:28" x14ac:dyDescent="0.25">
      <c r="B29" s="1"/>
      <c r="C29" s="2"/>
      <c r="F29" s="4"/>
      <c r="G29" s="1"/>
      <c r="K29" s="1"/>
    </row>
    <row r="30" spans="2:28" x14ac:dyDescent="0.25">
      <c r="B30" s="1"/>
      <c r="C30" s="2"/>
      <c r="F30" s="4"/>
      <c r="G30" s="1"/>
      <c r="K30" s="1"/>
    </row>
    <row r="31" spans="2:28" x14ac:dyDescent="0.25">
      <c r="B31" s="1"/>
      <c r="C31" s="2"/>
      <c r="F31" s="4"/>
      <c r="G31" s="1"/>
      <c r="K31" s="1"/>
    </row>
    <row r="32" spans="2:28" x14ac:dyDescent="0.25">
      <c r="B32" s="1"/>
      <c r="C32" s="2"/>
      <c r="F32" s="4"/>
      <c r="G32" s="1"/>
      <c r="K32" s="1"/>
    </row>
    <row r="33" spans="2:11" x14ac:dyDescent="0.25">
      <c r="B33" s="1"/>
      <c r="C33" s="2"/>
      <c r="F33" s="4"/>
      <c r="G33" s="1"/>
      <c r="K33" s="1"/>
    </row>
    <row r="34" spans="2:11" x14ac:dyDescent="0.25">
      <c r="B34" s="1"/>
      <c r="C34" s="2"/>
      <c r="F34" s="4"/>
      <c r="G34" s="1"/>
      <c r="K34" s="1"/>
    </row>
    <row r="35" spans="2:11" x14ac:dyDescent="0.25">
      <c r="B35" s="1"/>
      <c r="C35" s="2"/>
      <c r="F35" s="4"/>
      <c r="G35" s="1"/>
      <c r="K35" s="1"/>
    </row>
    <row r="36" spans="2:11" x14ac:dyDescent="0.25">
      <c r="B36" s="1"/>
      <c r="C36" s="2"/>
      <c r="F36" s="4"/>
      <c r="G36" s="1"/>
      <c r="K36" s="1"/>
    </row>
    <row r="37" spans="2:11" x14ac:dyDescent="0.25">
      <c r="B37" s="1"/>
      <c r="C37" s="2"/>
      <c r="F37" s="4"/>
      <c r="G37" s="1"/>
      <c r="K37" s="1"/>
    </row>
    <row r="38" spans="2:11" x14ac:dyDescent="0.25">
      <c r="B38" s="1"/>
      <c r="C38" s="2"/>
      <c r="F38" s="4"/>
      <c r="G38" s="1"/>
      <c r="K38" s="1"/>
    </row>
    <row r="39" spans="2:11" x14ac:dyDescent="0.25">
      <c r="B39" s="1"/>
      <c r="C39" s="2"/>
      <c r="F39" s="4"/>
      <c r="G39" s="1"/>
      <c r="K39" s="1"/>
    </row>
    <row r="40" spans="2:11" x14ac:dyDescent="0.25">
      <c r="B40" s="1"/>
      <c r="C40" s="2"/>
      <c r="F40" s="4"/>
      <c r="G40" s="1"/>
      <c r="K40" s="1"/>
    </row>
    <row r="41" spans="2:11" x14ac:dyDescent="0.25">
      <c r="B41" s="1"/>
      <c r="C41" s="2"/>
      <c r="F41" s="4"/>
      <c r="G41" s="1"/>
      <c r="K41" s="1"/>
    </row>
    <row r="42" spans="2:11" x14ac:dyDescent="0.25">
      <c r="B42" s="1"/>
      <c r="C42" s="2"/>
      <c r="F42" s="4"/>
      <c r="G42" s="1"/>
      <c r="K42" s="1"/>
    </row>
    <row r="43" spans="2:11" x14ac:dyDescent="0.25">
      <c r="B43" s="1"/>
      <c r="C43" s="2"/>
      <c r="F43" s="4"/>
      <c r="G43" s="1"/>
      <c r="K43" s="1"/>
    </row>
    <row r="44" spans="2:11" x14ac:dyDescent="0.25">
      <c r="B44" s="1"/>
      <c r="C44" s="2"/>
      <c r="F44" s="4"/>
      <c r="G44" s="1"/>
      <c r="K44" s="1"/>
    </row>
    <row r="45" spans="2:11" x14ac:dyDescent="0.25">
      <c r="B45" s="1"/>
      <c r="C45" s="2"/>
      <c r="F45" s="4"/>
      <c r="G45" s="1"/>
      <c r="K45" s="1"/>
    </row>
    <row r="46" spans="2:11" x14ac:dyDescent="0.25">
      <c r="B46" s="1"/>
      <c r="C46" s="2"/>
      <c r="F46" s="4"/>
      <c r="G46" s="1"/>
      <c r="K46" s="1"/>
    </row>
    <row r="47" spans="2:11" x14ac:dyDescent="0.25">
      <c r="B47" s="1"/>
      <c r="C47" s="2"/>
      <c r="F47" s="4"/>
      <c r="G47" s="1"/>
      <c r="K47" s="1"/>
    </row>
    <row r="48" spans="2:11" x14ac:dyDescent="0.25">
      <c r="B48" s="1"/>
      <c r="F48" s="4"/>
      <c r="G48" s="1"/>
      <c r="K48" s="1"/>
    </row>
    <row r="49" spans="2:11" x14ac:dyDescent="0.25">
      <c r="B49" s="1"/>
      <c r="F49" s="4"/>
      <c r="G49" s="1"/>
      <c r="K49" s="1"/>
    </row>
    <row r="50" spans="2:11" x14ac:dyDescent="0.25">
      <c r="B50" s="1"/>
      <c r="F50" s="4"/>
      <c r="G50" s="1"/>
      <c r="K50" s="1"/>
    </row>
    <row r="51" spans="2:11" x14ac:dyDescent="0.25">
      <c r="B51" s="1"/>
      <c r="F51" s="4"/>
      <c r="G51" s="1"/>
      <c r="K51" s="1"/>
    </row>
    <row r="52" spans="2:11" x14ac:dyDescent="0.25">
      <c r="B52" s="1"/>
      <c r="F52" s="4"/>
      <c r="G52" s="1"/>
      <c r="K52" s="1"/>
    </row>
    <row r="53" spans="2:11" x14ac:dyDescent="0.25">
      <c r="B53" s="1"/>
      <c r="F53" s="4"/>
      <c r="G53" s="1"/>
      <c r="K53" s="1"/>
    </row>
    <row r="54" spans="2:11" x14ac:dyDescent="0.25">
      <c r="B54" s="1"/>
      <c r="F54" s="4"/>
      <c r="G54" s="1"/>
      <c r="K54" s="1"/>
    </row>
    <row r="55" spans="2:11" x14ac:dyDescent="0.25">
      <c r="B55" s="1"/>
      <c r="F55" s="4"/>
      <c r="G55" s="1"/>
      <c r="K55" s="1"/>
    </row>
    <row r="56" spans="2:11" x14ac:dyDescent="0.25">
      <c r="B56" s="1"/>
      <c r="F56" s="4"/>
      <c r="G56" s="1"/>
      <c r="K56" s="1"/>
    </row>
    <row r="57" spans="2:11" x14ac:dyDescent="0.25">
      <c r="B57" s="1"/>
      <c r="F57" s="4"/>
      <c r="G57" s="1"/>
      <c r="K57" s="1"/>
    </row>
    <row r="58" spans="2:11" x14ac:dyDescent="0.25">
      <c r="B58" s="1"/>
      <c r="F58" s="4"/>
      <c r="G58" s="1"/>
      <c r="K58" s="1"/>
    </row>
    <row r="59" spans="2:11" x14ac:dyDescent="0.25">
      <c r="B59" s="1"/>
      <c r="F59" s="4"/>
      <c r="G59" s="1"/>
      <c r="K59" s="1"/>
    </row>
    <row r="60" spans="2:11" x14ac:dyDescent="0.25">
      <c r="B60" s="1"/>
      <c r="F60" s="4"/>
      <c r="G60" s="1"/>
      <c r="K60" s="1"/>
    </row>
    <row r="61" spans="2:11" x14ac:dyDescent="0.25">
      <c r="B61" s="1"/>
      <c r="F61" s="4"/>
      <c r="G61" s="1"/>
      <c r="K61" s="1"/>
    </row>
    <row r="62" spans="2:11" x14ac:dyDescent="0.25">
      <c r="B62" s="1"/>
      <c r="F62" s="4"/>
      <c r="G62" s="1"/>
      <c r="K62" s="1"/>
    </row>
    <row r="63" spans="2:11" x14ac:dyDescent="0.25">
      <c r="F63" s="4"/>
      <c r="G63" s="1"/>
      <c r="K63" s="1"/>
    </row>
    <row r="64" spans="2:11" x14ac:dyDescent="0.25">
      <c r="F64" s="4"/>
      <c r="G64" s="1"/>
      <c r="K64" s="1"/>
    </row>
    <row r="65" spans="6:11" x14ac:dyDescent="0.25">
      <c r="F65" s="4"/>
      <c r="G65" s="1"/>
      <c r="K65" s="1"/>
    </row>
    <row r="66" spans="6:11" x14ac:dyDescent="0.25">
      <c r="F66" s="4"/>
      <c r="G66" s="1"/>
      <c r="K66" s="1"/>
    </row>
    <row r="67" spans="6:11" x14ac:dyDescent="0.25">
      <c r="F67" s="4"/>
      <c r="G67" s="1"/>
      <c r="K67" s="1"/>
    </row>
    <row r="68" spans="6:11" x14ac:dyDescent="0.25">
      <c r="F68" s="4"/>
      <c r="G68" s="1"/>
      <c r="K68" s="1"/>
    </row>
    <row r="69" spans="6:11" x14ac:dyDescent="0.25">
      <c r="F69" s="4"/>
      <c r="G69" s="1"/>
      <c r="K69" s="1"/>
    </row>
    <row r="70" spans="6:11" x14ac:dyDescent="0.25">
      <c r="F70" s="4"/>
      <c r="G70" s="1"/>
      <c r="K70" s="1"/>
    </row>
    <row r="71" spans="6:11" x14ac:dyDescent="0.25">
      <c r="F71" s="4"/>
      <c r="G71" s="1"/>
      <c r="K71" s="1"/>
    </row>
    <row r="72" spans="6:11" x14ac:dyDescent="0.25">
      <c r="F72" s="4"/>
      <c r="G72" s="1"/>
      <c r="K72" s="1"/>
    </row>
    <row r="73" spans="6:11" x14ac:dyDescent="0.25">
      <c r="F73" s="4"/>
      <c r="G73" s="1"/>
      <c r="K73" s="1"/>
    </row>
    <row r="74" spans="6:11" x14ac:dyDescent="0.25">
      <c r="F74" s="4"/>
      <c r="G74" s="1"/>
      <c r="K74" s="1"/>
    </row>
    <row r="75" spans="6:11" x14ac:dyDescent="0.25">
      <c r="F75" s="4"/>
      <c r="G75" s="1"/>
      <c r="K75" s="1"/>
    </row>
    <row r="76" spans="6:11" x14ac:dyDescent="0.25">
      <c r="F76" s="4"/>
      <c r="G76" s="1"/>
      <c r="K76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D75"/>
  <sheetViews>
    <sheetView workbookViewId="0">
      <selection activeCell="H24" sqref="H24"/>
    </sheetView>
  </sheetViews>
  <sheetFormatPr defaultRowHeight="15" x14ac:dyDescent="0.25"/>
  <sheetData>
    <row r="4" spans="1:30" x14ac:dyDescent="0.25">
      <c r="B4" t="s">
        <v>82</v>
      </c>
      <c r="Y4" t="s">
        <v>83</v>
      </c>
    </row>
    <row r="5" spans="1:30" x14ac:dyDescent="0.25">
      <c r="B5">
        <v>2009</v>
      </c>
      <c r="C5">
        <v>2010</v>
      </c>
      <c r="D5">
        <v>2011</v>
      </c>
      <c r="E5">
        <v>2012</v>
      </c>
      <c r="F5">
        <v>2013</v>
      </c>
      <c r="G5">
        <v>2014</v>
      </c>
      <c r="Y5">
        <v>2009</v>
      </c>
      <c r="Z5">
        <v>2010</v>
      </c>
      <c r="AA5">
        <v>2011</v>
      </c>
      <c r="AB5">
        <v>2012</v>
      </c>
      <c r="AC5">
        <v>2013</v>
      </c>
      <c r="AD5">
        <v>2014</v>
      </c>
    </row>
    <row r="6" spans="1:30" x14ac:dyDescent="0.25">
      <c r="A6">
        <v>1</v>
      </c>
      <c r="B6">
        <v>116.1</v>
      </c>
      <c r="C6">
        <v>116</v>
      </c>
      <c r="D6">
        <v>115.7</v>
      </c>
      <c r="E6">
        <v>114.73</v>
      </c>
      <c r="F6">
        <v>114.47</v>
      </c>
      <c r="G6">
        <v>113.2</v>
      </c>
      <c r="X6">
        <v>1</v>
      </c>
      <c r="Y6">
        <v>730</v>
      </c>
      <c r="Z6">
        <v>730</v>
      </c>
      <c r="AA6">
        <v>728</v>
      </c>
      <c r="AB6">
        <v>733</v>
      </c>
      <c r="AC6">
        <v>727</v>
      </c>
      <c r="AD6">
        <v>702</v>
      </c>
    </row>
    <row r="7" spans="1:30" x14ac:dyDescent="0.25">
      <c r="A7">
        <v>2</v>
      </c>
      <c r="B7">
        <v>116.68</v>
      </c>
      <c r="C7">
        <v>116.73</v>
      </c>
      <c r="D7">
        <v>115.75</v>
      </c>
      <c r="E7">
        <v>114.13</v>
      </c>
      <c r="F7">
        <v>113.28</v>
      </c>
      <c r="G7">
        <v>112.62</v>
      </c>
      <c r="X7">
        <v>2</v>
      </c>
      <c r="Y7">
        <v>730</v>
      </c>
      <c r="Z7">
        <v>731</v>
      </c>
      <c r="AA7">
        <v>734</v>
      </c>
      <c r="AB7">
        <v>736</v>
      </c>
      <c r="AC7">
        <v>723</v>
      </c>
      <c r="AD7">
        <v>703</v>
      </c>
    </row>
    <row r="8" spans="1:30" x14ac:dyDescent="0.25">
      <c r="A8">
        <v>3</v>
      </c>
      <c r="B8">
        <v>117.38</v>
      </c>
      <c r="C8">
        <v>117.52</v>
      </c>
      <c r="D8">
        <v>115.79</v>
      </c>
      <c r="E8">
        <v>113.13</v>
      </c>
      <c r="F8">
        <v>112.07</v>
      </c>
      <c r="G8">
        <v>111.81</v>
      </c>
      <c r="X8">
        <v>3</v>
      </c>
      <c r="Y8">
        <v>730</v>
      </c>
      <c r="Z8">
        <v>731</v>
      </c>
      <c r="AA8">
        <v>735</v>
      </c>
      <c r="AB8">
        <v>737</v>
      </c>
      <c r="AC8">
        <v>723</v>
      </c>
      <c r="AD8">
        <v>703</v>
      </c>
    </row>
    <row r="9" spans="1:30" x14ac:dyDescent="0.25">
      <c r="A9">
        <v>4</v>
      </c>
      <c r="B9">
        <v>117.4</v>
      </c>
      <c r="C9">
        <v>118.25</v>
      </c>
      <c r="D9">
        <v>115.66</v>
      </c>
      <c r="E9">
        <v>112.21</v>
      </c>
      <c r="F9">
        <v>110.86</v>
      </c>
      <c r="G9">
        <v>111.05</v>
      </c>
      <c r="X9">
        <v>4</v>
      </c>
      <c r="Y9">
        <v>730</v>
      </c>
      <c r="Z9">
        <v>731</v>
      </c>
      <c r="AA9">
        <v>735</v>
      </c>
      <c r="AB9">
        <v>737</v>
      </c>
      <c r="AC9">
        <v>723</v>
      </c>
      <c r="AD9">
        <v>703</v>
      </c>
    </row>
    <row r="10" spans="1:30" x14ac:dyDescent="0.25">
      <c r="A10">
        <v>5</v>
      </c>
      <c r="B10">
        <v>116.85</v>
      </c>
      <c r="C10">
        <v>118.83</v>
      </c>
      <c r="D10">
        <v>115.32</v>
      </c>
      <c r="E10">
        <v>111.3</v>
      </c>
      <c r="F10">
        <v>109.82</v>
      </c>
      <c r="G10">
        <v>110.36</v>
      </c>
      <c r="X10">
        <v>5</v>
      </c>
      <c r="Y10">
        <v>730</v>
      </c>
      <c r="Z10">
        <v>731</v>
      </c>
      <c r="AA10">
        <v>735</v>
      </c>
      <c r="AB10">
        <v>737</v>
      </c>
      <c r="AC10">
        <v>723</v>
      </c>
      <c r="AD10">
        <v>703</v>
      </c>
    </row>
    <row r="11" spans="1:30" x14ac:dyDescent="0.25">
      <c r="A11">
        <v>6</v>
      </c>
      <c r="B11">
        <v>116.23</v>
      </c>
      <c r="C11">
        <v>119.36</v>
      </c>
      <c r="D11">
        <v>114.86</v>
      </c>
      <c r="E11">
        <v>110.33</v>
      </c>
      <c r="F11">
        <v>109</v>
      </c>
      <c r="G11">
        <v>109.76</v>
      </c>
      <c r="X11">
        <v>6</v>
      </c>
      <c r="Y11">
        <v>730</v>
      </c>
      <c r="Z11">
        <v>731</v>
      </c>
      <c r="AA11">
        <v>735</v>
      </c>
      <c r="AB11">
        <v>737</v>
      </c>
      <c r="AC11">
        <v>723</v>
      </c>
      <c r="AD11">
        <v>703</v>
      </c>
    </row>
    <row r="12" spans="1:30" x14ac:dyDescent="0.25">
      <c r="A12">
        <v>7</v>
      </c>
      <c r="B12">
        <v>116.22</v>
      </c>
      <c r="C12">
        <v>119.65</v>
      </c>
      <c r="D12">
        <v>114.39</v>
      </c>
      <c r="E12">
        <v>109.3</v>
      </c>
      <c r="F12">
        <v>108.33</v>
      </c>
      <c r="G12">
        <v>109.14</v>
      </c>
      <c r="X12">
        <v>7</v>
      </c>
      <c r="Y12">
        <v>730</v>
      </c>
      <c r="Z12">
        <v>731</v>
      </c>
      <c r="AA12">
        <v>735</v>
      </c>
      <c r="AB12">
        <v>737</v>
      </c>
      <c r="AC12">
        <v>723</v>
      </c>
      <c r="AD12">
        <v>703</v>
      </c>
    </row>
    <row r="13" spans="1:30" x14ac:dyDescent="0.25">
      <c r="A13">
        <v>8</v>
      </c>
      <c r="B13">
        <v>116.74</v>
      </c>
      <c r="C13">
        <v>119.89</v>
      </c>
      <c r="D13">
        <v>113.86</v>
      </c>
      <c r="E13">
        <v>108.22</v>
      </c>
      <c r="F13">
        <v>107.71</v>
      </c>
      <c r="G13">
        <v>108.54</v>
      </c>
      <c r="X13">
        <v>8</v>
      </c>
      <c r="Y13">
        <v>730</v>
      </c>
      <c r="Z13">
        <v>731</v>
      </c>
      <c r="AA13">
        <v>735</v>
      </c>
      <c r="AB13">
        <v>737</v>
      </c>
      <c r="AC13">
        <v>723</v>
      </c>
      <c r="AD13">
        <v>703</v>
      </c>
    </row>
    <row r="14" spans="1:30" x14ac:dyDescent="0.25">
      <c r="A14">
        <v>9</v>
      </c>
      <c r="B14">
        <v>117.31</v>
      </c>
      <c r="C14">
        <v>120.06</v>
      </c>
      <c r="D14">
        <v>113.29</v>
      </c>
      <c r="E14">
        <v>107.12</v>
      </c>
      <c r="F14">
        <v>107.13</v>
      </c>
      <c r="G14">
        <v>107.97</v>
      </c>
      <c r="X14">
        <v>9</v>
      </c>
      <c r="Y14">
        <v>730</v>
      </c>
      <c r="Z14">
        <v>731</v>
      </c>
      <c r="AA14">
        <v>735</v>
      </c>
      <c r="AB14">
        <v>737</v>
      </c>
      <c r="AC14">
        <v>723</v>
      </c>
      <c r="AD14">
        <v>703</v>
      </c>
    </row>
    <row r="15" spans="1:30" x14ac:dyDescent="0.25">
      <c r="A15">
        <v>10</v>
      </c>
      <c r="B15">
        <v>118.04</v>
      </c>
      <c r="C15">
        <v>119.93</v>
      </c>
      <c r="D15">
        <v>112.75</v>
      </c>
      <c r="E15">
        <v>105.94</v>
      </c>
      <c r="F15">
        <v>106.61</v>
      </c>
      <c r="G15">
        <v>107.36</v>
      </c>
      <c r="X15">
        <v>10</v>
      </c>
      <c r="Y15">
        <v>730</v>
      </c>
      <c r="Z15">
        <v>731</v>
      </c>
      <c r="AA15">
        <v>735</v>
      </c>
      <c r="AB15">
        <v>737</v>
      </c>
      <c r="AC15">
        <v>723</v>
      </c>
      <c r="AD15">
        <v>703</v>
      </c>
    </row>
    <row r="16" spans="1:30" x14ac:dyDescent="0.25">
      <c r="A16">
        <v>11</v>
      </c>
      <c r="B16">
        <v>118.92</v>
      </c>
      <c r="C16">
        <v>120.07</v>
      </c>
      <c r="D16">
        <v>112.19</v>
      </c>
      <c r="E16">
        <v>104.74</v>
      </c>
      <c r="F16">
        <v>105.94</v>
      </c>
      <c r="G16">
        <v>106.71</v>
      </c>
      <c r="X16">
        <v>11</v>
      </c>
      <c r="Y16">
        <v>730</v>
      </c>
      <c r="Z16">
        <v>731</v>
      </c>
      <c r="AA16">
        <v>735</v>
      </c>
      <c r="AB16">
        <v>737</v>
      </c>
      <c r="AC16">
        <v>723</v>
      </c>
      <c r="AD16">
        <v>703</v>
      </c>
    </row>
    <row r="17" spans="1:30" x14ac:dyDescent="0.25">
      <c r="A17">
        <v>12</v>
      </c>
      <c r="B17">
        <v>119.81</v>
      </c>
      <c r="C17">
        <v>120.22</v>
      </c>
      <c r="D17">
        <v>111.53</v>
      </c>
      <c r="E17">
        <v>103.61</v>
      </c>
      <c r="F17">
        <v>105.26</v>
      </c>
      <c r="G17">
        <v>106.01</v>
      </c>
      <c r="X17">
        <v>12</v>
      </c>
      <c r="Y17">
        <v>730</v>
      </c>
      <c r="Z17">
        <v>731</v>
      </c>
      <c r="AA17">
        <v>735</v>
      </c>
      <c r="AB17">
        <v>737</v>
      </c>
      <c r="AC17">
        <v>723</v>
      </c>
      <c r="AD17">
        <v>703</v>
      </c>
    </row>
    <row r="18" spans="1:30" x14ac:dyDescent="0.25">
      <c r="A18">
        <v>13</v>
      </c>
      <c r="B18">
        <v>120.92</v>
      </c>
      <c r="C18">
        <v>120.32</v>
      </c>
      <c r="D18">
        <v>110.71</v>
      </c>
      <c r="E18">
        <v>102.55</v>
      </c>
      <c r="F18">
        <v>104.51</v>
      </c>
      <c r="G18">
        <v>105.31</v>
      </c>
      <c r="X18">
        <v>13</v>
      </c>
      <c r="Y18">
        <v>731</v>
      </c>
      <c r="Z18">
        <v>731</v>
      </c>
      <c r="AA18">
        <v>735</v>
      </c>
      <c r="AB18">
        <v>737</v>
      </c>
      <c r="AC18">
        <v>723</v>
      </c>
      <c r="AD18">
        <v>703</v>
      </c>
    </row>
    <row r="19" spans="1:30" x14ac:dyDescent="0.25">
      <c r="A19">
        <v>14</v>
      </c>
      <c r="B19">
        <v>122.01</v>
      </c>
      <c r="C19">
        <v>120.25</v>
      </c>
      <c r="D19">
        <v>109.86</v>
      </c>
      <c r="E19">
        <v>101.55</v>
      </c>
      <c r="F19">
        <v>103.76</v>
      </c>
      <c r="G19">
        <v>104.52</v>
      </c>
      <c r="X19">
        <v>14</v>
      </c>
      <c r="Y19">
        <v>731</v>
      </c>
      <c r="Z19">
        <v>731</v>
      </c>
      <c r="AA19">
        <v>735</v>
      </c>
      <c r="AB19">
        <v>737</v>
      </c>
      <c r="AC19">
        <v>723</v>
      </c>
      <c r="AD19">
        <v>703</v>
      </c>
    </row>
    <row r="20" spans="1:30" x14ac:dyDescent="0.25">
      <c r="A20">
        <v>15</v>
      </c>
      <c r="B20">
        <v>123.41</v>
      </c>
      <c r="C20">
        <v>120.1</v>
      </c>
      <c r="D20">
        <v>108.9</v>
      </c>
      <c r="E20">
        <v>100.67</v>
      </c>
      <c r="F20">
        <v>103.02</v>
      </c>
      <c r="G20">
        <v>103.64</v>
      </c>
      <c r="X20">
        <v>15</v>
      </c>
      <c r="Y20">
        <v>731</v>
      </c>
      <c r="Z20">
        <v>731</v>
      </c>
      <c r="AA20">
        <v>735</v>
      </c>
      <c r="AB20">
        <v>737</v>
      </c>
      <c r="AC20">
        <v>723</v>
      </c>
      <c r="AD20">
        <v>703</v>
      </c>
    </row>
    <row r="21" spans="1:30" x14ac:dyDescent="0.25">
      <c r="A21">
        <v>16</v>
      </c>
      <c r="B21">
        <v>123.98</v>
      </c>
      <c r="C21">
        <v>119.79</v>
      </c>
      <c r="D21">
        <v>107.86</v>
      </c>
      <c r="E21">
        <v>99.93</v>
      </c>
      <c r="F21">
        <v>102.27</v>
      </c>
      <c r="G21">
        <v>102.77</v>
      </c>
      <c r="X21">
        <v>16</v>
      </c>
      <c r="Y21">
        <v>732</v>
      </c>
      <c r="Z21">
        <v>732</v>
      </c>
      <c r="AA21">
        <v>735</v>
      </c>
      <c r="AB21">
        <v>737</v>
      </c>
      <c r="AC21">
        <v>723</v>
      </c>
      <c r="AD21">
        <v>703</v>
      </c>
    </row>
    <row r="22" spans="1:30" x14ac:dyDescent="0.25">
      <c r="A22">
        <v>17</v>
      </c>
      <c r="B22">
        <v>121.96</v>
      </c>
      <c r="C22">
        <v>119.14</v>
      </c>
      <c r="D22">
        <v>106.74</v>
      </c>
      <c r="E22">
        <v>99.3</v>
      </c>
      <c r="F22">
        <v>101.63</v>
      </c>
      <c r="G22">
        <v>101.98</v>
      </c>
      <c r="X22">
        <v>17</v>
      </c>
      <c r="Y22">
        <v>725</v>
      </c>
      <c r="Z22">
        <v>732</v>
      </c>
      <c r="AA22">
        <v>735</v>
      </c>
      <c r="AB22">
        <v>737</v>
      </c>
      <c r="AC22">
        <v>723</v>
      </c>
      <c r="AD22">
        <v>703</v>
      </c>
    </row>
    <row r="23" spans="1:30" x14ac:dyDescent="0.25">
      <c r="A23">
        <v>18</v>
      </c>
      <c r="B23">
        <v>121.99</v>
      </c>
      <c r="C23">
        <v>118.41</v>
      </c>
      <c r="D23">
        <v>105.69</v>
      </c>
      <c r="E23">
        <v>98.66</v>
      </c>
      <c r="F23">
        <v>101.05</v>
      </c>
      <c r="G23">
        <v>101.4</v>
      </c>
      <c r="X23">
        <v>18</v>
      </c>
      <c r="Y23">
        <v>725</v>
      </c>
      <c r="Z23">
        <v>732</v>
      </c>
      <c r="AA23">
        <v>735</v>
      </c>
      <c r="AB23">
        <v>737</v>
      </c>
      <c r="AC23">
        <v>723</v>
      </c>
      <c r="AD23">
        <v>703</v>
      </c>
    </row>
    <row r="24" spans="1:30" x14ac:dyDescent="0.25">
      <c r="A24">
        <v>19</v>
      </c>
      <c r="B24">
        <v>121.76</v>
      </c>
      <c r="C24">
        <v>117.61</v>
      </c>
      <c r="D24">
        <v>104.69</v>
      </c>
      <c r="E24">
        <v>98.04</v>
      </c>
      <c r="F24">
        <v>100.51</v>
      </c>
      <c r="G24">
        <v>100.61</v>
      </c>
      <c r="X24">
        <v>19</v>
      </c>
      <c r="Y24">
        <v>721</v>
      </c>
      <c r="Z24">
        <v>732</v>
      </c>
      <c r="AA24">
        <v>735</v>
      </c>
      <c r="AB24">
        <v>737</v>
      </c>
      <c r="AC24">
        <v>723</v>
      </c>
      <c r="AD24">
        <v>703</v>
      </c>
    </row>
    <row r="25" spans="1:30" x14ac:dyDescent="0.25">
      <c r="A25">
        <v>20</v>
      </c>
      <c r="B25">
        <v>121.75</v>
      </c>
      <c r="C25">
        <v>116.83</v>
      </c>
      <c r="D25">
        <v>103.71</v>
      </c>
      <c r="E25">
        <v>97.45</v>
      </c>
      <c r="F25">
        <v>100.01</v>
      </c>
      <c r="G25">
        <v>100.02</v>
      </c>
      <c r="X25">
        <v>20</v>
      </c>
      <c r="Y25">
        <v>725</v>
      </c>
      <c r="Z25">
        <v>732</v>
      </c>
      <c r="AA25">
        <v>735</v>
      </c>
      <c r="AB25">
        <v>737</v>
      </c>
      <c r="AC25">
        <v>723</v>
      </c>
      <c r="AD25">
        <v>703</v>
      </c>
    </row>
    <row r="26" spans="1:30" x14ac:dyDescent="0.25">
      <c r="A26">
        <v>21</v>
      </c>
      <c r="B26">
        <v>121.22</v>
      </c>
      <c r="C26">
        <v>116.06</v>
      </c>
      <c r="D26">
        <v>102.75</v>
      </c>
      <c r="E26">
        <v>96.85</v>
      </c>
      <c r="F26">
        <v>99.44</v>
      </c>
      <c r="G26">
        <v>99.59</v>
      </c>
      <c r="X26">
        <v>21</v>
      </c>
      <c r="Y26">
        <v>725</v>
      </c>
      <c r="Z26">
        <v>732</v>
      </c>
      <c r="AA26">
        <v>735</v>
      </c>
      <c r="AB26">
        <v>737</v>
      </c>
      <c r="AC26">
        <v>723</v>
      </c>
      <c r="AD26">
        <v>704</v>
      </c>
    </row>
    <row r="27" spans="1:30" x14ac:dyDescent="0.25">
      <c r="A27">
        <v>22</v>
      </c>
      <c r="B27">
        <v>120.97</v>
      </c>
      <c r="C27">
        <v>115.31</v>
      </c>
      <c r="D27">
        <v>101.76</v>
      </c>
      <c r="E27">
        <v>96.21</v>
      </c>
      <c r="F27">
        <v>98.86</v>
      </c>
      <c r="G27">
        <v>99.44</v>
      </c>
      <c r="X27">
        <v>22</v>
      </c>
      <c r="Y27">
        <v>726</v>
      </c>
      <c r="Z27">
        <v>732</v>
      </c>
      <c r="AA27">
        <v>735</v>
      </c>
      <c r="AB27">
        <v>736</v>
      </c>
      <c r="AC27">
        <v>723</v>
      </c>
      <c r="AD27">
        <v>705</v>
      </c>
    </row>
    <row r="28" spans="1:30" x14ac:dyDescent="0.25">
      <c r="A28">
        <v>23</v>
      </c>
      <c r="B28">
        <v>121.06</v>
      </c>
      <c r="C28">
        <v>114.51</v>
      </c>
      <c r="D28">
        <v>100.85</v>
      </c>
      <c r="E28">
        <v>95.55</v>
      </c>
      <c r="F28">
        <v>98.19</v>
      </c>
      <c r="G28">
        <v>99.37</v>
      </c>
      <c r="X28">
        <v>23</v>
      </c>
      <c r="Y28">
        <v>726</v>
      </c>
      <c r="Z28">
        <v>732</v>
      </c>
      <c r="AA28">
        <v>735</v>
      </c>
      <c r="AB28">
        <v>737</v>
      </c>
      <c r="AC28">
        <v>723</v>
      </c>
      <c r="AD28">
        <v>705</v>
      </c>
    </row>
    <row r="29" spans="1:30" x14ac:dyDescent="0.25">
      <c r="A29">
        <v>24</v>
      </c>
      <c r="B29">
        <v>121.2</v>
      </c>
      <c r="C29">
        <v>113.67</v>
      </c>
      <c r="D29">
        <v>99.92</v>
      </c>
      <c r="E29">
        <v>94.88</v>
      </c>
      <c r="F29">
        <v>97.47</v>
      </c>
      <c r="X29">
        <v>24</v>
      </c>
      <c r="Y29">
        <v>726</v>
      </c>
      <c r="Z29">
        <v>732</v>
      </c>
      <c r="AA29">
        <v>735</v>
      </c>
      <c r="AB29">
        <v>736</v>
      </c>
      <c r="AC29">
        <v>723</v>
      </c>
    </row>
    <row r="30" spans="1:30" x14ac:dyDescent="0.25">
      <c r="A30">
        <v>25</v>
      </c>
      <c r="B30">
        <v>121.18</v>
      </c>
      <c r="C30">
        <v>112.82</v>
      </c>
      <c r="D30">
        <v>98.99</v>
      </c>
      <c r="E30">
        <v>94.29</v>
      </c>
      <c r="F30">
        <v>96.71</v>
      </c>
      <c r="X30">
        <v>25</v>
      </c>
      <c r="Y30">
        <v>725</v>
      </c>
      <c r="Z30">
        <v>732</v>
      </c>
      <c r="AA30">
        <v>735</v>
      </c>
      <c r="AB30">
        <v>736</v>
      </c>
      <c r="AC30">
        <v>723</v>
      </c>
    </row>
    <row r="31" spans="1:30" x14ac:dyDescent="0.25">
      <c r="A31">
        <v>26</v>
      </c>
      <c r="B31">
        <v>121.25</v>
      </c>
      <c r="C31">
        <v>111.89</v>
      </c>
      <c r="D31">
        <v>98.06</v>
      </c>
      <c r="E31">
        <v>93.63</v>
      </c>
      <c r="F31">
        <v>95.87</v>
      </c>
      <c r="X31">
        <v>26</v>
      </c>
      <c r="Y31">
        <v>726</v>
      </c>
      <c r="Z31">
        <v>732</v>
      </c>
      <c r="AA31">
        <v>735</v>
      </c>
      <c r="AB31">
        <v>736</v>
      </c>
      <c r="AC31">
        <v>723</v>
      </c>
    </row>
    <row r="32" spans="1:30" x14ac:dyDescent="0.25">
      <c r="A32">
        <v>27</v>
      </c>
      <c r="B32">
        <v>121.32</v>
      </c>
      <c r="C32">
        <v>110.92</v>
      </c>
      <c r="D32">
        <v>97.11</v>
      </c>
      <c r="E32">
        <v>93.06</v>
      </c>
      <c r="F32">
        <v>94.98</v>
      </c>
      <c r="X32">
        <v>27</v>
      </c>
      <c r="Y32">
        <v>726</v>
      </c>
      <c r="Z32">
        <v>732</v>
      </c>
      <c r="AA32">
        <v>735</v>
      </c>
      <c r="AB32">
        <v>736</v>
      </c>
      <c r="AC32">
        <v>724</v>
      </c>
    </row>
    <row r="33" spans="1:29" x14ac:dyDescent="0.25">
      <c r="A33">
        <v>28</v>
      </c>
      <c r="B33">
        <v>120.62</v>
      </c>
      <c r="C33">
        <v>109.86</v>
      </c>
      <c r="D33">
        <v>96.27</v>
      </c>
      <c r="E33">
        <v>92.55</v>
      </c>
      <c r="F33">
        <v>94.04</v>
      </c>
      <c r="X33">
        <v>28</v>
      </c>
      <c r="Y33">
        <v>726</v>
      </c>
      <c r="Z33">
        <v>732</v>
      </c>
      <c r="AA33">
        <v>735</v>
      </c>
      <c r="AB33">
        <v>736</v>
      </c>
      <c r="AC33">
        <v>724</v>
      </c>
    </row>
    <row r="34" spans="1:29" x14ac:dyDescent="0.25">
      <c r="A34">
        <v>29</v>
      </c>
      <c r="B34">
        <v>119.08</v>
      </c>
      <c r="C34">
        <v>108.64</v>
      </c>
      <c r="D34">
        <v>95.34</v>
      </c>
      <c r="E34">
        <v>92.06</v>
      </c>
      <c r="F34">
        <v>93.09</v>
      </c>
      <c r="X34">
        <v>29</v>
      </c>
      <c r="Y34">
        <v>726</v>
      </c>
      <c r="Z34">
        <v>732</v>
      </c>
      <c r="AA34">
        <v>735</v>
      </c>
      <c r="AB34">
        <v>736</v>
      </c>
      <c r="AC34">
        <v>725</v>
      </c>
    </row>
    <row r="35" spans="1:29" x14ac:dyDescent="0.25">
      <c r="A35">
        <v>30</v>
      </c>
      <c r="B35">
        <v>117.62</v>
      </c>
      <c r="C35">
        <v>107.5</v>
      </c>
      <c r="D35">
        <v>94.52</v>
      </c>
      <c r="E35">
        <v>91.53</v>
      </c>
      <c r="F35">
        <v>92.16</v>
      </c>
      <c r="X35">
        <v>30</v>
      </c>
      <c r="Y35">
        <v>725</v>
      </c>
      <c r="Z35">
        <v>732</v>
      </c>
      <c r="AA35">
        <v>735</v>
      </c>
      <c r="AB35">
        <v>736</v>
      </c>
      <c r="AC35">
        <v>726</v>
      </c>
    </row>
    <row r="36" spans="1:29" x14ac:dyDescent="0.25">
      <c r="A36">
        <v>31</v>
      </c>
      <c r="B36">
        <v>116.58</v>
      </c>
      <c r="C36">
        <v>106.3</v>
      </c>
      <c r="D36">
        <v>93.86</v>
      </c>
      <c r="E36">
        <v>90.95</v>
      </c>
      <c r="F36">
        <v>91.41</v>
      </c>
      <c r="X36">
        <v>31</v>
      </c>
      <c r="Y36">
        <v>726</v>
      </c>
      <c r="Z36">
        <v>732</v>
      </c>
      <c r="AA36">
        <v>735</v>
      </c>
      <c r="AB36">
        <v>736</v>
      </c>
      <c r="AC36">
        <v>726</v>
      </c>
    </row>
    <row r="37" spans="1:29" x14ac:dyDescent="0.25">
      <c r="A37">
        <v>32</v>
      </c>
      <c r="B37">
        <v>115.38</v>
      </c>
      <c r="C37">
        <v>105.15</v>
      </c>
      <c r="D37">
        <v>93.24</v>
      </c>
      <c r="E37">
        <v>90.35</v>
      </c>
      <c r="F37">
        <v>90.38</v>
      </c>
      <c r="X37">
        <v>32</v>
      </c>
      <c r="Y37">
        <v>726</v>
      </c>
      <c r="Z37">
        <v>732</v>
      </c>
      <c r="AA37">
        <v>735</v>
      </c>
      <c r="AB37">
        <v>736</v>
      </c>
      <c r="AC37">
        <v>727</v>
      </c>
    </row>
    <row r="38" spans="1:29" x14ac:dyDescent="0.25">
      <c r="A38">
        <v>33</v>
      </c>
      <c r="B38">
        <v>114.2</v>
      </c>
      <c r="C38">
        <v>104.04</v>
      </c>
      <c r="D38">
        <v>92.7</v>
      </c>
      <c r="E38">
        <v>89.75</v>
      </c>
      <c r="F38">
        <v>89.52</v>
      </c>
      <c r="X38">
        <v>33</v>
      </c>
      <c r="Y38">
        <v>726</v>
      </c>
      <c r="Z38">
        <v>732</v>
      </c>
      <c r="AA38">
        <v>735</v>
      </c>
      <c r="AB38">
        <v>736</v>
      </c>
      <c r="AC38">
        <v>727</v>
      </c>
    </row>
    <row r="39" spans="1:29" x14ac:dyDescent="0.25">
      <c r="A39">
        <v>34</v>
      </c>
      <c r="B39">
        <v>113.2</v>
      </c>
      <c r="C39">
        <v>102.98</v>
      </c>
      <c r="D39">
        <v>92.23</v>
      </c>
      <c r="E39">
        <v>89.11</v>
      </c>
      <c r="F39">
        <v>88.72</v>
      </c>
      <c r="X39">
        <v>34</v>
      </c>
      <c r="Y39">
        <v>726</v>
      </c>
      <c r="Z39">
        <v>732</v>
      </c>
      <c r="AA39">
        <v>735</v>
      </c>
      <c r="AB39">
        <v>736</v>
      </c>
      <c r="AC39">
        <v>728</v>
      </c>
    </row>
    <row r="40" spans="1:29" x14ac:dyDescent="0.25">
      <c r="A40">
        <v>35</v>
      </c>
      <c r="B40">
        <v>112.73</v>
      </c>
      <c r="C40">
        <v>102.08</v>
      </c>
      <c r="D40">
        <v>91.76</v>
      </c>
      <c r="E40">
        <v>88.43</v>
      </c>
      <c r="F40">
        <v>88.06</v>
      </c>
      <c r="X40">
        <v>35</v>
      </c>
      <c r="Y40">
        <v>727</v>
      </c>
      <c r="Z40">
        <v>732</v>
      </c>
      <c r="AA40">
        <v>735</v>
      </c>
      <c r="AB40">
        <v>736</v>
      </c>
      <c r="AC40">
        <v>730</v>
      </c>
    </row>
    <row r="41" spans="1:29" x14ac:dyDescent="0.25">
      <c r="A41">
        <v>36</v>
      </c>
      <c r="B41">
        <v>112.29</v>
      </c>
      <c r="C41">
        <v>101.22</v>
      </c>
      <c r="D41">
        <v>91.26</v>
      </c>
      <c r="E41">
        <v>87.77</v>
      </c>
      <c r="F41">
        <v>87.64</v>
      </c>
      <c r="X41">
        <v>36</v>
      </c>
      <c r="Y41">
        <v>726</v>
      </c>
      <c r="Z41">
        <v>732</v>
      </c>
      <c r="AA41">
        <v>735</v>
      </c>
      <c r="AB41">
        <v>736</v>
      </c>
      <c r="AC41">
        <v>732</v>
      </c>
    </row>
    <row r="42" spans="1:29" x14ac:dyDescent="0.25">
      <c r="A42">
        <v>37</v>
      </c>
      <c r="B42">
        <v>111.66</v>
      </c>
      <c r="C42">
        <v>100.37</v>
      </c>
      <c r="D42">
        <v>90.72</v>
      </c>
      <c r="E42">
        <v>87.15</v>
      </c>
      <c r="X42">
        <v>37</v>
      </c>
      <c r="Y42">
        <v>726</v>
      </c>
      <c r="Z42">
        <v>732</v>
      </c>
      <c r="AA42">
        <v>734</v>
      </c>
      <c r="AB42">
        <v>736</v>
      </c>
    </row>
    <row r="43" spans="1:29" x14ac:dyDescent="0.25">
      <c r="A43">
        <v>38</v>
      </c>
      <c r="B43">
        <v>111.06</v>
      </c>
      <c r="C43">
        <v>99.61</v>
      </c>
      <c r="D43">
        <v>90.18</v>
      </c>
      <c r="E43">
        <v>86.54</v>
      </c>
      <c r="X43">
        <v>38</v>
      </c>
      <c r="Y43">
        <v>726</v>
      </c>
      <c r="Z43">
        <v>732</v>
      </c>
      <c r="AA43">
        <v>735</v>
      </c>
      <c r="AB43">
        <v>736</v>
      </c>
    </row>
    <row r="44" spans="1:29" x14ac:dyDescent="0.25">
      <c r="A44">
        <v>39</v>
      </c>
      <c r="B44">
        <v>110.5</v>
      </c>
      <c r="C44">
        <v>98.92</v>
      </c>
      <c r="D44">
        <v>89.62</v>
      </c>
      <c r="E44">
        <v>85.94</v>
      </c>
      <c r="X44">
        <v>39</v>
      </c>
      <c r="Y44">
        <v>726</v>
      </c>
      <c r="Z44">
        <v>732</v>
      </c>
      <c r="AA44">
        <v>734</v>
      </c>
      <c r="AB44">
        <v>736</v>
      </c>
    </row>
    <row r="45" spans="1:29" x14ac:dyDescent="0.25">
      <c r="A45">
        <v>40</v>
      </c>
      <c r="B45">
        <v>109.42</v>
      </c>
      <c r="C45">
        <v>98.21</v>
      </c>
      <c r="D45">
        <v>89.01</v>
      </c>
      <c r="E45">
        <v>85.37</v>
      </c>
      <c r="X45">
        <v>40</v>
      </c>
      <c r="Y45">
        <v>725</v>
      </c>
      <c r="Z45">
        <v>732</v>
      </c>
      <c r="AA45">
        <v>734</v>
      </c>
      <c r="AB45">
        <v>736</v>
      </c>
    </row>
    <row r="46" spans="1:29" x14ac:dyDescent="0.25">
      <c r="A46">
        <v>41</v>
      </c>
      <c r="B46">
        <v>107.71</v>
      </c>
      <c r="C46">
        <v>97.49</v>
      </c>
      <c r="D46">
        <v>88.4</v>
      </c>
      <c r="E46">
        <v>84.81</v>
      </c>
      <c r="X46">
        <v>41</v>
      </c>
      <c r="Y46">
        <v>725</v>
      </c>
      <c r="Z46">
        <v>732</v>
      </c>
      <c r="AA46">
        <v>734</v>
      </c>
      <c r="AB46">
        <v>736</v>
      </c>
    </row>
    <row r="47" spans="1:29" x14ac:dyDescent="0.25">
      <c r="A47">
        <v>42</v>
      </c>
      <c r="B47">
        <v>106.04</v>
      </c>
      <c r="C47">
        <v>96.87</v>
      </c>
      <c r="D47">
        <v>87.87</v>
      </c>
      <c r="E47">
        <v>84.17</v>
      </c>
      <c r="X47">
        <v>42</v>
      </c>
      <c r="Y47">
        <v>725</v>
      </c>
      <c r="Z47">
        <v>732</v>
      </c>
      <c r="AA47">
        <v>734</v>
      </c>
      <c r="AB47">
        <v>736</v>
      </c>
    </row>
    <row r="48" spans="1:29" x14ac:dyDescent="0.25">
      <c r="A48">
        <v>43</v>
      </c>
      <c r="B48">
        <v>104.7</v>
      </c>
      <c r="C48">
        <v>96.07</v>
      </c>
      <c r="D48">
        <v>87.33</v>
      </c>
      <c r="E48">
        <v>83.47</v>
      </c>
      <c r="X48">
        <v>43</v>
      </c>
      <c r="Y48">
        <v>724</v>
      </c>
      <c r="Z48">
        <v>732</v>
      </c>
      <c r="AA48">
        <v>734</v>
      </c>
      <c r="AB48">
        <v>736</v>
      </c>
    </row>
    <row r="49" spans="1:28" x14ac:dyDescent="0.25">
      <c r="A49">
        <v>44</v>
      </c>
      <c r="B49">
        <v>103.42</v>
      </c>
      <c r="C49">
        <v>95.52</v>
      </c>
      <c r="D49">
        <v>86.84</v>
      </c>
      <c r="E49">
        <v>82.66</v>
      </c>
      <c r="X49">
        <v>44</v>
      </c>
      <c r="Y49">
        <v>724</v>
      </c>
      <c r="Z49">
        <v>732</v>
      </c>
      <c r="AA49">
        <v>734</v>
      </c>
      <c r="AB49">
        <v>736</v>
      </c>
    </row>
    <row r="50" spans="1:28" x14ac:dyDescent="0.25">
      <c r="A50">
        <v>45</v>
      </c>
      <c r="B50">
        <v>102.22</v>
      </c>
      <c r="C50">
        <v>94.89</v>
      </c>
      <c r="D50">
        <v>86.33</v>
      </c>
      <c r="E50">
        <v>81.819999999999993</v>
      </c>
      <c r="X50">
        <v>45</v>
      </c>
      <c r="Y50">
        <v>725</v>
      </c>
      <c r="Z50">
        <v>732</v>
      </c>
      <c r="AA50">
        <v>734</v>
      </c>
      <c r="AB50">
        <v>736</v>
      </c>
    </row>
    <row r="51" spans="1:28" x14ac:dyDescent="0.25">
      <c r="A51">
        <v>46</v>
      </c>
      <c r="B51">
        <v>101.32</v>
      </c>
      <c r="C51">
        <v>94.32</v>
      </c>
      <c r="D51">
        <v>85.87</v>
      </c>
      <c r="E51">
        <v>81.44</v>
      </c>
      <c r="X51">
        <v>46</v>
      </c>
      <c r="Y51">
        <v>724</v>
      </c>
      <c r="Z51">
        <v>732</v>
      </c>
      <c r="AA51">
        <v>733</v>
      </c>
      <c r="AB51">
        <v>736</v>
      </c>
    </row>
    <row r="52" spans="1:28" x14ac:dyDescent="0.25">
      <c r="A52">
        <v>47</v>
      </c>
      <c r="B52">
        <v>101.03</v>
      </c>
      <c r="C52">
        <v>93.9</v>
      </c>
      <c r="D52">
        <v>85.44</v>
      </c>
      <c r="E52">
        <v>82.12</v>
      </c>
      <c r="X52">
        <v>47</v>
      </c>
      <c r="Y52">
        <v>724</v>
      </c>
      <c r="Z52">
        <v>732</v>
      </c>
      <c r="AA52">
        <v>733</v>
      </c>
      <c r="AB52">
        <v>735</v>
      </c>
    </row>
    <row r="53" spans="1:28" x14ac:dyDescent="0.25">
      <c r="A53">
        <v>48</v>
      </c>
      <c r="B53">
        <v>100.86</v>
      </c>
      <c r="C53">
        <v>93.44</v>
      </c>
      <c r="D53">
        <v>84.93</v>
      </c>
      <c r="E53">
        <v>82.7</v>
      </c>
      <c r="X53">
        <v>48</v>
      </c>
      <c r="Y53">
        <v>724</v>
      </c>
      <c r="Z53">
        <v>732</v>
      </c>
      <c r="AA53">
        <v>733</v>
      </c>
      <c r="AB53">
        <v>731</v>
      </c>
    </row>
    <row r="54" spans="1:28" x14ac:dyDescent="0.25">
      <c r="A54">
        <v>49</v>
      </c>
      <c r="B54">
        <v>100.57</v>
      </c>
      <c r="C54">
        <v>93</v>
      </c>
      <c r="D54">
        <v>84.45</v>
      </c>
      <c r="X54">
        <v>49</v>
      </c>
      <c r="Y54">
        <v>724</v>
      </c>
      <c r="Z54">
        <v>732</v>
      </c>
      <c r="AA54">
        <v>733</v>
      </c>
    </row>
    <row r="55" spans="1:28" x14ac:dyDescent="0.25">
      <c r="A55">
        <v>50</v>
      </c>
      <c r="B55">
        <v>100.48</v>
      </c>
      <c r="C55">
        <v>92.57</v>
      </c>
      <c r="D55">
        <v>84.31</v>
      </c>
      <c r="X55">
        <v>50</v>
      </c>
      <c r="Y55">
        <v>724</v>
      </c>
      <c r="Z55">
        <v>731</v>
      </c>
      <c r="AA55">
        <v>732</v>
      </c>
    </row>
    <row r="56" spans="1:28" x14ac:dyDescent="0.25">
      <c r="A56">
        <v>51</v>
      </c>
      <c r="B56">
        <v>100.4</v>
      </c>
      <c r="C56">
        <v>92.14</v>
      </c>
      <c r="D56">
        <v>83.9</v>
      </c>
      <c r="X56">
        <v>51</v>
      </c>
      <c r="Y56">
        <v>724</v>
      </c>
      <c r="Z56">
        <v>731</v>
      </c>
      <c r="AA56">
        <v>732</v>
      </c>
    </row>
    <row r="57" spans="1:28" x14ac:dyDescent="0.25">
      <c r="A57">
        <v>52</v>
      </c>
      <c r="B57">
        <v>99.8</v>
      </c>
      <c r="C57">
        <v>91.59</v>
      </c>
      <c r="D57">
        <v>83.44</v>
      </c>
      <c r="X57">
        <v>52</v>
      </c>
      <c r="Y57">
        <v>724</v>
      </c>
      <c r="Z57">
        <v>731</v>
      </c>
      <c r="AA57">
        <v>731</v>
      </c>
    </row>
    <row r="58" spans="1:28" x14ac:dyDescent="0.25">
      <c r="A58">
        <v>53</v>
      </c>
      <c r="B58">
        <v>98.77</v>
      </c>
      <c r="C58">
        <v>90.94</v>
      </c>
      <c r="D58">
        <v>82.77</v>
      </c>
      <c r="X58">
        <v>53</v>
      </c>
      <c r="Y58">
        <v>724</v>
      </c>
      <c r="Z58">
        <v>731</v>
      </c>
      <c r="AA58">
        <v>732</v>
      </c>
    </row>
    <row r="59" spans="1:28" x14ac:dyDescent="0.25">
      <c r="A59">
        <v>54</v>
      </c>
      <c r="B59">
        <v>97.81</v>
      </c>
      <c r="C59">
        <v>90.43</v>
      </c>
      <c r="D59">
        <v>82.29</v>
      </c>
      <c r="X59">
        <v>54</v>
      </c>
      <c r="Y59">
        <v>724</v>
      </c>
      <c r="Z59">
        <v>731</v>
      </c>
      <c r="AA59">
        <v>732</v>
      </c>
    </row>
    <row r="60" spans="1:28" x14ac:dyDescent="0.25">
      <c r="A60">
        <v>55</v>
      </c>
      <c r="B60">
        <v>97.22</v>
      </c>
      <c r="C60">
        <v>89.87</v>
      </c>
      <c r="D60">
        <v>81.900000000000006</v>
      </c>
      <c r="X60">
        <v>55</v>
      </c>
      <c r="Y60">
        <v>724</v>
      </c>
      <c r="Z60">
        <v>730</v>
      </c>
      <c r="AA60">
        <v>732</v>
      </c>
    </row>
    <row r="61" spans="1:28" x14ac:dyDescent="0.25">
      <c r="A61">
        <v>56</v>
      </c>
      <c r="B61">
        <v>96.77</v>
      </c>
      <c r="C61">
        <v>89.25</v>
      </c>
      <c r="D61">
        <v>81.37</v>
      </c>
      <c r="X61">
        <v>56</v>
      </c>
      <c r="Y61">
        <v>724</v>
      </c>
      <c r="Z61">
        <v>730</v>
      </c>
      <c r="AA61">
        <v>733</v>
      </c>
    </row>
    <row r="62" spans="1:28" x14ac:dyDescent="0.25">
      <c r="A62">
        <v>57</v>
      </c>
      <c r="B62">
        <v>96.6</v>
      </c>
      <c r="C62">
        <v>88.58</v>
      </c>
      <c r="D62">
        <v>81.010000000000005</v>
      </c>
      <c r="X62">
        <v>57</v>
      </c>
      <c r="Y62">
        <v>721</v>
      </c>
      <c r="Z62">
        <v>730</v>
      </c>
      <c r="AA62">
        <v>734</v>
      </c>
    </row>
    <row r="63" spans="1:28" x14ac:dyDescent="0.25">
      <c r="A63">
        <v>58</v>
      </c>
      <c r="B63">
        <v>94.78</v>
      </c>
      <c r="C63">
        <v>88.23</v>
      </c>
      <c r="D63">
        <v>80.489999999999995</v>
      </c>
      <c r="X63">
        <v>58</v>
      </c>
      <c r="Y63">
        <v>724</v>
      </c>
      <c r="Z63">
        <v>730</v>
      </c>
      <c r="AA63">
        <v>736</v>
      </c>
    </row>
    <row r="64" spans="1:28" x14ac:dyDescent="0.25">
      <c r="A64">
        <v>59</v>
      </c>
      <c r="B64">
        <v>94.81</v>
      </c>
      <c r="C64">
        <v>87.69</v>
      </c>
      <c r="D64">
        <v>80.489999999999995</v>
      </c>
      <c r="X64">
        <v>59</v>
      </c>
      <c r="Y64">
        <v>724</v>
      </c>
      <c r="Z64">
        <v>729</v>
      </c>
      <c r="AA64">
        <v>738</v>
      </c>
    </row>
    <row r="65" spans="1:27" x14ac:dyDescent="0.25">
      <c r="A65">
        <v>60</v>
      </c>
      <c r="B65">
        <v>94.62</v>
      </c>
      <c r="C65">
        <v>87.22</v>
      </c>
      <c r="D65">
        <v>81</v>
      </c>
      <c r="X65">
        <v>60</v>
      </c>
      <c r="Y65">
        <v>724</v>
      </c>
      <c r="Z65">
        <v>729</v>
      </c>
      <c r="AA65">
        <v>738</v>
      </c>
    </row>
    <row r="66" spans="1:27" x14ac:dyDescent="0.25">
      <c r="A66">
        <v>61</v>
      </c>
      <c r="B66">
        <v>94.49</v>
      </c>
      <c r="C66">
        <v>87.17</v>
      </c>
      <c r="X66">
        <v>61</v>
      </c>
      <c r="Y66">
        <v>723</v>
      </c>
      <c r="Z66">
        <v>728</v>
      </c>
    </row>
    <row r="67" spans="1:27" x14ac:dyDescent="0.25">
      <c r="A67">
        <v>62</v>
      </c>
      <c r="B67">
        <v>94.12</v>
      </c>
      <c r="C67">
        <v>87.76</v>
      </c>
      <c r="X67">
        <v>62</v>
      </c>
      <c r="Y67">
        <v>724</v>
      </c>
      <c r="Z67">
        <v>726</v>
      </c>
    </row>
    <row r="68" spans="1:27" x14ac:dyDescent="0.25">
      <c r="A68">
        <v>63</v>
      </c>
      <c r="B68">
        <v>93.55</v>
      </c>
      <c r="C68">
        <v>87.83</v>
      </c>
      <c r="X68">
        <v>63</v>
      </c>
      <c r="Y68">
        <v>725</v>
      </c>
      <c r="Z68">
        <v>725</v>
      </c>
    </row>
    <row r="69" spans="1:27" x14ac:dyDescent="0.25">
      <c r="A69">
        <v>64</v>
      </c>
      <c r="B69">
        <v>92.68</v>
      </c>
      <c r="C69">
        <v>87.75</v>
      </c>
      <c r="X69">
        <v>64</v>
      </c>
      <c r="Y69">
        <v>724</v>
      </c>
      <c r="Z69">
        <v>724</v>
      </c>
    </row>
    <row r="70" spans="1:27" x14ac:dyDescent="0.25">
      <c r="A70">
        <v>65</v>
      </c>
      <c r="B70">
        <v>91.77</v>
      </c>
      <c r="C70">
        <v>87.83</v>
      </c>
      <c r="X70">
        <v>65</v>
      </c>
      <c r="Y70">
        <v>725</v>
      </c>
      <c r="Z70">
        <v>724</v>
      </c>
    </row>
    <row r="71" spans="1:27" x14ac:dyDescent="0.25">
      <c r="A71">
        <v>66</v>
      </c>
      <c r="B71">
        <v>91.33</v>
      </c>
      <c r="C71">
        <v>87.66</v>
      </c>
      <c r="X71">
        <v>66</v>
      </c>
      <c r="Y71">
        <v>724</v>
      </c>
      <c r="Z71">
        <v>724</v>
      </c>
    </row>
    <row r="72" spans="1:27" x14ac:dyDescent="0.25">
      <c r="A72">
        <v>67</v>
      </c>
      <c r="B72">
        <v>89.99</v>
      </c>
      <c r="C72">
        <v>87.52</v>
      </c>
      <c r="X72">
        <v>67</v>
      </c>
      <c r="Y72">
        <v>724</v>
      </c>
      <c r="Z72">
        <v>724</v>
      </c>
    </row>
    <row r="73" spans="1:27" x14ac:dyDescent="0.25">
      <c r="A73">
        <v>68</v>
      </c>
      <c r="B73">
        <v>89.1</v>
      </c>
      <c r="C73">
        <v>87.64</v>
      </c>
      <c r="X73">
        <v>68</v>
      </c>
      <c r="Y73">
        <v>724</v>
      </c>
      <c r="Z73">
        <v>723</v>
      </c>
    </row>
    <row r="74" spans="1:27" x14ac:dyDescent="0.25">
      <c r="A74">
        <v>69</v>
      </c>
      <c r="B74">
        <v>88.88</v>
      </c>
      <c r="C74">
        <v>87.55</v>
      </c>
      <c r="X74">
        <v>69</v>
      </c>
      <c r="Y74">
        <v>724</v>
      </c>
      <c r="Z74">
        <v>723</v>
      </c>
    </row>
    <row r="75" spans="1:27" x14ac:dyDescent="0.25">
      <c r="A75">
        <v>70</v>
      </c>
      <c r="C75">
        <v>87.83</v>
      </c>
      <c r="X75">
        <v>70</v>
      </c>
      <c r="Z75">
        <v>723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</vt:lpstr>
      <vt:lpstr>2009</vt:lpstr>
      <vt:lpstr>2010</vt:lpstr>
      <vt:lpstr>2011</vt:lpstr>
      <vt:lpstr>2012</vt:lpstr>
      <vt:lpstr>2013</vt:lpstr>
      <vt:lpstr>2014</vt:lpstr>
      <vt:lpstr>Sheet9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2015-12-22T21:10:09Z</dcterms:created>
  <dcterms:modified xsi:type="dcterms:W3CDTF">2016-01-06T14:14:02Z</dcterms:modified>
</cp:coreProperties>
</file>