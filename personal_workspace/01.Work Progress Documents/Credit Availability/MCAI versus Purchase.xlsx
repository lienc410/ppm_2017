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3955" windowHeight="13290"/>
  </bookViews>
  <sheets>
    <sheet name="MCAI versus Purchase" sheetId="1" r:id="rId1"/>
  </sheets>
  <calcPr calcId="145621"/>
</workbook>
</file>

<file path=xl/calcChain.xml><?xml version="1.0" encoding="utf-8"?>
<calcChain xmlns="http://schemas.openxmlformats.org/spreadsheetml/2006/main">
  <c r="AE19" i="1" l="1"/>
  <c r="G20" i="1"/>
  <c r="AE189" i="1"/>
  <c r="AB189" i="1" s="1"/>
  <c r="AE188" i="1" s="1"/>
  <c r="AB188" i="1" s="1"/>
  <c r="AE187" i="1" s="1"/>
  <c r="AB187" i="1" s="1"/>
  <c r="AE186" i="1" s="1"/>
  <c r="AB186" i="1" s="1"/>
  <c r="AE185" i="1" s="1"/>
  <c r="AB185" i="1" s="1"/>
  <c r="AE184" i="1" s="1"/>
  <c r="AB184" i="1" s="1"/>
  <c r="AE183" i="1" s="1"/>
  <c r="AB183" i="1" s="1"/>
  <c r="AE182" i="1" s="1"/>
  <c r="AB182" i="1" s="1"/>
  <c r="AE181" i="1" s="1"/>
  <c r="AB181" i="1" s="1"/>
  <c r="AE180" i="1" s="1"/>
  <c r="AB180" i="1" s="1"/>
  <c r="AE179" i="1" s="1"/>
  <c r="AB179" i="1" s="1"/>
  <c r="AE178" i="1" s="1"/>
  <c r="AB178" i="1" s="1"/>
  <c r="AE177" i="1" s="1"/>
  <c r="AB177" i="1" s="1"/>
  <c r="AE176" i="1" s="1"/>
  <c r="AB176" i="1" s="1"/>
  <c r="AE175" i="1" s="1"/>
  <c r="AB175" i="1" s="1"/>
  <c r="AE174" i="1" s="1"/>
  <c r="AB174" i="1" s="1"/>
  <c r="AE173" i="1" s="1"/>
  <c r="AB173" i="1" s="1"/>
  <c r="AE172" i="1" s="1"/>
  <c r="AB172" i="1" s="1"/>
  <c r="AE171" i="1" s="1"/>
  <c r="AB171" i="1" s="1"/>
  <c r="AE170" i="1" s="1"/>
  <c r="AB170" i="1" s="1"/>
  <c r="AE169" i="1" s="1"/>
  <c r="AB169" i="1" s="1"/>
  <c r="AE168" i="1" s="1"/>
  <c r="AB168" i="1" s="1"/>
  <c r="AE167" i="1" s="1"/>
  <c r="AB167" i="1" s="1"/>
  <c r="AE166" i="1" s="1"/>
  <c r="AB166" i="1" s="1"/>
  <c r="AE165" i="1" s="1"/>
  <c r="AB165" i="1" s="1"/>
  <c r="AE164" i="1" s="1"/>
  <c r="AB164" i="1" s="1"/>
  <c r="AE163" i="1" s="1"/>
  <c r="AB163" i="1" s="1"/>
  <c r="AE162" i="1" s="1"/>
  <c r="AB162" i="1" s="1"/>
  <c r="AE161" i="1" s="1"/>
  <c r="AB161" i="1" s="1"/>
  <c r="AE160" i="1" s="1"/>
  <c r="AB160" i="1" s="1"/>
  <c r="AE159" i="1" s="1"/>
  <c r="AB159" i="1" s="1"/>
  <c r="AE158" i="1" s="1"/>
  <c r="AB158" i="1" s="1"/>
  <c r="AE157" i="1" s="1"/>
  <c r="AB157" i="1" s="1"/>
  <c r="AE156" i="1" s="1"/>
  <c r="AB156" i="1" s="1"/>
  <c r="AE155" i="1" s="1"/>
  <c r="AB155" i="1" s="1"/>
  <c r="AE154" i="1" s="1"/>
  <c r="AB154" i="1" s="1"/>
  <c r="AE153" i="1" s="1"/>
  <c r="AB153" i="1" s="1"/>
  <c r="AE152" i="1" s="1"/>
  <c r="AB152" i="1" s="1"/>
  <c r="AE151" i="1" s="1"/>
  <c r="AB151" i="1" s="1"/>
  <c r="AE150" i="1" s="1"/>
  <c r="AB150" i="1" s="1"/>
  <c r="AE149" i="1" s="1"/>
  <c r="AB149" i="1" s="1"/>
  <c r="AE148" i="1" s="1"/>
  <c r="AB148" i="1" s="1"/>
  <c r="AE147" i="1" s="1"/>
  <c r="AB147" i="1" s="1"/>
  <c r="AE146" i="1" s="1"/>
  <c r="AB146" i="1" s="1"/>
  <c r="AE145" i="1" s="1"/>
  <c r="AB145" i="1" s="1"/>
  <c r="AE144" i="1" s="1"/>
  <c r="AB144" i="1" s="1"/>
  <c r="AE143" i="1" s="1"/>
  <c r="AB143" i="1" s="1"/>
  <c r="AE142" i="1" s="1"/>
  <c r="AB142" i="1" s="1"/>
  <c r="AE141" i="1" s="1"/>
  <c r="AB141" i="1" s="1"/>
  <c r="AE140" i="1" s="1"/>
  <c r="AB140" i="1" s="1"/>
  <c r="AE139" i="1" s="1"/>
  <c r="AB139" i="1" s="1"/>
  <c r="AE138" i="1" s="1"/>
  <c r="AB138" i="1" s="1"/>
  <c r="AE137" i="1" s="1"/>
  <c r="AB137" i="1" s="1"/>
  <c r="AE136" i="1" s="1"/>
  <c r="AB136" i="1" s="1"/>
  <c r="AE135" i="1" s="1"/>
  <c r="AB135" i="1" s="1"/>
  <c r="AE134" i="1" s="1"/>
  <c r="AB134" i="1" s="1"/>
  <c r="AE133" i="1" s="1"/>
  <c r="AB133" i="1" s="1"/>
  <c r="AE132" i="1" s="1"/>
  <c r="AB132" i="1" s="1"/>
  <c r="AE131" i="1" s="1"/>
  <c r="AB131" i="1" s="1"/>
  <c r="AE130" i="1" s="1"/>
  <c r="AB130" i="1" s="1"/>
  <c r="AE129" i="1" s="1"/>
  <c r="AB129" i="1" s="1"/>
  <c r="AE128" i="1" s="1"/>
  <c r="AB128" i="1" s="1"/>
  <c r="AE127" i="1" s="1"/>
  <c r="AB127" i="1" s="1"/>
  <c r="AE126" i="1" s="1"/>
  <c r="AB126" i="1" s="1"/>
  <c r="AE125" i="1" s="1"/>
  <c r="AB125" i="1" s="1"/>
  <c r="AE124" i="1" s="1"/>
  <c r="AB124" i="1" s="1"/>
  <c r="AE123" i="1" s="1"/>
  <c r="AB123" i="1" s="1"/>
  <c r="AE122" i="1" s="1"/>
  <c r="AB122" i="1" s="1"/>
  <c r="AE121" i="1" s="1"/>
  <c r="AB121" i="1" s="1"/>
  <c r="AE120" i="1" s="1"/>
  <c r="AB120" i="1" s="1"/>
  <c r="AE119" i="1" s="1"/>
  <c r="AB119" i="1" s="1"/>
  <c r="AE118" i="1" s="1"/>
  <c r="AB118" i="1" s="1"/>
  <c r="AE117" i="1" s="1"/>
  <c r="AB117" i="1" s="1"/>
  <c r="AE116" i="1" s="1"/>
  <c r="AB116" i="1" s="1"/>
  <c r="AE115" i="1" s="1"/>
  <c r="AB115" i="1" s="1"/>
  <c r="AE114" i="1" s="1"/>
  <c r="AB114" i="1" s="1"/>
  <c r="AE113" i="1" s="1"/>
  <c r="AB113" i="1" s="1"/>
  <c r="AE112" i="1" s="1"/>
  <c r="AB112" i="1" s="1"/>
  <c r="AE111" i="1" s="1"/>
  <c r="AB111" i="1" s="1"/>
  <c r="AE110" i="1" s="1"/>
  <c r="AB110" i="1" s="1"/>
  <c r="AE109" i="1" s="1"/>
  <c r="AB109" i="1" s="1"/>
  <c r="AE108" i="1" s="1"/>
  <c r="AB108" i="1" s="1"/>
  <c r="AE107" i="1" s="1"/>
  <c r="AB107" i="1" s="1"/>
  <c r="AE106" i="1" s="1"/>
  <c r="AB106" i="1" s="1"/>
  <c r="AE105" i="1" s="1"/>
  <c r="AB105" i="1" s="1"/>
  <c r="AE104" i="1" s="1"/>
  <c r="AB104" i="1" s="1"/>
  <c r="AE103" i="1" s="1"/>
  <c r="AB103" i="1" s="1"/>
  <c r="AE102" i="1" s="1"/>
  <c r="AB102" i="1" s="1"/>
  <c r="AE101" i="1" s="1"/>
  <c r="AB101" i="1" s="1"/>
  <c r="AE100" i="1" s="1"/>
  <c r="AB100" i="1" s="1"/>
  <c r="AE99" i="1" s="1"/>
  <c r="AB99" i="1" s="1"/>
  <c r="AE98" i="1" s="1"/>
  <c r="AB98" i="1" s="1"/>
  <c r="AE97" i="1" s="1"/>
  <c r="AB97" i="1" s="1"/>
  <c r="AE96" i="1" s="1"/>
  <c r="AB96" i="1" s="1"/>
  <c r="AE95" i="1" s="1"/>
  <c r="AB95" i="1" s="1"/>
  <c r="AE94" i="1" s="1"/>
  <c r="AB94" i="1" s="1"/>
  <c r="AE93" i="1" s="1"/>
  <c r="AB93" i="1" s="1"/>
  <c r="AE92" i="1" s="1"/>
  <c r="AB92" i="1" s="1"/>
  <c r="AE91" i="1" s="1"/>
  <c r="AB91" i="1" s="1"/>
  <c r="AE90" i="1" s="1"/>
  <c r="AB90" i="1" s="1"/>
  <c r="AE89" i="1" s="1"/>
  <c r="AB89" i="1" s="1"/>
  <c r="AE88" i="1" s="1"/>
  <c r="AB88" i="1" s="1"/>
  <c r="AE87" i="1" s="1"/>
  <c r="AB87" i="1" s="1"/>
  <c r="AE86" i="1" s="1"/>
  <c r="AB86" i="1" s="1"/>
  <c r="AE85" i="1" s="1"/>
  <c r="AB85" i="1" s="1"/>
  <c r="AE84" i="1" s="1"/>
  <c r="AB84" i="1" s="1"/>
  <c r="AE83" i="1" s="1"/>
  <c r="AB83" i="1" s="1"/>
  <c r="AE82" i="1" s="1"/>
  <c r="AB82" i="1" s="1"/>
  <c r="AE81" i="1" s="1"/>
  <c r="AB81" i="1" s="1"/>
  <c r="AE80" i="1" s="1"/>
  <c r="AB80" i="1" s="1"/>
  <c r="AE79" i="1" s="1"/>
  <c r="AB79" i="1" s="1"/>
  <c r="AE78" i="1" s="1"/>
  <c r="AB78" i="1" s="1"/>
  <c r="AE77" i="1" s="1"/>
  <c r="AB77" i="1" s="1"/>
  <c r="AE76" i="1" s="1"/>
  <c r="AB76" i="1" s="1"/>
  <c r="AE75" i="1" s="1"/>
  <c r="AB75" i="1" s="1"/>
  <c r="AE74" i="1" s="1"/>
  <c r="AB74" i="1" s="1"/>
  <c r="AE73" i="1" s="1"/>
  <c r="AB73" i="1" s="1"/>
  <c r="AE72" i="1" s="1"/>
  <c r="AB72" i="1" s="1"/>
  <c r="AE71" i="1" s="1"/>
  <c r="AB71" i="1" s="1"/>
  <c r="AE70" i="1" s="1"/>
  <c r="AB70" i="1" s="1"/>
  <c r="AE69" i="1" s="1"/>
  <c r="AB69" i="1" s="1"/>
  <c r="AE68" i="1" s="1"/>
  <c r="AB68" i="1" s="1"/>
  <c r="AE67" i="1" s="1"/>
  <c r="AB67" i="1" s="1"/>
  <c r="AE66" i="1" s="1"/>
  <c r="AB66" i="1" s="1"/>
  <c r="AE65" i="1" s="1"/>
  <c r="AB65" i="1" s="1"/>
  <c r="AE64" i="1" s="1"/>
  <c r="AB64" i="1" s="1"/>
  <c r="AE63" i="1" s="1"/>
  <c r="AB63" i="1" s="1"/>
  <c r="AE62" i="1" s="1"/>
  <c r="AB62" i="1" s="1"/>
  <c r="AE61" i="1" s="1"/>
  <c r="AB61" i="1" s="1"/>
  <c r="AE60" i="1" s="1"/>
  <c r="AB60" i="1" s="1"/>
  <c r="AE59" i="1" s="1"/>
  <c r="AB59" i="1" s="1"/>
  <c r="AE58" i="1" s="1"/>
  <c r="AB58" i="1" s="1"/>
  <c r="AE57" i="1" s="1"/>
  <c r="AB57" i="1" s="1"/>
  <c r="AE56" i="1" s="1"/>
  <c r="AB56" i="1" s="1"/>
  <c r="AE55" i="1" s="1"/>
  <c r="AB55" i="1" s="1"/>
  <c r="AE54" i="1" s="1"/>
  <c r="AB54" i="1" s="1"/>
  <c r="AE53" i="1" s="1"/>
  <c r="AB53" i="1" s="1"/>
  <c r="AE52" i="1" s="1"/>
  <c r="AB52" i="1" s="1"/>
  <c r="AE51" i="1" s="1"/>
  <c r="AB51" i="1" s="1"/>
  <c r="AE50" i="1" s="1"/>
  <c r="AB50" i="1" s="1"/>
  <c r="AE49" i="1" s="1"/>
  <c r="AB49" i="1" s="1"/>
  <c r="AE48" i="1" s="1"/>
  <c r="AB48" i="1" s="1"/>
  <c r="AE47" i="1" s="1"/>
  <c r="AB47" i="1" s="1"/>
  <c r="AE46" i="1" s="1"/>
  <c r="AB46" i="1" s="1"/>
  <c r="AE45" i="1" s="1"/>
  <c r="AB45" i="1" s="1"/>
  <c r="AE44" i="1" s="1"/>
  <c r="AB44" i="1" s="1"/>
  <c r="AE43" i="1" s="1"/>
  <c r="AB43" i="1" s="1"/>
  <c r="AE42" i="1" s="1"/>
  <c r="AB42" i="1" s="1"/>
  <c r="AE41" i="1" s="1"/>
  <c r="AB41" i="1" s="1"/>
  <c r="AE40" i="1" s="1"/>
  <c r="AB40" i="1" s="1"/>
  <c r="AE39" i="1" s="1"/>
  <c r="AB39" i="1" s="1"/>
  <c r="AE38" i="1" s="1"/>
  <c r="AB38" i="1" s="1"/>
  <c r="AE37" i="1" s="1"/>
  <c r="AB37" i="1" s="1"/>
  <c r="AE36" i="1" s="1"/>
  <c r="AB36" i="1" s="1"/>
  <c r="AE35" i="1" s="1"/>
  <c r="AB35" i="1" s="1"/>
  <c r="AE34" i="1" s="1"/>
  <c r="AB34" i="1" s="1"/>
  <c r="AE33" i="1" s="1"/>
  <c r="AB33" i="1" s="1"/>
  <c r="AE32" i="1" s="1"/>
  <c r="AB32" i="1" s="1"/>
  <c r="AE31" i="1" s="1"/>
  <c r="AB31" i="1" s="1"/>
  <c r="AE30" i="1" s="1"/>
  <c r="AB30" i="1" s="1"/>
  <c r="AE29" i="1" s="1"/>
  <c r="AB29" i="1" s="1"/>
  <c r="AE28" i="1" s="1"/>
  <c r="AB28" i="1" s="1"/>
  <c r="AE27" i="1" s="1"/>
  <c r="AB27" i="1" s="1"/>
  <c r="AE26" i="1" s="1"/>
  <c r="AB26" i="1" s="1"/>
  <c r="AE25" i="1" s="1"/>
  <c r="AB25" i="1" s="1"/>
  <c r="AE24" i="1" s="1"/>
  <c r="AB24" i="1" s="1"/>
  <c r="AE23" i="1" s="1"/>
  <c r="AB23" i="1" s="1"/>
  <c r="AE22" i="1" s="1"/>
  <c r="AB22" i="1" s="1"/>
  <c r="AE21" i="1" s="1"/>
  <c r="AB21" i="1" s="1"/>
  <c r="AE20" i="1" s="1"/>
  <c r="AB20" i="1" s="1"/>
  <c r="AE190" i="1"/>
  <c r="AB19" i="1"/>
  <c r="AB190" i="1"/>
  <c r="AB191" i="1"/>
  <c r="AE191" i="1"/>
  <c r="H191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20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19" i="1"/>
  <c r="D191" i="1"/>
  <c r="D20" i="1"/>
  <c r="G270" i="1" l="1"/>
  <c r="G266" i="1"/>
  <c r="F263" i="1"/>
  <c r="G246" i="1"/>
  <c r="G242" i="1"/>
  <c r="G238" i="1"/>
  <c r="F219" i="1"/>
  <c r="G218" i="1"/>
  <c r="G214" i="1"/>
  <c r="G199" i="1"/>
  <c r="F199" i="1"/>
  <c r="G198" i="1"/>
  <c r="G194" i="1"/>
  <c r="F190" i="1"/>
  <c r="F149" i="1"/>
  <c r="F148" i="1"/>
  <c r="F133" i="1"/>
  <c r="F132" i="1"/>
  <c r="F85" i="1"/>
  <c r="F36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E319" i="1"/>
  <c r="G319" i="1" s="1"/>
  <c r="D319" i="1"/>
  <c r="F319" i="1" s="1"/>
  <c r="E318" i="1"/>
  <c r="D318" i="1"/>
  <c r="E317" i="1"/>
  <c r="D317" i="1"/>
  <c r="E316" i="1"/>
  <c r="G316" i="1" s="1"/>
  <c r="D316" i="1"/>
  <c r="F316" i="1" s="1"/>
  <c r="E315" i="1"/>
  <c r="G315" i="1" s="1"/>
  <c r="D315" i="1"/>
  <c r="E314" i="1"/>
  <c r="D314" i="1"/>
  <c r="F315" i="1" s="1"/>
  <c r="E313" i="1"/>
  <c r="D313" i="1"/>
  <c r="E312" i="1"/>
  <c r="G312" i="1" s="1"/>
  <c r="D312" i="1"/>
  <c r="F312" i="1" s="1"/>
  <c r="E311" i="1"/>
  <c r="G311" i="1" s="1"/>
  <c r="D311" i="1"/>
  <c r="E310" i="1"/>
  <c r="D310" i="1"/>
  <c r="F311" i="1" s="1"/>
  <c r="E309" i="1"/>
  <c r="D309" i="1"/>
  <c r="E308" i="1"/>
  <c r="G308" i="1" s="1"/>
  <c r="D308" i="1"/>
  <c r="F308" i="1" s="1"/>
  <c r="E307" i="1"/>
  <c r="G307" i="1" s="1"/>
  <c r="D307" i="1"/>
  <c r="E306" i="1"/>
  <c r="D306" i="1"/>
  <c r="F307" i="1" s="1"/>
  <c r="E305" i="1"/>
  <c r="D305" i="1"/>
  <c r="E304" i="1"/>
  <c r="G304" i="1" s="1"/>
  <c r="D304" i="1"/>
  <c r="F304" i="1" s="1"/>
  <c r="E303" i="1"/>
  <c r="G303" i="1" s="1"/>
  <c r="D303" i="1"/>
  <c r="F303" i="1" s="1"/>
  <c r="E302" i="1"/>
  <c r="D302" i="1"/>
  <c r="E301" i="1"/>
  <c r="D301" i="1"/>
  <c r="E300" i="1"/>
  <c r="G300" i="1" s="1"/>
  <c r="D300" i="1"/>
  <c r="F300" i="1" s="1"/>
  <c r="E299" i="1"/>
  <c r="G299" i="1" s="1"/>
  <c r="D299" i="1"/>
  <c r="E298" i="1"/>
  <c r="D298" i="1"/>
  <c r="F299" i="1" s="1"/>
  <c r="E297" i="1"/>
  <c r="D297" i="1"/>
  <c r="E296" i="1"/>
  <c r="G296" i="1" s="1"/>
  <c r="D296" i="1"/>
  <c r="F296" i="1" s="1"/>
  <c r="E295" i="1"/>
  <c r="G295" i="1" s="1"/>
  <c r="D295" i="1"/>
  <c r="E294" i="1"/>
  <c r="D294" i="1"/>
  <c r="E293" i="1"/>
  <c r="D293" i="1"/>
  <c r="E292" i="1"/>
  <c r="G292" i="1" s="1"/>
  <c r="D292" i="1"/>
  <c r="F292" i="1" s="1"/>
  <c r="E291" i="1"/>
  <c r="G291" i="1" s="1"/>
  <c r="D291" i="1"/>
  <c r="E290" i="1"/>
  <c r="D290" i="1"/>
  <c r="F291" i="1" s="1"/>
  <c r="E289" i="1"/>
  <c r="D289" i="1"/>
  <c r="E288" i="1"/>
  <c r="G288" i="1" s="1"/>
  <c r="D288" i="1"/>
  <c r="F288" i="1" s="1"/>
  <c r="E287" i="1"/>
  <c r="G287" i="1" s="1"/>
  <c r="D287" i="1"/>
  <c r="E286" i="1"/>
  <c r="D286" i="1"/>
  <c r="F287" i="1" s="1"/>
  <c r="E285" i="1"/>
  <c r="D285" i="1"/>
  <c r="E284" i="1"/>
  <c r="G284" i="1" s="1"/>
  <c r="D284" i="1"/>
  <c r="F284" i="1" s="1"/>
  <c r="E283" i="1"/>
  <c r="G283" i="1" s="1"/>
  <c r="D283" i="1"/>
  <c r="E282" i="1"/>
  <c r="D282" i="1"/>
  <c r="F283" i="1" s="1"/>
  <c r="E281" i="1"/>
  <c r="D281" i="1"/>
  <c r="E280" i="1"/>
  <c r="G280" i="1" s="1"/>
  <c r="D280" i="1"/>
  <c r="F280" i="1" s="1"/>
  <c r="E279" i="1"/>
  <c r="G279" i="1" s="1"/>
  <c r="D279" i="1"/>
  <c r="E278" i="1"/>
  <c r="D278" i="1"/>
  <c r="F279" i="1" s="1"/>
  <c r="E277" i="1"/>
  <c r="D277" i="1"/>
  <c r="E276" i="1"/>
  <c r="G276" i="1" s="1"/>
  <c r="D276" i="1"/>
  <c r="F276" i="1" s="1"/>
  <c r="E275" i="1"/>
  <c r="G275" i="1" s="1"/>
  <c r="D275" i="1"/>
  <c r="E274" i="1"/>
  <c r="D274" i="1"/>
  <c r="F275" i="1" s="1"/>
  <c r="E273" i="1"/>
  <c r="D273" i="1"/>
  <c r="E272" i="1"/>
  <c r="G272" i="1" s="1"/>
  <c r="D272" i="1"/>
  <c r="F272" i="1" s="1"/>
  <c r="E271" i="1"/>
  <c r="G271" i="1" s="1"/>
  <c r="D271" i="1"/>
  <c r="E270" i="1"/>
  <c r="D270" i="1"/>
  <c r="F271" i="1" s="1"/>
  <c r="E269" i="1"/>
  <c r="D269" i="1"/>
  <c r="E268" i="1"/>
  <c r="G268" i="1" s="1"/>
  <c r="D268" i="1"/>
  <c r="F268" i="1" s="1"/>
  <c r="E267" i="1"/>
  <c r="G267" i="1" s="1"/>
  <c r="D267" i="1"/>
  <c r="E266" i="1"/>
  <c r="D266" i="1"/>
  <c r="F267" i="1" s="1"/>
  <c r="E265" i="1"/>
  <c r="D265" i="1"/>
  <c r="E264" i="1"/>
  <c r="G264" i="1" s="1"/>
  <c r="D264" i="1"/>
  <c r="F264" i="1" s="1"/>
  <c r="E263" i="1"/>
  <c r="G263" i="1" s="1"/>
  <c r="D263" i="1"/>
  <c r="E262" i="1"/>
  <c r="G262" i="1" s="1"/>
  <c r="D262" i="1"/>
  <c r="E261" i="1"/>
  <c r="D261" i="1"/>
  <c r="E260" i="1"/>
  <c r="G260" i="1" s="1"/>
  <c r="D260" i="1"/>
  <c r="F260" i="1" s="1"/>
  <c r="E259" i="1"/>
  <c r="G259" i="1" s="1"/>
  <c r="D259" i="1"/>
  <c r="E258" i="1"/>
  <c r="G258" i="1" s="1"/>
  <c r="D258" i="1"/>
  <c r="F259" i="1" s="1"/>
  <c r="E257" i="1"/>
  <c r="D257" i="1"/>
  <c r="E256" i="1"/>
  <c r="G256" i="1" s="1"/>
  <c r="D256" i="1"/>
  <c r="F256" i="1" s="1"/>
  <c r="E255" i="1"/>
  <c r="G255" i="1" s="1"/>
  <c r="D255" i="1"/>
  <c r="E254" i="1"/>
  <c r="G254" i="1" s="1"/>
  <c r="D254" i="1"/>
  <c r="F255" i="1" s="1"/>
  <c r="E253" i="1"/>
  <c r="D253" i="1"/>
  <c r="E252" i="1"/>
  <c r="G252" i="1" s="1"/>
  <c r="D252" i="1"/>
  <c r="F252" i="1" s="1"/>
  <c r="E251" i="1"/>
  <c r="G251" i="1" s="1"/>
  <c r="D251" i="1"/>
  <c r="E250" i="1"/>
  <c r="D250" i="1"/>
  <c r="E249" i="1"/>
  <c r="G250" i="1" s="1"/>
  <c r="D249" i="1"/>
  <c r="E248" i="1"/>
  <c r="G248" i="1" s="1"/>
  <c r="D248" i="1"/>
  <c r="F248" i="1" s="1"/>
  <c r="E247" i="1"/>
  <c r="G247" i="1" s="1"/>
  <c r="D247" i="1"/>
  <c r="E246" i="1"/>
  <c r="D246" i="1"/>
  <c r="F247" i="1" s="1"/>
  <c r="E245" i="1"/>
  <c r="D245" i="1"/>
  <c r="E244" i="1"/>
  <c r="G244" i="1" s="1"/>
  <c r="D244" i="1"/>
  <c r="F244" i="1" s="1"/>
  <c r="E243" i="1"/>
  <c r="G243" i="1" s="1"/>
  <c r="D243" i="1"/>
  <c r="E242" i="1"/>
  <c r="D242" i="1"/>
  <c r="F243" i="1" s="1"/>
  <c r="E241" i="1"/>
  <c r="D241" i="1"/>
  <c r="E240" i="1"/>
  <c r="G240" i="1" s="1"/>
  <c r="D240" i="1"/>
  <c r="F240" i="1" s="1"/>
  <c r="E239" i="1"/>
  <c r="G239" i="1" s="1"/>
  <c r="D239" i="1"/>
  <c r="E238" i="1"/>
  <c r="D238" i="1"/>
  <c r="F239" i="1" s="1"/>
  <c r="E237" i="1"/>
  <c r="D237" i="1"/>
  <c r="E236" i="1"/>
  <c r="G236" i="1" s="1"/>
  <c r="D236" i="1"/>
  <c r="F236" i="1" s="1"/>
  <c r="E235" i="1"/>
  <c r="G235" i="1" s="1"/>
  <c r="D235" i="1"/>
  <c r="E234" i="1"/>
  <c r="G234" i="1" s="1"/>
  <c r="D234" i="1"/>
  <c r="F235" i="1" s="1"/>
  <c r="E233" i="1"/>
  <c r="D233" i="1"/>
  <c r="E232" i="1"/>
  <c r="G232" i="1" s="1"/>
  <c r="D232" i="1"/>
  <c r="F232" i="1" s="1"/>
  <c r="E231" i="1"/>
  <c r="G231" i="1" s="1"/>
  <c r="D231" i="1"/>
  <c r="F231" i="1" s="1"/>
  <c r="E230" i="1"/>
  <c r="G230" i="1" s="1"/>
  <c r="D230" i="1"/>
  <c r="E229" i="1"/>
  <c r="D229" i="1"/>
  <c r="E228" i="1"/>
  <c r="G228" i="1" s="1"/>
  <c r="D228" i="1"/>
  <c r="F228" i="1" s="1"/>
  <c r="E227" i="1"/>
  <c r="G227" i="1" s="1"/>
  <c r="D227" i="1"/>
  <c r="E226" i="1"/>
  <c r="D226" i="1"/>
  <c r="F227" i="1" s="1"/>
  <c r="E225" i="1"/>
  <c r="G226" i="1" s="1"/>
  <c r="D225" i="1"/>
  <c r="E224" i="1"/>
  <c r="G224" i="1" s="1"/>
  <c r="D224" i="1"/>
  <c r="F224" i="1" s="1"/>
  <c r="E223" i="1"/>
  <c r="G223" i="1" s="1"/>
  <c r="D223" i="1"/>
  <c r="E222" i="1"/>
  <c r="D222" i="1"/>
  <c r="F223" i="1" s="1"/>
  <c r="E221" i="1"/>
  <c r="D221" i="1"/>
  <c r="E220" i="1"/>
  <c r="G220" i="1" s="1"/>
  <c r="D220" i="1"/>
  <c r="F220" i="1" s="1"/>
  <c r="E219" i="1"/>
  <c r="G219" i="1" s="1"/>
  <c r="D219" i="1"/>
  <c r="E218" i="1"/>
  <c r="D218" i="1"/>
  <c r="E217" i="1"/>
  <c r="D217" i="1"/>
  <c r="E216" i="1"/>
  <c r="G216" i="1" s="1"/>
  <c r="D216" i="1"/>
  <c r="F216" i="1" s="1"/>
  <c r="E215" i="1"/>
  <c r="G215" i="1" s="1"/>
  <c r="D215" i="1"/>
  <c r="E214" i="1"/>
  <c r="D214" i="1"/>
  <c r="F215" i="1" s="1"/>
  <c r="E213" i="1"/>
  <c r="D213" i="1"/>
  <c r="E212" i="1"/>
  <c r="G212" i="1" s="1"/>
  <c r="D212" i="1"/>
  <c r="F212" i="1" s="1"/>
  <c r="E211" i="1"/>
  <c r="G211" i="1" s="1"/>
  <c r="D211" i="1"/>
  <c r="E210" i="1"/>
  <c r="G210" i="1" s="1"/>
  <c r="D210" i="1"/>
  <c r="F211" i="1" s="1"/>
  <c r="E209" i="1"/>
  <c r="D209" i="1"/>
  <c r="E208" i="1"/>
  <c r="G208" i="1" s="1"/>
  <c r="D208" i="1"/>
  <c r="F208" i="1" s="1"/>
  <c r="E207" i="1"/>
  <c r="G207" i="1" s="1"/>
  <c r="D207" i="1"/>
  <c r="E206" i="1"/>
  <c r="G206" i="1" s="1"/>
  <c r="D206" i="1"/>
  <c r="F207" i="1" s="1"/>
  <c r="E205" i="1"/>
  <c r="D205" i="1"/>
  <c r="E204" i="1"/>
  <c r="G204" i="1" s="1"/>
  <c r="D204" i="1"/>
  <c r="F204" i="1" s="1"/>
  <c r="E203" i="1"/>
  <c r="G203" i="1" s="1"/>
  <c r="D203" i="1"/>
  <c r="E202" i="1"/>
  <c r="G202" i="1" s="1"/>
  <c r="D202" i="1"/>
  <c r="F203" i="1" s="1"/>
  <c r="E201" i="1"/>
  <c r="D201" i="1"/>
  <c r="E200" i="1"/>
  <c r="G200" i="1" s="1"/>
  <c r="D200" i="1"/>
  <c r="F200" i="1" s="1"/>
  <c r="E199" i="1"/>
  <c r="D199" i="1"/>
  <c r="E198" i="1"/>
  <c r="D198" i="1"/>
  <c r="E197" i="1"/>
  <c r="D197" i="1"/>
  <c r="E196" i="1"/>
  <c r="G196" i="1" s="1"/>
  <c r="D196" i="1"/>
  <c r="F196" i="1" s="1"/>
  <c r="E195" i="1"/>
  <c r="G195" i="1" s="1"/>
  <c r="D195" i="1"/>
  <c r="E194" i="1"/>
  <c r="D194" i="1"/>
  <c r="E193" i="1"/>
  <c r="D193" i="1"/>
  <c r="E192" i="1"/>
  <c r="D192" i="1"/>
  <c r="F192" i="1" s="1"/>
  <c r="D190" i="1"/>
  <c r="F191" i="1" s="1"/>
  <c r="D189" i="1"/>
  <c r="D188" i="1"/>
  <c r="D187" i="1"/>
  <c r="D186" i="1"/>
  <c r="D185" i="1"/>
  <c r="D184" i="1"/>
  <c r="D183" i="1"/>
  <c r="F183" i="1" s="1"/>
  <c r="D182" i="1"/>
  <c r="F182" i="1" s="1"/>
  <c r="D181" i="1"/>
  <c r="F181" i="1" s="1"/>
  <c r="D180" i="1"/>
  <c r="F180" i="1" s="1"/>
  <c r="D179" i="1"/>
  <c r="D178" i="1"/>
  <c r="F179" i="1" s="1"/>
  <c r="D177" i="1"/>
  <c r="D176" i="1"/>
  <c r="D175" i="1"/>
  <c r="F175" i="1" s="1"/>
  <c r="D174" i="1"/>
  <c r="F174" i="1" s="1"/>
  <c r="D173" i="1"/>
  <c r="D172" i="1"/>
  <c r="F173" i="1" s="1"/>
  <c r="D171" i="1"/>
  <c r="D170" i="1"/>
  <c r="D169" i="1"/>
  <c r="D168" i="1"/>
  <c r="D167" i="1"/>
  <c r="F167" i="1" s="1"/>
  <c r="D166" i="1"/>
  <c r="F166" i="1" s="1"/>
  <c r="D165" i="1"/>
  <c r="F165" i="1" s="1"/>
  <c r="D164" i="1"/>
  <c r="D163" i="1"/>
  <c r="F164" i="1" s="1"/>
  <c r="D162" i="1"/>
  <c r="F163" i="1" s="1"/>
  <c r="D161" i="1"/>
  <c r="D160" i="1"/>
  <c r="D159" i="1"/>
  <c r="F159" i="1" s="1"/>
  <c r="D158" i="1"/>
  <c r="F158" i="1" s="1"/>
  <c r="D157" i="1"/>
  <c r="D156" i="1"/>
  <c r="F157" i="1" s="1"/>
  <c r="D155" i="1"/>
  <c r="D154" i="1"/>
  <c r="F155" i="1" s="1"/>
  <c r="D153" i="1"/>
  <c r="D152" i="1"/>
  <c r="D151" i="1"/>
  <c r="F151" i="1" s="1"/>
  <c r="D150" i="1"/>
  <c r="F150" i="1" s="1"/>
  <c r="D149" i="1"/>
  <c r="D148" i="1"/>
  <c r="D147" i="1"/>
  <c r="D146" i="1"/>
  <c r="F147" i="1" s="1"/>
  <c r="D145" i="1"/>
  <c r="D144" i="1"/>
  <c r="D143" i="1"/>
  <c r="F143" i="1" s="1"/>
  <c r="D142" i="1"/>
  <c r="F142" i="1" s="1"/>
  <c r="D141" i="1"/>
  <c r="D140" i="1"/>
  <c r="F141" i="1" s="1"/>
  <c r="D139" i="1"/>
  <c r="D138" i="1"/>
  <c r="F139" i="1" s="1"/>
  <c r="D137" i="1"/>
  <c r="D136" i="1"/>
  <c r="D135" i="1"/>
  <c r="F135" i="1" s="1"/>
  <c r="D134" i="1"/>
  <c r="F134" i="1" s="1"/>
  <c r="D133" i="1"/>
  <c r="D132" i="1"/>
  <c r="D131" i="1"/>
  <c r="D130" i="1"/>
  <c r="F131" i="1" s="1"/>
  <c r="D129" i="1"/>
  <c r="D128" i="1"/>
  <c r="D127" i="1"/>
  <c r="F127" i="1" s="1"/>
  <c r="D126" i="1"/>
  <c r="F126" i="1" s="1"/>
  <c r="D125" i="1"/>
  <c r="D124" i="1"/>
  <c r="F125" i="1" s="1"/>
  <c r="D123" i="1"/>
  <c r="D122" i="1"/>
  <c r="F123" i="1" s="1"/>
  <c r="D121" i="1"/>
  <c r="D120" i="1"/>
  <c r="D119" i="1"/>
  <c r="F119" i="1" s="1"/>
  <c r="D118" i="1"/>
  <c r="F118" i="1" s="1"/>
  <c r="D117" i="1"/>
  <c r="F117" i="1" s="1"/>
  <c r="D116" i="1"/>
  <c r="F116" i="1" s="1"/>
  <c r="D115" i="1"/>
  <c r="D114" i="1"/>
  <c r="F115" i="1" s="1"/>
  <c r="D113" i="1"/>
  <c r="D112" i="1"/>
  <c r="D111" i="1"/>
  <c r="F111" i="1" s="1"/>
  <c r="D110" i="1"/>
  <c r="F110" i="1" s="1"/>
  <c r="D109" i="1"/>
  <c r="D108" i="1"/>
  <c r="F109" i="1" s="1"/>
  <c r="D107" i="1"/>
  <c r="D106" i="1"/>
  <c r="F107" i="1" s="1"/>
  <c r="D105" i="1"/>
  <c r="D104" i="1"/>
  <c r="D103" i="1"/>
  <c r="F103" i="1" s="1"/>
  <c r="D102" i="1"/>
  <c r="F102" i="1" s="1"/>
  <c r="D101" i="1"/>
  <c r="F101" i="1" s="1"/>
  <c r="D100" i="1"/>
  <c r="D99" i="1"/>
  <c r="F100" i="1" s="1"/>
  <c r="D98" i="1"/>
  <c r="F99" i="1" s="1"/>
  <c r="D97" i="1"/>
  <c r="D96" i="1"/>
  <c r="D95" i="1"/>
  <c r="F95" i="1" s="1"/>
  <c r="D94" i="1"/>
  <c r="F94" i="1" s="1"/>
  <c r="D93" i="1"/>
  <c r="D92" i="1"/>
  <c r="F93" i="1" s="1"/>
  <c r="D91" i="1"/>
  <c r="D90" i="1"/>
  <c r="F91" i="1" s="1"/>
  <c r="D89" i="1"/>
  <c r="D88" i="1"/>
  <c r="D87" i="1"/>
  <c r="F87" i="1" s="1"/>
  <c r="D86" i="1"/>
  <c r="F86" i="1" s="1"/>
  <c r="D85" i="1"/>
  <c r="D84" i="1"/>
  <c r="D83" i="1"/>
  <c r="D82" i="1"/>
  <c r="F83" i="1" s="1"/>
  <c r="D81" i="1"/>
  <c r="D80" i="1"/>
  <c r="D79" i="1"/>
  <c r="F79" i="1" s="1"/>
  <c r="D78" i="1"/>
  <c r="F78" i="1" s="1"/>
  <c r="D77" i="1"/>
  <c r="D76" i="1"/>
  <c r="F77" i="1" s="1"/>
  <c r="D75" i="1"/>
  <c r="D74" i="1"/>
  <c r="D73" i="1"/>
  <c r="D72" i="1"/>
  <c r="D71" i="1"/>
  <c r="F71" i="1" s="1"/>
  <c r="D70" i="1"/>
  <c r="F70" i="1" s="1"/>
  <c r="D69" i="1"/>
  <c r="D68" i="1"/>
  <c r="F69" i="1" s="1"/>
  <c r="D67" i="1"/>
  <c r="D66" i="1"/>
  <c r="F67" i="1" s="1"/>
  <c r="D65" i="1"/>
  <c r="D64" i="1"/>
  <c r="D63" i="1"/>
  <c r="F63" i="1" s="1"/>
  <c r="D62" i="1"/>
  <c r="F62" i="1" s="1"/>
  <c r="D61" i="1"/>
  <c r="F61" i="1" s="1"/>
  <c r="D60" i="1"/>
  <c r="F60" i="1" s="1"/>
  <c r="D59" i="1"/>
  <c r="D58" i="1"/>
  <c r="F59" i="1" s="1"/>
  <c r="D57" i="1"/>
  <c r="D56" i="1"/>
  <c r="D55" i="1"/>
  <c r="F55" i="1" s="1"/>
  <c r="D54" i="1"/>
  <c r="F54" i="1" s="1"/>
  <c r="D53" i="1"/>
  <c r="D52" i="1"/>
  <c r="D51" i="1"/>
  <c r="D50" i="1"/>
  <c r="F51" i="1" s="1"/>
  <c r="D49" i="1"/>
  <c r="D48" i="1"/>
  <c r="D47" i="1"/>
  <c r="F47" i="1" s="1"/>
  <c r="D46" i="1"/>
  <c r="F46" i="1" s="1"/>
  <c r="D45" i="1"/>
  <c r="D44" i="1"/>
  <c r="F45" i="1" s="1"/>
  <c r="D43" i="1"/>
  <c r="D42" i="1"/>
  <c r="F43" i="1" s="1"/>
  <c r="D41" i="1"/>
  <c r="D40" i="1"/>
  <c r="D39" i="1"/>
  <c r="F39" i="1" s="1"/>
  <c r="D38" i="1"/>
  <c r="F38" i="1" s="1"/>
  <c r="D37" i="1"/>
  <c r="D36" i="1"/>
  <c r="F37" i="1" s="1"/>
  <c r="D35" i="1"/>
  <c r="D34" i="1"/>
  <c r="D33" i="1"/>
  <c r="D32" i="1"/>
  <c r="D31" i="1"/>
  <c r="F31" i="1" s="1"/>
  <c r="D30" i="1"/>
  <c r="F30" i="1" s="1"/>
  <c r="D29" i="1"/>
  <c r="D28" i="1"/>
  <c r="F29" i="1" s="1"/>
  <c r="D27" i="1"/>
  <c r="D26" i="1"/>
  <c r="F27" i="1" s="1"/>
  <c r="D25" i="1"/>
  <c r="D24" i="1"/>
  <c r="D23" i="1"/>
  <c r="F23" i="1" s="1"/>
  <c r="D22" i="1"/>
  <c r="F22" i="1" s="1"/>
  <c r="D21" i="1"/>
  <c r="D19" i="1"/>
  <c r="F20" i="1" s="1"/>
  <c r="F40" i="1" l="1"/>
  <c r="F72" i="1"/>
  <c r="F96" i="1"/>
  <c r="F120" i="1"/>
  <c r="F144" i="1"/>
  <c r="F168" i="1"/>
  <c r="F184" i="1"/>
  <c r="F33" i="1"/>
  <c r="F65" i="1"/>
  <c r="F89" i="1"/>
  <c r="F113" i="1"/>
  <c r="F137" i="1"/>
  <c r="F161" i="1"/>
  <c r="F185" i="1"/>
  <c r="F197" i="1"/>
  <c r="F209" i="1"/>
  <c r="F221" i="1"/>
  <c r="F233" i="1"/>
  <c r="F245" i="1"/>
  <c r="F261" i="1"/>
  <c r="F273" i="1"/>
  <c r="F289" i="1"/>
  <c r="F301" i="1"/>
  <c r="F309" i="1"/>
  <c r="F34" i="1"/>
  <c r="G197" i="1"/>
  <c r="G209" i="1"/>
  <c r="G221" i="1"/>
  <c r="G233" i="1"/>
  <c r="G245" i="1"/>
  <c r="G257" i="1"/>
  <c r="G265" i="1"/>
  <c r="G277" i="1"/>
  <c r="G289" i="1"/>
  <c r="G297" i="1"/>
  <c r="G309" i="1"/>
  <c r="G222" i="1"/>
  <c r="F52" i="1"/>
  <c r="F84" i="1"/>
  <c r="F188" i="1"/>
  <c r="G278" i="1"/>
  <c r="G282" i="1"/>
  <c r="G286" i="1"/>
  <c r="G290" i="1"/>
  <c r="G294" i="1"/>
  <c r="G298" i="1"/>
  <c r="G302" i="1"/>
  <c r="G306" i="1"/>
  <c r="G310" i="1"/>
  <c r="G314" i="1"/>
  <c r="G318" i="1"/>
  <c r="F24" i="1"/>
  <c r="F48" i="1"/>
  <c r="F64" i="1"/>
  <c r="F88" i="1"/>
  <c r="F112" i="1"/>
  <c r="F136" i="1"/>
  <c r="F152" i="1"/>
  <c r="F176" i="1"/>
  <c r="F25" i="1"/>
  <c r="F49" i="1"/>
  <c r="F73" i="1"/>
  <c r="F97" i="1"/>
  <c r="F121" i="1"/>
  <c r="F145" i="1"/>
  <c r="F169" i="1"/>
  <c r="F193" i="1"/>
  <c r="F205" i="1"/>
  <c r="F217" i="1"/>
  <c r="F225" i="1"/>
  <c r="F237" i="1"/>
  <c r="F249" i="1"/>
  <c r="F257" i="1"/>
  <c r="F269" i="1"/>
  <c r="F281" i="1"/>
  <c r="F293" i="1"/>
  <c r="F305" i="1"/>
  <c r="F317" i="1"/>
  <c r="F186" i="1"/>
  <c r="G201" i="1"/>
  <c r="G217" i="1"/>
  <c r="G229" i="1"/>
  <c r="G241" i="1"/>
  <c r="G253" i="1"/>
  <c r="G269" i="1"/>
  <c r="G281" i="1"/>
  <c r="G293" i="1"/>
  <c r="G301" i="1"/>
  <c r="G313" i="1"/>
  <c r="F198" i="1"/>
  <c r="F218" i="1"/>
  <c r="F230" i="1"/>
  <c r="F250" i="1"/>
  <c r="F262" i="1"/>
  <c r="F286" i="1"/>
  <c r="F294" i="1"/>
  <c r="F302" i="1"/>
  <c r="F318" i="1"/>
  <c r="F251" i="1"/>
  <c r="F32" i="1"/>
  <c r="F56" i="1"/>
  <c r="F80" i="1"/>
  <c r="F104" i="1"/>
  <c r="F128" i="1"/>
  <c r="F160" i="1"/>
  <c r="F41" i="1"/>
  <c r="F57" i="1"/>
  <c r="F81" i="1"/>
  <c r="F105" i="1"/>
  <c r="F129" i="1"/>
  <c r="F153" i="1"/>
  <c r="F177" i="1"/>
  <c r="F201" i="1"/>
  <c r="F213" i="1"/>
  <c r="F229" i="1"/>
  <c r="F241" i="1"/>
  <c r="F253" i="1"/>
  <c r="F265" i="1"/>
  <c r="F277" i="1"/>
  <c r="F285" i="1"/>
  <c r="F297" i="1"/>
  <c r="F313" i="1"/>
  <c r="F74" i="1"/>
  <c r="F170" i="1"/>
  <c r="G193" i="1"/>
  <c r="G205" i="1"/>
  <c r="G213" i="1"/>
  <c r="G225" i="1"/>
  <c r="G237" i="1"/>
  <c r="G249" i="1"/>
  <c r="G261" i="1"/>
  <c r="G273" i="1"/>
  <c r="G285" i="1"/>
  <c r="G305" i="1"/>
  <c r="G317" i="1"/>
  <c r="G274" i="1"/>
  <c r="F194" i="1"/>
  <c r="F210" i="1"/>
  <c r="F242" i="1"/>
  <c r="F274" i="1"/>
  <c r="F75" i="1"/>
  <c r="F222" i="1"/>
  <c r="F306" i="1"/>
  <c r="F26" i="1"/>
  <c r="F90" i="1"/>
  <c r="F122" i="1"/>
  <c r="F154" i="1"/>
  <c r="F202" i="1"/>
  <c r="F234" i="1"/>
  <c r="F266" i="1"/>
  <c r="F189" i="1"/>
  <c r="F66" i="1"/>
  <c r="F171" i="1"/>
  <c r="F214" i="1"/>
  <c r="F246" i="1"/>
  <c r="F278" i="1"/>
  <c r="F310" i="1"/>
  <c r="F28" i="1"/>
  <c r="F42" i="1"/>
  <c r="F53" i="1"/>
  <c r="F92" i="1"/>
  <c r="F108" i="1"/>
  <c r="F124" i="1"/>
  <c r="F140" i="1"/>
  <c r="F156" i="1"/>
  <c r="F172" i="1"/>
  <c r="F195" i="1"/>
  <c r="F226" i="1"/>
  <c r="F258" i="1"/>
  <c r="F295" i="1"/>
  <c r="F68" i="1"/>
  <c r="F82" i="1"/>
  <c r="F187" i="1"/>
  <c r="F206" i="1"/>
  <c r="F238" i="1"/>
  <c r="F270" i="1"/>
  <c r="F282" i="1"/>
  <c r="F298" i="1"/>
  <c r="F314" i="1"/>
  <c r="F35" i="1"/>
  <c r="F50" i="1"/>
  <c r="F254" i="1"/>
  <c r="F290" i="1"/>
  <c r="F76" i="1"/>
  <c r="F106" i="1"/>
  <c r="F138" i="1"/>
  <c r="F44" i="1"/>
  <c r="F58" i="1"/>
  <c r="F98" i="1"/>
  <c r="F114" i="1"/>
  <c r="F130" i="1"/>
  <c r="F146" i="1"/>
  <c r="F162" i="1"/>
  <c r="F178" i="1"/>
  <c r="E191" i="1"/>
  <c r="G192" i="1" l="1"/>
  <c r="H190" i="1"/>
  <c r="E190" i="1" s="1"/>
  <c r="G191" i="1" s="1"/>
  <c r="H189" i="1" l="1"/>
  <c r="E189" i="1" s="1"/>
  <c r="G190" i="1" s="1"/>
  <c r="H188" i="1" l="1"/>
  <c r="E188" i="1" s="1"/>
  <c r="G189" i="1"/>
  <c r="H187" i="1" l="1"/>
  <c r="E187" i="1" s="1"/>
  <c r="G188" i="1"/>
  <c r="H186" i="1" l="1"/>
  <c r="E186" i="1" s="1"/>
  <c r="G187" i="1"/>
  <c r="H185" i="1" l="1"/>
  <c r="E185" i="1" s="1"/>
  <c r="G186" i="1"/>
  <c r="H184" i="1" l="1"/>
  <c r="E184" i="1" s="1"/>
  <c r="G185" i="1"/>
  <c r="H183" i="1" l="1"/>
  <c r="E183" i="1" s="1"/>
  <c r="G184" i="1"/>
  <c r="H182" i="1" l="1"/>
  <c r="E182" i="1" s="1"/>
  <c r="G183" i="1" s="1"/>
  <c r="H181" i="1" l="1"/>
  <c r="E181" i="1" s="1"/>
  <c r="G182" i="1" s="1"/>
  <c r="H180" i="1" l="1"/>
  <c r="E180" i="1" s="1"/>
  <c r="G181" i="1" s="1"/>
  <c r="H179" i="1" l="1"/>
  <c r="E179" i="1" s="1"/>
  <c r="H178" i="1" l="1"/>
  <c r="E178" i="1" s="1"/>
  <c r="G180" i="1"/>
  <c r="H177" i="1" l="1"/>
  <c r="E177" i="1" s="1"/>
  <c r="G178" i="1"/>
  <c r="G179" i="1"/>
  <c r="H176" i="1" l="1"/>
  <c r="E176" i="1" s="1"/>
  <c r="H175" i="1" l="1"/>
  <c r="E175" i="1" s="1"/>
  <c r="G176" i="1"/>
  <c r="G177" i="1"/>
  <c r="H174" i="1" l="1"/>
  <c r="E174" i="1" s="1"/>
  <c r="H173" i="1" s="1"/>
  <c r="E173" i="1" s="1"/>
  <c r="G174" i="1" l="1"/>
  <c r="H172" i="1"/>
  <c r="E172" i="1" s="1"/>
  <c r="G175" i="1"/>
  <c r="G173" i="1" l="1"/>
  <c r="H171" i="1"/>
  <c r="E171" i="1" s="1"/>
  <c r="G172" i="1"/>
  <c r="H170" i="1" l="1"/>
  <c r="E170" i="1" s="1"/>
  <c r="H169" i="1" s="1"/>
  <c r="E169" i="1" s="1"/>
  <c r="G171" i="1" l="1"/>
  <c r="G170" i="1"/>
  <c r="H168" i="1"/>
  <c r="E168" i="1" s="1"/>
  <c r="H167" i="1" l="1"/>
  <c r="E167" i="1" s="1"/>
  <c r="G169" i="1"/>
  <c r="H166" i="1" l="1"/>
  <c r="E166" i="1" s="1"/>
  <c r="G167" i="1" s="1"/>
  <c r="G168" i="1"/>
  <c r="H165" i="1" l="1"/>
  <c r="E165" i="1" s="1"/>
  <c r="G166" i="1" s="1"/>
  <c r="H164" i="1" l="1"/>
  <c r="E164" i="1" s="1"/>
  <c r="G165" i="1" s="1"/>
  <c r="H163" i="1" l="1"/>
  <c r="E163" i="1" s="1"/>
  <c r="G164" i="1" s="1"/>
  <c r="H162" i="1" l="1"/>
  <c r="E162" i="1" s="1"/>
  <c r="G163" i="1" s="1"/>
  <c r="H161" i="1" l="1"/>
  <c r="E161" i="1" s="1"/>
  <c r="G162" i="1"/>
  <c r="H160" i="1" l="1"/>
  <c r="E160" i="1" s="1"/>
  <c r="H159" i="1" l="1"/>
  <c r="E159" i="1" s="1"/>
  <c r="G161" i="1"/>
  <c r="H158" i="1" l="1"/>
  <c r="E158" i="1" s="1"/>
  <c r="G160" i="1"/>
  <c r="H157" i="1" l="1"/>
  <c r="E157" i="1" s="1"/>
  <c r="G159" i="1"/>
  <c r="H156" i="1" l="1"/>
  <c r="E156" i="1" s="1"/>
  <c r="G158" i="1"/>
  <c r="H155" i="1" l="1"/>
  <c r="E155" i="1" s="1"/>
  <c r="G156" i="1" s="1"/>
  <c r="G157" i="1"/>
  <c r="H154" i="1" l="1"/>
  <c r="E154" i="1" s="1"/>
  <c r="G155" i="1" s="1"/>
  <c r="H153" i="1" l="1"/>
  <c r="E153" i="1" s="1"/>
  <c r="G154" i="1" s="1"/>
  <c r="H152" i="1" l="1"/>
  <c r="E152" i="1" s="1"/>
  <c r="G153" i="1" s="1"/>
  <c r="H151" i="1" l="1"/>
  <c r="E151" i="1" s="1"/>
  <c r="G152" i="1" s="1"/>
  <c r="H150" i="1" l="1"/>
  <c r="E150" i="1" s="1"/>
  <c r="G151" i="1" s="1"/>
  <c r="H149" i="1" l="1"/>
  <c r="E149" i="1" s="1"/>
  <c r="G150" i="1"/>
  <c r="H148" i="1" l="1"/>
  <c r="E148" i="1" s="1"/>
  <c r="G149" i="1" s="1"/>
  <c r="H147" i="1" l="1"/>
  <c r="E147" i="1" s="1"/>
  <c r="G148" i="1" s="1"/>
  <c r="H146" i="1" l="1"/>
  <c r="E146" i="1" s="1"/>
  <c r="G147" i="1" s="1"/>
  <c r="H145" i="1" l="1"/>
  <c r="E145" i="1" s="1"/>
  <c r="G146" i="1" s="1"/>
  <c r="H144" i="1" l="1"/>
  <c r="E144" i="1" s="1"/>
  <c r="G145" i="1" s="1"/>
  <c r="H143" i="1" l="1"/>
  <c r="E143" i="1" s="1"/>
  <c r="G144" i="1"/>
  <c r="H142" i="1" l="1"/>
  <c r="E142" i="1" s="1"/>
  <c r="G143" i="1" s="1"/>
  <c r="H141" i="1" l="1"/>
  <c r="E141" i="1" s="1"/>
  <c r="G142" i="1" s="1"/>
  <c r="H140" i="1" l="1"/>
  <c r="E140" i="1" s="1"/>
  <c r="G141" i="1" s="1"/>
  <c r="H139" i="1" l="1"/>
  <c r="E139" i="1" s="1"/>
  <c r="G140" i="1" s="1"/>
  <c r="H138" i="1" l="1"/>
  <c r="E138" i="1" s="1"/>
  <c r="G139" i="1" s="1"/>
  <c r="H137" i="1" l="1"/>
  <c r="E137" i="1" s="1"/>
  <c r="G138" i="1" s="1"/>
  <c r="H136" i="1" l="1"/>
  <c r="E136" i="1" s="1"/>
  <c r="H135" i="1" l="1"/>
  <c r="E135" i="1" s="1"/>
  <c r="G136" i="1" s="1"/>
  <c r="G137" i="1"/>
  <c r="H134" i="1" l="1"/>
  <c r="E134" i="1" s="1"/>
  <c r="G135" i="1"/>
  <c r="H133" i="1" l="1"/>
  <c r="E133" i="1" s="1"/>
  <c r="H132" i="1" l="1"/>
  <c r="E132" i="1" s="1"/>
  <c r="G133" i="1" s="1"/>
  <c r="G134" i="1"/>
  <c r="H131" i="1" l="1"/>
  <c r="E131" i="1" s="1"/>
  <c r="G132" i="1" s="1"/>
  <c r="H130" i="1" l="1"/>
  <c r="E130" i="1" s="1"/>
  <c r="G131" i="1" s="1"/>
  <c r="H129" i="1" l="1"/>
  <c r="E129" i="1" s="1"/>
  <c r="H128" i="1" l="1"/>
  <c r="E128" i="1" s="1"/>
  <c r="G130" i="1"/>
  <c r="H127" i="1" l="1"/>
  <c r="E127" i="1" s="1"/>
  <c r="G129" i="1"/>
  <c r="H126" i="1" l="1"/>
  <c r="E126" i="1" s="1"/>
  <c r="G128" i="1"/>
  <c r="H125" i="1" l="1"/>
  <c r="E125" i="1" s="1"/>
  <c r="G126" i="1" s="1"/>
  <c r="G127" i="1"/>
  <c r="H124" i="1" l="1"/>
  <c r="E124" i="1" s="1"/>
  <c r="G125" i="1"/>
  <c r="H123" i="1" l="1"/>
  <c r="E123" i="1" s="1"/>
  <c r="H122" i="1" l="1"/>
  <c r="E122" i="1" s="1"/>
  <c r="G124" i="1"/>
  <c r="H121" i="1" l="1"/>
  <c r="E121" i="1" s="1"/>
  <c r="G122" i="1" s="1"/>
  <c r="G123" i="1"/>
  <c r="H120" i="1" l="1"/>
  <c r="E120" i="1" s="1"/>
  <c r="G121" i="1" s="1"/>
  <c r="H119" i="1" l="1"/>
  <c r="E119" i="1" s="1"/>
  <c r="G120" i="1" s="1"/>
  <c r="H118" i="1" l="1"/>
  <c r="E118" i="1" s="1"/>
  <c r="H117" i="1" l="1"/>
  <c r="E117" i="1" s="1"/>
  <c r="G119" i="1"/>
  <c r="H116" i="1" l="1"/>
  <c r="E116" i="1" s="1"/>
  <c r="G117" i="1"/>
  <c r="G118" i="1"/>
  <c r="H115" i="1" l="1"/>
  <c r="E115" i="1" s="1"/>
  <c r="H114" i="1" l="1"/>
  <c r="E114" i="1" s="1"/>
  <c r="G116" i="1"/>
  <c r="H113" i="1" l="1"/>
  <c r="E113" i="1" s="1"/>
  <c r="G114" i="1"/>
  <c r="G115" i="1"/>
  <c r="H112" i="1" l="1"/>
  <c r="E112" i="1" s="1"/>
  <c r="G113" i="1"/>
  <c r="H111" i="1" l="1"/>
  <c r="E111" i="1" s="1"/>
  <c r="G112" i="1"/>
  <c r="H110" i="1" l="1"/>
  <c r="E110" i="1" s="1"/>
  <c r="G111" i="1"/>
  <c r="H109" i="1" l="1"/>
  <c r="E109" i="1" s="1"/>
  <c r="G110" i="1" s="1"/>
  <c r="H108" i="1" l="1"/>
  <c r="E108" i="1" s="1"/>
  <c r="G109" i="1" s="1"/>
  <c r="H107" i="1" l="1"/>
  <c r="E107" i="1" s="1"/>
  <c r="G108" i="1"/>
  <c r="H106" i="1" l="1"/>
  <c r="E106" i="1" s="1"/>
  <c r="G107" i="1"/>
  <c r="H105" i="1" l="1"/>
  <c r="E105" i="1" s="1"/>
  <c r="H104" i="1" l="1"/>
  <c r="E104" i="1" s="1"/>
  <c r="G106" i="1"/>
  <c r="H103" i="1" l="1"/>
  <c r="E103" i="1" s="1"/>
  <c r="H102" i="1" s="1"/>
  <c r="E102" i="1" s="1"/>
  <c r="G105" i="1"/>
  <c r="G104" i="1" l="1"/>
  <c r="G103" i="1"/>
  <c r="H101" i="1"/>
  <c r="E101" i="1" s="1"/>
  <c r="H100" i="1" l="1"/>
  <c r="E100" i="1" s="1"/>
  <c r="G102" i="1"/>
  <c r="H99" i="1" l="1"/>
  <c r="E99" i="1" s="1"/>
  <c r="G100" i="1" s="1"/>
  <c r="G101" i="1"/>
  <c r="H98" i="1" l="1"/>
  <c r="E98" i="1" s="1"/>
  <c r="G99" i="1"/>
  <c r="H97" i="1" l="1"/>
  <c r="E97" i="1" s="1"/>
  <c r="G98" i="1"/>
  <c r="H96" i="1" l="1"/>
  <c r="E96" i="1" s="1"/>
  <c r="G97" i="1"/>
  <c r="H95" i="1" l="1"/>
  <c r="E95" i="1" s="1"/>
  <c r="G96" i="1" s="1"/>
  <c r="H94" i="1" l="1"/>
  <c r="E94" i="1" s="1"/>
  <c r="H93" i="1" l="1"/>
  <c r="E93" i="1" s="1"/>
  <c r="G94" i="1" s="1"/>
  <c r="G95" i="1"/>
  <c r="H92" i="1" l="1"/>
  <c r="E92" i="1" s="1"/>
  <c r="G93" i="1"/>
  <c r="H91" i="1" l="1"/>
  <c r="E91" i="1" s="1"/>
  <c r="G92" i="1"/>
  <c r="H90" i="1" l="1"/>
  <c r="E90" i="1" s="1"/>
  <c r="G91" i="1" s="1"/>
  <c r="H89" i="1" l="1"/>
  <c r="E89" i="1" s="1"/>
  <c r="H88" i="1" l="1"/>
  <c r="E88" i="1" s="1"/>
  <c r="G89" i="1"/>
  <c r="G90" i="1"/>
  <c r="H87" i="1" l="1"/>
  <c r="E87" i="1" s="1"/>
  <c r="G88" i="1"/>
  <c r="H86" i="1" l="1"/>
  <c r="E86" i="1" s="1"/>
  <c r="G87" i="1" s="1"/>
  <c r="H85" i="1" l="1"/>
  <c r="E85" i="1" s="1"/>
  <c r="G86" i="1" s="1"/>
  <c r="H84" i="1" l="1"/>
  <c r="E84" i="1" s="1"/>
  <c r="H83" i="1" l="1"/>
  <c r="E83" i="1" s="1"/>
  <c r="G84" i="1" s="1"/>
  <c r="G85" i="1"/>
  <c r="H82" i="1" l="1"/>
  <c r="E82" i="1" s="1"/>
  <c r="H81" i="1" l="1"/>
  <c r="E81" i="1" s="1"/>
  <c r="G83" i="1"/>
  <c r="H80" i="1" l="1"/>
  <c r="E80" i="1" s="1"/>
  <c r="G81" i="1"/>
  <c r="G82" i="1"/>
  <c r="H79" i="1" l="1"/>
  <c r="E79" i="1" s="1"/>
  <c r="G80" i="1"/>
  <c r="H78" i="1" l="1"/>
  <c r="E78" i="1" s="1"/>
  <c r="H77" i="1" l="1"/>
  <c r="E77" i="1" s="1"/>
  <c r="G78" i="1"/>
  <c r="G79" i="1"/>
  <c r="H76" i="1" l="1"/>
  <c r="E76" i="1" s="1"/>
  <c r="H75" i="1" l="1"/>
  <c r="E75" i="1" s="1"/>
  <c r="G77" i="1"/>
  <c r="H74" i="1" l="1"/>
  <c r="E74" i="1" s="1"/>
  <c r="G75" i="1" s="1"/>
  <c r="G76" i="1"/>
  <c r="H73" i="1" l="1"/>
  <c r="E73" i="1" s="1"/>
  <c r="G74" i="1" s="1"/>
  <c r="H72" i="1" l="1"/>
  <c r="E72" i="1" s="1"/>
  <c r="H71" i="1" l="1"/>
  <c r="E71" i="1" s="1"/>
  <c r="G72" i="1" s="1"/>
  <c r="G73" i="1"/>
  <c r="H70" i="1" l="1"/>
  <c r="E70" i="1" s="1"/>
  <c r="G71" i="1" s="1"/>
  <c r="H69" i="1" l="1"/>
  <c r="E69" i="1" s="1"/>
  <c r="H68" i="1" l="1"/>
  <c r="E68" i="1" s="1"/>
  <c r="G70" i="1"/>
  <c r="H67" i="1" l="1"/>
  <c r="E67" i="1" s="1"/>
  <c r="G68" i="1"/>
  <c r="G69" i="1"/>
  <c r="H66" i="1" l="1"/>
  <c r="E66" i="1" s="1"/>
  <c r="H65" i="1" l="1"/>
  <c r="E65" i="1" s="1"/>
  <c r="G66" i="1" s="1"/>
  <c r="G67" i="1"/>
  <c r="H64" i="1" l="1"/>
  <c r="E64" i="1" s="1"/>
  <c r="G65" i="1"/>
  <c r="H63" i="1" l="1"/>
  <c r="E63" i="1" s="1"/>
  <c r="H62" i="1" l="1"/>
  <c r="E62" i="1" s="1"/>
  <c r="G64" i="1"/>
  <c r="H61" i="1" l="1"/>
  <c r="E61" i="1" s="1"/>
  <c r="G62" i="1" s="1"/>
  <c r="G63" i="1"/>
  <c r="H60" i="1" l="1"/>
  <c r="E60" i="1" s="1"/>
  <c r="H59" i="1" l="1"/>
  <c r="E59" i="1" s="1"/>
  <c r="G60" i="1" s="1"/>
  <c r="G61" i="1"/>
  <c r="H58" i="1" l="1"/>
  <c r="E58" i="1" s="1"/>
  <c r="H57" i="1" l="1"/>
  <c r="E57" i="1" s="1"/>
  <c r="G59" i="1"/>
  <c r="H56" i="1" l="1"/>
  <c r="E56" i="1" s="1"/>
  <c r="G57" i="1" s="1"/>
  <c r="G58" i="1"/>
  <c r="H55" i="1" l="1"/>
  <c r="E55" i="1" s="1"/>
  <c r="H54" i="1" l="1"/>
  <c r="E54" i="1" s="1"/>
  <c r="G56" i="1"/>
  <c r="H53" i="1" l="1"/>
  <c r="E53" i="1" s="1"/>
  <c r="G54" i="1" s="1"/>
  <c r="G55" i="1"/>
  <c r="H52" i="1" l="1"/>
  <c r="E52" i="1" s="1"/>
  <c r="G53" i="1"/>
  <c r="H51" i="1" l="1"/>
  <c r="E51" i="1" s="1"/>
  <c r="G52" i="1" s="1"/>
  <c r="H50" i="1" l="1"/>
  <c r="E50" i="1" s="1"/>
  <c r="G51" i="1"/>
  <c r="H49" i="1" l="1"/>
  <c r="E49" i="1" s="1"/>
  <c r="G50" i="1"/>
  <c r="H48" i="1" l="1"/>
  <c r="E48" i="1" s="1"/>
  <c r="H47" i="1" l="1"/>
  <c r="E47" i="1" s="1"/>
  <c r="G48" i="1"/>
  <c r="G49" i="1"/>
  <c r="H46" i="1" l="1"/>
  <c r="E46" i="1" s="1"/>
  <c r="G47" i="1" s="1"/>
  <c r="H45" i="1" l="1"/>
  <c r="E45" i="1" s="1"/>
  <c r="G46" i="1" s="1"/>
  <c r="H44" i="1" l="1"/>
  <c r="E44" i="1" s="1"/>
  <c r="H43" i="1" l="1"/>
  <c r="E43" i="1" s="1"/>
  <c r="G45" i="1"/>
  <c r="H42" i="1" l="1"/>
  <c r="E42" i="1" s="1"/>
  <c r="H41" i="1" s="1"/>
  <c r="G44" i="1"/>
  <c r="E41" i="1" l="1"/>
  <c r="G42" i="1" s="1"/>
  <c r="G43" i="1"/>
  <c r="H40" i="1" l="1"/>
  <c r="E40" i="1" s="1"/>
  <c r="H39" i="1" l="1"/>
  <c r="E39" i="1" s="1"/>
  <c r="G41" i="1"/>
  <c r="H38" i="1" l="1"/>
  <c r="E38" i="1" s="1"/>
  <c r="G39" i="1" s="1"/>
  <c r="G40" i="1"/>
  <c r="H37" i="1" l="1"/>
  <c r="E37" i="1" s="1"/>
  <c r="G38" i="1"/>
  <c r="H36" i="1" l="1"/>
  <c r="E36" i="1" s="1"/>
  <c r="G37" i="1" s="1"/>
  <c r="H35" i="1" l="1"/>
  <c r="E35" i="1" s="1"/>
  <c r="G36" i="1" s="1"/>
  <c r="H34" i="1" l="1"/>
  <c r="E34" i="1" s="1"/>
  <c r="G35" i="1" s="1"/>
  <c r="H33" i="1" l="1"/>
  <c r="E33" i="1" s="1"/>
  <c r="H32" i="1" l="1"/>
  <c r="E32" i="1" s="1"/>
  <c r="G34" i="1"/>
  <c r="H31" i="1" l="1"/>
  <c r="E31" i="1" s="1"/>
  <c r="G33" i="1"/>
  <c r="H30" i="1" l="1"/>
  <c r="E30" i="1" s="1"/>
  <c r="G32" i="1"/>
  <c r="H29" i="1" l="1"/>
  <c r="E29" i="1" s="1"/>
  <c r="G31" i="1"/>
  <c r="H28" i="1" l="1"/>
  <c r="E28" i="1" s="1"/>
  <c r="G30" i="1"/>
  <c r="H27" i="1" l="1"/>
  <c r="E27" i="1" s="1"/>
  <c r="G28" i="1"/>
  <c r="G29" i="1"/>
  <c r="H26" i="1" l="1"/>
  <c r="E26" i="1" s="1"/>
  <c r="G27" i="1" s="1"/>
  <c r="H25" i="1" l="1"/>
  <c r="E25" i="1" s="1"/>
  <c r="G26" i="1" s="1"/>
  <c r="H24" i="1" l="1"/>
  <c r="E24" i="1" s="1"/>
  <c r="H23" i="1" l="1"/>
  <c r="E23" i="1" s="1"/>
  <c r="G24" i="1" s="1"/>
  <c r="G25" i="1"/>
  <c r="H22" i="1" l="1"/>
  <c r="E22" i="1" s="1"/>
  <c r="G23" i="1" s="1"/>
  <c r="H21" i="1" l="1"/>
  <c r="E21" i="1" s="1"/>
  <c r="H20" i="1" s="1"/>
  <c r="E20" i="1" s="1"/>
  <c r="H19" i="1" s="1"/>
  <c r="E19" i="1" s="1"/>
  <c r="G22" i="1" l="1"/>
  <c r="G21" i="1"/>
  <c r="H18" i="1" l="1"/>
  <c r="E18" i="1" s="1"/>
  <c r="G19" i="1" l="1"/>
  <c r="H17" i="1"/>
  <c r="E17" i="1" s="1"/>
  <c r="G18" i="1" s="1"/>
  <c r="H16" i="1" l="1"/>
  <c r="E16" i="1" s="1"/>
  <c r="H15" i="1" s="1"/>
  <c r="E15" i="1" s="1"/>
  <c r="G16" i="1" l="1"/>
  <c r="H14" i="1"/>
  <c r="E14" i="1" s="1"/>
  <c r="G17" i="1"/>
  <c r="H13" i="1" l="1"/>
  <c r="E13" i="1" s="1"/>
  <c r="G14" i="1" s="1"/>
  <c r="G15" i="1"/>
  <c r="H12" i="1" l="1"/>
  <c r="E12" i="1" s="1"/>
  <c r="G13" i="1" s="1"/>
  <c r="H11" i="1" l="1"/>
  <c r="E11" i="1" s="1"/>
  <c r="H10" i="1" s="1"/>
  <c r="E10" i="1" s="1"/>
  <c r="G11" i="1" l="1"/>
  <c r="H9" i="1"/>
  <c r="E9" i="1" s="1"/>
  <c r="G12" i="1"/>
  <c r="H8" i="1" l="1"/>
  <c r="E8" i="1" s="1"/>
  <c r="H7" i="1" s="1"/>
  <c r="E7" i="1" s="1"/>
  <c r="G10" i="1"/>
  <c r="G8" i="1" l="1"/>
  <c r="H6" i="1"/>
  <c r="E6" i="1" s="1"/>
  <c r="H5" i="1" s="1"/>
  <c r="E5" i="1" s="1"/>
  <c r="G7" i="1"/>
  <c r="G9" i="1"/>
  <c r="G6" i="1" l="1"/>
  <c r="H4" i="1"/>
  <c r="E4" i="1" s="1"/>
  <c r="G5" i="1" s="1"/>
  <c r="H3" i="1" l="1"/>
  <c r="E3" i="1" s="1"/>
  <c r="G3" i="1" s="1"/>
  <c r="G4" i="1" l="1"/>
</calcChain>
</file>

<file path=xl/sharedStrings.xml><?xml version="1.0" encoding="utf-8"?>
<sst xmlns="http://schemas.openxmlformats.org/spreadsheetml/2006/main" count="17" uniqueCount="14">
  <si>
    <t>Date</t>
  </si>
  <si>
    <t>Purchase</t>
  </si>
  <si>
    <t>MBACAI</t>
  </si>
  <si>
    <t>Purch-MA</t>
  </si>
  <si>
    <t>MCAI-MA</t>
  </si>
  <si>
    <t>%Chg-Purch-MA</t>
  </si>
  <si>
    <t>%Chg-MCAI-MA</t>
  </si>
  <si>
    <t>Given the noise in the data, we'll just assume y = 1.</t>
  </si>
  <si>
    <t>PredMCAI</t>
  </si>
  <si>
    <t>Purchase %Chg</t>
  </si>
  <si>
    <t>Purchase MA</t>
  </si>
  <si>
    <t>MBACAI MA</t>
  </si>
  <si>
    <t>MBACAI %Chg</t>
  </si>
  <si>
    <t>Pred MCAI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</si>
</sst>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1" fontId="1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9" fontId="16" fillId="0" borderId="0" xfId="1" applyFont="1" applyAlignment="1">
      <alignment horizontal="center"/>
    </xf>
    <xf numFmtId="9" fontId="0" fillId="0" borderId="0" xfId="1" applyFont="1" applyAlignment="1">
      <alignment horizontal="center"/>
    </xf>
    <xf numFmtId="14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1" fontId="0" fillId="33" borderId="0" xfId="0" applyNumberFormat="1" applyFill="1"/>
    <xf numFmtId="9" fontId="0" fillId="33" borderId="0" xfId="1" applyFont="1" applyFill="1" applyAlignment="1">
      <alignment horizontal="center"/>
    </xf>
    <xf numFmtId="0" fontId="0" fillId="33" borderId="0" xfId="0" applyFill="1"/>
    <xf numFmtId="1" fontId="16" fillId="0" borderId="0" xfId="0" applyNumberFormat="1" applyFont="1" applyFill="1" applyAlignment="1">
      <alignment horizontal="center"/>
    </xf>
    <xf numFmtId="9" fontId="0" fillId="0" borderId="0" xfId="1" applyFont="1" applyFill="1" applyAlignment="1">
      <alignment horizontal="center"/>
    </xf>
    <xf numFmtId="1" fontId="0" fillId="0" borderId="0" xfId="0" applyNumberFormat="1" applyFill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1028215223097113"/>
                  <c:y val="0.29263779527559053"/>
                </c:manualLayout>
              </c:layout>
              <c:numFmt formatCode="General" sourceLinked="0"/>
            </c:trendlineLbl>
          </c:trendline>
          <c:xVal>
            <c:numRef>
              <c:f>'MCAI versus Purchase'!$F$193:$F$319</c:f>
              <c:numCache>
                <c:formatCode>0%</c:formatCode>
                <c:ptCount val="127"/>
                <c:pt idx="0">
                  <c:v>1.4942499335259818E-3</c:v>
                </c:pt>
                <c:pt idx="1">
                  <c:v>-1.031703653371463E-3</c:v>
                </c:pt>
                <c:pt idx="2">
                  <c:v>-4.9825017866844679E-3</c:v>
                </c:pt>
                <c:pt idx="3">
                  <c:v>-6.7845588841629612E-3</c:v>
                </c:pt>
                <c:pt idx="4">
                  <c:v>-5.6396767563978711E-3</c:v>
                </c:pt>
                <c:pt idx="5">
                  <c:v>-7.6174779673979787E-3</c:v>
                </c:pt>
                <c:pt idx="6">
                  <c:v>-7.8966557492188283E-3</c:v>
                </c:pt>
                <c:pt idx="7">
                  <c:v>-4.0498120739709265E-3</c:v>
                </c:pt>
                <c:pt idx="8">
                  <c:v>-5.9482453293315807E-3</c:v>
                </c:pt>
                <c:pt idx="9">
                  <c:v>-7.7330562393933544E-3</c:v>
                </c:pt>
                <c:pt idx="10">
                  <c:v>-1.1115086941399288E-2</c:v>
                </c:pt>
                <c:pt idx="11">
                  <c:v>-1.0036184668328119E-2</c:v>
                </c:pt>
                <c:pt idx="12">
                  <c:v>-8.5052542789865182E-3</c:v>
                </c:pt>
                <c:pt idx="13">
                  <c:v>-8.355219272946357E-3</c:v>
                </c:pt>
                <c:pt idx="14">
                  <c:v>-1.1991101238040591E-2</c:v>
                </c:pt>
                <c:pt idx="15">
                  <c:v>-1.1195961560093504E-2</c:v>
                </c:pt>
                <c:pt idx="16">
                  <c:v>-7.6105779049756572E-3</c:v>
                </c:pt>
                <c:pt idx="17">
                  <c:v>-5.2422320109992704E-3</c:v>
                </c:pt>
                <c:pt idx="18">
                  <c:v>-1.6685636807060034E-3</c:v>
                </c:pt>
                <c:pt idx="19">
                  <c:v>-2.3456985962932997E-3</c:v>
                </c:pt>
                <c:pt idx="20">
                  <c:v>4.6205580665239498E-3</c:v>
                </c:pt>
                <c:pt idx="21">
                  <c:v>3.3634408660088155E-3</c:v>
                </c:pt>
                <c:pt idx="22">
                  <c:v>1.0169266262267662E-3</c:v>
                </c:pt>
                <c:pt idx="23">
                  <c:v>2.4951418160557015E-3</c:v>
                </c:pt>
                <c:pt idx="24">
                  <c:v>9.0099189374859279E-4</c:v>
                </c:pt>
                <c:pt idx="25">
                  <c:v>2.9538227946903639E-3</c:v>
                </c:pt>
                <c:pt idx="26">
                  <c:v>-7.4694193575886025E-4</c:v>
                </c:pt>
                <c:pt idx="27">
                  <c:v>-2.9719970793478101E-3</c:v>
                </c:pt>
                <c:pt idx="28">
                  <c:v>-2.0833221866122242E-3</c:v>
                </c:pt>
                <c:pt idx="29">
                  <c:v>-6.1765586997593047E-3</c:v>
                </c:pt>
                <c:pt idx="30">
                  <c:v>-9.6636470860361756E-3</c:v>
                </c:pt>
                <c:pt idx="31">
                  <c:v>-1.2005063508352176E-2</c:v>
                </c:pt>
                <c:pt idx="32">
                  <c:v>-1.036103374624453E-2</c:v>
                </c:pt>
                <c:pt idx="33">
                  <c:v>-8.2339520462656468E-3</c:v>
                </c:pt>
                <c:pt idx="34">
                  <c:v>-1.6556875021505157E-2</c:v>
                </c:pt>
                <c:pt idx="35">
                  <c:v>-2.0710711947235505E-2</c:v>
                </c:pt>
                <c:pt idx="36">
                  <c:v>-2.0022924173774714E-2</c:v>
                </c:pt>
                <c:pt idx="37">
                  <c:v>-2.0169387738399269E-2</c:v>
                </c:pt>
                <c:pt idx="38">
                  <c:v>-2.9720352735078781E-2</c:v>
                </c:pt>
                <c:pt idx="39">
                  <c:v>-2.6765380311010611E-2</c:v>
                </c:pt>
                <c:pt idx="40">
                  <c:v>-2.4594514180946603E-2</c:v>
                </c:pt>
                <c:pt idx="41">
                  <c:v>-2.7324328000758569E-2</c:v>
                </c:pt>
                <c:pt idx="42">
                  <c:v>-2.4138845827530786E-2</c:v>
                </c:pt>
                <c:pt idx="43">
                  <c:v>-2.6524261287293904E-2</c:v>
                </c:pt>
                <c:pt idx="44">
                  <c:v>-1.8182191284610627E-2</c:v>
                </c:pt>
                <c:pt idx="45">
                  <c:v>-1.6257089190444218E-2</c:v>
                </c:pt>
                <c:pt idx="46">
                  <c:v>-1.6946052525834809E-2</c:v>
                </c:pt>
                <c:pt idx="47">
                  <c:v>-2.6262723076691752E-2</c:v>
                </c:pt>
                <c:pt idx="48">
                  <c:v>-2.4699423599698678E-2</c:v>
                </c:pt>
                <c:pt idx="49">
                  <c:v>-2.4184100749606308E-2</c:v>
                </c:pt>
                <c:pt idx="50">
                  <c:v>-2.2441194781702478E-2</c:v>
                </c:pt>
                <c:pt idx="51">
                  <c:v>-2.4899127674801957E-2</c:v>
                </c:pt>
                <c:pt idx="52">
                  <c:v>-9.3778754048834401E-3</c:v>
                </c:pt>
                <c:pt idx="53">
                  <c:v>-1.8050638429927157E-2</c:v>
                </c:pt>
                <c:pt idx="54">
                  <c:v>-2.8721900052381066E-2</c:v>
                </c:pt>
                <c:pt idx="55">
                  <c:v>-2.9308912242145269E-2</c:v>
                </c:pt>
                <c:pt idx="56">
                  <c:v>-1.688777747105541E-2</c:v>
                </c:pt>
                <c:pt idx="57">
                  <c:v>-1.8794198220391301E-2</c:v>
                </c:pt>
                <c:pt idx="58">
                  <c:v>-2.0560990390442235E-2</c:v>
                </c:pt>
                <c:pt idx="59">
                  <c:v>-1.6360739136626279E-2</c:v>
                </c:pt>
                <c:pt idx="60">
                  <c:v>-1.7082165879350297E-2</c:v>
                </c:pt>
                <c:pt idx="61">
                  <c:v>-2.0577532067479476E-2</c:v>
                </c:pt>
                <c:pt idx="62">
                  <c:v>-2.4943216585942452E-2</c:v>
                </c:pt>
                <c:pt idx="63">
                  <c:v>-2.4896557959452781E-2</c:v>
                </c:pt>
                <c:pt idx="64">
                  <c:v>-2.1952938898562424E-2</c:v>
                </c:pt>
                <c:pt idx="65">
                  <c:v>-7.918727092502742E-3</c:v>
                </c:pt>
                <c:pt idx="66">
                  <c:v>-1.1284318451055264E-2</c:v>
                </c:pt>
                <c:pt idx="67">
                  <c:v>-1.0415348995205687E-2</c:v>
                </c:pt>
                <c:pt idx="68">
                  <c:v>-1.2631975054901545E-2</c:v>
                </c:pt>
                <c:pt idx="69">
                  <c:v>-1.7113581417811052E-2</c:v>
                </c:pt>
                <c:pt idx="70">
                  <c:v>-2.336281236994775E-2</c:v>
                </c:pt>
                <c:pt idx="71">
                  <c:v>-5.431857278461627E-3</c:v>
                </c:pt>
                <c:pt idx="72">
                  <c:v>3.2654867216188599E-3</c:v>
                </c:pt>
                <c:pt idx="73">
                  <c:v>4.6008736420437568E-3</c:v>
                </c:pt>
                <c:pt idx="74">
                  <c:v>-2.645537039485113E-4</c:v>
                </c:pt>
                <c:pt idx="75">
                  <c:v>2.1351353149567931E-3</c:v>
                </c:pt>
                <c:pt idx="76">
                  <c:v>2.6783219189037144E-3</c:v>
                </c:pt>
                <c:pt idx="77">
                  <c:v>-1.3769681238654519E-3</c:v>
                </c:pt>
                <c:pt idx="78">
                  <c:v>-3.6106719165073242E-3</c:v>
                </c:pt>
                <c:pt idx="79">
                  <c:v>8.3183049290957989E-4</c:v>
                </c:pt>
                <c:pt idx="80">
                  <c:v>-3.9441329435752071E-4</c:v>
                </c:pt>
                <c:pt idx="81">
                  <c:v>-9.8264289819738337E-5</c:v>
                </c:pt>
                <c:pt idx="82">
                  <c:v>-4.0065532091437817E-4</c:v>
                </c:pt>
                <c:pt idx="83">
                  <c:v>1.7015769761661304E-3</c:v>
                </c:pt>
                <c:pt idx="84">
                  <c:v>1.872330042260284E-3</c:v>
                </c:pt>
                <c:pt idx="85">
                  <c:v>6.4881591472343292E-3</c:v>
                </c:pt>
                <c:pt idx="86">
                  <c:v>8.7298789766245832E-3</c:v>
                </c:pt>
                <c:pt idx="87">
                  <c:v>1.0558576735682834E-2</c:v>
                </c:pt>
                <c:pt idx="88">
                  <c:v>1.2963372633284731E-2</c:v>
                </c:pt>
                <c:pt idx="89">
                  <c:v>7.0048950882639627E-3</c:v>
                </c:pt>
                <c:pt idx="90">
                  <c:v>7.9012735381787103E-3</c:v>
                </c:pt>
                <c:pt idx="91">
                  <c:v>3.972673492816492E-3</c:v>
                </c:pt>
                <c:pt idx="92">
                  <c:v>4.6649503975455531E-3</c:v>
                </c:pt>
                <c:pt idx="93">
                  <c:v>4.1503473968251825E-4</c:v>
                </c:pt>
                <c:pt idx="94">
                  <c:v>-1.9822784308282104E-3</c:v>
                </c:pt>
                <c:pt idx="95">
                  <c:v>-9.7324567501555492E-4</c:v>
                </c:pt>
                <c:pt idx="96">
                  <c:v>-3.9862419976937069E-3</c:v>
                </c:pt>
                <c:pt idx="97">
                  <c:v>-1.4257911358565023E-3</c:v>
                </c:pt>
                <c:pt idx="98">
                  <c:v>-4.0036266803739062E-3</c:v>
                </c:pt>
                <c:pt idx="99">
                  <c:v>-5.1823424761416881E-3</c:v>
                </c:pt>
                <c:pt idx="100">
                  <c:v>-4.2078202050305213E-3</c:v>
                </c:pt>
                <c:pt idx="101">
                  <c:v>-4.9781050206504363E-3</c:v>
                </c:pt>
                <c:pt idx="102">
                  <c:v>-3.4322979234596707E-3</c:v>
                </c:pt>
                <c:pt idx="103">
                  <c:v>-9.8361708399856695E-3</c:v>
                </c:pt>
                <c:pt idx="104">
                  <c:v>-8.9773407262641047E-3</c:v>
                </c:pt>
                <c:pt idx="105">
                  <c:v>-1.1701455245800574E-2</c:v>
                </c:pt>
                <c:pt idx="106">
                  <c:v>-1.5317662036305468E-2</c:v>
                </c:pt>
                <c:pt idx="107">
                  <c:v>-1.1990561597192806E-2</c:v>
                </c:pt>
                <c:pt idx="108">
                  <c:v>-1.4470179519939896E-2</c:v>
                </c:pt>
                <c:pt idx="109">
                  <c:v>-4.4353971689423677E-3</c:v>
                </c:pt>
                <c:pt idx="110">
                  <c:v>-5.766796306601929E-3</c:v>
                </c:pt>
                <c:pt idx="111">
                  <c:v>-4.019579395017514E-3</c:v>
                </c:pt>
                <c:pt idx="112">
                  <c:v>6.0736028325436564E-3</c:v>
                </c:pt>
                <c:pt idx="113">
                  <c:v>4.7282745437484675E-3</c:v>
                </c:pt>
                <c:pt idx="114">
                  <c:v>9.8120898176337068E-3</c:v>
                </c:pt>
                <c:pt idx="115">
                  <c:v>5.8206909029090426E-3</c:v>
                </c:pt>
                <c:pt idx="116">
                  <c:v>1.0970812212258485E-2</c:v>
                </c:pt>
                <c:pt idx="117">
                  <c:v>9.9698144694220225E-3</c:v>
                </c:pt>
                <c:pt idx="118">
                  <c:v>7.0907014463874596E-3</c:v>
                </c:pt>
                <c:pt idx="119">
                  <c:v>9.2514819712972152E-3</c:v>
                </c:pt>
                <c:pt idx="120">
                  <c:v>1.3731337931364163E-2</c:v>
                </c:pt>
                <c:pt idx="121">
                  <c:v>1.5056112206726313E-2</c:v>
                </c:pt>
                <c:pt idx="122">
                  <c:v>1.4943144609156356E-2</c:v>
                </c:pt>
                <c:pt idx="123">
                  <c:v>1.6896338602053307E-2</c:v>
                </c:pt>
                <c:pt idx="124">
                  <c:v>1.98711834074774E-2</c:v>
                </c:pt>
                <c:pt idx="125">
                  <c:v>1.5933188210268678E-2</c:v>
                </c:pt>
                <c:pt idx="126">
                  <c:v>2.0089564560894724E-2</c:v>
                </c:pt>
              </c:numCache>
            </c:numRef>
          </c:xVal>
          <c:yVal>
            <c:numRef>
              <c:f>'MCAI versus Purchase'!$G$193:$G$319</c:f>
              <c:numCache>
                <c:formatCode>0%</c:formatCode>
                <c:ptCount val="127"/>
                <c:pt idx="0">
                  <c:v>4.375087083739726E-2</c:v>
                </c:pt>
                <c:pt idx="1">
                  <c:v>4.1679645200907833E-2</c:v>
                </c:pt>
                <c:pt idx="2">
                  <c:v>3.9784134762106182E-2</c:v>
                </c:pt>
                <c:pt idx="3">
                  <c:v>3.8042808430220454E-2</c:v>
                </c:pt>
                <c:pt idx="4">
                  <c:v>3.6437514014327155E-2</c:v>
                </c:pt>
                <c:pt idx="5">
                  <c:v>3.4952840398240648E-2</c:v>
                </c:pt>
                <c:pt idx="6">
                  <c:v>3.3575618935173246E-2</c:v>
                </c:pt>
                <c:pt idx="7">
                  <c:v>2.6130725020526047E-2</c:v>
                </c:pt>
                <c:pt idx="8">
                  <c:v>1.9272917029048653E-2</c:v>
                </c:pt>
                <c:pt idx="9">
                  <c:v>1.2833202498378826E-2</c:v>
                </c:pt>
                <c:pt idx="10">
                  <c:v>6.6722830665544297E-3</c:v>
                </c:pt>
                <c:pt idx="11">
                  <c:v>6.6950088708872535E-4</c:v>
                </c:pt>
                <c:pt idx="12">
                  <c:v>-5.2855183487773294E-3</c:v>
                </c:pt>
                <c:pt idx="13">
                  <c:v>-7.7910431074489361E-3</c:v>
                </c:pt>
                <c:pt idx="14">
                  <c:v>-1.0349113090093343E-2</c:v>
                </c:pt>
                <c:pt idx="15">
                  <c:v>-1.2980341119254613E-2</c:v>
                </c:pt>
                <c:pt idx="16">
                  <c:v>-1.5707230188417243E-2</c:v>
                </c:pt>
                <c:pt idx="17">
                  <c:v>-1.855485962946013E-2</c:v>
                </c:pt>
                <c:pt idx="18">
                  <c:v>-2.1551724137931161E-2</c:v>
                </c:pt>
                <c:pt idx="19">
                  <c:v>-2.5134605969162949E-2</c:v>
                </c:pt>
                <c:pt idx="20">
                  <c:v>-2.8970953734268057E-2</c:v>
                </c:pt>
                <c:pt idx="21">
                  <c:v>-3.31187466066859E-2</c:v>
                </c:pt>
                <c:pt idx="22">
                  <c:v>-3.7649072140221507E-2</c:v>
                </c:pt>
                <c:pt idx="23">
                  <c:v>-4.2650736318303184E-2</c:v>
                </c:pt>
                <c:pt idx="24">
                  <c:v>-4.8236830648672124E-2</c:v>
                </c:pt>
                <c:pt idx="25">
                  <c:v>-5.1504894337206397E-2</c:v>
                </c:pt>
                <c:pt idx="26">
                  <c:v>-5.5169753086419693E-2</c:v>
                </c:pt>
                <c:pt idx="27">
                  <c:v>-5.9309922417313032E-2</c:v>
                </c:pt>
                <c:pt idx="28">
                  <c:v>-6.4026044492675016E-2</c:v>
                </c:pt>
                <c:pt idx="29">
                  <c:v>-6.9449275362318819E-2</c:v>
                </c:pt>
                <c:pt idx="30">
                  <c:v>-7.5753800149514161E-2</c:v>
                </c:pt>
                <c:pt idx="31">
                  <c:v>-7.8727419789700659E-2</c:v>
                </c:pt>
                <c:pt idx="32">
                  <c:v>-8.1943225051214541E-2</c:v>
                </c:pt>
                <c:pt idx="33">
                  <c:v>-8.5431941345234241E-2</c:v>
                </c:pt>
                <c:pt idx="34">
                  <c:v>-8.922969675322423E-2</c:v>
                </c:pt>
                <c:pt idx="35">
                  <c:v>-9.3379257563566354E-2</c:v>
                </c:pt>
                <c:pt idx="36">
                  <c:v>-9.7931616715913883E-2</c:v>
                </c:pt>
                <c:pt idx="37">
                  <c:v>-9.7878646076275166E-2</c:v>
                </c:pt>
                <c:pt idx="38">
                  <c:v>-9.6654275093717823E-2</c:v>
                </c:pt>
                <c:pt idx="39">
                  <c:v>-9.3884582256675286E-2</c:v>
                </c:pt>
                <c:pt idx="40">
                  <c:v>-8.9142374302915273E-2</c:v>
                </c:pt>
                <c:pt idx="41">
                  <c:v>-8.1980519491164361E-2</c:v>
                </c:pt>
                <c:pt idx="42">
                  <c:v>-7.1996968548692752E-2</c:v>
                </c:pt>
                <c:pt idx="43">
                  <c:v>-6.6285558717844029E-2</c:v>
                </c:pt>
                <c:pt idx="44">
                  <c:v>-5.8892128293602131E-2</c:v>
                </c:pt>
                <c:pt idx="45">
                  <c:v>-4.9721189591078074E-2</c:v>
                </c:pt>
                <c:pt idx="46">
                  <c:v>-3.8793806014669974E-2</c:v>
                </c:pt>
                <c:pt idx="47">
                  <c:v>-2.6284551483359619E-2</c:v>
                </c:pt>
                <c:pt idx="48">
                  <c:v>-1.2539184952978011E-2</c:v>
                </c:pt>
                <c:pt idx="49">
                  <c:v>-9.34744266137566E-3</c:v>
                </c:pt>
                <c:pt idx="50">
                  <c:v>-6.0530532507271362E-3</c:v>
                </c:pt>
                <c:pt idx="51">
                  <c:v>-2.6867275658247758E-3</c:v>
                </c:pt>
                <c:pt idx="52">
                  <c:v>7.1839080818958401E-4</c:v>
                </c:pt>
                <c:pt idx="53">
                  <c:v>4.1277817623686097E-3</c:v>
                </c:pt>
                <c:pt idx="54">
                  <c:v>7.5067024128685489E-3</c:v>
                </c:pt>
                <c:pt idx="55">
                  <c:v>5.3219797924428658E-3</c:v>
                </c:pt>
                <c:pt idx="56">
                  <c:v>3.1762837320830073E-3</c:v>
                </c:pt>
                <c:pt idx="57">
                  <c:v>1.0554089709762238E-3</c:v>
                </c:pt>
                <c:pt idx="58">
                  <c:v>-1.0542962572482883E-3</c:v>
                </c:pt>
                <c:pt idx="59">
                  <c:v>-3.1662269129286713E-3</c:v>
                </c:pt>
                <c:pt idx="60">
                  <c:v>-5.2938062466914015E-3</c:v>
                </c:pt>
                <c:pt idx="61">
                  <c:v>-3.0157885577433152E-3</c:v>
                </c:pt>
                <c:pt idx="62">
                  <c:v>-7.1174375446114713E-4</c:v>
                </c:pt>
                <c:pt idx="63">
                  <c:v>8.4401709401715763E-4</c:v>
                </c:pt>
                <c:pt idx="64">
                  <c:v>1.0888246031661719E-3</c:v>
                </c:pt>
                <c:pt idx="65">
                  <c:v>5.214275812797986E-3</c:v>
                </c:pt>
                <c:pt idx="66">
                  <c:v>8.7779781478729557E-3</c:v>
                </c:pt>
                <c:pt idx="67">
                  <c:v>8.0356125713085813E-3</c:v>
                </c:pt>
                <c:pt idx="68">
                  <c:v>6.4763461255044064E-3</c:v>
                </c:pt>
                <c:pt idx="69">
                  <c:v>7.8718938667634575E-3</c:v>
                </c:pt>
                <c:pt idx="70">
                  <c:v>5.3646229664137124E-3</c:v>
                </c:pt>
                <c:pt idx="71">
                  <c:v>4.5756603526949657E-3</c:v>
                </c:pt>
                <c:pt idx="72">
                  <c:v>3.5230269521746571E-3</c:v>
                </c:pt>
                <c:pt idx="73">
                  <c:v>6.1554902239291387E-4</c:v>
                </c:pt>
                <c:pt idx="74">
                  <c:v>-2.6837652314272153E-3</c:v>
                </c:pt>
                <c:pt idx="75">
                  <c:v>-3.8127967626813142E-3</c:v>
                </c:pt>
                <c:pt idx="76">
                  <c:v>-4.570753995794985E-3</c:v>
                </c:pt>
                <c:pt idx="77">
                  <c:v>-6.2971969186679244E-3</c:v>
                </c:pt>
                <c:pt idx="78">
                  <c:v>-7.217590490734227E-3</c:v>
                </c:pt>
                <c:pt idx="79">
                  <c:v>-8.3994602277153163E-3</c:v>
                </c:pt>
                <c:pt idx="80">
                  <c:v>-5.6266923049067552E-3</c:v>
                </c:pt>
                <c:pt idx="81">
                  <c:v>-4.3005539071269139E-3</c:v>
                </c:pt>
                <c:pt idx="82">
                  <c:v>-2.9852800287941683E-3</c:v>
                </c:pt>
                <c:pt idx="83">
                  <c:v>-1.767863115367696E-3</c:v>
                </c:pt>
                <c:pt idx="84">
                  <c:v>-1.271073764824715E-3</c:v>
                </c:pt>
                <c:pt idx="85">
                  <c:v>-9.265619758135335E-4</c:v>
                </c:pt>
                <c:pt idx="86">
                  <c:v>7.3554102240214192E-4</c:v>
                </c:pt>
                <c:pt idx="87">
                  <c:v>-1.693696572661163E-3</c:v>
                </c:pt>
                <c:pt idx="88">
                  <c:v>7.7892838660420516E-4</c:v>
                </c:pt>
                <c:pt idx="89">
                  <c:v>1.3807221336687991E-3</c:v>
                </c:pt>
                <c:pt idx="90">
                  <c:v>2.6032516689558083E-3</c:v>
                </c:pt>
                <c:pt idx="91">
                  <c:v>5.2673218960235246E-3</c:v>
                </c:pt>
                <c:pt idx="92">
                  <c:v>6.5813451086236263E-3</c:v>
                </c:pt>
                <c:pt idx="93">
                  <c:v>5.6147642061405989E-3</c:v>
                </c:pt>
                <c:pt idx="94">
                  <c:v>5.1085634969916249E-3</c:v>
                </c:pt>
                <c:pt idx="95">
                  <c:v>4.4907537197977909E-3</c:v>
                </c:pt>
                <c:pt idx="96">
                  <c:v>4.077877642997052E-3</c:v>
                </c:pt>
                <c:pt idx="97">
                  <c:v>6.8615137539118631E-3</c:v>
                </c:pt>
                <c:pt idx="98">
                  <c:v>4.892512972572316E-3</c:v>
                </c:pt>
                <c:pt idx="99">
                  <c:v>5.1281529491966626E-3</c:v>
                </c:pt>
                <c:pt idx="100">
                  <c:v>6.2762565166776252E-3</c:v>
                </c:pt>
                <c:pt idx="101">
                  <c:v>4.6023841859059722E-3</c:v>
                </c:pt>
                <c:pt idx="102">
                  <c:v>3.8252597321317694E-3</c:v>
                </c:pt>
                <c:pt idx="103">
                  <c:v>4.0850121453046562E-3</c:v>
                </c:pt>
                <c:pt idx="104">
                  <c:v>3.4623561905140487E-3</c:v>
                </c:pt>
                <c:pt idx="105">
                  <c:v>4.0048513650652318E-3</c:v>
                </c:pt>
                <c:pt idx="106">
                  <c:v>2.2878105061781007E-3</c:v>
                </c:pt>
                <c:pt idx="107">
                  <c:v>2.8187998701283412E-3</c:v>
                </c:pt>
                <c:pt idx="108">
                  <c:v>2.8893652716937002E-3</c:v>
                </c:pt>
                <c:pt idx="109">
                  <c:v>2.6902758755624756E-3</c:v>
                </c:pt>
                <c:pt idx="110">
                  <c:v>3.4635835894434308E-3</c:v>
                </c:pt>
                <c:pt idx="111">
                  <c:v>5.1818181818181763E-3</c:v>
                </c:pt>
                <c:pt idx="112">
                  <c:v>5.0782068029593397E-3</c:v>
                </c:pt>
                <c:pt idx="113">
                  <c:v>5.9668196706796905E-3</c:v>
                </c:pt>
                <c:pt idx="114">
                  <c:v>5.3095846613273601E-3</c:v>
                </c:pt>
                <c:pt idx="115">
                  <c:v>5.9476822833770537E-3</c:v>
                </c:pt>
                <c:pt idx="116">
                  <c:v>5.9598166457679458E-3</c:v>
                </c:pt>
                <c:pt idx="117">
                  <c:v>5.8774877642460144E-3</c:v>
                </c:pt>
                <c:pt idx="118">
                  <c:v>6.8247930708718041E-3</c:v>
                </c:pt>
                <c:pt idx="119">
                  <c:v>5.7106802255855182E-3</c:v>
                </c:pt>
                <c:pt idx="120">
                  <c:v>3.9452320905346561E-3</c:v>
                </c:pt>
                <c:pt idx="121">
                  <c:v>3.4027603743957968E-3</c:v>
                </c:pt>
                <c:pt idx="122">
                  <c:v>3.5287027892789702E-3</c:v>
                </c:pt>
                <c:pt idx="123">
                  <c:v>3.3792963300383061E-3</c:v>
                </c:pt>
                <c:pt idx="124">
                  <c:v>4.187137750005121E-3</c:v>
                </c:pt>
                <c:pt idx="125">
                  <c:v>3.0819364531897708E-3</c:v>
                </c:pt>
                <c:pt idx="126">
                  <c:v>1.8525170510639288E-3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379392"/>
        <c:axId val="394448896"/>
      </c:scatterChart>
      <c:valAx>
        <c:axId val="328379392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394448896"/>
        <c:crosses val="autoZero"/>
        <c:crossBetween val="midCat"/>
      </c:valAx>
      <c:valAx>
        <c:axId val="394448896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crossAx val="32837939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'MCAI versus Purchase'!$B$1</c:f>
              <c:strCache>
                <c:ptCount val="1"/>
                <c:pt idx="0">
                  <c:v>Purchase</c:v>
                </c:pt>
              </c:strCache>
            </c:strRef>
          </c:tx>
          <c:marker>
            <c:symbol val="none"/>
          </c:marker>
          <c:cat>
            <c:numRef>
              <c:f>'MCAI versus Purchase'!$A$2:$A$319</c:f>
              <c:numCache>
                <c:formatCode>m/d/yyyy</c:formatCode>
                <c:ptCount val="318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</c:numCache>
            </c:numRef>
          </c:cat>
          <c:val>
            <c:numRef>
              <c:f>'MCAI versus Purchase'!$B$2:$B$319</c:f>
              <c:numCache>
                <c:formatCode>0</c:formatCode>
                <c:ptCount val="318"/>
                <c:pt idx="0">
                  <c:v>92.4</c:v>
                </c:pt>
                <c:pt idx="1">
                  <c:v>100.175</c:v>
                </c:pt>
                <c:pt idx="2">
                  <c:v>92.28</c:v>
                </c:pt>
                <c:pt idx="3">
                  <c:v>91.25</c:v>
                </c:pt>
                <c:pt idx="4">
                  <c:v>85.5</c:v>
                </c:pt>
                <c:pt idx="5">
                  <c:v>92</c:v>
                </c:pt>
                <c:pt idx="6">
                  <c:v>88.65</c:v>
                </c:pt>
                <c:pt idx="7">
                  <c:v>89.18</c:v>
                </c:pt>
                <c:pt idx="8">
                  <c:v>80.45</c:v>
                </c:pt>
                <c:pt idx="9">
                  <c:v>74.95</c:v>
                </c:pt>
                <c:pt idx="10">
                  <c:v>81.84</c:v>
                </c:pt>
                <c:pt idx="11">
                  <c:v>78.900000000000006</c:v>
                </c:pt>
                <c:pt idx="12">
                  <c:v>87.375</c:v>
                </c:pt>
                <c:pt idx="13">
                  <c:v>98.8</c:v>
                </c:pt>
                <c:pt idx="14">
                  <c:v>114.6</c:v>
                </c:pt>
                <c:pt idx="15">
                  <c:v>112</c:v>
                </c:pt>
                <c:pt idx="16">
                  <c:v>117.32</c:v>
                </c:pt>
                <c:pt idx="17">
                  <c:v>113.875</c:v>
                </c:pt>
                <c:pt idx="18">
                  <c:v>116.875</c:v>
                </c:pt>
                <c:pt idx="19">
                  <c:v>105.26</c:v>
                </c:pt>
                <c:pt idx="20">
                  <c:v>106.9</c:v>
                </c:pt>
                <c:pt idx="21">
                  <c:v>112.22499999999999</c:v>
                </c:pt>
                <c:pt idx="22">
                  <c:v>103.5</c:v>
                </c:pt>
                <c:pt idx="23">
                  <c:v>100.25</c:v>
                </c:pt>
                <c:pt idx="24">
                  <c:v>132.84</c:v>
                </c:pt>
                <c:pt idx="25">
                  <c:v>129.375</c:v>
                </c:pt>
                <c:pt idx="26">
                  <c:v>115.925</c:v>
                </c:pt>
                <c:pt idx="27">
                  <c:v>117.95</c:v>
                </c:pt>
                <c:pt idx="28">
                  <c:v>117.66</c:v>
                </c:pt>
                <c:pt idx="29">
                  <c:v>117.05</c:v>
                </c:pt>
                <c:pt idx="30">
                  <c:v>138.44</c:v>
                </c:pt>
                <c:pt idx="31">
                  <c:v>142.75</c:v>
                </c:pt>
                <c:pt idx="32">
                  <c:v>147.17500000000001</c:v>
                </c:pt>
                <c:pt idx="33">
                  <c:v>138.88</c:v>
                </c:pt>
                <c:pt idx="34">
                  <c:v>138.17500000000001</c:v>
                </c:pt>
                <c:pt idx="35">
                  <c:v>135.22499999999999</c:v>
                </c:pt>
                <c:pt idx="36">
                  <c:v>138</c:v>
                </c:pt>
                <c:pt idx="37">
                  <c:v>154.02500000000001</c:v>
                </c:pt>
                <c:pt idx="38">
                  <c:v>150.35</c:v>
                </c:pt>
                <c:pt idx="39">
                  <c:v>166.7</c:v>
                </c:pt>
                <c:pt idx="40">
                  <c:v>150.17500000000001</c:v>
                </c:pt>
                <c:pt idx="41">
                  <c:v>157.85</c:v>
                </c:pt>
                <c:pt idx="42">
                  <c:v>166.18</c:v>
                </c:pt>
                <c:pt idx="43">
                  <c:v>151.6</c:v>
                </c:pt>
                <c:pt idx="44">
                  <c:v>177</c:v>
                </c:pt>
                <c:pt idx="45">
                  <c:v>163.98</c:v>
                </c:pt>
                <c:pt idx="46">
                  <c:v>162.22499999999999</c:v>
                </c:pt>
                <c:pt idx="47">
                  <c:v>151.4</c:v>
                </c:pt>
                <c:pt idx="48">
                  <c:v>134.77500000000001</c:v>
                </c:pt>
                <c:pt idx="49">
                  <c:v>155.05000000000001</c:v>
                </c:pt>
                <c:pt idx="50">
                  <c:v>150.85</c:v>
                </c:pt>
                <c:pt idx="51">
                  <c:v>161.08000000000001</c:v>
                </c:pt>
                <c:pt idx="52">
                  <c:v>145.9</c:v>
                </c:pt>
                <c:pt idx="53">
                  <c:v>145.17500000000001</c:v>
                </c:pt>
                <c:pt idx="54">
                  <c:v>144.08000000000001</c:v>
                </c:pt>
                <c:pt idx="55">
                  <c:v>141.75</c:v>
                </c:pt>
                <c:pt idx="56">
                  <c:v>138.08000000000001</c:v>
                </c:pt>
                <c:pt idx="57">
                  <c:v>135.27500000000001</c:v>
                </c:pt>
                <c:pt idx="58">
                  <c:v>135.67500000000001</c:v>
                </c:pt>
                <c:pt idx="59">
                  <c:v>124.52</c:v>
                </c:pt>
                <c:pt idx="60">
                  <c:v>129.65</c:v>
                </c:pt>
                <c:pt idx="61">
                  <c:v>139.17500000000001</c:v>
                </c:pt>
                <c:pt idx="62">
                  <c:v>139.46</c:v>
                </c:pt>
                <c:pt idx="63">
                  <c:v>150.02500000000001</c:v>
                </c:pt>
                <c:pt idx="64">
                  <c:v>156.15</c:v>
                </c:pt>
                <c:pt idx="65">
                  <c:v>172.24</c:v>
                </c:pt>
                <c:pt idx="66">
                  <c:v>161.72499999999999</c:v>
                </c:pt>
                <c:pt idx="67">
                  <c:v>154.35</c:v>
                </c:pt>
                <c:pt idx="68">
                  <c:v>188.7</c:v>
                </c:pt>
                <c:pt idx="69">
                  <c:v>186.97499999999999</c:v>
                </c:pt>
                <c:pt idx="70">
                  <c:v>188.375</c:v>
                </c:pt>
                <c:pt idx="71">
                  <c:v>204.68</c:v>
                </c:pt>
                <c:pt idx="72">
                  <c:v>176.72499999999999</c:v>
                </c:pt>
                <c:pt idx="73">
                  <c:v>173.4</c:v>
                </c:pt>
                <c:pt idx="74">
                  <c:v>179.3</c:v>
                </c:pt>
                <c:pt idx="75">
                  <c:v>177.35</c:v>
                </c:pt>
                <c:pt idx="76">
                  <c:v>189.14</c:v>
                </c:pt>
                <c:pt idx="77">
                  <c:v>183.67500000000001</c:v>
                </c:pt>
                <c:pt idx="78">
                  <c:v>181.5</c:v>
                </c:pt>
                <c:pt idx="79">
                  <c:v>182.02</c:v>
                </c:pt>
                <c:pt idx="80">
                  <c:v>186.375</c:v>
                </c:pt>
                <c:pt idx="81">
                  <c:v>182.27500000000001</c:v>
                </c:pt>
                <c:pt idx="82">
                  <c:v>199.88</c:v>
                </c:pt>
                <c:pt idx="83">
                  <c:v>190.17500000000001</c:v>
                </c:pt>
                <c:pt idx="84">
                  <c:v>184.28</c:v>
                </c:pt>
                <c:pt idx="85">
                  <c:v>184.2</c:v>
                </c:pt>
                <c:pt idx="86">
                  <c:v>204.875</c:v>
                </c:pt>
                <c:pt idx="87">
                  <c:v>179.8</c:v>
                </c:pt>
                <c:pt idx="88">
                  <c:v>192.96</c:v>
                </c:pt>
                <c:pt idx="89">
                  <c:v>207.75</c:v>
                </c:pt>
                <c:pt idx="90">
                  <c:v>211.45</c:v>
                </c:pt>
                <c:pt idx="91">
                  <c:v>213.92</c:v>
                </c:pt>
                <c:pt idx="92">
                  <c:v>218.32499999999999</c:v>
                </c:pt>
                <c:pt idx="93">
                  <c:v>220.12</c:v>
                </c:pt>
                <c:pt idx="94">
                  <c:v>224.82499999999999</c:v>
                </c:pt>
                <c:pt idx="95">
                  <c:v>227.875</c:v>
                </c:pt>
                <c:pt idx="96">
                  <c:v>270.18</c:v>
                </c:pt>
                <c:pt idx="97">
                  <c:v>235</c:v>
                </c:pt>
                <c:pt idx="98">
                  <c:v>224.72499999999999</c:v>
                </c:pt>
                <c:pt idx="99">
                  <c:v>251.2</c:v>
                </c:pt>
                <c:pt idx="100">
                  <c:v>264.88</c:v>
                </c:pt>
                <c:pt idx="101">
                  <c:v>262.52499999999998</c:v>
                </c:pt>
                <c:pt idx="102">
                  <c:v>262.7</c:v>
                </c:pt>
                <c:pt idx="103">
                  <c:v>254.65</c:v>
                </c:pt>
                <c:pt idx="104">
                  <c:v>292.375</c:v>
                </c:pt>
                <c:pt idx="105">
                  <c:v>298.58</c:v>
                </c:pt>
                <c:pt idx="106">
                  <c:v>285.2</c:v>
                </c:pt>
                <c:pt idx="107">
                  <c:v>281.27499999999998</c:v>
                </c:pt>
                <c:pt idx="108">
                  <c:v>266.27999999999997</c:v>
                </c:pt>
                <c:pt idx="109">
                  <c:v>246.97499999999999</c:v>
                </c:pt>
                <c:pt idx="110">
                  <c:v>257.2</c:v>
                </c:pt>
                <c:pt idx="111">
                  <c:v>277.2</c:v>
                </c:pt>
                <c:pt idx="112">
                  <c:v>288.27499999999998</c:v>
                </c:pt>
                <c:pt idx="113">
                  <c:v>309.60000000000002</c:v>
                </c:pt>
                <c:pt idx="114">
                  <c:v>285.86</c:v>
                </c:pt>
                <c:pt idx="115">
                  <c:v>277.45</c:v>
                </c:pt>
                <c:pt idx="116">
                  <c:v>264.85000000000002</c:v>
                </c:pt>
                <c:pt idx="117">
                  <c:v>272.38</c:v>
                </c:pt>
                <c:pt idx="118">
                  <c:v>295.47500000000002</c:v>
                </c:pt>
                <c:pt idx="119">
                  <c:v>269.86</c:v>
                </c:pt>
                <c:pt idx="120">
                  <c:v>281.32499999999999</c:v>
                </c:pt>
                <c:pt idx="121">
                  <c:v>279.67500000000001</c:v>
                </c:pt>
                <c:pt idx="122">
                  <c:v>296.18</c:v>
                </c:pt>
                <c:pt idx="123">
                  <c:v>304.89999999999998</c:v>
                </c:pt>
                <c:pt idx="124">
                  <c:v>303.77499999999998</c:v>
                </c:pt>
                <c:pt idx="125">
                  <c:v>314.82</c:v>
                </c:pt>
                <c:pt idx="126">
                  <c:v>312.22500000000002</c:v>
                </c:pt>
                <c:pt idx="127">
                  <c:v>308.42500000000001</c:v>
                </c:pt>
                <c:pt idx="128">
                  <c:v>315.77999999999997</c:v>
                </c:pt>
                <c:pt idx="129">
                  <c:v>304.3</c:v>
                </c:pt>
                <c:pt idx="130">
                  <c:v>312.89999999999998</c:v>
                </c:pt>
                <c:pt idx="131">
                  <c:v>295.38</c:v>
                </c:pt>
                <c:pt idx="132">
                  <c:v>314.10000000000002</c:v>
                </c:pt>
                <c:pt idx="133">
                  <c:v>288.7</c:v>
                </c:pt>
                <c:pt idx="134">
                  <c:v>299.44</c:v>
                </c:pt>
                <c:pt idx="135">
                  <c:v>301.7</c:v>
                </c:pt>
                <c:pt idx="136">
                  <c:v>307.89999999999998</c:v>
                </c:pt>
                <c:pt idx="137">
                  <c:v>325.48</c:v>
                </c:pt>
                <c:pt idx="138">
                  <c:v>311.92500000000001</c:v>
                </c:pt>
                <c:pt idx="139">
                  <c:v>304.89999999999998</c:v>
                </c:pt>
                <c:pt idx="140">
                  <c:v>296.3</c:v>
                </c:pt>
                <c:pt idx="141">
                  <c:v>272.02499999999998</c:v>
                </c:pt>
                <c:pt idx="142">
                  <c:v>315</c:v>
                </c:pt>
                <c:pt idx="143">
                  <c:v>315</c:v>
                </c:pt>
                <c:pt idx="144">
                  <c:v>356.2</c:v>
                </c:pt>
                <c:pt idx="145">
                  <c:v>315.32499999999999</c:v>
                </c:pt>
                <c:pt idx="146">
                  <c:v>328.24</c:v>
                </c:pt>
                <c:pt idx="147">
                  <c:v>347.52499999999998</c:v>
                </c:pt>
                <c:pt idx="148">
                  <c:v>369.16</c:v>
                </c:pt>
                <c:pt idx="149">
                  <c:v>373.17500000000001</c:v>
                </c:pt>
                <c:pt idx="150">
                  <c:v>374.25</c:v>
                </c:pt>
                <c:pt idx="151">
                  <c:v>360.6</c:v>
                </c:pt>
                <c:pt idx="152">
                  <c:v>369.52499999999998</c:v>
                </c:pt>
                <c:pt idx="153">
                  <c:v>348.625</c:v>
                </c:pt>
                <c:pt idx="154">
                  <c:v>356.92</c:v>
                </c:pt>
                <c:pt idx="155">
                  <c:v>357.625</c:v>
                </c:pt>
                <c:pt idx="156">
                  <c:v>365.22</c:v>
                </c:pt>
                <c:pt idx="157">
                  <c:v>329.45</c:v>
                </c:pt>
                <c:pt idx="158">
                  <c:v>360.17500000000001</c:v>
                </c:pt>
                <c:pt idx="159">
                  <c:v>373.2</c:v>
                </c:pt>
                <c:pt idx="160">
                  <c:v>416.64</c:v>
                </c:pt>
                <c:pt idx="161">
                  <c:v>421.9</c:v>
                </c:pt>
                <c:pt idx="162">
                  <c:v>432.65</c:v>
                </c:pt>
                <c:pt idx="163">
                  <c:v>405.42</c:v>
                </c:pt>
                <c:pt idx="164">
                  <c:v>410.27499999999998</c:v>
                </c:pt>
                <c:pt idx="165">
                  <c:v>390.88</c:v>
                </c:pt>
                <c:pt idx="166">
                  <c:v>425.75</c:v>
                </c:pt>
                <c:pt idx="167">
                  <c:v>409.67500000000001</c:v>
                </c:pt>
                <c:pt idx="168">
                  <c:v>448.88</c:v>
                </c:pt>
                <c:pt idx="169">
                  <c:v>415.55</c:v>
                </c:pt>
                <c:pt idx="170">
                  <c:v>443.42500000000001</c:v>
                </c:pt>
                <c:pt idx="171">
                  <c:v>457.96</c:v>
                </c:pt>
                <c:pt idx="172">
                  <c:v>464.52499999999998</c:v>
                </c:pt>
                <c:pt idx="173">
                  <c:v>442.9</c:v>
                </c:pt>
                <c:pt idx="174">
                  <c:v>461.36</c:v>
                </c:pt>
                <c:pt idx="175">
                  <c:v>448.47500000000002</c:v>
                </c:pt>
                <c:pt idx="176">
                  <c:v>464.35</c:v>
                </c:pt>
                <c:pt idx="177">
                  <c:v>458.82</c:v>
                </c:pt>
                <c:pt idx="178">
                  <c:v>471.72500000000002</c:v>
                </c:pt>
                <c:pt idx="179">
                  <c:v>470.4</c:v>
                </c:pt>
                <c:pt idx="180">
                  <c:v>430.125</c:v>
                </c:pt>
                <c:pt idx="181">
                  <c:v>431.42500000000001</c:v>
                </c:pt>
                <c:pt idx="182">
                  <c:v>457.95</c:v>
                </c:pt>
                <c:pt idx="183">
                  <c:v>470.34</c:v>
                </c:pt>
                <c:pt idx="184">
                  <c:v>485.125</c:v>
                </c:pt>
                <c:pt idx="185">
                  <c:v>491.35</c:v>
                </c:pt>
                <c:pt idx="186">
                  <c:v>495.62</c:v>
                </c:pt>
                <c:pt idx="187">
                  <c:v>489.27499999999998</c:v>
                </c:pt>
                <c:pt idx="188">
                  <c:v>493.94</c:v>
                </c:pt>
                <c:pt idx="189">
                  <c:v>469.35</c:v>
                </c:pt>
                <c:pt idx="190">
                  <c:v>473.02499999999998</c:v>
                </c:pt>
                <c:pt idx="191">
                  <c:v>455.46</c:v>
                </c:pt>
                <c:pt idx="192">
                  <c:v>452.67500000000001</c:v>
                </c:pt>
                <c:pt idx="193">
                  <c:v>406.57499999999999</c:v>
                </c:pt>
                <c:pt idx="194">
                  <c:v>407.58</c:v>
                </c:pt>
                <c:pt idx="195">
                  <c:v>411.95</c:v>
                </c:pt>
                <c:pt idx="196">
                  <c:v>408.77499999999998</c:v>
                </c:pt>
                <c:pt idx="197">
                  <c:v>405.64</c:v>
                </c:pt>
                <c:pt idx="198">
                  <c:v>397.17500000000001</c:v>
                </c:pt>
                <c:pt idx="199">
                  <c:v>383.22500000000002</c:v>
                </c:pt>
                <c:pt idx="200">
                  <c:v>395.66</c:v>
                </c:pt>
                <c:pt idx="201">
                  <c:v>381.5</c:v>
                </c:pt>
                <c:pt idx="202">
                  <c:v>405.8</c:v>
                </c:pt>
                <c:pt idx="203">
                  <c:v>424.8</c:v>
                </c:pt>
                <c:pt idx="204">
                  <c:v>430.8</c:v>
                </c:pt>
                <c:pt idx="205">
                  <c:v>397.02499999999998</c:v>
                </c:pt>
                <c:pt idx="206">
                  <c:v>408.84</c:v>
                </c:pt>
                <c:pt idx="207">
                  <c:v>412.15</c:v>
                </c:pt>
                <c:pt idx="208">
                  <c:v>433.92500000000001</c:v>
                </c:pt>
                <c:pt idx="209">
                  <c:v>443.08</c:v>
                </c:pt>
                <c:pt idx="210">
                  <c:v>435.3</c:v>
                </c:pt>
                <c:pt idx="211">
                  <c:v>440.72</c:v>
                </c:pt>
                <c:pt idx="212">
                  <c:v>432.55</c:v>
                </c:pt>
                <c:pt idx="213">
                  <c:v>419.52499999999998</c:v>
                </c:pt>
                <c:pt idx="214">
                  <c:v>427.38</c:v>
                </c:pt>
                <c:pt idx="215">
                  <c:v>412.375</c:v>
                </c:pt>
                <c:pt idx="216">
                  <c:v>419.27499999999998</c:v>
                </c:pt>
                <c:pt idx="217">
                  <c:v>377.62</c:v>
                </c:pt>
                <c:pt idx="218">
                  <c:v>373.375</c:v>
                </c:pt>
                <c:pt idx="219">
                  <c:v>365.92500000000001</c:v>
                </c:pt>
                <c:pt idx="220">
                  <c:v>359.72</c:v>
                </c:pt>
                <c:pt idx="221">
                  <c:v>353.15</c:v>
                </c:pt>
                <c:pt idx="222">
                  <c:v>342.65</c:v>
                </c:pt>
                <c:pt idx="223">
                  <c:v>321.86</c:v>
                </c:pt>
                <c:pt idx="224">
                  <c:v>349.72500000000002</c:v>
                </c:pt>
                <c:pt idx="225">
                  <c:v>294.26</c:v>
                </c:pt>
                <c:pt idx="226">
                  <c:v>288.89999999999998</c:v>
                </c:pt>
                <c:pt idx="227">
                  <c:v>305.77499999999998</c:v>
                </c:pt>
                <c:pt idx="228">
                  <c:v>299.76</c:v>
                </c:pt>
                <c:pt idx="229">
                  <c:v>245.02500000000001</c:v>
                </c:pt>
                <c:pt idx="230">
                  <c:v>261.55</c:v>
                </c:pt>
                <c:pt idx="231">
                  <c:v>266.60000000000002</c:v>
                </c:pt>
                <c:pt idx="232">
                  <c:v>261.66000000000003</c:v>
                </c:pt>
                <c:pt idx="233">
                  <c:v>269.97500000000002</c:v>
                </c:pt>
                <c:pt idx="234">
                  <c:v>266.58</c:v>
                </c:pt>
                <c:pt idx="235">
                  <c:v>275.72500000000002</c:v>
                </c:pt>
                <c:pt idx="236">
                  <c:v>283.92500000000001</c:v>
                </c:pt>
                <c:pt idx="237">
                  <c:v>274.2</c:v>
                </c:pt>
                <c:pt idx="238">
                  <c:v>219.97499999999999</c:v>
                </c:pt>
                <c:pt idx="239">
                  <c:v>225.17500000000001</c:v>
                </c:pt>
                <c:pt idx="240">
                  <c:v>220.44</c:v>
                </c:pt>
                <c:pt idx="241">
                  <c:v>211.2</c:v>
                </c:pt>
                <c:pt idx="242">
                  <c:v>229.7</c:v>
                </c:pt>
                <c:pt idx="243">
                  <c:v>250.18</c:v>
                </c:pt>
                <c:pt idx="244">
                  <c:v>204.85</c:v>
                </c:pt>
                <c:pt idx="245">
                  <c:v>174.45</c:v>
                </c:pt>
                <c:pt idx="246">
                  <c:v>169.6</c:v>
                </c:pt>
                <c:pt idx="247">
                  <c:v>172.22499999999999</c:v>
                </c:pt>
                <c:pt idx="248">
                  <c:v>181.9</c:v>
                </c:pt>
                <c:pt idx="249">
                  <c:v>181.1</c:v>
                </c:pt>
                <c:pt idx="250">
                  <c:v>195.02500000000001</c:v>
                </c:pt>
                <c:pt idx="251">
                  <c:v>201.54</c:v>
                </c:pt>
                <c:pt idx="252">
                  <c:v>185.55</c:v>
                </c:pt>
                <c:pt idx="253">
                  <c:v>179.52500000000001</c:v>
                </c:pt>
                <c:pt idx="254">
                  <c:v>190.3</c:v>
                </c:pt>
                <c:pt idx="255">
                  <c:v>193.7</c:v>
                </c:pt>
                <c:pt idx="256">
                  <c:v>191.57499999999999</c:v>
                </c:pt>
                <c:pt idx="257">
                  <c:v>185.02500000000001</c:v>
                </c:pt>
                <c:pt idx="258">
                  <c:v>183.8</c:v>
                </c:pt>
                <c:pt idx="259">
                  <c:v>167.22499999999999</c:v>
                </c:pt>
                <c:pt idx="260">
                  <c:v>170.876</c:v>
                </c:pt>
                <c:pt idx="261">
                  <c:v>171.25</c:v>
                </c:pt>
                <c:pt idx="262">
                  <c:v>186.92750000000001</c:v>
                </c:pt>
                <c:pt idx="263">
                  <c:v>185.166</c:v>
                </c:pt>
                <c:pt idx="264">
                  <c:v>184.7475</c:v>
                </c:pt>
                <c:pt idx="265">
                  <c:v>171.35</c:v>
                </c:pt>
                <c:pt idx="266">
                  <c:v>188.96</c:v>
                </c:pt>
                <c:pt idx="267">
                  <c:v>189.97499999999999</c:v>
                </c:pt>
                <c:pt idx="268">
                  <c:v>190.45</c:v>
                </c:pt>
                <c:pt idx="269">
                  <c:v>189.56</c:v>
                </c:pt>
                <c:pt idx="270">
                  <c:v>188.3</c:v>
                </c:pt>
                <c:pt idx="271">
                  <c:v>178.22</c:v>
                </c:pt>
                <c:pt idx="272">
                  <c:v>189.97499999999999</c:v>
                </c:pt>
                <c:pt idx="273">
                  <c:v>192.375</c:v>
                </c:pt>
                <c:pt idx="274">
                  <c:v>197.2</c:v>
                </c:pt>
                <c:pt idx="275">
                  <c:v>191.22499999999999</c:v>
                </c:pt>
                <c:pt idx="276">
                  <c:v>205.32499999999999</c:v>
                </c:pt>
                <c:pt idx="277">
                  <c:v>196.375</c:v>
                </c:pt>
                <c:pt idx="278">
                  <c:v>206.44</c:v>
                </c:pt>
                <c:pt idx="279">
                  <c:v>215.375</c:v>
                </c:pt>
                <c:pt idx="280">
                  <c:v>211.08</c:v>
                </c:pt>
                <c:pt idx="281">
                  <c:v>212.6</c:v>
                </c:pt>
                <c:pt idx="282">
                  <c:v>198.65</c:v>
                </c:pt>
                <c:pt idx="283">
                  <c:v>187.74</c:v>
                </c:pt>
                <c:pt idx="284">
                  <c:v>190.42500000000001</c:v>
                </c:pt>
                <c:pt idx="285">
                  <c:v>182.97499999999999</c:v>
                </c:pt>
                <c:pt idx="286">
                  <c:v>187.02</c:v>
                </c:pt>
                <c:pt idx="287">
                  <c:v>175.52500000000001</c:v>
                </c:pt>
                <c:pt idx="288">
                  <c:v>183.3</c:v>
                </c:pt>
                <c:pt idx="289">
                  <c:v>164.2</c:v>
                </c:pt>
                <c:pt idx="290">
                  <c:v>171.9</c:v>
                </c:pt>
                <c:pt idx="291">
                  <c:v>177.77500000000001</c:v>
                </c:pt>
                <c:pt idx="292">
                  <c:v>180</c:v>
                </c:pt>
                <c:pt idx="293">
                  <c:v>179.42500000000001</c:v>
                </c:pt>
                <c:pt idx="294">
                  <c:v>171.625</c:v>
                </c:pt>
                <c:pt idx="295">
                  <c:v>165.92</c:v>
                </c:pt>
                <c:pt idx="296">
                  <c:v>167.1</c:v>
                </c:pt>
                <c:pt idx="297">
                  <c:v>164.48</c:v>
                </c:pt>
                <c:pt idx="298">
                  <c:v>171.85</c:v>
                </c:pt>
                <c:pt idx="299">
                  <c:v>165.82499999999999</c:v>
                </c:pt>
                <c:pt idx="300">
                  <c:v>184.52</c:v>
                </c:pt>
                <c:pt idx="301">
                  <c:v>169.45</c:v>
                </c:pt>
                <c:pt idx="302">
                  <c:v>177.75</c:v>
                </c:pt>
                <c:pt idx="303">
                  <c:v>202.05</c:v>
                </c:pt>
                <c:pt idx="304">
                  <c:v>201.96</c:v>
                </c:pt>
                <c:pt idx="305">
                  <c:v>206.67500000000001</c:v>
                </c:pt>
                <c:pt idx="306">
                  <c:v>201.96</c:v>
                </c:pt>
                <c:pt idx="307">
                  <c:v>199.57499999999999</c:v>
                </c:pt>
                <c:pt idx="308">
                  <c:v>204.4</c:v>
                </c:pt>
                <c:pt idx="309">
                  <c:v>201.12</c:v>
                </c:pt>
                <c:pt idx="310">
                  <c:v>210.67500000000001</c:v>
                </c:pt>
                <c:pt idx="311">
                  <c:v>225.375</c:v>
                </c:pt>
                <c:pt idx="312">
                  <c:v>222.7</c:v>
                </c:pt>
                <c:pt idx="313">
                  <c:v>217.375</c:v>
                </c:pt>
                <c:pt idx="314">
                  <c:v>226.15</c:v>
                </c:pt>
                <c:pt idx="315">
                  <c:v>235.1</c:v>
                </c:pt>
                <c:pt idx="316">
                  <c:v>229.6</c:v>
                </c:pt>
                <c:pt idx="317">
                  <c:v>239.8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'MCAI versus Purchase'!$C$1</c:f>
              <c:strCache>
                <c:ptCount val="1"/>
                <c:pt idx="0">
                  <c:v>MBACAI</c:v>
                </c:pt>
              </c:strCache>
            </c:strRef>
          </c:tx>
          <c:marker>
            <c:symbol val="none"/>
          </c:marker>
          <c:cat>
            <c:numRef>
              <c:f>'MCAI versus Purchase'!$A$2:$A$319</c:f>
              <c:numCache>
                <c:formatCode>m/d/yyyy</c:formatCode>
                <c:ptCount val="318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</c:numCache>
            </c:numRef>
          </c:cat>
          <c:val>
            <c:numRef>
              <c:f>'MCAI versus Purchase'!$C$2:$C$319</c:f>
              <c:numCache>
                <c:formatCode>0</c:formatCode>
                <c:ptCount val="31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377</c:v>
                </c:pt>
                <c:pt idx="174">
                  <c:v>383.5</c:v>
                </c:pt>
                <c:pt idx="175">
                  <c:v>390</c:v>
                </c:pt>
                <c:pt idx="176">
                  <c:v>396.5</c:v>
                </c:pt>
                <c:pt idx="177">
                  <c:v>403</c:v>
                </c:pt>
                <c:pt idx="178">
                  <c:v>409.5</c:v>
                </c:pt>
                <c:pt idx="179">
                  <c:v>416</c:v>
                </c:pt>
                <c:pt idx="180">
                  <c:v>480.83333329999999</c:v>
                </c:pt>
                <c:pt idx="181">
                  <c:v>545.66666669999995</c:v>
                </c:pt>
                <c:pt idx="182">
                  <c:v>610.5</c:v>
                </c:pt>
                <c:pt idx="183">
                  <c:v>675.33333330000005</c:v>
                </c:pt>
                <c:pt idx="184">
                  <c:v>740.16666669999995</c:v>
                </c:pt>
                <c:pt idx="185">
                  <c:v>805</c:v>
                </c:pt>
                <c:pt idx="186">
                  <c:v>812.16666669999995</c:v>
                </c:pt>
                <c:pt idx="187">
                  <c:v>819.33333330000005</c:v>
                </c:pt>
                <c:pt idx="188">
                  <c:v>826.5</c:v>
                </c:pt>
                <c:pt idx="189">
                  <c:v>833.66666669999995</c:v>
                </c:pt>
                <c:pt idx="190">
                  <c:v>840.83333330000005</c:v>
                </c:pt>
                <c:pt idx="191">
                  <c:v>848</c:v>
                </c:pt>
                <c:pt idx="192">
                  <c:v>851.83333330000005</c:v>
                </c:pt>
                <c:pt idx="193">
                  <c:v>855.66666669999995</c:v>
                </c:pt>
                <c:pt idx="194">
                  <c:v>859.5</c:v>
                </c:pt>
                <c:pt idx="195">
                  <c:v>863.33333330000005</c:v>
                </c:pt>
                <c:pt idx="196">
                  <c:v>867.16666669999995</c:v>
                </c:pt>
                <c:pt idx="197">
                  <c:v>871</c:v>
                </c:pt>
                <c:pt idx="198">
                  <c:v>846.83333330000005</c:v>
                </c:pt>
                <c:pt idx="199">
                  <c:v>822.66666669999995</c:v>
                </c:pt>
                <c:pt idx="200">
                  <c:v>798.5</c:v>
                </c:pt>
                <c:pt idx="201">
                  <c:v>774.33333330000005</c:v>
                </c:pt>
                <c:pt idx="202">
                  <c:v>750.16666669999995</c:v>
                </c:pt>
                <c:pt idx="203">
                  <c:v>726</c:v>
                </c:pt>
                <c:pt idx="204">
                  <c:v>696.33333330000005</c:v>
                </c:pt>
                <c:pt idx="205">
                  <c:v>666.66666669999995</c:v>
                </c:pt>
                <c:pt idx="206">
                  <c:v>637</c:v>
                </c:pt>
                <c:pt idx="207">
                  <c:v>607.33333330000005</c:v>
                </c:pt>
                <c:pt idx="208">
                  <c:v>577.66666669999995</c:v>
                </c:pt>
                <c:pt idx="209">
                  <c:v>548</c:v>
                </c:pt>
                <c:pt idx="210">
                  <c:v>509.5</c:v>
                </c:pt>
                <c:pt idx="211">
                  <c:v>471</c:v>
                </c:pt>
                <c:pt idx="212">
                  <c:v>432.5</c:v>
                </c:pt>
                <c:pt idx="213">
                  <c:v>394</c:v>
                </c:pt>
                <c:pt idx="214">
                  <c:v>355.5</c:v>
                </c:pt>
                <c:pt idx="215">
                  <c:v>317</c:v>
                </c:pt>
                <c:pt idx="216">
                  <c:v>283.83333329999999</c:v>
                </c:pt>
                <c:pt idx="217">
                  <c:v>250.66666670000001</c:v>
                </c:pt>
                <c:pt idx="218">
                  <c:v>217.5</c:v>
                </c:pt>
                <c:pt idx="219">
                  <c:v>184.33333329999999</c:v>
                </c:pt>
                <c:pt idx="220">
                  <c:v>151.16666670000001</c:v>
                </c:pt>
                <c:pt idx="221">
                  <c:v>118</c:v>
                </c:pt>
                <c:pt idx="222">
                  <c:v>112.33333330000001</c:v>
                </c:pt>
                <c:pt idx="223">
                  <c:v>106.66666669999999</c:v>
                </c:pt>
                <c:pt idx="224">
                  <c:v>101</c:v>
                </c:pt>
                <c:pt idx="225">
                  <c:v>95.333333330000002</c:v>
                </c:pt>
                <c:pt idx="226">
                  <c:v>89.666666669999998</c:v>
                </c:pt>
                <c:pt idx="227">
                  <c:v>84</c:v>
                </c:pt>
                <c:pt idx="228">
                  <c:v>91.166666669999998</c:v>
                </c:pt>
                <c:pt idx="229">
                  <c:v>98.333333330000002</c:v>
                </c:pt>
                <c:pt idx="230">
                  <c:v>105.5</c:v>
                </c:pt>
                <c:pt idx="231">
                  <c:v>112.66666669999999</c:v>
                </c:pt>
                <c:pt idx="232">
                  <c:v>119.83333330000001</c:v>
                </c:pt>
                <c:pt idx="233">
                  <c:v>127</c:v>
                </c:pt>
                <c:pt idx="234">
                  <c:v>121.5</c:v>
                </c:pt>
                <c:pt idx="235">
                  <c:v>116</c:v>
                </c:pt>
                <c:pt idx="236">
                  <c:v>110.5</c:v>
                </c:pt>
                <c:pt idx="237">
                  <c:v>105</c:v>
                </c:pt>
                <c:pt idx="238">
                  <c:v>99.5</c:v>
                </c:pt>
                <c:pt idx="239">
                  <c:v>94</c:v>
                </c:pt>
                <c:pt idx="240">
                  <c:v>94.666666669999998</c:v>
                </c:pt>
                <c:pt idx="241">
                  <c:v>95.333333330000002</c:v>
                </c:pt>
                <c:pt idx="242">
                  <c:v>96</c:v>
                </c:pt>
                <c:pt idx="243">
                  <c:v>96.666666669999998</c:v>
                </c:pt>
                <c:pt idx="244">
                  <c:v>97.333333330000002</c:v>
                </c:pt>
                <c:pt idx="245">
                  <c:v>98</c:v>
                </c:pt>
                <c:pt idx="246">
                  <c:v>101.16666669999999</c:v>
                </c:pt>
                <c:pt idx="247">
                  <c:v>104.33333330000001</c:v>
                </c:pt>
                <c:pt idx="248">
                  <c:v>107.5</c:v>
                </c:pt>
                <c:pt idx="249">
                  <c:v>110.66666669999999</c:v>
                </c:pt>
                <c:pt idx="250">
                  <c:v>113.83333330000001</c:v>
                </c:pt>
                <c:pt idx="251">
                  <c:v>117</c:v>
                </c:pt>
                <c:pt idx="252">
                  <c:v>115.83333330000001</c:v>
                </c:pt>
                <c:pt idx="253">
                  <c:v>114.66666669999999</c:v>
                </c:pt>
                <c:pt idx="254">
                  <c:v>112.08</c:v>
                </c:pt>
                <c:pt idx="255">
                  <c:v>107.04</c:v>
                </c:pt>
                <c:pt idx="256">
                  <c:v>109.28</c:v>
                </c:pt>
                <c:pt idx="257">
                  <c:v>110.55</c:v>
                </c:pt>
                <c:pt idx="258">
                  <c:v>109.95</c:v>
                </c:pt>
                <c:pt idx="259">
                  <c:v>107.75</c:v>
                </c:pt>
                <c:pt idx="260">
                  <c:v>111.19</c:v>
                </c:pt>
                <c:pt idx="261">
                  <c:v>107.1</c:v>
                </c:pt>
                <c:pt idx="262">
                  <c:v>106.28</c:v>
                </c:pt>
                <c:pt idx="263">
                  <c:v>104.92</c:v>
                </c:pt>
                <c:pt idx="264">
                  <c:v>102.38</c:v>
                </c:pt>
                <c:pt idx="265">
                  <c:v>99.04</c:v>
                </c:pt>
                <c:pt idx="266">
                  <c:v>100</c:v>
                </c:pt>
                <c:pt idx="267">
                  <c:v>101.71</c:v>
                </c:pt>
                <c:pt idx="268">
                  <c:v>101.55</c:v>
                </c:pt>
                <c:pt idx="269">
                  <c:v>103.01</c:v>
                </c:pt>
                <c:pt idx="270">
                  <c:v>99.67</c:v>
                </c:pt>
                <c:pt idx="271">
                  <c:v>103.93</c:v>
                </c:pt>
                <c:pt idx="272">
                  <c:v>103.92</c:v>
                </c:pt>
                <c:pt idx="273">
                  <c:v>101.4</c:v>
                </c:pt>
                <c:pt idx="274">
                  <c:v>105.95</c:v>
                </c:pt>
                <c:pt idx="275">
                  <c:v>108.16</c:v>
                </c:pt>
                <c:pt idx="276">
                  <c:v>108.21</c:v>
                </c:pt>
                <c:pt idx="277">
                  <c:v>109.13</c:v>
                </c:pt>
                <c:pt idx="278">
                  <c:v>108.01</c:v>
                </c:pt>
                <c:pt idx="279">
                  <c:v>108.56</c:v>
                </c:pt>
                <c:pt idx="280">
                  <c:v>108.87</c:v>
                </c:pt>
                <c:pt idx="281">
                  <c:v>109.81</c:v>
                </c:pt>
                <c:pt idx="282">
                  <c:v>112.3</c:v>
                </c:pt>
                <c:pt idx="283">
                  <c:v>111.5</c:v>
                </c:pt>
                <c:pt idx="284">
                  <c:v>110.7</c:v>
                </c:pt>
                <c:pt idx="285">
                  <c:v>111.5</c:v>
                </c:pt>
                <c:pt idx="286">
                  <c:v>110.2</c:v>
                </c:pt>
                <c:pt idx="287">
                  <c:v>110.9</c:v>
                </c:pt>
                <c:pt idx="288">
                  <c:v>113</c:v>
                </c:pt>
                <c:pt idx="289">
                  <c:v>113.5</c:v>
                </c:pt>
                <c:pt idx="290">
                  <c:v>114</c:v>
                </c:pt>
                <c:pt idx="291">
                  <c:v>113.8</c:v>
                </c:pt>
                <c:pt idx="292">
                  <c:v>115.1</c:v>
                </c:pt>
                <c:pt idx="293">
                  <c:v>115.8</c:v>
                </c:pt>
                <c:pt idx="294">
                  <c:v>116.4</c:v>
                </c:pt>
                <c:pt idx="295">
                  <c:v>116.1</c:v>
                </c:pt>
                <c:pt idx="296">
                  <c:v>116.1</c:v>
                </c:pt>
                <c:pt idx="297">
                  <c:v>113.2</c:v>
                </c:pt>
                <c:pt idx="298">
                  <c:v>114.6</c:v>
                </c:pt>
                <c:pt idx="299">
                  <c:v>115.7</c:v>
                </c:pt>
                <c:pt idx="300">
                  <c:v>117.8</c:v>
                </c:pt>
                <c:pt idx="301">
                  <c:v>118.6</c:v>
                </c:pt>
                <c:pt idx="302">
                  <c:v>121.35899999999999</c:v>
                </c:pt>
                <c:pt idx="303">
                  <c:v>122</c:v>
                </c:pt>
                <c:pt idx="304">
                  <c:v>122.6</c:v>
                </c:pt>
                <c:pt idx="305">
                  <c:v>122</c:v>
                </c:pt>
                <c:pt idx="306">
                  <c:v>125.5</c:v>
                </c:pt>
                <c:pt idx="307">
                  <c:v>126.1</c:v>
                </c:pt>
                <c:pt idx="308">
                  <c:v>126.5</c:v>
                </c:pt>
                <c:pt idx="309">
                  <c:v>128.4</c:v>
                </c:pt>
                <c:pt idx="310">
                  <c:v>127.4</c:v>
                </c:pt>
                <c:pt idx="311">
                  <c:v>124.346</c:v>
                </c:pt>
                <c:pt idx="312">
                  <c:v>123.8</c:v>
                </c:pt>
                <c:pt idx="313">
                  <c:v>123.8</c:v>
                </c:pt>
                <c:pt idx="314">
                  <c:v>123.5</c:v>
                </c:pt>
                <c:pt idx="315">
                  <c:v>122.4</c:v>
                </c:pt>
                <c:pt idx="316">
                  <c:v>121.4</c:v>
                </c:pt>
                <c:pt idx="317">
                  <c:v>119.8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856960"/>
        <c:axId val="314858496"/>
      </c:lineChart>
      <c:dateAx>
        <c:axId val="3148569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4858496"/>
        <c:crosses val="autoZero"/>
        <c:auto val="1"/>
        <c:lblOffset val="100"/>
        <c:baseTimeUnit val="months"/>
      </c:dateAx>
      <c:valAx>
        <c:axId val="3148584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314856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'MCAI versus Purchase'!$D$1</c:f>
              <c:strCache>
                <c:ptCount val="1"/>
                <c:pt idx="0">
                  <c:v>Purch-MA</c:v>
                </c:pt>
              </c:strCache>
            </c:strRef>
          </c:tx>
          <c:marker>
            <c:symbol val="none"/>
          </c:marker>
          <c:cat>
            <c:numRef>
              <c:f>'MCAI versus Purchase'!$A$2:$A$319</c:f>
              <c:numCache>
                <c:formatCode>m/d/yyyy</c:formatCode>
                <c:ptCount val="318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</c:numCache>
            </c:numRef>
          </c:cat>
          <c:val>
            <c:numRef>
              <c:f>'MCAI versus Purchase'!$D$2:$D$319</c:f>
              <c:numCache>
                <c:formatCode>0</c:formatCode>
                <c:ptCount val="31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93.974722222222212</c:v>
                </c:pt>
                <c:pt idx="18">
                  <c:v>95.334444444444443</c:v>
                </c:pt>
                <c:pt idx="19">
                  <c:v>95.616944444444428</c:v>
                </c:pt>
                <c:pt idx="20">
                  <c:v>96.42916666666666</c:v>
                </c:pt>
                <c:pt idx="21">
                  <c:v>97.594444444444434</c:v>
                </c:pt>
                <c:pt idx="22">
                  <c:v>98.594444444444449</c:v>
                </c:pt>
                <c:pt idx="23">
                  <c:v>99.052777777777777</c:v>
                </c:pt>
                <c:pt idx="24">
                  <c:v>101.50777777777778</c:v>
                </c:pt>
                <c:pt idx="25">
                  <c:v>103.74083333333333</c:v>
                </c:pt>
                <c:pt idx="26">
                  <c:v>105.71166666666666</c:v>
                </c:pt>
                <c:pt idx="27">
                  <c:v>108.10055555555556</c:v>
                </c:pt>
                <c:pt idx="28">
                  <c:v>110.09055555555555</c:v>
                </c:pt>
                <c:pt idx="29">
                  <c:v>112.21</c:v>
                </c:pt>
                <c:pt idx="30">
                  <c:v>115.04694444444443</c:v>
                </c:pt>
                <c:pt idx="31">
                  <c:v>117.48861111111111</c:v>
                </c:pt>
                <c:pt idx="32">
                  <c:v>119.29833333333335</c:v>
                </c:pt>
                <c:pt idx="33">
                  <c:v>120.79166666666667</c:v>
                </c:pt>
                <c:pt idx="34">
                  <c:v>121.9502777777778</c:v>
                </c:pt>
                <c:pt idx="35">
                  <c:v>123.13638888888889</c:v>
                </c:pt>
                <c:pt idx="36">
                  <c:v>124.31</c:v>
                </c:pt>
                <c:pt idx="37">
                  <c:v>127.01916666666665</c:v>
                </c:pt>
                <c:pt idx="38">
                  <c:v>129.43305555555554</c:v>
                </c:pt>
                <c:pt idx="39">
                  <c:v>132.45944444444442</c:v>
                </c:pt>
                <c:pt idx="40">
                  <c:v>135.05250000000001</c:v>
                </c:pt>
                <c:pt idx="41">
                  <c:v>138.2525</c:v>
                </c:pt>
                <c:pt idx="42">
                  <c:v>140.10472222222222</c:v>
                </c:pt>
                <c:pt idx="43">
                  <c:v>141.33944444444444</c:v>
                </c:pt>
                <c:pt idx="44">
                  <c:v>144.73249999999999</c:v>
                </c:pt>
                <c:pt idx="45">
                  <c:v>147.2897222222222</c:v>
                </c:pt>
                <c:pt idx="46">
                  <c:v>149.76555555555558</c:v>
                </c:pt>
                <c:pt idx="47">
                  <c:v>151.67388888888888</c:v>
                </c:pt>
                <c:pt idx="48">
                  <c:v>151.4702777777778</c:v>
                </c:pt>
                <c:pt idx="49">
                  <c:v>152.1536111111111</c:v>
                </c:pt>
                <c:pt idx="50">
                  <c:v>152.35777777777778</c:v>
                </c:pt>
                <c:pt idx="51">
                  <c:v>153.5911111111111</c:v>
                </c:pt>
                <c:pt idx="52">
                  <c:v>154.02027777777778</c:v>
                </c:pt>
                <c:pt idx="53">
                  <c:v>154.57305555555556</c:v>
                </c:pt>
                <c:pt idx="54">
                  <c:v>154.91083333333333</c:v>
                </c:pt>
                <c:pt idx="55">
                  <c:v>154.22888888888892</c:v>
                </c:pt>
                <c:pt idx="56">
                  <c:v>153.54722222222222</c:v>
                </c:pt>
                <c:pt idx="57">
                  <c:v>151.80138888888891</c:v>
                </c:pt>
                <c:pt idx="58">
                  <c:v>150.99583333333334</c:v>
                </c:pt>
                <c:pt idx="59">
                  <c:v>149.14416666666668</c:v>
                </c:pt>
                <c:pt idx="60">
                  <c:v>147.11472222222221</c:v>
                </c:pt>
                <c:pt idx="61">
                  <c:v>146.42444444444448</c:v>
                </c:pt>
                <c:pt idx="62">
                  <c:v>144.3388888888889</c:v>
                </c:pt>
                <c:pt idx="63">
                  <c:v>143.56361111111113</c:v>
                </c:pt>
                <c:pt idx="64">
                  <c:v>143.22611111111112</c:v>
                </c:pt>
                <c:pt idx="65">
                  <c:v>144.38388888888889</c:v>
                </c:pt>
                <c:pt idx="66">
                  <c:v>145.88111111111112</c:v>
                </c:pt>
                <c:pt idx="67">
                  <c:v>145.8422222222222</c:v>
                </c:pt>
                <c:pt idx="68">
                  <c:v>147.94500000000002</c:v>
                </c:pt>
                <c:pt idx="69">
                  <c:v>149.38361111111112</c:v>
                </c:pt>
                <c:pt idx="70">
                  <c:v>151.74333333333334</c:v>
                </c:pt>
                <c:pt idx="71">
                  <c:v>155.04916666666665</c:v>
                </c:pt>
                <c:pt idx="72">
                  <c:v>156.86277777777775</c:v>
                </c:pt>
                <c:pt idx="73">
                  <c:v>158.62111111111111</c:v>
                </c:pt>
                <c:pt idx="74">
                  <c:v>160.91111111111113</c:v>
                </c:pt>
                <c:pt idx="75">
                  <c:v>163.2486111111111</c:v>
                </c:pt>
                <c:pt idx="76">
                  <c:v>166.21888888888887</c:v>
                </c:pt>
                <c:pt idx="77">
                  <c:v>169.50527777777779</c:v>
                </c:pt>
                <c:pt idx="78">
                  <c:v>172.38583333333335</c:v>
                </c:pt>
                <c:pt idx="79">
                  <c:v>174.76611111111112</c:v>
                </c:pt>
                <c:pt idx="80">
                  <c:v>177.3725</c:v>
                </c:pt>
                <c:pt idx="81">
                  <c:v>179.16416666666666</c:v>
                </c:pt>
                <c:pt idx="82">
                  <c:v>181.59361111111113</c:v>
                </c:pt>
                <c:pt idx="83">
                  <c:v>182.59000000000003</c:v>
                </c:pt>
                <c:pt idx="84">
                  <c:v>183.84305555555559</c:v>
                </c:pt>
                <c:pt idx="85">
                  <c:v>185.50138888888893</c:v>
                </c:pt>
                <c:pt idx="86">
                  <c:v>186.39999999999998</c:v>
                </c:pt>
                <c:pt idx="87">
                  <c:v>186.0013888888889</c:v>
                </c:pt>
                <c:pt idx="88">
                  <c:v>186.25611111111115</c:v>
                </c:pt>
                <c:pt idx="89">
                  <c:v>186.42666666666668</c:v>
                </c:pt>
                <c:pt idx="90">
                  <c:v>188.35583333333332</c:v>
                </c:pt>
                <c:pt idx="91">
                  <c:v>190.60694444444442</c:v>
                </c:pt>
                <c:pt idx="92">
                  <c:v>192.77499999999998</c:v>
                </c:pt>
                <c:pt idx="93">
                  <c:v>195.15111111111113</c:v>
                </c:pt>
                <c:pt idx="94">
                  <c:v>197.13361111111107</c:v>
                </c:pt>
                <c:pt idx="95">
                  <c:v>199.58916666666661</c:v>
                </c:pt>
                <c:pt idx="96">
                  <c:v>204.51583333333329</c:v>
                </c:pt>
                <c:pt idx="97">
                  <c:v>207.45916666666665</c:v>
                </c:pt>
                <c:pt idx="98">
                  <c:v>209.58972222222218</c:v>
                </c:pt>
                <c:pt idx="99">
                  <c:v>213.41888888888886</c:v>
                </c:pt>
                <c:pt idx="100">
                  <c:v>217.02999999999997</c:v>
                </c:pt>
                <c:pt idx="101">
                  <c:v>221.04944444444445</c:v>
                </c:pt>
                <c:pt idx="102">
                  <c:v>225.40611111111107</c:v>
                </c:pt>
                <c:pt idx="103">
                  <c:v>229.32000000000002</c:v>
                </c:pt>
                <c:pt idx="104">
                  <c:v>234.18111111111114</c:v>
                </c:pt>
                <c:pt idx="105">
                  <c:v>240.78</c:v>
                </c:pt>
                <c:pt idx="106">
                  <c:v>245.90444444444444</c:v>
                </c:pt>
                <c:pt idx="107">
                  <c:v>249.98916666666662</c:v>
                </c:pt>
                <c:pt idx="108">
                  <c:v>253.03527777777774</c:v>
                </c:pt>
                <c:pt idx="109">
                  <c:v>254.8716666666667</c:v>
                </c:pt>
                <c:pt idx="110">
                  <c:v>257.03138888888884</c:v>
                </c:pt>
                <c:pt idx="111">
                  <c:v>260.20249999999999</c:v>
                </c:pt>
                <c:pt idx="112">
                  <c:v>263.72749999999996</c:v>
                </c:pt>
                <c:pt idx="113">
                  <c:v>268.26777777777784</c:v>
                </c:pt>
                <c:pt idx="114">
                  <c:v>269.13888888888891</c:v>
                </c:pt>
                <c:pt idx="115">
                  <c:v>271.49722222222221</c:v>
                </c:pt>
                <c:pt idx="116">
                  <c:v>273.72638888888889</c:v>
                </c:pt>
                <c:pt idx="117">
                  <c:v>274.90305555555557</c:v>
                </c:pt>
                <c:pt idx="118">
                  <c:v>276.60277777777782</c:v>
                </c:pt>
                <c:pt idx="119">
                  <c:v>277.01027777777779</c:v>
                </c:pt>
                <c:pt idx="120">
                  <c:v>278.04499999999996</c:v>
                </c:pt>
                <c:pt idx="121">
                  <c:v>279.43527777777774</c:v>
                </c:pt>
                <c:pt idx="122">
                  <c:v>279.6466666666667</c:v>
                </c:pt>
                <c:pt idx="123">
                  <c:v>279.9977777777778</c:v>
                </c:pt>
                <c:pt idx="124">
                  <c:v>281.02972222222218</c:v>
                </c:pt>
                <c:pt idx="125">
                  <c:v>282.89333333333326</c:v>
                </c:pt>
                <c:pt idx="126">
                  <c:v>285.44583333333333</c:v>
                </c:pt>
                <c:pt idx="127">
                  <c:v>288.85972222222222</c:v>
                </c:pt>
                <c:pt idx="128">
                  <c:v>292.11416666666668</c:v>
                </c:pt>
                <c:pt idx="129">
                  <c:v>293.61972222222226</c:v>
                </c:pt>
                <c:pt idx="130">
                  <c:v>294.98777777777775</c:v>
                </c:pt>
                <c:pt idx="131">
                  <c:v>294.19777777777779</c:v>
                </c:pt>
                <c:pt idx="132">
                  <c:v>295.76666666666665</c:v>
                </c:pt>
                <c:pt idx="133">
                  <c:v>296.39166666666665</c:v>
                </c:pt>
                <c:pt idx="134">
                  <c:v>298.31333333333333</c:v>
                </c:pt>
                <c:pt idx="135">
                  <c:v>299.9422222222222</c:v>
                </c:pt>
                <c:pt idx="136">
                  <c:v>300.63249999999994</c:v>
                </c:pt>
                <c:pt idx="137">
                  <c:v>303.72249999999997</c:v>
                </c:pt>
                <c:pt idx="138">
                  <c:v>305.4224999999999</c:v>
                </c:pt>
                <c:pt idx="139">
                  <c:v>306.82388888888886</c:v>
                </c:pt>
                <c:pt idx="140">
                  <c:v>306.83055555555552</c:v>
                </c:pt>
                <c:pt idx="141">
                  <c:v>305.00416666666661</c:v>
                </c:pt>
                <c:pt idx="142">
                  <c:v>305.62777777777774</c:v>
                </c:pt>
                <c:pt idx="143">
                  <c:v>305.63777777777773</c:v>
                </c:pt>
                <c:pt idx="144">
                  <c:v>308.08083333333326</c:v>
                </c:pt>
                <c:pt idx="145">
                  <c:v>308.46416666666664</c:v>
                </c:pt>
                <c:pt idx="146">
                  <c:v>309.1563888888889</c:v>
                </c:pt>
                <c:pt idx="147">
                  <c:v>311.55777777777774</c:v>
                </c:pt>
                <c:pt idx="148">
                  <c:v>314.68333333333334</c:v>
                </c:pt>
                <c:pt idx="149">
                  <c:v>319.00527777777779</c:v>
                </c:pt>
                <c:pt idx="150">
                  <c:v>322.34694444444438</c:v>
                </c:pt>
                <c:pt idx="151">
                  <c:v>326.34138888888884</c:v>
                </c:pt>
                <c:pt idx="152">
                  <c:v>330.2349999999999</c:v>
                </c:pt>
                <c:pt idx="153">
                  <c:v>332.84194444444444</c:v>
                </c:pt>
                <c:pt idx="154">
                  <c:v>335.56527777777774</c:v>
                </c:pt>
                <c:pt idx="155">
                  <c:v>337.35111111111109</c:v>
                </c:pt>
                <c:pt idx="156">
                  <c:v>340.31194444444441</c:v>
                </c:pt>
                <c:pt idx="157">
                  <c:v>341.67583333333334</c:v>
                </c:pt>
                <c:pt idx="158">
                  <c:v>345.22444444444443</c:v>
                </c:pt>
                <c:pt idx="159">
                  <c:v>350.84527777777777</c:v>
                </c:pt>
                <c:pt idx="160">
                  <c:v>356.49194444444447</c:v>
                </c:pt>
                <c:pt idx="161">
                  <c:v>362.43083333333334</c:v>
                </c:pt>
                <c:pt idx="162">
                  <c:v>366.67805555555555</c:v>
                </c:pt>
                <c:pt idx="163">
                  <c:v>371.68333333333328</c:v>
                </c:pt>
                <c:pt idx="164">
                  <c:v>376.24083333333328</c:v>
                </c:pt>
                <c:pt idx="165">
                  <c:v>378.64944444444444</c:v>
                </c:pt>
                <c:pt idx="166">
                  <c:v>381.79333333333329</c:v>
                </c:pt>
                <c:pt idx="167">
                  <c:v>383.82111111111112</c:v>
                </c:pt>
                <c:pt idx="168">
                  <c:v>387.96722222222223</c:v>
                </c:pt>
                <c:pt idx="169">
                  <c:v>391.02</c:v>
                </c:pt>
                <c:pt idx="170">
                  <c:v>395.12555555555559</c:v>
                </c:pt>
                <c:pt idx="171">
                  <c:v>401.19972222222231</c:v>
                </c:pt>
                <c:pt idx="172">
                  <c:v>407.17777777777781</c:v>
                </c:pt>
                <c:pt idx="173">
                  <c:v>411.91527777777782</c:v>
                </c:pt>
                <c:pt idx="174">
                  <c:v>417.25638888888886</c:v>
                </c:pt>
                <c:pt idx="175">
                  <c:v>423.86888888888893</c:v>
                </c:pt>
                <c:pt idx="176">
                  <c:v>429.6563888888889</c:v>
                </c:pt>
                <c:pt idx="177">
                  <c:v>434.41305555555556</c:v>
                </c:pt>
                <c:pt idx="178">
                  <c:v>437.47333333333336</c:v>
                </c:pt>
                <c:pt idx="179">
                  <c:v>440.16777777777776</c:v>
                </c:pt>
                <c:pt idx="180">
                  <c:v>440.02749999999997</c:v>
                </c:pt>
                <c:pt idx="181">
                  <c:v>441.47222222222229</c:v>
                </c:pt>
                <c:pt idx="182">
                  <c:v>444.12083333333339</c:v>
                </c:pt>
                <c:pt idx="183">
                  <c:v>448.53527777777776</c:v>
                </c:pt>
                <c:pt idx="184">
                  <c:v>451.83388888888891</c:v>
                </c:pt>
                <c:pt idx="185">
                  <c:v>456.37138888888887</c:v>
                </c:pt>
                <c:pt idx="186">
                  <c:v>458.96805555555562</c:v>
                </c:pt>
                <c:pt idx="187">
                  <c:v>463.06388888888887</c:v>
                </c:pt>
                <c:pt idx="188">
                  <c:v>465.87027777777774</c:v>
                </c:pt>
                <c:pt idx="189">
                  <c:v>466.50305555555559</c:v>
                </c:pt>
                <c:pt idx="190">
                  <c:v>466.97527777777782</c:v>
                </c:pt>
                <c:pt idx="191">
                  <c:v>467.67305555555555</c:v>
                </c:pt>
                <c:pt idx="192">
                  <c:v>467.19055555555548</c:v>
                </c:pt>
                <c:pt idx="193">
                  <c:v>464.86277777777781</c:v>
                </c:pt>
                <c:pt idx="194">
                  <c:v>461.70888888888891</c:v>
                </c:pt>
                <c:pt idx="195">
                  <c:v>459.10499999999996</c:v>
                </c:pt>
                <c:pt idx="196">
                  <c:v>455.6077777777777</c:v>
                </c:pt>
                <c:pt idx="197">
                  <c:v>452.01</c:v>
                </c:pt>
                <c:pt idx="198">
                  <c:v>450.17944444444441</c:v>
                </c:pt>
                <c:pt idx="199">
                  <c:v>447.50166666666667</c:v>
                </c:pt>
                <c:pt idx="200">
                  <c:v>444.04111111111109</c:v>
                </c:pt>
                <c:pt idx="201">
                  <c:v>439.10555555555555</c:v>
                </c:pt>
                <c:pt idx="202">
                  <c:v>434.69861111111118</c:v>
                </c:pt>
                <c:pt idx="203">
                  <c:v>431.00138888888893</c:v>
                </c:pt>
                <c:pt idx="204">
                  <c:v>427.40027777777783</c:v>
                </c:pt>
                <c:pt idx="205">
                  <c:v>422.27527777777783</c:v>
                </c:pt>
                <c:pt idx="206">
                  <c:v>417.54750000000001</c:v>
                </c:pt>
                <c:pt idx="207">
                  <c:v>414.36972222222221</c:v>
                </c:pt>
                <c:pt idx="208">
                  <c:v>412.19749999999999</c:v>
                </c:pt>
                <c:pt idx="209">
                  <c:v>411.50972222222219</c:v>
                </c:pt>
                <c:pt idx="210">
                  <c:v>410.54444444444448</c:v>
                </c:pt>
                <c:pt idx="211">
                  <c:v>412.44138888888887</c:v>
                </c:pt>
                <c:pt idx="212">
                  <c:v>413.82861111111117</c:v>
                </c:pt>
                <c:pt idx="213">
                  <c:v>414.24944444444446</c:v>
                </c:pt>
                <c:pt idx="214">
                  <c:v>415.28305555555562</c:v>
                </c:pt>
                <c:pt idx="215">
                  <c:v>415.65722222222229</c:v>
                </c:pt>
                <c:pt idx="216">
                  <c:v>416.88499999999999</c:v>
                </c:pt>
                <c:pt idx="217">
                  <c:v>416.57361111111118</c:v>
                </c:pt>
                <c:pt idx="218">
                  <c:v>415.33555555555557</c:v>
                </c:pt>
                <c:pt idx="219">
                  <c:v>414.47027777777777</c:v>
                </c:pt>
                <c:pt idx="220">
                  <c:v>411.91027777777776</c:v>
                </c:pt>
                <c:pt idx="221">
                  <c:v>407.92972222222221</c:v>
                </c:pt>
                <c:pt idx="222">
                  <c:v>403.03249999999997</c:v>
                </c:pt>
                <c:pt idx="223">
                  <c:v>398.85666666666668</c:v>
                </c:pt>
                <c:pt idx="224">
                  <c:v>395.57249999999999</c:v>
                </c:pt>
                <c:pt idx="225">
                  <c:v>389.02305555555563</c:v>
                </c:pt>
                <c:pt idx="226">
                  <c:v>380.9661111111111</c:v>
                </c:pt>
                <c:pt idx="227">
                  <c:v>373.33805555555551</c:v>
                </c:pt>
                <c:pt idx="228">
                  <c:v>365.80805555555548</c:v>
                </c:pt>
                <c:pt idx="229">
                  <c:v>354.93611111111107</c:v>
                </c:pt>
                <c:pt idx="230">
                  <c:v>345.43611111111107</c:v>
                </c:pt>
                <c:pt idx="231">
                  <c:v>336.94027777777779</c:v>
                </c:pt>
                <c:pt idx="232">
                  <c:v>327.73361111111109</c:v>
                </c:pt>
                <c:pt idx="233">
                  <c:v>319.82250000000005</c:v>
                </c:pt>
                <c:pt idx="234">
                  <c:v>311.3394444444445</c:v>
                </c:pt>
                <c:pt idx="235">
                  <c:v>305.67861111111119</c:v>
                </c:pt>
                <c:pt idx="236">
                  <c:v>300.70916666666676</c:v>
                </c:pt>
                <c:pt idx="237">
                  <c:v>295.6133333333334</c:v>
                </c:pt>
                <c:pt idx="238">
                  <c:v>287.84972222222228</c:v>
                </c:pt>
                <c:pt idx="239">
                  <c:v>280.74</c:v>
                </c:pt>
                <c:pt idx="240">
                  <c:v>273.95055555555552</c:v>
                </c:pt>
                <c:pt idx="241">
                  <c:v>267.80277777777769</c:v>
                </c:pt>
                <c:pt idx="242">
                  <c:v>261.13472222222219</c:v>
                </c:pt>
                <c:pt idx="243">
                  <c:v>258.68583333333333</c:v>
                </c:pt>
                <c:pt idx="244">
                  <c:v>254.01638888888894</c:v>
                </c:pt>
                <c:pt idx="245">
                  <c:v>246.72055555555551</c:v>
                </c:pt>
                <c:pt idx="246">
                  <c:v>239.48944444444442</c:v>
                </c:pt>
                <c:pt idx="247">
                  <c:v>235.44499999999996</c:v>
                </c:pt>
                <c:pt idx="248">
                  <c:v>231.01999999999992</c:v>
                </c:pt>
                <c:pt idx="249">
                  <c:v>226.26999999999995</c:v>
                </c:pt>
                <c:pt idx="250">
                  <c:v>222.56805555555553</c:v>
                </c:pt>
                <c:pt idx="251">
                  <c:v>218.76611111111109</c:v>
                </c:pt>
                <c:pt idx="252">
                  <c:v>214.26444444444442</c:v>
                </c:pt>
                <c:pt idx="253">
                  <c:v>208.92000000000002</c:v>
                </c:pt>
                <c:pt idx="254">
                  <c:v>203.71861111111113</c:v>
                </c:pt>
                <c:pt idx="255">
                  <c:v>199.2463888888889</c:v>
                </c:pt>
                <c:pt idx="256">
                  <c:v>197.66861111111112</c:v>
                </c:pt>
                <c:pt idx="257">
                  <c:v>195.43805555555554</c:v>
                </c:pt>
                <c:pt idx="258">
                  <c:v>193.40250000000003</c:v>
                </c:pt>
                <c:pt idx="259">
                  <c:v>190.95944444444444</c:v>
                </c:pt>
                <c:pt idx="260">
                  <c:v>187.69144444444447</c:v>
                </c:pt>
                <c:pt idx="261">
                  <c:v>183.30644444444445</c:v>
                </c:pt>
                <c:pt idx="262">
                  <c:v>182.31074999999998</c:v>
                </c:pt>
                <c:pt idx="263">
                  <c:v>182.90608333333336</c:v>
                </c:pt>
                <c:pt idx="264">
                  <c:v>183.74761111111115</c:v>
                </c:pt>
                <c:pt idx="265">
                  <c:v>183.69900000000001</c:v>
                </c:pt>
                <c:pt idx="266">
                  <c:v>184.09122222222226</c:v>
                </c:pt>
                <c:pt idx="267">
                  <c:v>184.5842777777778</c:v>
                </c:pt>
                <c:pt idx="268">
                  <c:v>184.33011111111108</c:v>
                </c:pt>
                <c:pt idx="269">
                  <c:v>183.66455555555552</c:v>
                </c:pt>
                <c:pt idx="270">
                  <c:v>183.81733333333332</c:v>
                </c:pt>
                <c:pt idx="271">
                  <c:v>183.7448333333333</c:v>
                </c:pt>
                <c:pt idx="272">
                  <c:v>183.72677777777776</c:v>
                </c:pt>
                <c:pt idx="273">
                  <c:v>183.65316666666664</c:v>
                </c:pt>
                <c:pt idx="274">
                  <c:v>183.96566666666664</c:v>
                </c:pt>
                <c:pt idx="275">
                  <c:v>184.31011111111107</c:v>
                </c:pt>
                <c:pt idx="276">
                  <c:v>185.5059444444444</c:v>
                </c:pt>
                <c:pt idx="277">
                  <c:v>187.12538888888884</c:v>
                </c:pt>
                <c:pt idx="278">
                  <c:v>189.10116666666664</c:v>
                </c:pt>
                <c:pt idx="279">
                  <c:v>191.55255555555553</c:v>
                </c:pt>
                <c:pt idx="280">
                  <c:v>192.89436111111107</c:v>
                </c:pt>
                <c:pt idx="281">
                  <c:v>194.41847222222219</c:v>
                </c:pt>
                <c:pt idx="282">
                  <c:v>195.1908333333333</c:v>
                </c:pt>
                <c:pt idx="283">
                  <c:v>196.10138888888889</c:v>
                </c:pt>
                <c:pt idx="284">
                  <c:v>196.18277777777777</c:v>
                </c:pt>
                <c:pt idx="285">
                  <c:v>195.79388888888892</c:v>
                </c:pt>
                <c:pt idx="286">
                  <c:v>195.60333333333332</c:v>
                </c:pt>
                <c:pt idx="287">
                  <c:v>194.82361111111112</c:v>
                </c:pt>
                <c:pt idx="288">
                  <c:v>194.54583333333335</c:v>
                </c:pt>
                <c:pt idx="289">
                  <c:v>193.76694444444445</c:v>
                </c:pt>
                <c:pt idx="290">
                  <c:v>192.76277777777781</c:v>
                </c:pt>
                <c:pt idx="291">
                  <c:v>191.95166666666668</c:v>
                </c:pt>
                <c:pt idx="292">
                  <c:v>190.99611111111113</c:v>
                </c:pt>
                <c:pt idx="293">
                  <c:v>190.3405555555556</c:v>
                </c:pt>
                <c:pt idx="294">
                  <c:v>188.46833333333336</c:v>
                </c:pt>
                <c:pt idx="295">
                  <c:v>186.7763888888889</c:v>
                </c:pt>
                <c:pt idx="296">
                  <c:v>184.59083333333334</c:v>
                </c:pt>
                <c:pt idx="297">
                  <c:v>181.76333333333335</c:v>
                </c:pt>
                <c:pt idx="298">
                  <c:v>179.58388888888894</c:v>
                </c:pt>
                <c:pt idx="299">
                  <c:v>176.98527777777778</c:v>
                </c:pt>
                <c:pt idx="300">
                  <c:v>176.20027777777776</c:v>
                </c:pt>
                <c:pt idx="301">
                  <c:v>175.18416666666664</c:v>
                </c:pt>
                <c:pt idx="302">
                  <c:v>174.48</c:v>
                </c:pt>
                <c:pt idx="303">
                  <c:v>175.5397222222222</c:v>
                </c:pt>
                <c:pt idx="304">
                  <c:v>176.36972222222221</c:v>
                </c:pt>
                <c:pt idx="305">
                  <c:v>178.10027777777776</c:v>
                </c:pt>
                <c:pt idx="306">
                  <c:v>179.13694444444445</c:v>
                </c:pt>
                <c:pt idx="307">
                  <c:v>181.10222222222222</c:v>
                </c:pt>
                <c:pt idx="308">
                  <c:v>182.90777777777782</c:v>
                </c:pt>
                <c:pt idx="309">
                  <c:v>184.20472222222222</c:v>
                </c:pt>
                <c:pt idx="310">
                  <c:v>185.9088888888889</c:v>
                </c:pt>
                <c:pt idx="311">
                  <c:v>188.46166666666667</c:v>
                </c:pt>
                <c:pt idx="312">
                  <c:v>191.29916666666665</c:v>
                </c:pt>
                <c:pt idx="313">
                  <c:v>194.15777777777777</c:v>
                </c:pt>
                <c:pt idx="314">
                  <c:v>197.43833333333333</c:v>
                </c:pt>
                <c:pt idx="315">
                  <c:v>201.36166666666665</c:v>
                </c:pt>
                <c:pt idx="316">
                  <c:v>204.57000000000002</c:v>
                </c:pt>
                <c:pt idx="317">
                  <c:v>208.67972222222224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'MCAI versus Purchase'!$E$1</c:f>
              <c:strCache>
                <c:ptCount val="1"/>
                <c:pt idx="0">
                  <c:v>MCAI-MA</c:v>
                </c:pt>
              </c:strCache>
            </c:strRef>
          </c:tx>
          <c:marker>
            <c:symbol val="none"/>
          </c:marker>
          <c:cat>
            <c:numRef>
              <c:f>'MCAI versus Purchase'!$A$2:$A$319</c:f>
              <c:numCache>
                <c:formatCode>m/d/yyyy</c:formatCode>
                <c:ptCount val="318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</c:numCache>
            </c:numRef>
          </c:cat>
          <c:val>
            <c:numRef>
              <c:f>'MCAI versus Purchase'!$E$2:$E$319</c:f>
              <c:numCache>
                <c:formatCode>0</c:formatCode>
                <c:ptCount val="318"/>
                <c:pt idx="0" formatCode="0%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120.35908064171065</c:v>
                </c:pt>
                <c:pt idx="18">
                  <c:v>122.10055869798812</c:v>
                </c:pt>
                <c:pt idx="19">
                  <c:v>122.46237344430764</c:v>
                </c:pt>
                <c:pt idx="20">
                  <c:v>123.50263531081539</c:v>
                </c:pt>
                <c:pt idx="21">
                  <c:v>124.99507666854448</c:v>
                </c:pt>
                <c:pt idx="22">
                  <c:v>126.27583683250751</c:v>
                </c:pt>
                <c:pt idx="23">
                  <c:v>126.8628519076572</c:v>
                </c:pt>
                <c:pt idx="24">
                  <c:v>130.00711811018635</c:v>
                </c:pt>
                <c:pt idx="25">
                  <c:v>132.86712670965815</c:v>
                </c:pt>
                <c:pt idx="26">
                  <c:v>135.39129153280189</c:v>
                </c:pt>
                <c:pt idx="27">
                  <c:v>138.45088525782464</c:v>
                </c:pt>
                <c:pt idx="28">
                  <c:v>140.99959798411101</c:v>
                </c:pt>
                <c:pt idx="29">
                  <c:v>143.71409799828814</c:v>
                </c:pt>
                <c:pt idx="30">
                  <c:v>147.34754343010871</c:v>
                </c:pt>
                <c:pt idx="31">
                  <c:v>150.4747328304517</c:v>
                </c:pt>
                <c:pt idx="32">
                  <c:v>152.79255296051252</c:v>
                </c:pt>
                <c:pt idx="33">
                  <c:v>154.70515480536395</c:v>
                </c:pt>
                <c:pt idx="34">
                  <c:v>156.18905776199998</c:v>
                </c:pt>
                <c:pt idx="35">
                  <c:v>157.70818162314495</c:v>
                </c:pt>
                <c:pt idx="36">
                  <c:v>159.21129598224044</c:v>
                </c:pt>
                <c:pt idx="37">
                  <c:v>162.68108872644351</c:v>
                </c:pt>
                <c:pt idx="38">
                  <c:v>165.77270145556528</c:v>
                </c:pt>
                <c:pt idx="39">
                  <c:v>169.64877978511439</c:v>
                </c:pt>
                <c:pt idx="40">
                  <c:v>172.96986204361292</c:v>
                </c:pt>
                <c:pt idx="41">
                  <c:v>177.0682945682945</c:v>
                </c:pt>
                <c:pt idx="42">
                  <c:v>179.44054700532377</c:v>
                </c:pt>
                <c:pt idx="43">
                  <c:v>181.02193004110586</c:v>
                </c:pt>
                <c:pt idx="44">
                  <c:v>185.36762043077476</c:v>
                </c:pt>
                <c:pt idx="45">
                  <c:v>188.64280878339792</c:v>
                </c:pt>
                <c:pt idx="46">
                  <c:v>191.81375748934306</c:v>
                </c:pt>
                <c:pt idx="47">
                  <c:v>194.25787480223909</c:v>
                </c:pt>
                <c:pt idx="48">
                  <c:v>193.99709780218777</c:v>
                </c:pt>
                <c:pt idx="49">
                  <c:v>194.87228391422911</c:v>
                </c:pt>
                <c:pt idx="50">
                  <c:v>195.13377244770493</c:v>
                </c:pt>
                <c:pt idx="51">
                  <c:v>196.71337664992592</c:v>
                </c:pt>
                <c:pt idx="52">
                  <c:v>197.26303622029337</c:v>
                </c:pt>
                <c:pt idx="53">
                  <c:v>197.97101197759511</c:v>
                </c:pt>
                <c:pt idx="54">
                  <c:v>198.4036242996448</c:v>
                </c:pt>
                <c:pt idx="55">
                  <c:v>197.5302170211645</c:v>
                </c:pt>
                <c:pt idx="56">
                  <c:v>196.65716550939635</c:v>
                </c:pt>
                <c:pt idx="57">
                  <c:v>194.42117172314431</c:v>
                </c:pt>
                <c:pt idx="58">
                  <c:v>193.38944825772967</c:v>
                </c:pt>
                <c:pt idx="59">
                  <c:v>191.01790735412487</c:v>
                </c:pt>
                <c:pt idx="60">
                  <c:v>188.4186757547044</c:v>
                </c:pt>
                <c:pt idx="61">
                  <c:v>187.53459547485775</c:v>
                </c:pt>
                <c:pt idx="62">
                  <c:v>184.86349899957045</c:v>
                </c:pt>
                <c:pt idx="63">
                  <c:v>183.87055410578691</c:v>
                </c:pt>
                <c:pt idx="64">
                  <c:v>183.43829755044939</c:v>
                </c:pt>
                <c:pt idx="65">
                  <c:v>184.92113320694875</c:v>
                </c:pt>
                <c:pt idx="66">
                  <c:v>186.83871578577114</c:v>
                </c:pt>
                <c:pt idx="67">
                  <c:v>186.78890844606144</c:v>
                </c:pt>
                <c:pt idx="68">
                  <c:v>189.48206245750592</c:v>
                </c:pt>
                <c:pt idx="69">
                  <c:v>191.32457826005154</c:v>
                </c:pt>
                <c:pt idx="70">
                  <c:v>194.34681648029201</c:v>
                </c:pt>
                <c:pt idx="71">
                  <c:v>198.58079612232632</c:v>
                </c:pt>
                <c:pt idx="72">
                  <c:v>200.90359698635808</c:v>
                </c:pt>
                <c:pt idx="73">
                  <c:v>203.15560027465972</c:v>
                </c:pt>
                <c:pt idx="74">
                  <c:v>206.08854105013501</c:v>
                </c:pt>
                <c:pt idx="75">
                  <c:v>209.08231793339849</c:v>
                </c:pt>
                <c:pt idx="76">
                  <c:v>212.88653138708077</c:v>
                </c:pt>
                <c:pt idx="77">
                  <c:v>217.0956073592603</c:v>
                </c:pt>
                <c:pt idx="78">
                  <c:v>220.78490816489816</c:v>
                </c:pt>
                <c:pt idx="79">
                  <c:v>223.83347312184227</c:v>
                </c:pt>
                <c:pt idx="80">
                  <c:v>227.17163218252696</c:v>
                </c:pt>
                <c:pt idx="81">
                  <c:v>229.466327476294</c:v>
                </c:pt>
                <c:pt idx="82">
                  <c:v>232.5778631412997</c:v>
                </c:pt>
                <c:pt idx="83">
                  <c:v>233.85399833800398</c:v>
                </c:pt>
                <c:pt idx="84">
                  <c:v>235.45886197679209</c:v>
                </c:pt>
                <c:pt idx="85">
                  <c:v>237.58278924869742</c:v>
                </c:pt>
                <c:pt idx="86">
                  <c:v>238.73369456270296</c:v>
                </c:pt>
                <c:pt idx="87">
                  <c:v>238.22316933067884</c:v>
                </c:pt>
                <c:pt idx="88">
                  <c:v>238.54940740577723</c:v>
                </c:pt>
                <c:pt idx="89">
                  <c:v>238.7678481670753</c:v>
                </c:pt>
                <c:pt idx="90">
                  <c:v>241.23864798338724</c:v>
                </c:pt>
                <c:pt idx="91">
                  <c:v>244.12178141915285</c:v>
                </c:pt>
                <c:pt idx="92">
                  <c:v>246.89854060796711</c:v>
                </c:pt>
                <c:pt idx="93">
                  <c:v>249.94176906422814</c:v>
                </c:pt>
                <c:pt idx="94">
                  <c:v>252.48087608928469</c:v>
                </c:pt>
                <c:pt idx="95">
                  <c:v>255.62585382523829</c:v>
                </c:pt>
                <c:pt idx="96">
                  <c:v>261.93573223302934</c:v>
                </c:pt>
                <c:pt idx="97">
                  <c:v>265.70543631562714</c:v>
                </c:pt>
                <c:pt idx="98">
                  <c:v>268.43416699829271</c:v>
                </c:pt>
                <c:pt idx="99">
                  <c:v>273.33841112613436</c:v>
                </c:pt>
                <c:pt idx="100">
                  <c:v>277.96337838488961</c:v>
                </c:pt>
                <c:pt idx="101">
                  <c:v>283.11132271059648</c:v>
                </c:pt>
                <c:pt idx="102">
                  <c:v>288.69116782492858</c:v>
                </c:pt>
                <c:pt idx="103">
                  <c:v>293.70392079999493</c:v>
                </c:pt>
                <c:pt idx="104">
                  <c:v>299.92983826370397</c:v>
                </c:pt>
                <c:pt idx="105">
                  <c:v>308.38143227901088</c:v>
                </c:pt>
                <c:pt idx="106">
                  <c:v>314.94461658589682</c:v>
                </c:pt>
                <c:pt idx="107">
                  <c:v>320.17616608897345</c:v>
                </c:pt>
                <c:pt idx="108">
                  <c:v>324.07750385508962</c:v>
                </c:pt>
                <c:pt idx="109">
                  <c:v>326.42947758952289</c:v>
                </c:pt>
                <c:pt idx="110">
                  <c:v>329.19556377697063</c:v>
                </c:pt>
                <c:pt idx="111">
                  <c:v>333.25699656358228</c:v>
                </c:pt>
                <c:pt idx="112">
                  <c:v>337.77167614155184</c:v>
                </c:pt>
                <c:pt idx="113">
                  <c:v>343.58668305265616</c:v>
                </c:pt>
                <c:pt idx="114">
                  <c:v>344.70236746215278</c:v>
                </c:pt>
                <c:pt idx="115">
                  <c:v>347.72282684883209</c:v>
                </c:pt>
                <c:pt idx="116">
                  <c:v>350.57785471433294</c:v>
                </c:pt>
                <c:pt idx="117">
                  <c:v>352.08488250726276</c:v>
                </c:pt>
                <c:pt idx="118">
                  <c:v>354.26181901928771</c:v>
                </c:pt>
                <c:pt idx="119">
                  <c:v>354.78372878610264</c:v>
                </c:pt>
                <c:pt idx="120">
                  <c:v>356.10895978909207</c:v>
                </c:pt>
                <c:pt idx="121">
                  <c:v>357.88957218371286</c:v>
                </c:pt>
                <c:pt idx="122">
                  <c:v>358.16031065170625</c:v>
                </c:pt>
                <c:pt idx="123">
                  <c:v>358.60999977594207</c:v>
                </c:pt>
                <c:pt idx="124">
                  <c:v>359.93167311180935</c:v>
                </c:pt>
                <c:pt idx="125">
                  <c:v>362.31851198403922</c:v>
                </c:pt>
                <c:pt idx="126">
                  <c:v>365.58765230255483</c:v>
                </c:pt>
                <c:pt idx="127">
                  <c:v>369.96002519563962</c:v>
                </c:pt>
                <c:pt idx="128">
                  <c:v>374.12818799591474</c:v>
                </c:pt>
                <c:pt idx="129">
                  <c:v>376.05644357610356</c:v>
                </c:pt>
                <c:pt idx="130">
                  <c:v>377.80859463374725</c:v>
                </c:pt>
                <c:pt idx="131">
                  <c:v>376.79679410421653</c:v>
                </c:pt>
                <c:pt idx="132">
                  <c:v>378.80616449478958</c:v>
                </c:pt>
                <c:pt idx="133">
                  <c:v>379.60663959726651</c:v>
                </c:pt>
                <c:pt idx="134">
                  <c:v>382.06783371234877</c:v>
                </c:pt>
                <c:pt idx="135">
                  <c:v>384.15404971275956</c:v>
                </c:pt>
                <c:pt idx="136">
                  <c:v>385.03812999260623</c:v>
                </c:pt>
                <c:pt idx="137">
                  <c:v>388.99567889925197</c:v>
                </c:pt>
                <c:pt idx="138">
                  <c:v>391.17297117798898</c:v>
                </c:pt>
                <c:pt idx="139">
                  <c:v>392.96781424109832</c:v>
                </c:pt>
                <c:pt idx="140">
                  <c:v>392.97635264219139</c:v>
                </c:pt>
                <c:pt idx="141">
                  <c:v>390.63718650939785</c:v>
                </c:pt>
                <c:pt idx="142">
                  <c:v>391.43588277831373</c:v>
                </c:pt>
                <c:pt idx="143">
                  <c:v>391.44869037995329</c:v>
                </c:pt>
                <c:pt idx="144">
                  <c:v>394.57765861385735</c:v>
                </c:pt>
                <c:pt idx="145">
                  <c:v>395.06861667670989</c:v>
                </c:pt>
                <c:pt idx="146">
                  <c:v>395.95518732354208</c:v>
                </c:pt>
                <c:pt idx="147">
                  <c:v>399.03079055061426</c:v>
                </c:pt>
                <c:pt idx="148">
                  <c:v>403.03387759642305</c:v>
                </c:pt>
                <c:pt idx="149">
                  <c:v>408.56925187172874</c:v>
                </c:pt>
                <c:pt idx="150">
                  <c:v>412.84912541963831</c:v>
                </c:pt>
                <c:pt idx="151">
                  <c:v>417.96505074124605</c:v>
                </c:pt>
                <c:pt idx="152">
                  <c:v>422.95183274632075</c:v>
                </c:pt>
                <c:pt idx="153">
                  <c:v>426.29070334043001</c:v>
                </c:pt>
                <c:pt idx="154">
                  <c:v>429.77864018695584</c:v>
                </c:pt>
                <c:pt idx="155">
                  <c:v>432.06586437976648</c:v>
                </c:pt>
                <c:pt idx="156">
                  <c:v>435.8579817652336</c:v>
                </c:pt>
                <c:pt idx="157">
                  <c:v>437.60479632219432</c:v>
                </c:pt>
                <c:pt idx="158">
                  <c:v>442.14971607070186</c:v>
                </c:pt>
                <c:pt idx="159">
                  <c:v>449.34865549231051</c:v>
                </c:pt>
                <c:pt idx="160">
                  <c:v>456.58068121815495</c:v>
                </c:pt>
                <c:pt idx="161">
                  <c:v>464.18697352524629</c:v>
                </c:pt>
                <c:pt idx="162">
                  <c:v>469.6266465549669</c:v>
                </c:pt>
                <c:pt idx="163">
                  <c:v>476.03720694231384</c:v>
                </c:pt>
                <c:pt idx="164">
                  <c:v>481.8742713895752</c:v>
                </c:pt>
                <c:pt idx="165">
                  <c:v>484.95912455116496</c:v>
                </c:pt>
                <c:pt idx="166">
                  <c:v>488.98569219997967</c:v>
                </c:pt>
                <c:pt idx="167">
                  <c:v>491.58278919912686</c:v>
                </c:pt>
                <c:pt idx="168">
                  <c:v>496.89296314560232</c:v>
                </c:pt>
                <c:pt idx="169">
                  <c:v>500.80283931281161</c:v>
                </c:pt>
                <c:pt idx="170">
                  <c:v>506.06107131930418</c:v>
                </c:pt>
                <c:pt idx="171">
                  <c:v>513.84062201524284</c:v>
                </c:pt>
                <c:pt idx="172">
                  <c:v>521.49707742875603</c:v>
                </c:pt>
                <c:pt idx="173">
                  <c:v>527.56467870553081</c:v>
                </c:pt>
                <c:pt idx="174">
                  <c:v>534.40536104794194</c:v>
                </c:pt>
                <c:pt idx="175">
                  <c:v>542.87438763214732</c:v>
                </c:pt>
                <c:pt idx="176">
                  <c:v>550.28678708108305</c:v>
                </c:pt>
                <c:pt idx="177">
                  <c:v>556.37893626100038</c:v>
                </c:pt>
                <c:pt idx="178">
                  <c:v>560.29841812943937</c:v>
                </c:pt>
                <c:pt idx="179">
                  <c:v>563.7493552378952</c:v>
                </c:pt>
                <c:pt idx="180">
                  <c:v>563.56969304822815</c:v>
                </c:pt>
                <c:pt idx="181">
                  <c:v>565.42003571844259</c:v>
                </c:pt>
                <c:pt idx="182">
                  <c:v>568.81227131938351</c:v>
                </c:pt>
                <c:pt idx="183">
                  <c:v>574.4661159098556</c:v>
                </c:pt>
                <c:pt idx="184">
                  <c:v>578.69084561737247</c:v>
                </c:pt>
                <c:pt idx="185">
                  <c:v>584.50229486135447</c:v>
                </c:pt>
                <c:pt idx="186">
                  <c:v>587.82800208711183</c:v>
                </c:pt>
                <c:pt idx="187">
                  <c:v>593.07378225867683</c:v>
                </c:pt>
                <c:pt idx="188">
                  <c:v>596.66809335215407</c:v>
                </c:pt>
                <c:pt idx="189">
                  <c:v>597.47852992257299</c:v>
                </c:pt>
                <c:pt idx="190">
                  <c:v>598.08333333333337</c:v>
                </c:pt>
                <c:pt idx="191">
                  <c:v>624.25</c:v>
                </c:pt>
                <c:pt idx="192">
                  <c:v>650.26851851666675</c:v>
                </c:pt>
                <c:pt idx="193">
                  <c:v>676.13888888888891</c:v>
                </c:pt>
                <c:pt idx="194">
                  <c:v>701.86111111111109</c:v>
                </c:pt>
                <c:pt idx="195">
                  <c:v>727.43518518333337</c:v>
                </c:pt>
                <c:pt idx="196">
                  <c:v>752.86111111111109</c:v>
                </c:pt>
                <c:pt idx="197">
                  <c:v>778.13888888888891</c:v>
                </c:pt>
                <c:pt idx="198">
                  <c:v>798.47222222222217</c:v>
                </c:pt>
                <c:pt idx="199">
                  <c:v>813.86111111111109</c:v>
                </c:pt>
                <c:pt idx="200">
                  <c:v>824.30555555555554</c:v>
                </c:pt>
                <c:pt idx="201">
                  <c:v>829.80555555555554</c:v>
                </c:pt>
                <c:pt idx="202">
                  <c:v>830.36111111111109</c:v>
                </c:pt>
                <c:pt idx="203">
                  <c:v>825.97222222222217</c:v>
                </c:pt>
                <c:pt idx="204">
                  <c:v>819.53703703333349</c:v>
                </c:pt>
                <c:pt idx="205">
                  <c:v>811.05555555555554</c:v>
                </c:pt>
                <c:pt idx="206">
                  <c:v>800.52777777777783</c:v>
                </c:pt>
                <c:pt idx="207">
                  <c:v>787.95370370000012</c:v>
                </c:pt>
                <c:pt idx="208">
                  <c:v>773.33333333333337</c:v>
                </c:pt>
                <c:pt idx="209">
                  <c:v>756.66666666666663</c:v>
                </c:pt>
                <c:pt idx="210">
                  <c:v>737.64814815</c:v>
                </c:pt>
                <c:pt idx="211">
                  <c:v>716.27777777777783</c:v>
                </c:pt>
                <c:pt idx="212">
                  <c:v>692.55555555555554</c:v>
                </c:pt>
                <c:pt idx="213">
                  <c:v>666.48148148333325</c:v>
                </c:pt>
                <c:pt idx="214">
                  <c:v>638.05555555555554</c:v>
                </c:pt>
                <c:pt idx="215">
                  <c:v>607.27777777777783</c:v>
                </c:pt>
                <c:pt idx="216">
                  <c:v>575.99999999999989</c:v>
                </c:pt>
                <c:pt idx="217">
                  <c:v>544.22222222222217</c:v>
                </c:pt>
                <c:pt idx="218">
                  <c:v>511.94444444444446</c:v>
                </c:pt>
                <c:pt idx="219">
                  <c:v>479.16666666666669</c:v>
                </c:pt>
                <c:pt idx="220">
                  <c:v>445.88888888888891</c:v>
                </c:pt>
                <c:pt idx="221">
                  <c:v>412.11111111111109</c:v>
                </c:pt>
                <c:pt idx="222">
                  <c:v>379.66666666666669</c:v>
                </c:pt>
                <c:pt idx="223">
                  <c:v>348.55555555555554</c:v>
                </c:pt>
                <c:pt idx="224">
                  <c:v>318.77777777777777</c:v>
                </c:pt>
                <c:pt idx="225">
                  <c:v>290.33333333499996</c:v>
                </c:pt>
                <c:pt idx="226">
                  <c:v>263.22222222222223</c:v>
                </c:pt>
                <c:pt idx="227">
                  <c:v>237.44444444444446</c:v>
                </c:pt>
                <c:pt idx="228">
                  <c:v>214.20370370388889</c:v>
                </c:pt>
                <c:pt idx="229">
                  <c:v>193.5</c:v>
                </c:pt>
                <c:pt idx="230">
                  <c:v>175.33333333333334</c:v>
                </c:pt>
                <c:pt idx="231">
                  <c:v>159.70370370555554</c:v>
                </c:pt>
                <c:pt idx="232">
                  <c:v>146.61111111111111</c:v>
                </c:pt>
                <c:pt idx="233">
                  <c:v>136.05555555555554</c:v>
                </c:pt>
                <c:pt idx="234">
                  <c:v>127.03703703888888</c:v>
                </c:pt>
                <c:pt idx="235">
                  <c:v>119.55555555555556</c:v>
                </c:pt>
                <c:pt idx="236">
                  <c:v>113.61111111111111</c:v>
                </c:pt>
                <c:pt idx="237">
                  <c:v>109.20370370555555</c:v>
                </c:pt>
                <c:pt idx="238">
                  <c:v>106.33333333333333</c:v>
                </c:pt>
                <c:pt idx="239">
                  <c:v>105</c:v>
                </c:pt>
                <c:pt idx="240">
                  <c:v>104.01851852055556</c:v>
                </c:pt>
                <c:pt idx="241">
                  <c:v>103.38888888888889</c:v>
                </c:pt>
                <c:pt idx="242">
                  <c:v>103.11111111111111</c:v>
                </c:pt>
                <c:pt idx="243">
                  <c:v>103.18518518555555</c:v>
                </c:pt>
                <c:pt idx="244">
                  <c:v>103.61111111111111</c:v>
                </c:pt>
                <c:pt idx="245">
                  <c:v>104.38888888888889</c:v>
                </c:pt>
                <c:pt idx="246">
                  <c:v>104.94444444611111</c:v>
                </c:pt>
                <c:pt idx="247">
                  <c:v>105.27777777777777</c:v>
                </c:pt>
                <c:pt idx="248">
                  <c:v>105.38888888888889</c:v>
                </c:pt>
                <c:pt idx="249">
                  <c:v>105.27777777777777</c:v>
                </c:pt>
                <c:pt idx="250">
                  <c:v>104.94444444444444</c:v>
                </c:pt>
                <c:pt idx="251">
                  <c:v>104.38888888888889</c:v>
                </c:pt>
                <c:pt idx="252">
                  <c:v>104.07407407222223</c:v>
                </c:pt>
                <c:pt idx="253">
                  <c:v>104</c:v>
                </c:pt>
                <c:pt idx="254">
                  <c:v>104.08777777777777</c:v>
                </c:pt>
                <c:pt idx="255">
                  <c:v>104.2011111111111</c:v>
                </c:pt>
                <c:pt idx="256">
                  <c:v>104.74444444444444</c:v>
                </c:pt>
                <c:pt idx="257">
                  <c:v>105.66388888888888</c:v>
                </c:pt>
                <c:pt idx="258">
                  <c:v>106.51296296277778</c:v>
                </c:pt>
                <c:pt idx="259">
                  <c:v>107.20277777777777</c:v>
                </c:pt>
                <c:pt idx="260">
                  <c:v>108.04666666666667</c:v>
                </c:pt>
                <c:pt idx="261">
                  <c:v>108.62629629611111</c:v>
                </c:pt>
                <c:pt idx="262">
                  <c:v>109.12333333333332</c:v>
                </c:pt>
                <c:pt idx="263">
                  <c:v>109.50777777777779</c:v>
                </c:pt>
                <c:pt idx="264">
                  <c:v>109.57518518333333</c:v>
                </c:pt>
                <c:pt idx="265">
                  <c:v>109.2811111111111</c:v>
                </c:pt>
                <c:pt idx="266">
                  <c:v>108.86444444444444</c:v>
                </c:pt>
                <c:pt idx="267">
                  <c:v>108.36685185</c:v>
                </c:pt>
                <c:pt idx="268">
                  <c:v>107.68444444444444</c:v>
                </c:pt>
                <c:pt idx="269">
                  <c:v>106.90722222222222</c:v>
                </c:pt>
                <c:pt idx="270">
                  <c:v>106.00925926111114</c:v>
                </c:pt>
                <c:pt idx="271">
                  <c:v>105.41277777777778</c:v>
                </c:pt>
                <c:pt idx="272">
                  <c:v>104.95944444444446</c:v>
                </c:pt>
                <c:pt idx="273">
                  <c:v>104.64611111111113</c:v>
                </c:pt>
                <c:pt idx="274">
                  <c:v>104.46111111111112</c:v>
                </c:pt>
                <c:pt idx="275">
                  <c:v>104.32833333333335</c:v>
                </c:pt>
                <c:pt idx="276">
                  <c:v>104.23166666666668</c:v>
                </c:pt>
                <c:pt idx="277">
                  <c:v>104.30833333333337</c:v>
                </c:pt>
                <c:pt idx="278">
                  <c:v>104.1316666666667</c:v>
                </c:pt>
                <c:pt idx="279">
                  <c:v>104.21277777777779</c:v>
                </c:pt>
                <c:pt idx="280">
                  <c:v>104.35666666666667</c:v>
                </c:pt>
                <c:pt idx="281">
                  <c:v>104.62833333333333</c:v>
                </c:pt>
                <c:pt idx="282">
                  <c:v>105.17944444444446</c:v>
                </c:pt>
                <c:pt idx="283">
                  <c:v>105.87166666666666</c:v>
                </c:pt>
                <c:pt idx="284">
                  <c:v>106.4661111111111</c:v>
                </c:pt>
                <c:pt idx="285">
                  <c:v>107.00999999999999</c:v>
                </c:pt>
                <c:pt idx="286">
                  <c:v>107.49055555555556</c:v>
                </c:pt>
                <c:pt idx="287">
                  <c:v>107.92888888888889</c:v>
                </c:pt>
                <c:pt idx="288">
                  <c:v>108.66944444444444</c:v>
                </c:pt>
                <c:pt idx="289">
                  <c:v>109.20111111111112</c:v>
                </c:pt>
                <c:pt idx="290">
                  <c:v>109.76111111111112</c:v>
                </c:pt>
                <c:pt idx="291">
                  <c:v>110.45</c:v>
                </c:pt>
                <c:pt idx="292">
                  <c:v>110.95833333333333</c:v>
                </c:pt>
                <c:pt idx="293">
                  <c:v>111.38277777777778</c:v>
                </c:pt>
                <c:pt idx="294">
                  <c:v>111.83777777777777</c:v>
                </c:pt>
                <c:pt idx="295">
                  <c:v>112.22499999999999</c:v>
                </c:pt>
                <c:pt idx="296">
                  <c:v>112.67444444444443</c:v>
                </c:pt>
                <c:pt idx="297">
                  <c:v>112.93222222222222</c:v>
                </c:pt>
                <c:pt idx="298">
                  <c:v>113.25055555555554</c:v>
                </c:pt>
                <c:pt idx="299">
                  <c:v>113.57777777777777</c:v>
                </c:pt>
                <c:pt idx="300">
                  <c:v>113.88333333333331</c:v>
                </c:pt>
                <c:pt idx="301">
                  <c:v>114.27777777777777</c:v>
                </c:pt>
                <c:pt idx="302">
                  <c:v>114.86994444444443</c:v>
                </c:pt>
                <c:pt idx="303">
                  <c:v>115.45327777777776</c:v>
                </c:pt>
                <c:pt idx="304">
                  <c:v>116.14216666666665</c:v>
                </c:pt>
                <c:pt idx="305">
                  <c:v>116.75883333333331</c:v>
                </c:pt>
                <c:pt idx="306">
                  <c:v>117.45327777777776</c:v>
                </c:pt>
                <c:pt idx="307">
                  <c:v>118.15327777777777</c:v>
                </c:pt>
                <c:pt idx="308">
                  <c:v>118.84772222222222</c:v>
                </c:pt>
                <c:pt idx="309">
                  <c:v>119.65883333333333</c:v>
                </c:pt>
                <c:pt idx="310">
                  <c:v>120.34216666666664</c:v>
                </c:pt>
                <c:pt idx="311">
                  <c:v>120.81694444444445</c:v>
                </c:pt>
                <c:pt idx="312">
                  <c:v>121.22805555555558</c:v>
                </c:pt>
                <c:pt idx="313">
                  <c:v>121.65583333333335</c:v>
                </c:pt>
                <c:pt idx="314">
                  <c:v>122.06694444444445</c:v>
                </c:pt>
                <c:pt idx="315">
                  <c:v>122.57805555555557</c:v>
                </c:pt>
                <c:pt idx="316">
                  <c:v>122.95583333333336</c:v>
                </c:pt>
                <c:pt idx="317">
                  <c:v>123.18361111111113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136896"/>
        <c:axId val="321138688"/>
      </c:lineChart>
      <c:dateAx>
        <c:axId val="3211368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1138688"/>
        <c:crosses val="autoZero"/>
        <c:auto val="1"/>
        <c:lblOffset val="100"/>
        <c:baseTimeUnit val="months"/>
      </c:dateAx>
      <c:valAx>
        <c:axId val="3211386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321136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5</xdr:row>
      <xdr:rowOff>33337</xdr:rowOff>
    </xdr:from>
    <xdr:to>
      <xdr:col>16</xdr:col>
      <xdr:colOff>152400</xdr:colOff>
      <xdr:row>19</xdr:row>
      <xdr:rowOff>109537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24</xdr:row>
      <xdr:rowOff>61912</xdr:rowOff>
    </xdr:from>
    <xdr:to>
      <xdr:col>16</xdr:col>
      <xdr:colOff>66675</xdr:colOff>
      <xdr:row>38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185737</xdr:colOff>
      <xdr:row>39</xdr:row>
      <xdr:rowOff>176212</xdr:rowOff>
    </xdr:from>
    <xdr:to>
      <xdr:col>16</xdr:col>
      <xdr:colOff>61912</xdr:colOff>
      <xdr:row>54</xdr:row>
      <xdr:rowOff>61912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9"/>
  <sheetViews>
    <sheetView tabSelected="1" topLeftCell="B1" workbookViewId="0">
      <selection activeCell="AE15" sqref="AE15"/>
    </sheetView>
  </sheetViews>
  <sheetFormatPr defaultRowHeight="15" x14ac:dyDescent="0.25"/>
  <cols>
    <col min="1" max="1" width="11.28515625" style="1" customWidth="1"/>
    <col min="2" max="2" width="9.140625" style="6"/>
    <col min="3" max="3" width="8.28515625" style="6" bestFit="1" customWidth="1"/>
    <col min="4" max="4" width="9.85546875" style="7" bestFit="1" customWidth="1"/>
    <col min="5" max="5" width="9.7109375" style="17" bestFit="1" customWidth="1"/>
    <col min="6" max="6" width="15.5703125" style="9" bestFit="1" customWidth="1"/>
    <col min="7" max="7" width="15.42578125" style="9" bestFit="1" customWidth="1"/>
    <col min="8" max="8" width="12" bestFit="1" customWidth="1"/>
    <col min="24" max="24" width="11.28515625" style="1" customWidth="1"/>
    <col min="25" max="25" width="9.140625" style="6"/>
    <col min="26" max="26" width="8.28515625" style="6" bestFit="1" customWidth="1"/>
    <col min="27" max="27" width="12.5703125" bestFit="1" customWidth="1"/>
    <col min="28" max="28" width="11.85546875" bestFit="1" customWidth="1"/>
    <col min="29" max="29" width="14.42578125" bestFit="1" customWidth="1"/>
    <col min="30" max="30" width="13.7109375" bestFit="1" customWidth="1"/>
    <col min="31" max="31" width="10.42578125" bestFit="1" customWidth="1"/>
  </cols>
  <sheetData>
    <row r="1" spans="1:31" s="4" customFormat="1" x14ac:dyDescent="0.25">
      <c r="A1" s="3" t="s">
        <v>0</v>
      </c>
      <c r="B1" s="5" t="s">
        <v>1</v>
      </c>
      <c r="C1" s="5" t="s">
        <v>2</v>
      </c>
      <c r="D1" s="5" t="s">
        <v>3</v>
      </c>
      <c r="E1" s="15" t="s">
        <v>4</v>
      </c>
      <c r="F1" s="8" t="s">
        <v>5</v>
      </c>
      <c r="G1" s="8" t="s">
        <v>6</v>
      </c>
      <c r="H1" s="4" t="s">
        <v>8</v>
      </c>
      <c r="X1" s="3" t="s">
        <v>0</v>
      </c>
      <c r="Y1" s="5" t="s">
        <v>1</v>
      </c>
      <c r="Z1" s="5" t="s">
        <v>2</v>
      </c>
      <c r="AA1" s="4" t="s">
        <v>10</v>
      </c>
      <c r="AB1" s="5" t="s">
        <v>11</v>
      </c>
      <c r="AC1" s="4" t="s">
        <v>9</v>
      </c>
      <c r="AD1" s="5" t="s">
        <v>12</v>
      </c>
      <c r="AE1" s="4" t="s">
        <v>13</v>
      </c>
    </row>
    <row r="2" spans="1:31" x14ac:dyDescent="0.25">
      <c r="A2" s="2">
        <v>32874</v>
      </c>
      <c r="B2" s="6">
        <v>92.4</v>
      </c>
      <c r="C2" s="6" t="e">
        <v>#N/A</v>
      </c>
      <c r="D2" s="6" t="e">
        <v>#N/A</v>
      </c>
      <c r="E2" s="16" t="e">
        <v>#N/A</v>
      </c>
      <c r="F2" s="9" t="e">
        <v>#N/A</v>
      </c>
      <c r="G2" s="9" t="e">
        <v>#N/A</v>
      </c>
      <c r="P2" s="4"/>
      <c r="Q2" s="4"/>
      <c r="R2" s="4"/>
      <c r="X2" s="2">
        <v>32874</v>
      </c>
      <c r="Y2" s="6">
        <v>92.4</v>
      </c>
      <c r="Z2" s="6" t="e">
        <v>#N/A</v>
      </c>
    </row>
    <row r="3" spans="1:31" x14ac:dyDescent="0.25">
      <c r="A3" s="2">
        <v>32905</v>
      </c>
      <c r="B3" s="6">
        <v>100.175</v>
      </c>
      <c r="C3" s="6" t="e">
        <v>#N/A</v>
      </c>
      <c r="D3" s="6" t="e">
        <v>#N/A</v>
      </c>
      <c r="E3" s="17" t="e">
        <f t="shared" ref="E3:E65" si="0">H3</f>
        <v>#N/A</v>
      </c>
      <c r="F3" s="9" t="e">
        <f>D3/D2-1</f>
        <v>#N/A</v>
      </c>
      <c r="G3" s="9" t="e">
        <f t="shared" ref="G3:G66" si="1">E3/E2-1</f>
        <v>#N/A</v>
      </c>
      <c r="H3" t="e">
        <f t="shared" ref="H3:H66" si="2">E4/(F4+1)</f>
        <v>#N/A</v>
      </c>
      <c r="X3" s="2">
        <v>32905</v>
      </c>
      <c r="Y3" s="6">
        <v>100.175</v>
      </c>
      <c r="Z3" s="6" t="e">
        <v>#N/A</v>
      </c>
    </row>
    <row r="4" spans="1:31" x14ac:dyDescent="0.25">
      <c r="A4" s="2">
        <v>32933</v>
      </c>
      <c r="B4" s="6">
        <v>92.28</v>
      </c>
      <c r="C4" s="6" t="e">
        <v>#N/A</v>
      </c>
      <c r="D4" s="6" t="e">
        <v>#N/A</v>
      </c>
      <c r="E4" s="17" t="e">
        <f t="shared" si="0"/>
        <v>#N/A</v>
      </c>
      <c r="F4" s="9" t="e">
        <f t="shared" ref="F4:F67" si="3">D4/D3-1</f>
        <v>#N/A</v>
      </c>
      <c r="G4" s="9" t="e">
        <f t="shared" si="1"/>
        <v>#N/A</v>
      </c>
      <c r="H4" t="e">
        <f t="shared" si="2"/>
        <v>#N/A</v>
      </c>
      <c r="X4" s="2">
        <v>32933</v>
      </c>
      <c r="Y4" s="6">
        <v>92.28</v>
      </c>
      <c r="Z4" s="6" t="e">
        <v>#N/A</v>
      </c>
    </row>
    <row r="5" spans="1:31" x14ac:dyDescent="0.25">
      <c r="A5" s="2">
        <v>32964</v>
      </c>
      <c r="B5" s="6">
        <v>91.25</v>
      </c>
      <c r="C5" s="6" t="e">
        <v>#N/A</v>
      </c>
      <c r="D5" s="6" t="e">
        <v>#N/A</v>
      </c>
      <c r="E5" s="17" t="e">
        <f t="shared" si="0"/>
        <v>#N/A</v>
      </c>
      <c r="F5" s="9" t="e">
        <f t="shared" si="3"/>
        <v>#N/A</v>
      </c>
      <c r="G5" s="9" t="e">
        <f t="shared" si="1"/>
        <v>#N/A</v>
      </c>
      <c r="H5" t="e">
        <f t="shared" si="2"/>
        <v>#N/A</v>
      </c>
      <c r="X5" s="2">
        <v>32964</v>
      </c>
      <c r="Y5" s="6">
        <v>91.25</v>
      </c>
      <c r="Z5" s="6" t="e">
        <v>#N/A</v>
      </c>
    </row>
    <row r="6" spans="1:31" x14ac:dyDescent="0.25">
      <c r="A6" s="2">
        <v>32994</v>
      </c>
      <c r="B6" s="6">
        <v>85.5</v>
      </c>
      <c r="C6" s="6" t="e">
        <v>#N/A</v>
      </c>
      <c r="D6" s="6" t="e">
        <v>#N/A</v>
      </c>
      <c r="E6" s="17" t="e">
        <f t="shared" si="0"/>
        <v>#N/A</v>
      </c>
      <c r="F6" s="9" t="e">
        <f t="shared" si="3"/>
        <v>#N/A</v>
      </c>
      <c r="G6" s="9" t="e">
        <f t="shared" si="1"/>
        <v>#N/A</v>
      </c>
      <c r="H6" t="e">
        <f t="shared" si="2"/>
        <v>#N/A</v>
      </c>
      <c r="X6" s="2">
        <v>32994</v>
      </c>
      <c r="Y6" s="6">
        <v>85.5</v>
      </c>
      <c r="Z6" s="6" t="e">
        <v>#N/A</v>
      </c>
    </row>
    <row r="7" spans="1:31" x14ac:dyDescent="0.25">
      <c r="A7" s="2">
        <v>33025</v>
      </c>
      <c r="B7" s="6">
        <v>92</v>
      </c>
      <c r="C7" s="6" t="e">
        <v>#N/A</v>
      </c>
      <c r="D7" s="6" t="e">
        <v>#N/A</v>
      </c>
      <c r="E7" s="17" t="e">
        <f t="shared" si="0"/>
        <v>#N/A</v>
      </c>
      <c r="F7" s="9" t="e">
        <f t="shared" si="3"/>
        <v>#N/A</v>
      </c>
      <c r="G7" s="9" t="e">
        <f t="shared" si="1"/>
        <v>#N/A</v>
      </c>
      <c r="H7" t="e">
        <f t="shared" si="2"/>
        <v>#N/A</v>
      </c>
      <c r="X7" s="2">
        <v>33025</v>
      </c>
      <c r="Y7" s="6">
        <v>92</v>
      </c>
      <c r="Z7" s="6" t="e">
        <v>#N/A</v>
      </c>
    </row>
    <row r="8" spans="1:31" x14ac:dyDescent="0.25">
      <c r="A8" s="2">
        <v>33055</v>
      </c>
      <c r="B8" s="6">
        <v>88.65</v>
      </c>
      <c r="C8" s="6" t="e">
        <v>#N/A</v>
      </c>
      <c r="D8" s="6" t="e">
        <v>#N/A</v>
      </c>
      <c r="E8" s="17" t="e">
        <f t="shared" si="0"/>
        <v>#N/A</v>
      </c>
      <c r="F8" s="9" t="e">
        <f t="shared" si="3"/>
        <v>#N/A</v>
      </c>
      <c r="G8" s="9" t="e">
        <f t="shared" si="1"/>
        <v>#N/A</v>
      </c>
      <c r="H8" t="e">
        <f t="shared" si="2"/>
        <v>#N/A</v>
      </c>
      <c r="X8" s="2">
        <v>33055</v>
      </c>
      <c r="Y8" s="6">
        <v>88.65</v>
      </c>
      <c r="Z8" s="6" t="e">
        <v>#N/A</v>
      </c>
    </row>
    <row r="9" spans="1:31" x14ac:dyDescent="0.25">
      <c r="A9" s="2">
        <v>33086</v>
      </c>
      <c r="B9" s="6">
        <v>89.18</v>
      </c>
      <c r="C9" s="6" t="e">
        <v>#N/A</v>
      </c>
      <c r="D9" s="6" t="e">
        <v>#N/A</v>
      </c>
      <c r="E9" s="17" t="e">
        <f t="shared" si="0"/>
        <v>#N/A</v>
      </c>
      <c r="F9" s="9" t="e">
        <f t="shared" si="3"/>
        <v>#N/A</v>
      </c>
      <c r="G9" s="9" t="e">
        <f t="shared" si="1"/>
        <v>#N/A</v>
      </c>
      <c r="H9" t="e">
        <f t="shared" si="2"/>
        <v>#N/A</v>
      </c>
      <c r="X9" s="2">
        <v>33086</v>
      </c>
      <c r="Y9" s="6">
        <v>89.18</v>
      </c>
      <c r="Z9" s="6" t="e">
        <v>#N/A</v>
      </c>
    </row>
    <row r="10" spans="1:31" x14ac:dyDescent="0.25">
      <c r="A10" s="2">
        <v>33117</v>
      </c>
      <c r="B10" s="6">
        <v>80.45</v>
      </c>
      <c r="C10" s="6" t="e">
        <v>#N/A</v>
      </c>
      <c r="D10" s="6" t="e">
        <v>#N/A</v>
      </c>
      <c r="E10" s="17" t="e">
        <f t="shared" si="0"/>
        <v>#N/A</v>
      </c>
      <c r="F10" s="9" t="e">
        <f t="shared" si="3"/>
        <v>#N/A</v>
      </c>
      <c r="G10" s="9" t="e">
        <f t="shared" si="1"/>
        <v>#N/A</v>
      </c>
      <c r="H10" t="e">
        <f t="shared" si="2"/>
        <v>#N/A</v>
      </c>
      <c r="X10" s="2">
        <v>33117</v>
      </c>
      <c r="Y10" s="6">
        <v>80.45</v>
      </c>
      <c r="Z10" s="6" t="e">
        <v>#N/A</v>
      </c>
    </row>
    <row r="11" spans="1:31" x14ac:dyDescent="0.25">
      <c r="A11" s="2">
        <v>33147</v>
      </c>
      <c r="B11" s="6">
        <v>74.95</v>
      </c>
      <c r="C11" s="6" t="e">
        <v>#N/A</v>
      </c>
      <c r="D11" s="6" t="e">
        <v>#N/A</v>
      </c>
      <c r="E11" s="17" t="e">
        <f t="shared" si="0"/>
        <v>#N/A</v>
      </c>
      <c r="F11" s="9" t="e">
        <f t="shared" si="3"/>
        <v>#N/A</v>
      </c>
      <c r="G11" s="9" t="e">
        <f t="shared" si="1"/>
        <v>#N/A</v>
      </c>
      <c r="H11" t="e">
        <f t="shared" si="2"/>
        <v>#N/A</v>
      </c>
      <c r="X11" s="2">
        <v>33147</v>
      </c>
      <c r="Y11" s="6">
        <v>74.95</v>
      </c>
      <c r="Z11" s="6" t="e">
        <v>#N/A</v>
      </c>
    </row>
    <row r="12" spans="1:31" x14ac:dyDescent="0.25">
      <c r="A12" s="2">
        <v>33178</v>
      </c>
      <c r="B12" s="6">
        <v>81.84</v>
      </c>
      <c r="C12" s="6" t="e">
        <v>#N/A</v>
      </c>
      <c r="D12" s="6" t="e">
        <v>#N/A</v>
      </c>
      <c r="E12" s="17" t="e">
        <f t="shared" si="0"/>
        <v>#N/A</v>
      </c>
      <c r="F12" s="9" t="e">
        <f t="shared" si="3"/>
        <v>#N/A</v>
      </c>
      <c r="G12" s="9" t="e">
        <f t="shared" si="1"/>
        <v>#N/A</v>
      </c>
      <c r="H12" t="e">
        <f t="shared" si="2"/>
        <v>#N/A</v>
      </c>
      <c r="X12" s="2">
        <v>33178</v>
      </c>
      <c r="Y12" s="6">
        <v>81.84</v>
      </c>
      <c r="Z12" s="6" t="e">
        <v>#N/A</v>
      </c>
    </row>
    <row r="13" spans="1:31" x14ac:dyDescent="0.25">
      <c r="A13" s="2">
        <v>33208</v>
      </c>
      <c r="B13" s="6">
        <v>78.900000000000006</v>
      </c>
      <c r="C13" s="6" t="e">
        <v>#N/A</v>
      </c>
      <c r="D13" s="6" t="e">
        <v>#N/A</v>
      </c>
      <c r="E13" s="17" t="e">
        <f t="shared" si="0"/>
        <v>#N/A</v>
      </c>
      <c r="F13" s="9" t="e">
        <f t="shared" si="3"/>
        <v>#N/A</v>
      </c>
      <c r="G13" s="9" t="e">
        <f t="shared" si="1"/>
        <v>#N/A</v>
      </c>
      <c r="H13" t="e">
        <f t="shared" si="2"/>
        <v>#N/A</v>
      </c>
      <c r="X13" s="2">
        <v>33208</v>
      </c>
      <c r="Y13" s="6">
        <v>78.900000000000006</v>
      </c>
      <c r="Z13" s="6" t="e">
        <v>#N/A</v>
      </c>
    </row>
    <row r="14" spans="1:31" x14ac:dyDescent="0.25">
      <c r="A14" s="2">
        <v>33239</v>
      </c>
      <c r="B14" s="6">
        <v>87.375</v>
      </c>
      <c r="C14" s="6" t="e">
        <v>#N/A</v>
      </c>
      <c r="D14" s="6" t="e">
        <v>#N/A</v>
      </c>
      <c r="E14" s="17" t="e">
        <f t="shared" si="0"/>
        <v>#N/A</v>
      </c>
      <c r="F14" s="9" t="e">
        <f t="shared" si="3"/>
        <v>#N/A</v>
      </c>
      <c r="G14" s="9" t="e">
        <f t="shared" si="1"/>
        <v>#N/A</v>
      </c>
      <c r="H14" t="e">
        <f t="shared" si="2"/>
        <v>#N/A</v>
      </c>
      <c r="X14" s="2">
        <v>33239</v>
      </c>
      <c r="Y14" s="6">
        <v>87.375</v>
      </c>
      <c r="Z14" s="6" t="e">
        <v>#N/A</v>
      </c>
    </row>
    <row r="15" spans="1:31" x14ac:dyDescent="0.25">
      <c r="A15" s="2">
        <v>33270</v>
      </c>
      <c r="B15" s="6">
        <v>98.8</v>
      </c>
      <c r="C15" s="6" t="e">
        <v>#N/A</v>
      </c>
      <c r="D15" s="6" t="e">
        <v>#N/A</v>
      </c>
      <c r="E15" s="17" t="e">
        <f t="shared" si="0"/>
        <v>#N/A</v>
      </c>
      <c r="F15" s="9" t="e">
        <f t="shared" si="3"/>
        <v>#N/A</v>
      </c>
      <c r="G15" s="9" t="e">
        <f t="shared" si="1"/>
        <v>#N/A</v>
      </c>
      <c r="H15" t="e">
        <f t="shared" si="2"/>
        <v>#N/A</v>
      </c>
      <c r="X15" s="2">
        <v>33270</v>
      </c>
      <c r="Y15" s="6">
        <v>98.8</v>
      </c>
      <c r="Z15" s="6" t="e">
        <v>#N/A</v>
      </c>
    </row>
    <row r="16" spans="1:31" x14ac:dyDescent="0.25">
      <c r="A16" s="2">
        <v>33298</v>
      </c>
      <c r="B16" s="6">
        <v>114.6</v>
      </c>
      <c r="C16" s="6" t="e">
        <v>#N/A</v>
      </c>
      <c r="D16" s="6" t="e">
        <v>#N/A</v>
      </c>
      <c r="E16" s="17" t="e">
        <f t="shared" si="0"/>
        <v>#N/A</v>
      </c>
      <c r="F16" s="9" t="e">
        <f t="shared" si="3"/>
        <v>#N/A</v>
      </c>
      <c r="G16" s="9" t="e">
        <f t="shared" si="1"/>
        <v>#N/A</v>
      </c>
      <c r="H16" t="e">
        <f t="shared" si="2"/>
        <v>#N/A</v>
      </c>
      <c r="X16" s="2">
        <v>33298</v>
      </c>
      <c r="Y16" s="6">
        <v>114.6</v>
      </c>
      <c r="Z16" s="6" t="e">
        <v>#N/A</v>
      </c>
    </row>
    <row r="17" spans="1:31" x14ac:dyDescent="0.25">
      <c r="A17" s="2">
        <v>33329</v>
      </c>
      <c r="B17" s="6">
        <v>112</v>
      </c>
      <c r="C17" s="6" t="e">
        <v>#N/A</v>
      </c>
      <c r="D17" s="6" t="e">
        <v>#N/A</v>
      </c>
      <c r="E17" s="17" t="e">
        <f t="shared" si="0"/>
        <v>#N/A</v>
      </c>
      <c r="F17" s="9" t="e">
        <f t="shared" si="3"/>
        <v>#N/A</v>
      </c>
      <c r="G17" s="9" t="e">
        <f t="shared" si="1"/>
        <v>#N/A</v>
      </c>
      <c r="H17" t="e">
        <f t="shared" si="2"/>
        <v>#N/A</v>
      </c>
      <c r="X17" s="2">
        <v>33329</v>
      </c>
      <c r="Y17" s="6">
        <v>112</v>
      </c>
      <c r="Z17" s="6" t="e">
        <v>#N/A</v>
      </c>
    </row>
    <row r="18" spans="1:31" x14ac:dyDescent="0.25">
      <c r="A18" s="2">
        <v>33359</v>
      </c>
      <c r="B18" s="6">
        <v>117.32</v>
      </c>
      <c r="C18" s="6" t="e">
        <v>#N/A</v>
      </c>
      <c r="D18" s="6" t="e">
        <v>#N/A</v>
      </c>
      <c r="E18" s="17" t="e">
        <f t="shared" si="0"/>
        <v>#N/A</v>
      </c>
      <c r="F18" s="9" t="e">
        <f t="shared" si="3"/>
        <v>#N/A</v>
      </c>
      <c r="G18" s="9" t="e">
        <f t="shared" si="1"/>
        <v>#N/A</v>
      </c>
      <c r="H18" t="e">
        <f t="shared" si="2"/>
        <v>#N/A</v>
      </c>
      <c r="X18" s="2">
        <v>33359</v>
      </c>
      <c r="Y18" s="6">
        <v>117.32</v>
      </c>
      <c r="Z18" s="6" t="e">
        <v>#N/A</v>
      </c>
    </row>
    <row r="19" spans="1:31" x14ac:dyDescent="0.25">
      <c r="A19" s="2">
        <v>33390</v>
      </c>
      <c r="B19" s="6">
        <v>113.875</v>
      </c>
      <c r="C19" s="6" t="e">
        <v>#N/A</v>
      </c>
      <c r="D19" s="7">
        <f>AVERAGE(B2:B19)</f>
        <v>93.974722222222212</v>
      </c>
      <c r="E19" s="17">
        <f>H19</f>
        <v>120.35908064171065</v>
      </c>
      <c r="F19" s="9" t="e">
        <f t="shared" si="3"/>
        <v>#N/A</v>
      </c>
      <c r="G19" s="9" t="e">
        <f t="shared" si="1"/>
        <v>#N/A</v>
      </c>
      <c r="H19">
        <f>E20/(F20+1)</f>
        <v>120.35908064171065</v>
      </c>
      <c r="X19" s="2">
        <v>33390</v>
      </c>
      <c r="Y19" s="6">
        <v>113.875</v>
      </c>
      <c r="Z19" s="6" t="e">
        <v>#N/A</v>
      </c>
      <c r="AA19" s="7">
        <f>AVERAGE(Y2:Y19)</f>
        <v>93.974722222222212</v>
      </c>
      <c r="AB19" s="7">
        <f t="shared" ref="AB19:AB82" si="4">IF(ISNA(AVERAGE(Z2:Z19)),AE19,AVERAGE(Z2:Z19))</f>
        <v>120.35908064171065</v>
      </c>
      <c r="AE19">
        <f t="shared" ref="AE19:AE83" si="5">AB20/(1+AC20)</f>
        <v>120.35908064171065</v>
      </c>
    </row>
    <row r="20" spans="1:31" x14ac:dyDescent="0.25">
      <c r="A20" s="2">
        <v>33420</v>
      </c>
      <c r="B20" s="6">
        <v>116.875</v>
      </c>
      <c r="C20" s="6" t="e">
        <v>#N/A</v>
      </c>
      <c r="D20" s="7">
        <f>AVERAGE(B3:B20)</f>
        <v>95.334444444444443</v>
      </c>
      <c r="E20" s="17">
        <f>H20</f>
        <v>122.10055869798812</v>
      </c>
      <c r="F20" s="9">
        <f t="shared" si="3"/>
        <v>1.4469020924657627E-2</v>
      </c>
      <c r="G20" s="9">
        <f>E20/E19-1</f>
        <v>1.4469020924657627E-2</v>
      </c>
      <c r="H20">
        <f>E21/(F21+1)</f>
        <v>122.10055869798812</v>
      </c>
      <c r="X20" s="2">
        <v>33420</v>
      </c>
      <c r="Y20" s="6">
        <v>116.875</v>
      </c>
      <c r="Z20" s="6" t="e">
        <v>#N/A</v>
      </c>
      <c r="AA20" s="7">
        <f t="shared" ref="AA20:AA83" si="6">AVERAGE(Y3:Y20)</f>
        <v>95.334444444444443</v>
      </c>
      <c r="AB20" s="7">
        <f t="shared" si="4"/>
        <v>122.10055869798812</v>
      </c>
      <c r="AC20" s="18">
        <f>(AA20-AA19)/AA19</f>
        <v>1.4469020924657735E-2</v>
      </c>
      <c r="AE20">
        <f t="shared" si="5"/>
        <v>122.10055869798812</v>
      </c>
    </row>
    <row r="21" spans="1:31" x14ac:dyDescent="0.25">
      <c r="A21" s="2">
        <v>33451</v>
      </c>
      <c r="B21" s="6">
        <v>105.26</v>
      </c>
      <c r="C21" s="6" t="e">
        <v>#N/A</v>
      </c>
      <c r="D21" s="7">
        <f t="shared" ref="D21:D83" si="7">AVERAGE(B4:B21)</f>
        <v>95.616944444444428</v>
      </c>
      <c r="E21" s="17">
        <f t="shared" si="0"/>
        <v>122.46237344430764</v>
      </c>
      <c r="F21" s="9">
        <f t="shared" si="3"/>
        <v>2.9632521765479147E-3</v>
      </c>
      <c r="G21" s="9">
        <f t="shared" si="1"/>
        <v>2.9632521765479147E-3</v>
      </c>
      <c r="H21">
        <f t="shared" si="2"/>
        <v>122.46237344430764</v>
      </c>
      <c r="K21" t="s">
        <v>7</v>
      </c>
      <c r="X21" s="2">
        <v>33451</v>
      </c>
      <c r="Y21" s="6">
        <v>105.26</v>
      </c>
      <c r="Z21" s="6" t="e">
        <v>#N/A</v>
      </c>
      <c r="AA21" s="7">
        <f t="shared" si="6"/>
        <v>95.616944444444428</v>
      </c>
      <c r="AB21" s="7">
        <f t="shared" si="4"/>
        <v>122.46237344430764</v>
      </c>
      <c r="AC21" s="18">
        <f t="shared" ref="AC21:AC84" si="8">(AA21-AA20)/AA20</f>
        <v>2.9632521765478978E-3</v>
      </c>
      <c r="AE21">
        <f t="shared" si="5"/>
        <v>122.46237344430764</v>
      </c>
    </row>
    <row r="22" spans="1:31" x14ac:dyDescent="0.25">
      <c r="A22" s="2">
        <v>33482</v>
      </c>
      <c r="B22" s="6">
        <v>106.9</v>
      </c>
      <c r="C22" s="6" t="e">
        <v>#N/A</v>
      </c>
      <c r="D22" s="7">
        <f t="shared" si="7"/>
        <v>96.42916666666666</v>
      </c>
      <c r="E22" s="17">
        <f t="shared" si="0"/>
        <v>123.50263531081539</v>
      </c>
      <c r="F22" s="9">
        <f t="shared" si="3"/>
        <v>8.4945427501519344E-3</v>
      </c>
      <c r="G22" s="9">
        <f t="shared" si="1"/>
        <v>8.4945427501519344E-3</v>
      </c>
      <c r="H22">
        <f t="shared" si="2"/>
        <v>123.50263531081539</v>
      </c>
      <c r="X22" s="2">
        <v>33482</v>
      </c>
      <c r="Y22" s="6">
        <v>106.9</v>
      </c>
      <c r="Z22" s="6" t="e">
        <v>#N/A</v>
      </c>
      <c r="AA22" s="7">
        <f t="shared" si="6"/>
        <v>96.42916666666666</v>
      </c>
      <c r="AB22" s="7">
        <f t="shared" si="4"/>
        <v>123.50263531081539</v>
      </c>
      <c r="AC22" s="18">
        <f t="shared" si="8"/>
        <v>8.4945427501518945E-3</v>
      </c>
      <c r="AE22">
        <f t="shared" si="5"/>
        <v>123.50263531081539</v>
      </c>
    </row>
    <row r="23" spans="1:31" x14ac:dyDescent="0.25">
      <c r="A23" s="2">
        <v>33512</v>
      </c>
      <c r="B23" s="6">
        <v>112.22499999999999</v>
      </c>
      <c r="C23" s="6" t="e">
        <v>#N/A</v>
      </c>
      <c r="D23" s="7">
        <f t="shared" si="7"/>
        <v>97.594444444444434</v>
      </c>
      <c r="E23" s="17">
        <f t="shared" si="0"/>
        <v>124.99507666854448</v>
      </c>
      <c r="F23" s="9">
        <f t="shared" si="3"/>
        <v>1.2084287545550021E-2</v>
      </c>
      <c r="G23" s="9">
        <f t="shared" si="1"/>
        <v>1.2084287545550021E-2</v>
      </c>
      <c r="H23">
        <f t="shared" si="2"/>
        <v>124.99507666854448</v>
      </c>
      <c r="X23" s="2">
        <v>33512</v>
      </c>
      <c r="Y23" s="6">
        <v>112.22499999999999</v>
      </c>
      <c r="Z23" s="6" t="e">
        <v>#N/A</v>
      </c>
      <c r="AA23" s="7">
        <f t="shared" si="6"/>
        <v>97.594444444444434</v>
      </c>
      <c r="AB23" s="7">
        <f t="shared" si="4"/>
        <v>124.99507666854448</v>
      </c>
      <c r="AC23" s="18">
        <f t="shared" si="8"/>
        <v>1.2084287545550096E-2</v>
      </c>
      <c r="AE23">
        <f t="shared" si="5"/>
        <v>124.99507666854448</v>
      </c>
    </row>
    <row r="24" spans="1:31" x14ac:dyDescent="0.25">
      <c r="A24" s="2">
        <v>33543</v>
      </c>
      <c r="B24" s="6">
        <v>103.5</v>
      </c>
      <c r="C24" s="6" t="e">
        <v>#N/A</v>
      </c>
      <c r="D24" s="7">
        <f t="shared" si="7"/>
        <v>98.594444444444449</v>
      </c>
      <c r="E24" s="17">
        <f t="shared" si="0"/>
        <v>126.27583683250751</v>
      </c>
      <c r="F24" s="9">
        <f t="shared" si="3"/>
        <v>1.0246484886434981E-2</v>
      </c>
      <c r="G24" s="9">
        <f t="shared" si="1"/>
        <v>1.0246484886434981E-2</v>
      </c>
      <c r="H24">
        <f t="shared" si="2"/>
        <v>126.27583683250751</v>
      </c>
      <c r="X24" s="2">
        <v>33543</v>
      </c>
      <c r="Y24" s="6">
        <v>103.5</v>
      </c>
      <c r="Z24" s="6" t="e">
        <v>#N/A</v>
      </c>
      <c r="AA24" s="7">
        <f t="shared" si="6"/>
        <v>98.594444444444449</v>
      </c>
      <c r="AB24" s="7">
        <f t="shared" si="4"/>
        <v>126.27583683250751</v>
      </c>
      <c r="AC24" s="18">
        <f t="shared" si="8"/>
        <v>1.0246484886434939E-2</v>
      </c>
      <c r="AE24">
        <f t="shared" si="5"/>
        <v>126.27583683250751</v>
      </c>
    </row>
    <row r="25" spans="1:31" x14ac:dyDescent="0.25">
      <c r="A25" s="2">
        <v>33573</v>
      </c>
      <c r="B25" s="6">
        <v>100.25</v>
      </c>
      <c r="C25" s="6" t="e">
        <v>#N/A</v>
      </c>
      <c r="D25" s="7">
        <f t="shared" si="7"/>
        <v>99.052777777777777</v>
      </c>
      <c r="E25" s="17">
        <f t="shared" si="0"/>
        <v>126.8628519076572</v>
      </c>
      <c r="F25" s="9">
        <f t="shared" si="3"/>
        <v>4.6486730151573674E-3</v>
      </c>
      <c r="G25" s="9">
        <f t="shared" si="1"/>
        <v>4.6486730151573674E-3</v>
      </c>
      <c r="H25">
        <f t="shared" si="2"/>
        <v>126.8628519076572</v>
      </c>
      <c r="X25" s="2">
        <v>33573</v>
      </c>
      <c r="Y25" s="6">
        <v>100.25</v>
      </c>
      <c r="Z25" s="6" t="e">
        <v>#N/A</v>
      </c>
      <c r="AA25" s="7">
        <f t="shared" si="6"/>
        <v>99.052777777777777</v>
      </c>
      <c r="AB25" s="7">
        <f t="shared" si="4"/>
        <v>126.8628519076572</v>
      </c>
      <c r="AC25" s="18">
        <f t="shared" si="8"/>
        <v>4.6486730151574429E-3</v>
      </c>
      <c r="AE25">
        <f t="shared" si="5"/>
        <v>126.8628519076572</v>
      </c>
    </row>
    <row r="26" spans="1:31" x14ac:dyDescent="0.25">
      <c r="A26" s="2">
        <v>33604</v>
      </c>
      <c r="B26" s="6">
        <v>132.84</v>
      </c>
      <c r="C26" s="6" t="e">
        <v>#N/A</v>
      </c>
      <c r="D26" s="7">
        <f t="shared" si="7"/>
        <v>101.50777777777778</v>
      </c>
      <c r="E26" s="17">
        <f t="shared" si="0"/>
        <v>130.00711811018635</v>
      </c>
      <c r="F26" s="9">
        <f t="shared" si="3"/>
        <v>2.4784766819035742E-2</v>
      </c>
      <c r="G26" s="9">
        <f t="shared" si="1"/>
        <v>2.4784766819035742E-2</v>
      </c>
      <c r="H26">
        <f t="shared" si="2"/>
        <v>130.00711811018635</v>
      </c>
      <c r="X26" s="2">
        <v>33604</v>
      </c>
      <c r="Y26" s="6">
        <v>132.84</v>
      </c>
      <c r="Z26" s="6" t="e">
        <v>#N/A</v>
      </c>
      <c r="AA26" s="7">
        <f t="shared" si="6"/>
        <v>101.50777777777778</v>
      </c>
      <c r="AB26" s="7">
        <f t="shared" si="4"/>
        <v>130.00711811018635</v>
      </c>
      <c r="AC26" s="18">
        <f t="shared" si="8"/>
        <v>2.4784766819035849E-2</v>
      </c>
      <c r="AE26">
        <f t="shared" si="5"/>
        <v>130.00711811018635</v>
      </c>
    </row>
    <row r="27" spans="1:31" x14ac:dyDescent="0.25">
      <c r="A27" s="2">
        <v>33635</v>
      </c>
      <c r="B27" s="6">
        <v>129.375</v>
      </c>
      <c r="C27" s="6" t="e">
        <v>#N/A</v>
      </c>
      <c r="D27" s="7">
        <f t="shared" si="7"/>
        <v>103.74083333333333</v>
      </c>
      <c r="E27" s="17">
        <f t="shared" si="0"/>
        <v>132.86712670965815</v>
      </c>
      <c r="F27" s="9">
        <f t="shared" si="3"/>
        <v>2.1998861608853115E-2</v>
      </c>
      <c r="G27" s="9">
        <f t="shared" si="1"/>
        <v>2.1998861608853115E-2</v>
      </c>
      <c r="H27">
        <f t="shared" si="2"/>
        <v>132.86712670965815</v>
      </c>
      <c r="X27" s="2">
        <v>33635</v>
      </c>
      <c r="Y27" s="6">
        <v>129.375</v>
      </c>
      <c r="Z27" s="6" t="e">
        <v>#N/A</v>
      </c>
      <c r="AA27" s="7">
        <f t="shared" si="6"/>
        <v>103.74083333333333</v>
      </c>
      <c r="AB27" s="7">
        <f t="shared" si="4"/>
        <v>132.86712670965815</v>
      </c>
      <c r="AC27" s="18">
        <f t="shared" si="8"/>
        <v>2.1998861608853146E-2</v>
      </c>
      <c r="AE27">
        <f t="shared" si="5"/>
        <v>132.86712670965815</v>
      </c>
    </row>
    <row r="28" spans="1:31" x14ac:dyDescent="0.25">
      <c r="A28" s="2">
        <v>33664</v>
      </c>
      <c r="B28" s="6">
        <v>115.925</v>
      </c>
      <c r="C28" s="6" t="e">
        <v>#N/A</v>
      </c>
      <c r="D28" s="7">
        <f t="shared" si="7"/>
        <v>105.71166666666666</v>
      </c>
      <c r="E28" s="17">
        <f t="shared" si="0"/>
        <v>135.39129153280189</v>
      </c>
      <c r="F28" s="9">
        <f t="shared" si="3"/>
        <v>1.8997662444071306E-2</v>
      </c>
      <c r="G28" s="9">
        <f t="shared" si="1"/>
        <v>1.8997662444071306E-2</v>
      </c>
      <c r="H28">
        <f t="shared" si="2"/>
        <v>135.39129153280189</v>
      </c>
      <c r="X28" s="2">
        <v>33664</v>
      </c>
      <c r="Y28" s="6">
        <v>115.925</v>
      </c>
      <c r="Z28" s="6" t="e">
        <v>#N/A</v>
      </c>
      <c r="AA28" s="7">
        <f t="shared" si="6"/>
        <v>105.71166666666666</v>
      </c>
      <c r="AB28" s="7">
        <f t="shared" si="4"/>
        <v>135.39129153280189</v>
      </c>
      <c r="AC28" s="18">
        <f t="shared" si="8"/>
        <v>1.8997662444071348E-2</v>
      </c>
      <c r="AE28">
        <f t="shared" si="5"/>
        <v>135.39129153280189</v>
      </c>
    </row>
    <row r="29" spans="1:31" x14ac:dyDescent="0.25">
      <c r="A29" s="2">
        <v>33695</v>
      </c>
      <c r="B29" s="6">
        <v>117.95</v>
      </c>
      <c r="C29" s="6" t="e">
        <v>#N/A</v>
      </c>
      <c r="D29" s="7">
        <f t="shared" si="7"/>
        <v>108.10055555555556</v>
      </c>
      <c r="E29" s="17">
        <f t="shared" si="0"/>
        <v>138.45088525782464</v>
      </c>
      <c r="F29" s="9">
        <f t="shared" si="3"/>
        <v>2.2598157461859225E-2</v>
      </c>
      <c r="G29" s="9">
        <f t="shared" si="1"/>
        <v>2.2598157461859225E-2</v>
      </c>
      <c r="H29">
        <f t="shared" si="2"/>
        <v>138.45088525782464</v>
      </c>
      <c r="X29" s="2">
        <v>33695</v>
      </c>
      <c r="Y29" s="6">
        <v>117.95</v>
      </c>
      <c r="Z29" s="6" t="e">
        <v>#N/A</v>
      </c>
      <c r="AA29" s="7">
        <f t="shared" si="6"/>
        <v>108.10055555555556</v>
      </c>
      <c r="AB29" s="7">
        <f t="shared" si="4"/>
        <v>138.45088525782464</v>
      </c>
      <c r="AC29" s="18">
        <f t="shared" si="8"/>
        <v>2.2598157461859145E-2</v>
      </c>
      <c r="AE29">
        <f t="shared" si="5"/>
        <v>138.45088525782464</v>
      </c>
    </row>
    <row r="30" spans="1:31" x14ac:dyDescent="0.25">
      <c r="A30" s="2">
        <v>33725</v>
      </c>
      <c r="B30" s="6">
        <v>117.66</v>
      </c>
      <c r="C30" s="6" t="e">
        <v>#N/A</v>
      </c>
      <c r="D30" s="7">
        <f t="shared" si="7"/>
        <v>110.09055555555555</v>
      </c>
      <c r="E30" s="17">
        <f t="shared" si="0"/>
        <v>140.99959798411101</v>
      </c>
      <c r="F30" s="9">
        <f t="shared" si="3"/>
        <v>1.840878605824825E-2</v>
      </c>
      <c r="G30" s="9">
        <f t="shared" si="1"/>
        <v>1.840878605824825E-2</v>
      </c>
      <c r="H30">
        <f t="shared" si="2"/>
        <v>140.99959798411101</v>
      </c>
      <c r="X30" s="2">
        <v>33725</v>
      </c>
      <c r="Y30" s="6">
        <v>117.66</v>
      </c>
      <c r="Z30" s="6" t="e">
        <v>#N/A</v>
      </c>
      <c r="AA30" s="7">
        <f t="shared" si="6"/>
        <v>110.09055555555555</v>
      </c>
      <c r="AB30" s="7">
        <f t="shared" si="4"/>
        <v>140.99959798411101</v>
      </c>
      <c r="AC30" s="18">
        <f t="shared" si="8"/>
        <v>1.8408786058248187E-2</v>
      </c>
      <c r="AE30">
        <f t="shared" si="5"/>
        <v>140.99959798411101</v>
      </c>
    </row>
    <row r="31" spans="1:31" x14ac:dyDescent="0.25">
      <c r="A31" s="2">
        <v>33756</v>
      </c>
      <c r="B31" s="6">
        <v>117.05</v>
      </c>
      <c r="C31" s="6" t="e">
        <v>#N/A</v>
      </c>
      <c r="D31" s="7">
        <f t="shared" si="7"/>
        <v>112.21</v>
      </c>
      <c r="E31" s="17">
        <f t="shared" si="0"/>
        <v>143.71409799828814</v>
      </c>
      <c r="F31" s="9">
        <f t="shared" si="3"/>
        <v>1.9251828040552477E-2</v>
      </c>
      <c r="G31" s="9">
        <f t="shared" si="1"/>
        <v>1.9251828040552477E-2</v>
      </c>
      <c r="H31">
        <f t="shared" si="2"/>
        <v>143.71409799828814</v>
      </c>
      <c r="X31" s="2">
        <v>33756</v>
      </c>
      <c r="Y31" s="6">
        <v>117.05</v>
      </c>
      <c r="Z31" s="6" t="e">
        <v>#N/A</v>
      </c>
      <c r="AA31" s="7">
        <f t="shared" si="6"/>
        <v>112.21</v>
      </c>
      <c r="AB31" s="7">
        <f t="shared" si="4"/>
        <v>143.71409799828814</v>
      </c>
      <c r="AC31" s="18">
        <f t="shared" si="8"/>
        <v>1.9251828040552435E-2</v>
      </c>
      <c r="AE31">
        <f t="shared" si="5"/>
        <v>143.71409799828814</v>
      </c>
    </row>
    <row r="32" spans="1:31" x14ac:dyDescent="0.25">
      <c r="A32" s="2">
        <v>33786</v>
      </c>
      <c r="B32" s="6">
        <v>138.44</v>
      </c>
      <c r="C32" s="6" t="e">
        <v>#N/A</v>
      </c>
      <c r="D32" s="7">
        <f t="shared" si="7"/>
        <v>115.04694444444443</v>
      </c>
      <c r="E32" s="17">
        <f t="shared" si="0"/>
        <v>147.34754343010871</v>
      </c>
      <c r="F32" s="9">
        <f t="shared" si="3"/>
        <v>2.5282456505163919E-2</v>
      </c>
      <c r="G32" s="9">
        <f t="shared" si="1"/>
        <v>2.5282456505163919E-2</v>
      </c>
      <c r="H32">
        <f t="shared" si="2"/>
        <v>147.34754343010871</v>
      </c>
      <c r="X32" s="2">
        <v>33786</v>
      </c>
      <c r="Y32" s="6">
        <v>138.44</v>
      </c>
      <c r="Z32" s="6" t="e">
        <v>#N/A</v>
      </c>
      <c r="AA32" s="7">
        <f t="shared" si="6"/>
        <v>115.04694444444443</v>
      </c>
      <c r="AB32" s="7">
        <f t="shared" si="4"/>
        <v>147.34754343010871</v>
      </c>
      <c r="AC32" s="18">
        <f t="shared" si="8"/>
        <v>2.5282456505163902E-2</v>
      </c>
      <c r="AE32">
        <f t="shared" si="5"/>
        <v>147.34754343010871</v>
      </c>
    </row>
    <row r="33" spans="1:31" x14ac:dyDescent="0.25">
      <c r="A33" s="2">
        <v>33817</v>
      </c>
      <c r="B33" s="6">
        <v>142.75</v>
      </c>
      <c r="C33" s="6" t="e">
        <v>#N/A</v>
      </c>
      <c r="D33" s="7">
        <f t="shared" si="7"/>
        <v>117.48861111111111</v>
      </c>
      <c r="E33" s="17">
        <f t="shared" si="0"/>
        <v>150.4747328304517</v>
      </c>
      <c r="F33" s="9">
        <f t="shared" si="3"/>
        <v>2.1223220472802229E-2</v>
      </c>
      <c r="G33" s="9">
        <f t="shared" si="1"/>
        <v>2.1223220472802229E-2</v>
      </c>
      <c r="H33">
        <f t="shared" si="2"/>
        <v>150.4747328304517</v>
      </c>
      <c r="X33" s="2">
        <v>33817</v>
      </c>
      <c r="Y33" s="6">
        <v>142.75</v>
      </c>
      <c r="Z33" s="6" t="e">
        <v>#N/A</v>
      </c>
      <c r="AA33" s="7">
        <f t="shared" si="6"/>
        <v>117.48861111111111</v>
      </c>
      <c r="AB33" s="7">
        <f t="shared" si="4"/>
        <v>150.4747328304517</v>
      </c>
      <c r="AC33" s="18">
        <f t="shared" si="8"/>
        <v>2.1223220472802257E-2</v>
      </c>
      <c r="AE33">
        <f t="shared" si="5"/>
        <v>150.4747328304517</v>
      </c>
    </row>
    <row r="34" spans="1:31" x14ac:dyDescent="0.25">
      <c r="A34" s="2">
        <v>33848</v>
      </c>
      <c r="B34" s="6">
        <v>147.17500000000001</v>
      </c>
      <c r="C34" s="6" t="e">
        <v>#N/A</v>
      </c>
      <c r="D34" s="7">
        <f t="shared" si="7"/>
        <v>119.29833333333335</v>
      </c>
      <c r="E34" s="17">
        <f t="shared" si="0"/>
        <v>152.79255296051252</v>
      </c>
      <c r="F34" s="9">
        <f t="shared" si="3"/>
        <v>1.5403384252374419E-2</v>
      </c>
      <c r="G34" s="9">
        <f t="shared" si="1"/>
        <v>1.5403384252374419E-2</v>
      </c>
      <c r="H34">
        <f t="shared" si="2"/>
        <v>152.79255296051252</v>
      </c>
      <c r="X34" s="2">
        <v>33848</v>
      </c>
      <c r="Y34" s="6">
        <v>147.17500000000001</v>
      </c>
      <c r="Z34" s="6" t="e">
        <v>#N/A</v>
      </c>
      <c r="AA34" s="7">
        <f t="shared" si="6"/>
        <v>119.29833333333335</v>
      </c>
      <c r="AB34" s="7">
        <f t="shared" si="4"/>
        <v>152.79255296051252</v>
      </c>
      <c r="AC34" s="18">
        <f t="shared" si="8"/>
        <v>1.5403384252374445E-2</v>
      </c>
      <c r="AE34">
        <f t="shared" si="5"/>
        <v>152.79255296051252</v>
      </c>
    </row>
    <row r="35" spans="1:31" x14ac:dyDescent="0.25">
      <c r="A35" s="2">
        <v>33878</v>
      </c>
      <c r="B35" s="6">
        <v>138.88</v>
      </c>
      <c r="C35" s="6" t="e">
        <v>#N/A</v>
      </c>
      <c r="D35" s="7">
        <f t="shared" si="7"/>
        <v>120.79166666666667</v>
      </c>
      <c r="E35" s="17">
        <f t="shared" si="0"/>
        <v>154.70515480536395</v>
      </c>
      <c r="F35" s="9">
        <f t="shared" si="3"/>
        <v>1.2517637854678076E-2</v>
      </c>
      <c r="G35" s="9">
        <f t="shared" si="1"/>
        <v>1.2517637854678076E-2</v>
      </c>
      <c r="H35">
        <f t="shared" si="2"/>
        <v>154.70515480536395</v>
      </c>
      <c r="X35" s="2">
        <v>33878</v>
      </c>
      <c r="Y35" s="6">
        <v>138.88</v>
      </c>
      <c r="Z35" s="6" t="e">
        <v>#N/A</v>
      </c>
      <c r="AA35" s="7">
        <f t="shared" si="6"/>
        <v>120.79166666666667</v>
      </c>
      <c r="AB35" s="7">
        <f t="shared" si="4"/>
        <v>154.70515480536395</v>
      </c>
      <c r="AC35" s="18">
        <f t="shared" si="8"/>
        <v>1.2517637854677978E-2</v>
      </c>
      <c r="AE35">
        <f t="shared" si="5"/>
        <v>154.70515480536395</v>
      </c>
    </row>
    <row r="36" spans="1:31" x14ac:dyDescent="0.25">
      <c r="A36" s="2">
        <v>33909</v>
      </c>
      <c r="B36" s="6">
        <v>138.17500000000001</v>
      </c>
      <c r="C36" s="6" t="e">
        <v>#N/A</v>
      </c>
      <c r="D36" s="7">
        <f t="shared" si="7"/>
        <v>121.9502777777778</v>
      </c>
      <c r="E36" s="17">
        <f t="shared" si="0"/>
        <v>156.18905776199998</v>
      </c>
      <c r="F36" s="9">
        <f t="shared" si="3"/>
        <v>9.5918132689434277E-3</v>
      </c>
      <c r="G36" s="9">
        <f t="shared" si="1"/>
        <v>9.5918132689434277E-3</v>
      </c>
      <c r="H36">
        <f t="shared" si="2"/>
        <v>156.18905776199998</v>
      </c>
      <c r="X36" s="2">
        <v>33909</v>
      </c>
      <c r="Y36" s="6">
        <v>138.17500000000001</v>
      </c>
      <c r="Z36" s="6" t="e">
        <v>#N/A</v>
      </c>
      <c r="AA36" s="7">
        <f t="shared" si="6"/>
        <v>121.9502777777778</v>
      </c>
      <c r="AB36" s="7">
        <f t="shared" si="4"/>
        <v>156.18905776199998</v>
      </c>
      <c r="AC36" s="18">
        <f t="shared" si="8"/>
        <v>9.591813268943452E-3</v>
      </c>
      <c r="AE36">
        <f t="shared" si="5"/>
        <v>156.18905776199998</v>
      </c>
    </row>
    <row r="37" spans="1:31" x14ac:dyDescent="0.25">
      <c r="A37" s="2">
        <v>33939</v>
      </c>
      <c r="B37" s="6">
        <v>135.22499999999999</v>
      </c>
      <c r="C37" s="6" t="e">
        <v>#N/A</v>
      </c>
      <c r="D37" s="7">
        <f t="shared" si="7"/>
        <v>123.13638888888889</v>
      </c>
      <c r="E37" s="17">
        <f t="shared" si="0"/>
        <v>157.70818162314495</v>
      </c>
      <c r="F37" s="9">
        <f t="shared" si="3"/>
        <v>9.7261862188822157E-3</v>
      </c>
      <c r="G37" s="9">
        <f t="shared" si="1"/>
        <v>9.7261862188822157E-3</v>
      </c>
      <c r="H37">
        <f t="shared" si="2"/>
        <v>157.70818162314495</v>
      </c>
      <c r="X37" s="2">
        <v>33939</v>
      </c>
      <c r="Y37" s="6">
        <v>135.22499999999999</v>
      </c>
      <c r="Z37" s="6" t="e">
        <v>#N/A</v>
      </c>
      <c r="AA37" s="7">
        <f t="shared" si="6"/>
        <v>123.13638888888889</v>
      </c>
      <c r="AB37" s="7">
        <f t="shared" si="4"/>
        <v>157.70818162314495</v>
      </c>
      <c r="AC37" s="18">
        <f t="shared" si="8"/>
        <v>9.7261862188822816E-3</v>
      </c>
      <c r="AE37">
        <f t="shared" si="5"/>
        <v>157.70818162314495</v>
      </c>
    </row>
    <row r="38" spans="1:31" x14ac:dyDescent="0.25">
      <c r="A38" s="2">
        <v>33970</v>
      </c>
      <c r="B38" s="6">
        <v>138</v>
      </c>
      <c r="C38" s="6" t="e">
        <v>#N/A</v>
      </c>
      <c r="D38" s="7">
        <f t="shared" si="7"/>
        <v>124.31</v>
      </c>
      <c r="E38" s="17">
        <f t="shared" si="0"/>
        <v>159.21129598224044</v>
      </c>
      <c r="F38" s="9">
        <f t="shared" si="3"/>
        <v>9.5309852895728575E-3</v>
      </c>
      <c r="G38" s="9">
        <f t="shared" si="1"/>
        <v>9.5309852895728575E-3</v>
      </c>
      <c r="H38">
        <f t="shared" si="2"/>
        <v>159.21129598224044</v>
      </c>
      <c r="X38" s="2">
        <v>33970</v>
      </c>
      <c r="Y38" s="6">
        <v>138</v>
      </c>
      <c r="Z38" s="6" t="e">
        <v>#N/A</v>
      </c>
      <c r="AA38" s="7">
        <f t="shared" si="6"/>
        <v>124.31</v>
      </c>
      <c r="AB38" s="7">
        <f t="shared" si="4"/>
        <v>159.21129598224044</v>
      </c>
      <c r="AC38" s="18">
        <f t="shared" si="8"/>
        <v>9.5309852895727899E-3</v>
      </c>
      <c r="AE38">
        <f t="shared" si="5"/>
        <v>159.21129598224044</v>
      </c>
    </row>
    <row r="39" spans="1:31" x14ac:dyDescent="0.25">
      <c r="A39" s="2">
        <v>34001</v>
      </c>
      <c r="B39" s="6">
        <v>154.02500000000001</v>
      </c>
      <c r="C39" s="6" t="e">
        <v>#N/A</v>
      </c>
      <c r="D39" s="7">
        <f t="shared" si="7"/>
        <v>127.01916666666665</v>
      </c>
      <c r="E39" s="17">
        <f t="shared" si="0"/>
        <v>162.68108872644351</v>
      </c>
      <c r="F39" s="9">
        <f t="shared" si="3"/>
        <v>2.1793634194084532E-2</v>
      </c>
      <c r="G39" s="9">
        <f t="shared" si="1"/>
        <v>2.1793634194084532E-2</v>
      </c>
      <c r="H39">
        <f t="shared" si="2"/>
        <v>162.68108872644351</v>
      </c>
      <c r="X39" s="2">
        <v>34001</v>
      </c>
      <c r="Y39" s="6">
        <v>154.02500000000001</v>
      </c>
      <c r="Z39" s="6" t="e">
        <v>#N/A</v>
      </c>
      <c r="AA39" s="7">
        <f t="shared" si="6"/>
        <v>127.01916666666665</v>
      </c>
      <c r="AB39" s="7">
        <f t="shared" si="4"/>
        <v>162.68108872644351</v>
      </c>
      <c r="AC39" s="18">
        <f t="shared" si="8"/>
        <v>2.1793634194084522E-2</v>
      </c>
      <c r="AE39">
        <f t="shared" si="5"/>
        <v>162.68108872644351</v>
      </c>
    </row>
    <row r="40" spans="1:31" x14ac:dyDescent="0.25">
      <c r="A40" s="2">
        <v>34029</v>
      </c>
      <c r="B40" s="6">
        <v>150.35</v>
      </c>
      <c r="C40" s="6" t="e">
        <v>#N/A</v>
      </c>
      <c r="D40" s="7">
        <f t="shared" si="7"/>
        <v>129.43305555555554</v>
      </c>
      <c r="E40" s="17">
        <f t="shared" si="0"/>
        <v>165.77270145556528</v>
      </c>
      <c r="F40" s="9">
        <f t="shared" si="3"/>
        <v>1.9004131047589023E-2</v>
      </c>
      <c r="G40" s="9">
        <f t="shared" si="1"/>
        <v>1.9004131047589023E-2</v>
      </c>
      <c r="H40">
        <f t="shared" si="2"/>
        <v>165.77270145556528</v>
      </c>
      <c r="X40" s="2">
        <v>34029</v>
      </c>
      <c r="Y40" s="6">
        <v>150.35</v>
      </c>
      <c r="Z40" s="6" t="e">
        <v>#N/A</v>
      </c>
      <c r="AA40" s="7">
        <f t="shared" si="6"/>
        <v>129.43305555555554</v>
      </c>
      <c r="AB40" s="7">
        <f t="shared" si="4"/>
        <v>165.77270145556528</v>
      </c>
      <c r="AC40" s="18">
        <f t="shared" si="8"/>
        <v>1.9004131047589079E-2</v>
      </c>
      <c r="AE40">
        <f t="shared" si="5"/>
        <v>165.77270145556528</v>
      </c>
    </row>
    <row r="41" spans="1:31" x14ac:dyDescent="0.25">
      <c r="A41" s="2">
        <v>34060</v>
      </c>
      <c r="B41" s="6">
        <v>166.7</v>
      </c>
      <c r="C41" s="6" t="e">
        <v>#N/A</v>
      </c>
      <c r="D41" s="7">
        <f t="shared" si="7"/>
        <v>132.45944444444442</v>
      </c>
      <c r="E41" s="17">
        <f t="shared" si="0"/>
        <v>169.64877978511439</v>
      </c>
      <c r="F41" s="9">
        <f t="shared" si="3"/>
        <v>2.3381885530701085E-2</v>
      </c>
      <c r="G41" s="9">
        <f t="shared" si="1"/>
        <v>2.3381885530701085E-2</v>
      </c>
      <c r="H41">
        <f>E42/(F42+1)</f>
        <v>169.64877978511439</v>
      </c>
      <c r="X41" s="2">
        <v>34060</v>
      </c>
      <c r="Y41" s="6">
        <v>166.7</v>
      </c>
      <c r="Z41" s="6" t="e">
        <v>#N/A</v>
      </c>
      <c r="AA41" s="7">
        <f t="shared" si="6"/>
        <v>132.45944444444442</v>
      </c>
      <c r="AB41" s="7">
        <f t="shared" si="4"/>
        <v>169.64877978511439</v>
      </c>
      <c r="AC41" s="18">
        <f t="shared" si="8"/>
        <v>2.3381885530701089E-2</v>
      </c>
      <c r="AE41">
        <f t="shared" si="5"/>
        <v>169.64877978511439</v>
      </c>
    </row>
    <row r="42" spans="1:31" x14ac:dyDescent="0.25">
      <c r="A42" s="2">
        <v>34090</v>
      </c>
      <c r="B42" s="6">
        <v>150.17500000000001</v>
      </c>
      <c r="C42" s="6" t="e">
        <v>#N/A</v>
      </c>
      <c r="D42" s="7">
        <f t="shared" si="7"/>
        <v>135.05250000000001</v>
      </c>
      <c r="E42" s="17">
        <f t="shared" si="0"/>
        <v>172.96986204361292</v>
      </c>
      <c r="F42" s="9">
        <f t="shared" si="3"/>
        <v>1.9576222491580531E-2</v>
      </c>
      <c r="G42" s="9">
        <f t="shared" si="1"/>
        <v>1.9576222491580531E-2</v>
      </c>
      <c r="H42">
        <f t="shared" si="2"/>
        <v>172.96986204361292</v>
      </c>
      <c r="X42" s="2">
        <v>34090</v>
      </c>
      <c r="Y42" s="6">
        <v>150.17500000000001</v>
      </c>
      <c r="Z42" s="6" t="e">
        <v>#N/A</v>
      </c>
      <c r="AA42" s="7">
        <f t="shared" si="6"/>
        <v>135.05250000000001</v>
      </c>
      <c r="AB42" s="7">
        <f t="shared" si="4"/>
        <v>172.96986204361292</v>
      </c>
      <c r="AC42" s="18">
        <f t="shared" si="8"/>
        <v>1.9576222491580527E-2</v>
      </c>
      <c r="AE42">
        <f t="shared" si="5"/>
        <v>172.96986204361292</v>
      </c>
    </row>
    <row r="43" spans="1:31" x14ac:dyDescent="0.25">
      <c r="A43" s="2">
        <v>34121</v>
      </c>
      <c r="B43" s="6">
        <v>157.85</v>
      </c>
      <c r="C43" s="6" t="e">
        <v>#N/A</v>
      </c>
      <c r="D43" s="7">
        <f t="shared" si="7"/>
        <v>138.2525</v>
      </c>
      <c r="E43" s="17">
        <f t="shared" si="0"/>
        <v>177.0682945682945</v>
      </c>
      <c r="F43" s="9">
        <f t="shared" si="3"/>
        <v>2.3694489180133615E-2</v>
      </c>
      <c r="G43" s="9">
        <f t="shared" si="1"/>
        <v>2.3694489180133615E-2</v>
      </c>
      <c r="H43">
        <f t="shared" si="2"/>
        <v>177.0682945682945</v>
      </c>
      <c r="X43" s="2">
        <v>34121</v>
      </c>
      <c r="Y43" s="6">
        <v>157.85</v>
      </c>
      <c r="Z43" s="6" t="e">
        <v>#N/A</v>
      </c>
      <c r="AA43" s="7">
        <f t="shared" si="6"/>
        <v>138.2525</v>
      </c>
      <c r="AB43" s="7">
        <f t="shared" si="4"/>
        <v>177.0682945682945</v>
      </c>
      <c r="AC43" s="18">
        <f t="shared" si="8"/>
        <v>2.3694489180133567E-2</v>
      </c>
      <c r="AE43">
        <f t="shared" si="5"/>
        <v>177.0682945682945</v>
      </c>
    </row>
    <row r="44" spans="1:31" x14ac:dyDescent="0.25">
      <c r="A44" s="2">
        <v>34151</v>
      </c>
      <c r="B44" s="6">
        <v>166.18</v>
      </c>
      <c r="C44" s="6" t="e">
        <v>#N/A</v>
      </c>
      <c r="D44" s="7">
        <f t="shared" si="7"/>
        <v>140.10472222222222</v>
      </c>
      <c r="E44" s="17">
        <f t="shared" si="0"/>
        <v>179.44054700532377</v>
      </c>
      <c r="F44" s="9">
        <f t="shared" si="3"/>
        <v>1.3397386826438762E-2</v>
      </c>
      <c r="G44" s="9">
        <f t="shared" si="1"/>
        <v>1.3397386826438762E-2</v>
      </c>
      <c r="H44">
        <f t="shared" si="2"/>
        <v>179.44054700532377</v>
      </c>
      <c r="X44" s="2">
        <v>34151</v>
      </c>
      <c r="Y44" s="6">
        <v>166.18</v>
      </c>
      <c r="Z44" s="6" t="e">
        <v>#N/A</v>
      </c>
      <c r="AA44" s="7">
        <f t="shared" si="6"/>
        <v>140.10472222222222</v>
      </c>
      <c r="AB44" s="7">
        <f t="shared" si="4"/>
        <v>179.44054700532377</v>
      </c>
      <c r="AC44" s="18">
        <f t="shared" si="8"/>
        <v>1.3397386826438755E-2</v>
      </c>
      <c r="AE44">
        <f t="shared" si="5"/>
        <v>179.44054700532377</v>
      </c>
    </row>
    <row r="45" spans="1:31" x14ac:dyDescent="0.25">
      <c r="A45" s="2">
        <v>34182</v>
      </c>
      <c r="B45" s="6">
        <v>151.6</v>
      </c>
      <c r="C45" s="6" t="e">
        <v>#N/A</v>
      </c>
      <c r="D45" s="7">
        <f t="shared" si="7"/>
        <v>141.33944444444444</v>
      </c>
      <c r="E45" s="17">
        <f t="shared" si="0"/>
        <v>181.02193004110586</v>
      </c>
      <c r="F45" s="9">
        <f t="shared" si="3"/>
        <v>8.8128522910442264E-3</v>
      </c>
      <c r="G45" s="9">
        <f t="shared" si="1"/>
        <v>8.8128522910442264E-3</v>
      </c>
      <c r="H45">
        <f t="shared" si="2"/>
        <v>181.02193004110586</v>
      </c>
      <c r="X45" s="2">
        <v>34182</v>
      </c>
      <c r="Y45" s="6">
        <v>151.6</v>
      </c>
      <c r="Z45" s="6" t="e">
        <v>#N/A</v>
      </c>
      <c r="AA45" s="7">
        <f t="shared" si="6"/>
        <v>141.33944444444444</v>
      </c>
      <c r="AB45" s="7">
        <f t="shared" si="4"/>
        <v>181.02193004110586</v>
      </c>
      <c r="AC45" s="18">
        <f t="shared" si="8"/>
        <v>8.8128522910441622E-3</v>
      </c>
      <c r="AE45">
        <f t="shared" si="5"/>
        <v>181.02193004110586</v>
      </c>
    </row>
    <row r="46" spans="1:31" x14ac:dyDescent="0.25">
      <c r="A46" s="2">
        <v>34213</v>
      </c>
      <c r="B46" s="6">
        <v>177</v>
      </c>
      <c r="C46" s="6" t="e">
        <v>#N/A</v>
      </c>
      <c r="D46" s="7">
        <f t="shared" si="7"/>
        <v>144.73249999999999</v>
      </c>
      <c r="E46" s="17">
        <f t="shared" si="0"/>
        <v>185.36762043077476</v>
      </c>
      <c r="F46" s="9">
        <f t="shared" si="3"/>
        <v>2.4006430539559975E-2</v>
      </c>
      <c r="G46" s="9">
        <f t="shared" si="1"/>
        <v>2.4006430539559975E-2</v>
      </c>
      <c r="H46">
        <f t="shared" si="2"/>
        <v>185.36762043077476</v>
      </c>
      <c r="X46" s="2">
        <v>34213</v>
      </c>
      <c r="Y46" s="6">
        <v>177</v>
      </c>
      <c r="Z46" s="6" t="e">
        <v>#N/A</v>
      </c>
      <c r="AA46" s="7">
        <f t="shared" si="6"/>
        <v>144.73249999999999</v>
      </c>
      <c r="AB46" s="7">
        <f t="shared" si="4"/>
        <v>185.36762043077476</v>
      </c>
      <c r="AC46" s="18">
        <f t="shared" si="8"/>
        <v>2.4006430539559954E-2</v>
      </c>
      <c r="AE46">
        <f t="shared" si="5"/>
        <v>185.36762043077476</v>
      </c>
    </row>
    <row r="47" spans="1:31" x14ac:dyDescent="0.25">
      <c r="A47" s="2">
        <v>34243</v>
      </c>
      <c r="B47" s="6">
        <v>163.98</v>
      </c>
      <c r="C47" s="6" t="e">
        <v>#N/A</v>
      </c>
      <c r="D47" s="7">
        <f t="shared" si="7"/>
        <v>147.2897222222222</v>
      </c>
      <c r="E47" s="17">
        <f t="shared" si="0"/>
        <v>188.64280878339792</v>
      </c>
      <c r="F47" s="9">
        <f t="shared" si="3"/>
        <v>1.7668610866406809E-2</v>
      </c>
      <c r="G47" s="9">
        <f t="shared" si="1"/>
        <v>1.7668610866406809E-2</v>
      </c>
      <c r="H47">
        <f t="shared" si="2"/>
        <v>188.64280878339792</v>
      </c>
      <c r="X47" s="2">
        <v>34243</v>
      </c>
      <c r="Y47" s="6">
        <v>163.98</v>
      </c>
      <c r="Z47" s="6" t="e">
        <v>#N/A</v>
      </c>
      <c r="AA47" s="7">
        <f t="shared" si="6"/>
        <v>147.2897222222222</v>
      </c>
      <c r="AB47" s="7">
        <f t="shared" si="4"/>
        <v>188.64280878339792</v>
      </c>
      <c r="AC47" s="18">
        <f t="shared" si="8"/>
        <v>1.7668610866406705E-2</v>
      </c>
      <c r="AE47">
        <f t="shared" si="5"/>
        <v>188.64280878339792</v>
      </c>
    </row>
    <row r="48" spans="1:31" x14ac:dyDescent="0.25">
      <c r="A48" s="2">
        <v>34274</v>
      </c>
      <c r="B48" s="6">
        <v>162.22499999999999</v>
      </c>
      <c r="C48" s="6" t="e">
        <v>#N/A</v>
      </c>
      <c r="D48" s="7">
        <f t="shared" si="7"/>
        <v>149.76555555555558</v>
      </c>
      <c r="E48" s="17">
        <f t="shared" si="0"/>
        <v>191.81375748934306</v>
      </c>
      <c r="F48" s="9">
        <f t="shared" si="3"/>
        <v>1.6809274238415606E-2</v>
      </c>
      <c r="G48" s="9">
        <f t="shared" si="1"/>
        <v>1.6809274238415606E-2</v>
      </c>
      <c r="H48">
        <f t="shared" si="2"/>
        <v>191.81375748934306</v>
      </c>
      <c r="X48" s="2">
        <v>34274</v>
      </c>
      <c r="Y48" s="6">
        <v>162.22499999999999</v>
      </c>
      <c r="Z48" s="6" t="e">
        <v>#N/A</v>
      </c>
      <c r="AA48" s="7">
        <f t="shared" si="6"/>
        <v>149.76555555555558</v>
      </c>
      <c r="AB48" s="7">
        <f t="shared" si="4"/>
        <v>191.81375748934306</v>
      </c>
      <c r="AC48" s="18">
        <f t="shared" si="8"/>
        <v>1.6809274238415564E-2</v>
      </c>
      <c r="AE48">
        <f t="shared" si="5"/>
        <v>191.81375748934306</v>
      </c>
    </row>
    <row r="49" spans="1:31" x14ac:dyDescent="0.25">
      <c r="A49" s="2">
        <v>34304</v>
      </c>
      <c r="B49" s="6">
        <v>151.4</v>
      </c>
      <c r="C49" s="6" t="e">
        <v>#N/A</v>
      </c>
      <c r="D49" s="7">
        <f t="shared" si="7"/>
        <v>151.67388888888888</v>
      </c>
      <c r="E49" s="17">
        <f t="shared" si="0"/>
        <v>194.25787480223909</v>
      </c>
      <c r="F49" s="9">
        <f t="shared" si="3"/>
        <v>1.2742137711534207E-2</v>
      </c>
      <c r="G49" s="9">
        <f t="shared" si="1"/>
        <v>1.2742137711534207E-2</v>
      </c>
      <c r="H49">
        <f t="shared" si="2"/>
        <v>194.25787480223909</v>
      </c>
      <c r="X49" s="2">
        <v>34304</v>
      </c>
      <c r="Y49" s="6">
        <v>151.4</v>
      </c>
      <c r="Z49" s="6" t="e">
        <v>#N/A</v>
      </c>
      <c r="AA49" s="7">
        <f t="shared" si="6"/>
        <v>151.67388888888888</v>
      </c>
      <c r="AB49" s="7">
        <f t="shared" si="4"/>
        <v>194.25787480223909</v>
      </c>
      <c r="AC49" s="18">
        <f t="shared" si="8"/>
        <v>1.274213771153412E-2</v>
      </c>
      <c r="AE49">
        <f t="shared" si="5"/>
        <v>194.25787480223909</v>
      </c>
    </row>
    <row r="50" spans="1:31" x14ac:dyDescent="0.25">
      <c r="A50" s="2">
        <v>34335</v>
      </c>
      <c r="B50" s="6">
        <v>134.77500000000001</v>
      </c>
      <c r="C50" s="6" t="e">
        <v>#N/A</v>
      </c>
      <c r="D50" s="7">
        <f t="shared" si="7"/>
        <v>151.4702777777778</v>
      </c>
      <c r="E50" s="17">
        <f t="shared" si="0"/>
        <v>193.99709780218777</v>
      </c>
      <c r="F50" s="9">
        <f t="shared" si="3"/>
        <v>-1.3424269173993864E-3</v>
      </c>
      <c r="G50" s="9">
        <f t="shared" si="1"/>
        <v>-1.3424269173993864E-3</v>
      </c>
      <c r="H50">
        <f t="shared" si="2"/>
        <v>193.99709780218777</v>
      </c>
      <c r="X50" s="2">
        <v>34335</v>
      </c>
      <c r="Y50" s="6">
        <v>134.77500000000001</v>
      </c>
      <c r="Z50" s="6" t="e">
        <v>#N/A</v>
      </c>
      <c r="AA50" s="7">
        <f t="shared" si="6"/>
        <v>151.4702777777778</v>
      </c>
      <c r="AB50" s="7">
        <f t="shared" si="4"/>
        <v>193.99709780218777</v>
      </c>
      <c r="AC50" s="18">
        <f t="shared" si="8"/>
        <v>-1.3424269173993788E-3</v>
      </c>
      <c r="AE50">
        <f t="shared" si="5"/>
        <v>193.99709780218777</v>
      </c>
    </row>
    <row r="51" spans="1:31" x14ac:dyDescent="0.25">
      <c r="A51" s="2">
        <v>34366</v>
      </c>
      <c r="B51" s="6">
        <v>155.05000000000001</v>
      </c>
      <c r="C51" s="6" t="e">
        <v>#N/A</v>
      </c>
      <c r="D51" s="7">
        <f t="shared" si="7"/>
        <v>152.1536111111111</v>
      </c>
      <c r="E51" s="17">
        <f t="shared" si="0"/>
        <v>194.87228391422911</v>
      </c>
      <c r="F51" s="9">
        <f t="shared" si="3"/>
        <v>4.5113361073769731E-3</v>
      </c>
      <c r="G51" s="9">
        <f t="shared" si="1"/>
        <v>4.5113361073769731E-3</v>
      </c>
      <c r="H51">
        <f t="shared" si="2"/>
        <v>194.87228391422911</v>
      </c>
      <c r="X51" s="2">
        <v>34366</v>
      </c>
      <c r="Y51" s="6">
        <v>155.05000000000001</v>
      </c>
      <c r="Z51" s="6" t="e">
        <v>#N/A</v>
      </c>
      <c r="AA51" s="7">
        <f t="shared" si="6"/>
        <v>152.1536111111111</v>
      </c>
      <c r="AB51" s="7">
        <f t="shared" si="4"/>
        <v>194.87228391422911</v>
      </c>
      <c r="AC51" s="18">
        <f t="shared" si="8"/>
        <v>4.5113361073769714E-3</v>
      </c>
      <c r="AE51">
        <f t="shared" si="5"/>
        <v>194.87228391422911</v>
      </c>
    </row>
    <row r="52" spans="1:31" x14ac:dyDescent="0.25">
      <c r="A52" s="2">
        <v>34394</v>
      </c>
      <c r="B52" s="6">
        <v>150.85</v>
      </c>
      <c r="C52" s="6" t="e">
        <v>#N/A</v>
      </c>
      <c r="D52" s="7">
        <f t="shared" si="7"/>
        <v>152.35777777777778</v>
      </c>
      <c r="E52" s="17">
        <f t="shared" si="0"/>
        <v>195.13377244770493</v>
      </c>
      <c r="F52" s="9">
        <f t="shared" si="3"/>
        <v>1.3418456859206618E-3</v>
      </c>
      <c r="G52" s="9">
        <f t="shared" si="1"/>
        <v>1.3418456859206618E-3</v>
      </c>
      <c r="H52">
        <f t="shared" si="2"/>
        <v>195.13377244770493</v>
      </c>
      <c r="X52" s="2">
        <v>34394</v>
      </c>
      <c r="Y52" s="6">
        <v>150.85</v>
      </c>
      <c r="Z52" s="6" t="e">
        <v>#N/A</v>
      </c>
      <c r="AA52" s="7">
        <f t="shared" si="6"/>
        <v>152.35777777777778</v>
      </c>
      <c r="AB52" s="7">
        <f t="shared" si="4"/>
        <v>195.13377244770493</v>
      </c>
      <c r="AC52" s="18">
        <f t="shared" si="8"/>
        <v>1.3418456859205659E-3</v>
      </c>
      <c r="AE52">
        <f t="shared" si="5"/>
        <v>195.13377244770493</v>
      </c>
    </row>
    <row r="53" spans="1:31" x14ac:dyDescent="0.25">
      <c r="A53" s="2">
        <v>34425</v>
      </c>
      <c r="B53" s="6">
        <v>161.08000000000001</v>
      </c>
      <c r="C53" s="6" t="e">
        <v>#N/A</v>
      </c>
      <c r="D53" s="7">
        <f t="shared" si="7"/>
        <v>153.5911111111111</v>
      </c>
      <c r="E53" s="17">
        <f t="shared" si="0"/>
        <v>196.71337664992592</v>
      </c>
      <c r="F53" s="9">
        <f t="shared" si="3"/>
        <v>8.0949811117105863E-3</v>
      </c>
      <c r="G53" s="9">
        <f t="shared" si="1"/>
        <v>8.0949811117105863E-3</v>
      </c>
      <c r="H53">
        <f t="shared" si="2"/>
        <v>196.71337664992592</v>
      </c>
      <c r="X53" s="2">
        <v>34425</v>
      </c>
      <c r="Y53" s="6">
        <v>161.08000000000001</v>
      </c>
      <c r="Z53" s="6" t="e">
        <v>#N/A</v>
      </c>
      <c r="AA53" s="7">
        <f t="shared" si="6"/>
        <v>153.5911111111111</v>
      </c>
      <c r="AB53" s="7">
        <f t="shared" si="4"/>
        <v>196.71337664992592</v>
      </c>
      <c r="AC53" s="18">
        <f t="shared" si="8"/>
        <v>8.0949811117106522E-3</v>
      </c>
      <c r="AE53">
        <f t="shared" si="5"/>
        <v>196.71337664992592</v>
      </c>
    </row>
    <row r="54" spans="1:31" x14ac:dyDescent="0.25">
      <c r="A54" s="2">
        <v>34455</v>
      </c>
      <c r="B54" s="6">
        <v>145.9</v>
      </c>
      <c r="C54" s="6" t="e">
        <v>#N/A</v>
      </c>
      <c r="D54" s="7">
        <f t="shared" si="7"/>
        <v>154.02027777777778</v>
      </c>
      <c r="E54" s="17">
        <f t="shared" si="0"/>
        <v>197.26303622029337</v>
      </c>
      <c r="F54" s="9">
        <f t="shared" si="3"/>
        <v>2.7942155217315356E-3</v>
      </c>
      <c r="G54" s="9">
        <f t="shared" si="1"/>
        <v>2.7942155217315356E-3</v>
      </c>
      <c r="H54">
        <f t="shared" si="2"/>
        <v>197.26303622029337</v>
      </c>
      <c r="X54" s="2">
        <v>34455</v>
      </c>
      <c r="Y54" s="6">
        <v>145.9</v>
      </c>
      <c r="Z54" s="6" t="e">
        <v>#N/A</v>
      </c>
      <c r="AA54" s="7">
        <f t="shared" si="6"/>
        <v>154.02027777777778</v>
      </c>
      <c r="AB54" s="7">
        <f t="shared" si="4"/>
        <v>197.26303622029337</v>
      </c>
      <c r="AC54" s="18">
        <f t="shared" si="8"/>
        <v>2.7942155217316311E-3</v>
      </c>
      <c r="AE54">
        <f t="shared" si="5"/>
        <v>197.26303622029337</v>
      </c>
    </row>
    <row r="55" spans="1:31" x14ac:dyDescent="0.25">
      <c r="A55" s="2">
        <v>34486</v>
      </c>
      <c r="B55" s="6">
        <v>145.17500000000001</v>
      </c>
      <c r="C55" s="6" t="e">
        <v>#N/A</v>
      </c>
      <c r="D55" s="7">
        <f t="shared" si="7"/>
        <v>154.57305555555556</v>
      </c>
      <c r="E55" s="17">
        <f t="shared" si="0"/>
        <v>197.97101197759511</v>
      </c>
      <c r="F55" s="9">
        <f t="shared" si="3"/>
        <v>3.5889935127588757E-3</v>
      </c>
      <c r="G55" s="9">
        <f t="shared" si="1"/>
        <v>3.5889935127588757E-3</v>
      </c>
      <c r="H55">
        <f t="shared" si="2"/>
        <v>197.97101197759511</v>
      </c>
      <c r="X55" s="2">
        <v>34486</v>
      </c>
      <c r="Y55" s="6">
        <v>145.17500000000001</v>
      </c>
      <c r="Z55" s="6" t="e">
        <v>#N/A</v>
      </c>
      <c r="AA55" s="7">
        <f t="shared" si="6"/>
        <v>154.57305555555556</v>
      </c>
      <c r="AB55" s="7">
        <f t="shared" si="4"/>
        <v>197.97101197759511</v>
      </c>
      <c r="AC55" s="18">
        <f t="shared" si="8"/>
        <v>3.5889935127589581E-3</v>
      </c>
      <c r="AE55">
        <f t="shared" si="5"/>
        <v>197.97101197759511</v>
      </c>
    </row>
    <row r="56" spans="1:31" x14ac:dyDescent="0.25">
      <c r="A56" s="2">
        <v>34516</v>
      </c>
      <c r="B56" s="6">
        <v>144.08000000000001</v>
      </c>
      <c r="C56" s="6" t="e">
        <v>#N/A</v>
      </c>
      <c r="D56" s="7">
        <f t="shared" si="7"/>
        <v>154.91083333333333</v>
      </c>
      <c r="E56" s="17">
        <f t="shared" si="0"/>
        <v>198.4036242996448</v>
      </c>
      <c r="F56" s="9">
        <f t="shared" si="3"/>
        <v>2.1852306442655678E-3</v>
      </c>
      <c r="G56" s="9">
        <f t="shared" si="1"/>
        <v>2.1852306442655678E-3</v>
      </c>
      <c r="H56">
        <f t="shared" si="2"/>
        <v>198.4036242996448</v>
      </c>
      <c r="X56" s="2">
        <v>34516</v>
      </c>
      <c r="Y56" s="6">
        <v>144.08000000000001</v>
      </c>
      <c r="Z56" s="6" t="e">
        <v>#N/A</v>
      </c>
      <c r="AA56" s="7">
        <f t="shared" si="6"/>
        <v>154.91083333333333</v>
      </c>
      <c r="AB56" s="7">
        <f t="shared" si="4"/>
        <v>198.4036242996448</v>
      </c>
      <c r="AC56" s="18">
        <f t="shared" si="8"/>
        <v>2.1852306442656302E-3</v>
      </c>
      <c r="AE56">
        <f t="shared" si="5"/>
        <v>198.4036242996448</v>
      </c>
    </row>
    <row r="57" spans="1:31" x14ac:dyDescent="0.25">
      <c r="A57" s="2">
        <v>34547</v>
      </c>
      <c r="B57" s="6">
        <v>141.75</v>
      </c>
      <c r="C57" s="6" t="e">
        <v>#N/A</v>
      </c>
      <c r="D57" s="7">
        <f t="shared" si="7"/>
        <v>154.22888888888892</v>
      </c>
      <c r="E57" s="17">
        <f t="shared" si="0"/>
        <v>197.5302170211645</v>
      </c>
      <c r="F57" s="9">
        <f t="shared" si="3"/>
        <v>-4.4021740104969176E-3</v>
      </c>
      <c r="G57" s="9">
        <f t="shared" si="1"/>
        <v>-4.4021740104969176E-3</v>
      </c>
      <c r="H57">
        <f t="shared" si="2"/>
        <v>197.5302170211645</v>
      </c>
      <c r="X57" s="2">
        <v>34547</v>
      </c>
      <c r="Y57" s="6">
        <v>141.75</v>
      </c>
      <c r="Z57" s="6" t="e">
        <v>#N/A</v>
      </c>
      <c r="AA57" s="7">
        <f t="shared" si="6"/>
        <v>154.22888888888892</v>
      </c>
      <c r="AB57" s="7">
        <f t="shared" si="4"/>
        <v>197.5302170211645</v>
      </c>
      <c r="AC57" s="18">
        <f t="shared" si="8"/>
        <v>-4.4021740104968664E-3</v>
      </c>
      <c r="AE57">
        <f t="shared" si="5"/>
        <v>197.5302170211645</v>
      </c>
    </row>
    <row r="58" spans="1:31" x14ac:dyDescent="0.25">
      <c r="A58" s="2">
        <v>34578</v>
      </c>
      <c r="B58" s="6">
        <v>138.08000000000001</v>
      </c>
      <c r="C58" s="6" t="e">
        <v>#N/A</v>
      </c>
      <c r="D58" s="7">
        <f t="shared" si="7"/>
        <v>153.54722222222222</v>
      </c>
      <c r="E58" s="17">
        <f t="shared" si="0"/>
        <v>196.65716550939635</v>
      </c>
      <c r="F58" s="9">
        <f t="shared" si="3"/>
        <v>-4.4198377591748716E-3</v>
      </c>
      <c r="G58" s="9">
        <f t="shared" si="1"/>
        <v>-4.4198377591748716E-3</v>
      </c>
      <c r="H58">
        <f t="shared" si="2"/>
        <v>196.65716550939635</v>
      </c>
      <c r="X58" s="2">
        <v>34578</v>
      </c>
      <c r="Y58" s="6">
        <v>138.08000000000001</v>
      </c>
      <c r="Z58" s="6" t="e">
        <v>#N/A</v>
      </c>
      <c r="AA58" s="7">
        <f t="shared" si="6"/>
        <v>153.54722222222222</v>
      </c>
      <c r="AB58" s="7">
        <f t="shared" si="4"/>
        <v>196.65716550939635</v>
      </c>
      <c r="AC58" s="18">
        <f t="shared" si="8"/>
        <v>-4.4198377591748933E-3</v>
      </c>
      <c r="AE58">
        <f t="shared" si="5"/>
        <v>196.65716550939635</v>
      </c>
    </row>
    <row r="59" spans="1:31" x14ac:dyDescent="0.25">
      <c r="A59" s="2">
        <v>34608</v>
      </c>
      <c r="B59" s="6">
        <v>135.27500000000001</v>
      </c>
      <c r="C59" s="6" t="e">
        <v>#N/A</v>
      </c>
      <c r="D59" s="7">
        <f t="shared" si="7"/>
        <v>151.80138888888891</v>
      </c>
      <c r="E59" s="17">
        <f t="shared" si="0"/>
        <v>194.42117172314431</v>
      </c>
      <c r="F59" s="9">
        <f t="shared" si="3"/>
        <v>-1.1370009226260303E-2</v>
      </c>
      <c r="G59" s="9">
        <f t="shared" si="1"/>
        <v>-1.1370009226260303E-2</v>
      </c>
      <c r="H59">
        <f t="shared" si="2"/>
        <v>194.42117172314431</v>
      </c>
      <c r="X59" s="2">
        <v>34608</v>
      </c>
      <c r="Y59" s="6">
        <v>135.27500000000001</v>
      </c>
      <c r="Z59" s="6" t="e">
        <v>#N/A</v>
      </c>
      <c r="AA59" s="7">
        <f t="shared" si="6"/>
        <v>151.80138888888891</v>
      </c>
      <c r="AB59" s="7">
        <f t="shared" si="4"/>
        <v>194.42117172314431</v>
      </c>
      <c r="AC59" s="18">
        <f t="shared" si="8"/>
        <v>-1.1370009226260309E-2</v>
      </c>
      <c r="AE59">
        <f t="shared" si="5"/>
        <v>194.42117172314431</v>
      </c>
    </row>
    <row r="60" spans="1:31" x14ac:dyDescent="0.25">
      <c r="A60" s="2">
        <v>34639</v>
      </c>
      <c r="B60" s="6">
        <v>135.67500000000001</v>
      </c>
      <c r="C60" s="6" t="e">
        <v>#N/A</v>
      </c>
      <c r="D60" s="7">
        <f t="shared" si="7"/>
        <v>150.99583333333334</v>
      </c>
      <c r="E60" s="17">
        <f t="shared" si="0"/>
        <v>193.38944825772967</v>
      </c>
      <c r="F60" s="9">
        <f t="shared" si="3"/>
        <v>-5.3066415363642871E-3</v>
      </c>
      <c r="G60" s="9">
        <f t="shared" si="1"/>
        <v>-5.3066415363642871E-3</v>
      </c>
      <c r="H60">
        <f t="shared" si="2"/>
        <v>193.38944825772967</v>
      </c>
      <c r="X60" s="2">
        <v>34639</v>
      </c>
      <c r="Y60" s="6">
        <v>135.67500000000001</v>
      </c>
      <c r="Z60" s="6" t="e">
        <v>#N/A</v>
      </c>
      <c r="AA60" s="7">
        <f t="shared" si="6"/>
        <v>150.99583333333334</v>
      </c>
      <c r="AB60" s="7">
        <f t="shared" si="4"/>
        <v>193.38944825772967</v>
      </c>
      <c r="AC60" s="18">
        <f t="shared" si="8"/>
        <v>-5.3066415363643218E-3</v>
      </c>
      <c r="AE60">
        <f t="shared" si="5"/>
        <v>193.38944825772967</v>
      </c>
    </row>
    <row r="61" spans="1:31" x14ac:dyDescent="0.25">
      <c r="A61" s="2">
        <v>34669</v>
      </c>
      <c r="B61" s="6">
        <v>124.52</v>
      </c>
      <c r="C61" s="6" t="e">
        <v>#N/A</v>
      </c>
      <c r="D61" s="7">
        <f t="shared" si="7"/>
        <v>149.14416666666668</v>
      </c>
      <c r="E61" s="17">
        <f t="shared" si="0"/>
        <v>191.01790735412487</v>
      </c>
      <c r="F61" s="9">
        <f t="shared" si="3"/>
        <v>-1.2263031540605374E-2</v>
      </c>
      <c r="G61" s="9">
        <f t="shared" si="1"/>
        <v>-1.2263031540605263E-2</v>
      </c>
      <c r="H61">
        <f t="shared" si="2"/>
        <v>191.01790735412487</v>
      </c>
      <c r="X61" s="2">
        <v>34669</v>
      </c>
      <c r="Y61" s="6">
        <v>124.52</v>
      </c>
      <c r="Z61" s="6" t="e">
        <v>#N/A</v>
      </c>
      <c r="AA61" s="7">
        <f t="shared" si="6"/>
        <v>149.14416666666668</v>
      </c>
      <c r="AB61" s="7">
        <f t="shared" si="4"/>
        <v>191.01790735412487</v>
      </c>
      <c r="AC61" s="18">
        <f t="shared" si="8"/>
        <v>-1.2263031540605377E-2</v>
      </c>
      <c r="AE61">
        <f t="shared" si="5"/>
        <v>191.01790735412487</v>
      </c>
    </row>
    <row r="62" spans="1:31" x14ac:dyDescent="0.25">
      <c r="A62" s="2">
        <v>34700</v>
      </c>
      <c r="B62" s="6">
        <v>129.65</v>
      </c>
      <c r="C62" s="6" t="e">
        <v>#N/A</v>
      </c>
      <c r="D62" s="7">
        <f t="shared" si="7"/>
        <v>147.11472222222221</v>
      </c>
      <c r="E62" s="17">
        <f t="shared" si="0"/>
        <v>188.4186757547044</v>
      </c>
      <c r="F62" s="9">
        <f t="shared" si="3"/>
        <v>-1.3607266645434546E-2</v>
      </c>
      <c r="G62" s="9">
        <f t="shared" si="1"/>
        <v>-1.3607266645434435E-2</v>
      </c>
      <c r="H62">
        <f t="shared" si="2"/>
        <v>188.4186757547044</v>
      </c>
      <c r="X62" s="2">
        <v>34700</v>
      </c>
      <c r="Y62" s="6">
        <v>129.65</v>
      </c>
      <c r="Z62" s="6" t="e">
        <v>#N/A</v>
      </c>
      <c r="AA62" s="7">
        <f t="shared" si="6"/>
        <v>147.11472222222221</v>
      </c>
      <c r="AB62" s="7">
        <f t="shared" si="4"/>
        <v>188.4186757547044</v>
      </c>
      <c r="AC62" s="18">
        <f t="shared" si="8"/>
        <v>-1.3607266645434551E-2</v>
      </c>
      <c r="AE62">
        <f t="shared" si="5"/>
        <v>188.4186757547044</v>
      </c>
    </row>
    <row r="63" spans="1:31" x14ac:dyDescent="0.25">
      <c r="A63" s="2">
        <v>34731</v>
      </c>
      <c r="B63" s="6">
        <v>139.17500000000001</v>
      </c>
      <c r="C63" s="6" t="e">
        <v>#N/A</v>
      </c>
      <c r="D63" s="7">
        <f t="shared" si="7"/>
        <v>146.42444444444448</v>
      </c>
      <c r="E63" s="17">
        <f t="shared" si="0"/>
        <v>187.53459547485775</v>
      </c>
      <c r="F63" s="9">
        <f t="shared" si="3"/>
        <v>-4.6921053675039737E-3</v>
      </c>
      <c r="G63" s="9">
        <f t="shared" si="1"/>
        <v>-4.6921053675039737E-3</v>
      </c>
      <c r="H63">
        <f t="shared" si="2"/>
        <v>187.53459547485775</v>
      </c>
      <c r="X63" s="2">
        <v>34731</v>
      </c>
      <c r="Y63" s="6">
        <v>139.17500000000001</v>
      </c>
      <c r="Z63" s="6" t="e">
        <v>#N/A</v>
      </c>
      <c r="AA63" s="7">
        <f t="shared" si="6"/>
        <v>146.42444444444448</v>
      </c>
      <c r="AB63" s="7">
        <f t="shared" si="4"/>
        <v>187.53459547485775</v>
      </c>
      <c r="AC63" s="18">
        <f t="shared" si="8"/>
        <v>-4.6921053675039216E-3</v>
      </c>
      <c r="AE63">
        <f t="shared" si="5"/>
        <v>187.53459547485775</v>
      </c>
    </row>
    <row r="64" spans="1:31" x14ac:dyDescent="0.25">
      <c r="A64" s="2">
        <v>34759</v>
      </c>
      <c r="B64" s="6">
        <v>139.46</v>
      </c>
      <c r="C64" s="6" t="e">
        <v>#N/A</v>
      </c>
      <c r="D64" s="7">
        <f t="shared" si="7"/>
        <v>144.3388888888889</v>
      </c>
      <c r="E64" s="17">
        <f t="shared" si="0"/>
        <v>184.86349899957045</v>
      </c>
      <c r="F64" s="9">
        <f t="shared" si="3"/>
        <v>-1.4243219863107393E-2</v>
      </c>
      <c r="G64" s="9">
        <f t="shared" si="1"/>
        <v>-1.4243219863107393E-2</v>
      </c>
      <c r="H64">
        <f t="shared" si="2"/>
        <v>184.86349899957045</v>
      </c>
      <c r="X64" s="2">
        <v>34759</v>
      </c>
      <c r="Y64" s="6">
        <v>139.46</v>
      </c>
      <c r="Z64" s="6" t="e">
        <v>#N/A</v>
      </c>
      <c r="AA64" s="7">
        <f t="shared" si="6"/>
        <v>144.3388888888889</v>
      </c>
      <c r="AB64" s="7">
        <f t="shared" si="4"/>
        <v>184.86349899957045</v>
      </c>
      <c r="AC64" s="18">
        <f t="shared" si="8"/>
        <v>-1.4243219863107365E-2</v>
      </c>
      <c r="AE64">
        <f t="shared" si="5"/>
        <v>184.86349899957045</v>
      </c>
    </row>
    <row r="65" spans="1:31" x14ac:dyDescent="0.25">
      <c r="A65" s="2">
        <v>34790</v>
      </c>
      <c r="B65" s="6">
        <v>150.02500000000001</v>
      </c>
      <c r="C65" s="6" t="e">
        <v>#N/A</v>
      </c>
      <c r="D65" s="7">
        <f t="shared" si="7"/>
        <v>143.56361111111113</v>
      </c>
      <c r="E65" s="17">
        <f t="shared" si="0"/>
        <v>183.87055410578691</v>
      </c>
      <c r="F65" s="9">
        <f t="shared" si="3"/>
        <v>-5.3712328239867713E-3</v>
      </c>
      <c r="G65" s="9">
        <f t="shared" si="1"/>
        <v>-5.3712328239867713E-3</v>
      </c>
      <c r="H65">
        <f t="shared" si="2"/>
        <v>183.87055410578691</v>
      </c>
      <c r="X65" s="2">
        <v>34790</v>
      </c>
      <c r="Y65" s="6">
        <v>150.02500000000001</v>
      </c>
      <c r="Z65" s="6" t="e">
        <v>#N/A</v>
      </c>
      <c r="AA65" s="7">
        <f t="shared" si="6"/>
        <v>143.56361111111113</v>
      </c>
      <c r="AB65" s="7">
        <f t="shared" si="4"/>
        <v>183.87055410578691</v>
      </c>
      <c r="AC65" s="18">
        <f t="shared" si="8"/>
        <v>-5.3712328239867314E-3</v>
      </c>
      <c r="AE65">
        <f t="shared" si="5"/>
        <v>183.87055410578691</v>
      </c>
    </row>
    <row r="66" spans="1:31" x14ac:dyDescent="0.25">
      <c r="A66" s="2">
        <v>34820</v>
      </c>
      <c r="B66" s="6">
        <v>156.15</v>
      </c>
      <c r="C66" s="6" t="e">
        <v>#N/A</v>
      </c>
      <c r="D66" s="7">
        <f t="shared" si="7"/>
        <v>143.22611111111112</v>
      </c>
      <c r="E66" s="17">
        <f t="shared" ref="E66:E129" si="9">H66</f>
        <v>183.43829755044939</v>
      </c>
      <c r="F66" s="9">
        <f t="shared" si="3"/>
        <v>-2.3508742736959576E-3</v>
      </c>
      <c r="G66" s="9">
        <f t="shared" si="1"/>
        <v>-2.3508742736959576E-3</v>
      </c>
      <c r="H66">
        <f t="shared" si="2"/>
        <v>183.43829755044939</v>
      </c>
      <c r="X66" s="2">
        <v>34820</v>
      </c>
      <c r="Y66" s="6">
        <v>156.15</v>
      </c>
      <c r="Z66" s="6" t="e">
        <v>#N/A</v>
      </c>
      <c r="AA66" s="7">
        <f t="shared" si="6"/>
        <v>143.22611111111112</v>
      </c>
      <c r="AB66" s="7">
        <f t="shared" si="4"/>
        <v>183.43829755044939</v>
      </c>
      <c r="AC66" s="18">
        <f t="shared" si="8"/>
        <v>-2.3508742736959814E-3</v>
      </c>
      <c r="AE66">
        <f t="shared" si="5"/>
        <v>183.43829755044939</v>
      </c>
    </row>
    <row r="67" spans="1:31" x14ac:dyDescent="0.25">
      <c r="A67" s="2">
        <v>34851</v>
      </c>
      <c r="B67" s="6">
        <v>172.24</v>
      </c>
      <c r="C67" s="6" t="e">
        <v>#N/A</v>
      </c>
      <c r="D67" s="7">
        <f t="shared" si="7"/>
        <v>144.38388888888889</v>
      </c>
      <c r="E67" s="17">
        <f t="shared" si="9"/>
        <v>184.92113320694875</v>
      </c>
      <c r="F67" s="9">
        <f t="shared" si="3"/>
        <v>8.0835663888101372E-3</v>
      </c>
      <c r="G67" s="9">
        <f t="shared" ref="G67:G130" si="10">E67/E66-1</f>
        <v>8.0835663888101372E-3</v>
      </c>
      <c r="H67">
        <f t="shared" ref="H67:H130" si="11">E68/(F68+1)</f>
        <v>184.92113320694875</v>
      </c>
      <c r="X67" s="2">
        <v>34851</v>
      </c>
      <c r="Y67" s="6">
        <v>172.24</v>
      </c>
      <c r="Z67" s="6" t="e">
        <v>#N/A</v>
      </c>
      <c r="AA67" s="7">
        <f t="shared" si="6"/>
        <v>144.38388888888889</v>
      </c>
      <c r="AB67" s="7">
        <f t="shared" si="4"/>
        <v>184.92113320694875</v>
      </c>
      <c r="AC67" s="18">
        <f t="shared" si="8"/>
        <v>8.083566388810158E-3</v>
      </c>
      <c r="AE67">
        <f t="shared" si="5"/>
        <v>184.92113320694875</v>
      </c>
    </row>
    <row r="68" spans="1:31" x14ac:dyDescent="0.25">
      <c r="A68" s="2">
        <v>34881</v>
      </c>
      <c r="B68" s="6">
        <v>161.72499999999999</v>
      </c>
      <c r="C68" s="6" t="e">
        <v>#N/A</v>
      </c>
      <c r="D68" s="7">
        <f t="shared" si="7"/>
        <v>145.88111111111112</v>
      </c>
      <c r="E68" s="17">
        <f t="shared" si="9"/>
        <v>186.83871578577114</v>
      </c>
      <c r="F68" s="9">
        <f t="shared" ref="F68:F131" si="12">D68/D67-1</f>
        <v>1.0369731926076708E-2</v>
      </c>
      <c r="G68" s="9">
        <f t="shared" si="10"/>
        <v>1.0369731926076708E-2</v>
      </c>
      <c r="H68">
        <f t="shared" si="11"/>
        <v>186.83871578577114</v>
      </c>
      <c r="X68" s="2">
        <v>34881</v>
      </c>
      <c r="Y68" s="6">
        <v>161.72499999999999</v>
      </c>
      <c r="Z68" s="6" t="e">
        <v>#N/A</v>
      </c>
      <c r="AA68" s="7">
        <f t="shared" si="6"/>
        <v>145.88111111111112</v>
      </c>
      <c r="AB68" s="7">
        <f t="shared" si="4"/>
        <v>186.83871578577114</v>
      </c>
      <c r="AC68" s="18">
        <f t="shared" si="8"/>
        <v>1.0369731926076785E-2</v>
      </c>
      <c r="AE68">
        <f t="shared" si="5"/>
        <v>186.83871578577114</v>
      </c>
    </row>
    <row r="69" spans="1:31" x14ac:dyDescent="0.25">
      <c r="A69" s="2">
        <v>34912</v>
      </c>
      <c r="B69" s="6">
        <v>154.35</v>
      </c>
      <c r="C69" s="6" t="e">
        <v>#N/A</v>
      </c>
      <c r="D69" s="7">
        <f t="shared" si="7"/>
        <v>145.8422222222222</v>
      </c>
      <c r="E69" s="17">
        <f t="shared" si="9"/>
        <v>186.78890844606144</v>
      </c>
      <c r="F69" s="9">
        <f t="shared" si="12"/>
        <v>-2.6657933020057811E-4</v>
      </c>
      <c r="G69" s="9">
        <f t="shared" si="10"/>
        <v>-2.6657933020057811E-4</v>
      </c>
      <c r="H69">
        <f t="shared" si="11"/>
        <v>186.78890844606144</v>
      </c>
      <c r="X69" s="2">
        <v>34912</v>
      </c>
      <c r="Y69" s="6">
        <v>154.35</v>
      </c>
      <c r="Z69" s="6" t="e">
        <v>#N/A</v>
      </c>
      <c r="AA69" s="7">
        <f t="shared" si="6"/>
        <v>145.8422222222222</v>
      </c>
      <c r="AB69" s="7">
        <f t="shared" si="4"/>
        <v>186.78890844606144</v>
      </c>
      <c r="AC69" s="18">
        <f t="shared" si="8"/>
        <v>-2.6657933020060359E-4</v>
      </c>
      <c r="AE69">
        <f t="shared" si="5"/>
        <v>186.78890844606144</v>
      </c>
    </row>
    <row r="70" spans="1:31" x14ac:dyDescent="0.25">
      <c r="A70" s="2">
        <v>34943</v>
      </c>
      <c r="B70" s="6">
        <v>188.7</v>
      </c>
      <c r="C70" s="6" t="e">
        <v>#N/A</v>
      </c>
      <c r="D70" s="7">
        <f t="shared" si="7"/>
        <v>147.94500000000002</v>
      </c>
      <c r="E70" s="17">
        <f t="shared" si="9"/>
        <v>189.48206245750592</v>
      </c>
      <c r="F70" s="9">
        <f t="shared" si="12"/>
        <v>1.4418168797330821E-2</v>
      </c>
      <c r="G70" s="9">
        <f t="shared" si="10"/>
        <v>1.4418168797330821E-2</v>
      </c>
      <c r="H70">
        <f t="shared" si="11"/>
        <v>189.48206245750592</v>
      </c>
      <c r="X70" s="2">
        <v>34943</v>
      </c>
      <c r="Y70" s="6">
        <v>188.7</v>
      </c>
      <c r="Z70" s="6" t="e">
        <v>#N/A</v>
      </c>
      <c r="AA70" s="7">
        <f t="shared" si="6"/>
        <v>147.94500000000002</v>
      </c>
      <c r="AB70" s="7">
        <f t="shared" si="4"/>
        <v>189.48206245750592</v>
      </c>
      <c r="AC70" s="18">
        <f t="shared" si="8"/>
        <v>1.4418168797330719E-2</v>
      </c>
      <c r="AE70">
        <f t="shared" si="5"/>
        <v>189.48206245750592</v>
      </c>
    </row>
    <row r="71" spans="1:31" x14ac:dyDescent="0.25">
      <c r="A71" s="2">
        <v>34973</v>
      </c>
      <c r="B71" s="6">
        <v>186.97499999999999</v>
      </c>
      <c r="C71" s="6" t="e">
        <v>#N/A</v>
      </c>
      <c r="D71" s="7">
        <f t="shared" si="7"/>
        <v>149.38361111111112</v>
      </c>
      <c r="E71" s="17">
        <f t="shared" si="9"/>
        <v>191.32457826005154</v>
      </c>
      <c r="F71" s="9">
        <f t="shared" si="12"/>
        <v>9.7239589787494474E-3</v>
      </c>
      <c r="G71" s="9">
        <f t="shared" si="10"/>
        <v>9.7239589787494474E-3</v>
      </c>
      <c r="H71">
        <f t="shared" si="11"/>
        <v>191.32457826005154</v>
      </c>
      <c r="X71" s="2">
        <v>34973</v>
      </c>
      <c r="Y71" s="6">
        <v>186.97499999999999</v>
      </c>
      <c r="Z71" s="6" t="e">
        <v>#N/A</v>
      </c>
      <c r="AA71" s="7">
        <f t="shared" si="6"/>
        <v>149.38361111111112</v>
      </c>
      <c r="AB71" s="7">
        <f t="shared" si="4"/>
        <v>191.32457826005154</v>
      </c>
      <c r="AC71" s="18">
        <f t="shared" si="8"/>
        <v>9.7239589787495376E-3</v>
      </c>
      <c r="AE71">
        <f t="shared" si="5"/>
        <v>191.32457826005154</v>
      </c>
    </row>
    <row r="72" spans="1:31" x14ac:dyDescent="0.25">
      <c r="A72" s="2">
        <v>35004</v>
      </c>
      <c r="B72" s="6">
        <v>188.375</v>
      </c>
      <c r="C72" s="6" t="e">
        <v>#N/A</v>
      </c>
      <c r="D72" s="7">
        <f t="shared" si="7"/>
        <v>151.74333333333334</v>
      </c>
      <c r="E72" s="17">
        <f t="shared" si="9"/>
        <v>194.34681648029201</v>
      </c>
      <c r="F72" s="9">
        <f t="shared" si="12"/>
        <v>1.579639295549673E-2</v>
      </c>
      <c r="G72" s="9">
        <f t="shared" si="10"/>
        <v>1.579639295549673E-2</v>
      </c>
      <c r="H72">
        <f t="shared" si="11"/>
        <v>194.34681648029201</v>
      </c>
      <c r="X72" s="2">
        <v>35004</v>
      </c>
      <c r="Y72" s="6">
        <v>188.375</v>
      </c>
      <c r="Z72" s="6" t="e">
        <v>#N/A</v>
      </c>
      <c r="AA72" s="7">
        <f t="shared" si="6"/>
        <v>151.74333333333334</v>
      </c>
      <c r="AB72" s="7">
        <f t="shared" si="4"/>
        <v>194.34681648029201</v>
      </c>
      <c r="AC72" s="18">
        <f t="shared" si="8"/>
        <v>1.5796392955496719E-2</v>
      </c>
      <c r="AE72">
        <f t="shared" si="5"/>
        <v>194.34681648029201</v>
      </c>
    </row>
    <row r="73" spans="1:31" x14ac:dyDescent="0.25">
      <c r="A73" s="2">
        <v>35034</v>
      </c>
      <c r="B73" s="6">
        <v>204.68</v>
      </c>
      <c r="C73" s="6" t="e">
        <v>#N/A</v>
      </c>
      <c r="D73" s="7">
        <f t="shared" si="7"/>
        <v>155.04916666666665</v>
      </c>
      <c r="E73" s="17">
        <f t="shared" si="9"/>
        <v>198.58079612232632</v>
      </c>
      <c r="F73" s="9">
        <f t="shared" si="12"/>
        <v>2.1785690749730691E-2</v>
      </c>
      <c r="G73" s="9">
        <f t="shared" si="10"/>
        <v>2.1785690749730691E-2</v>
      </c>
      <c r="H73">
        <f t="shared" si="11"/>
        <v>198.58079612232632</v>
      </c>
      <c r="X73" s="2">
        <v>35034</v>
      </c>
      <c r="Y73" s="6">
        <v>204.68</v>
      </c>
      <c r="Z73" s="6" t="e">
        <v>#N/A</v>
      </c>
      <c r="AA73" s="7">
        <f t="shared" si="6"/>
        <v>155.04916666666665</v>
      </c>
      <c r="AB73" s="7">
        <f t="shared" si="4"/>
        <v>198.58079612232632</v>
      </c>
      <c r="AC73" s="18">
        <f t="shared" si="8"/>
        <v>2.1785690749730757E-2</v>
      </c>
      <c r="AE73">
        <f t="shared" si="5"/>
        <v>198.58079612232632</v>
      </c>
    </row>
    <row r="74" spans="1:31" x14ac:dyDescent="0.25">
      <c r="A74" s="2">
        <v>35065</v>
      </c>
      <c r="B74" s="6">
        <v>176.72499999999999</v>
      </c>
      <c r="C74" s="6" t="e">
        <v>#N/A</v>
      </c>
      <c r="D74" s="7">
        <f t="shared" si="7"/>
        <v>156.86277777777775</v>
      </c>
      <c r="E74" s="17">
        <f t="shared" si="9"/>
        <v>200.90359698635808</v>
      </c>
      <c r="F74" s="9">
        <f t="shared" si="12"/>
        <v>1.1697006505104968E-2</v>
      </c>
      <c r="G74" s="9">
        <f t="shared" si="10"/>
        <v>1.1697006505104968E-2</v>
      </c>
      <c r="H74">
        <f t="shared" si="11"/>
        <v>200.90359698635808</v>
      </c>
      <c r="X74" s="2">
        <v>35065</v>
      </c>
      <c r="Y74" s="6">
        <v>176.72499999999999</v>
      </c>
      <c r="Z74" s="6" t="e">
        <v>#N/A</v>
      </c>
      <c r="AA74" s="7">
        <f t="shared" si="6"/>
        <v>156.86277777777775</v>
      </c>
      <c r="AB74" s="7">
        <f t="shared" si="4"/>
        <v>200.90359698635808</v>
      </c>
      <c r="AC74" s="18">
        <f t="shared" si="8"/>
        <v>1.1697006505104945E-2</v>
      </c>
      <c r="AE74">
        <f t="shared" si="5"/>
        <v>200.90359698635808</v>
      </c>
    </row>
    <row r="75" spans="1:31" x14ac:dyDescent="0.25">
      <c r="A75" s="2">
        <v>35096</v>
      </c>
      <c r="B75" s="6">
        <v>173.4</v>
      </c>
      <c r="C75" s="6" t="e">
        <v>#N/A</v>
      </c>
      <c r="D75" s="7">
        <f t="shared" si="7"/>
        <v>158.62111111111111</v>
      </c>
      <c r="E75" s="17">
        <f t="shared" si="9"/>
        <v>203.15560027465972</v>
      </c>
      <c r="F75" s="9">
        <f t="shared" si="12"/>
        <v>1.1209372664714223E-2</v>
      </c>
      <c r="G75" s="9">
        <f t="shared" si="10"/>
        <v>1.1209372664714223E-2</v>
      </c>
      <c r="H75">
        <f t="shared" si="11"/>
        <v>203.15560027465972</v>
      </c>
      <c r="X75" s="2">
        <v>35096</v>
      </c>
      <c r="Y75" s="6">
        <v>173.4</v>
      </c>
      <c r="Z75" s="6" t="e">
        <v>#N/A</v>
      </c>
      <c r="AA75" s="7">
        <f t="shared" si="6"/>
        <v>158.62111111111111</v>
      </c>
      <c r="AB75" s="7">
        <f t="shared" si="4"/>
        <v>203.15560027465972</v>
      </c>
      <c r="AC75" s="18">
        <f t="shared" si="8"/>
        <v>1.1209372664714163E-2</v>
      </c>
      <c r="AE75">
        <f t="shared" si="5"/>
        <v>203.15560027465972</v>
      </c>
    </row>
    <row r="76" spans="1:31" x14ac:dyDescent="0.25">
      <c r="A76" s="2">
        <v>35125</v>
      </c>
      <c r="B76" s="6">
        <v>179.3</v>
      </c>
      <c r="C76" s="6" t="e">
        <v>#N/A</v>
      </c>
      <c r="D76" s="7">
        <f t="shared" si="7"/>
        <v>160.91111111111113</v>
      </c>
      <c r="E76" s="17">
        <f t="shared" si="9"/>
        <v>206.08854105013501</v>
      </c>
      <c r="F76" s="9">
        <f t="shared" si="12"/>
        <v>1.4436918162777923E-2</v>
      </c>
      <c r="G76" s="9">
        <f t="shared" si="10"/>
        <v>1.4436918162777923E-2</v>
      </c>
      <c r="H76">
        <f t="shared" si="11"/>
        <v>206.08854105013501</v>
      </c>
      <c r="X76" s="2">
        <v>35125</v>
      </c>
      <c r="Y76" s="6">
        <v>179.3</v>
      </c>
      <c r="Z76" s="6" t="e">
        <v>#N/A</v>
      </c>
      <c r="AA76" s="7">
        <f t="shared" si="6"/>
        <v>160.91111111111113</v>
      </c>
      <c r="AB76" s="7">
        <f t="shared" si="4"/>
        <v>206.08854105013501</v>
      </c>
      <c r="AC76" s="18">
        <f t="shared" si="8"/>
        <v>1.4436918162777958E-2</v>
      </c>
      <c r="AE76">
        <f t="shared" si="5"/>
        <v>206.08854105013501</v>
      </c>
    </row>
    <row r="77" spans="1:31" x14ac:dyDescent="0.25">
      <c r="A77" s="2">
        <v>35156</v>
      </c>
      <c r="B77" s="6">
        <v>177.35</v>
      </c>
      <c r="C77" s="6" t="e">
        <v>#N/A</v>
      </c>
      <c r="D77" s="7">
        <f t="shared" si="7"/>
        <v>163.2486111111111</v>
      </c>
      <c r="E77" s="17">
        <f t="shared" si="9"/>
        <v>209.08231793339849</v>
      </c>
      <c r="F77" s="9">
        <f t="shared" si="12"/>
        <v>1.4526653777102494E-2</v>
      </c>
      <c r="G77" s="9">
        <f t="shared" si="10"/>
        <v>1.4526653777102494E-2</v>
      </c>
      <c r="H77">
        <f t="shared" si="11"/>
        <v>209.08231793339849</v>
      </c>
      <c r="X77" s="2">
        <v>35156</v>
      </c>
      <c r="Y77" s="6">
        <v>177.35</v>
      </c>
      <c r="Z77" s="6" t="e">
        <v>#N/A</v>
      </c>
      <c r="AA77" s="7">
        <f t="shared" si="6"/>
        <v>163.2486111111111</v>
      </c>
      <c r="AB77" s="7">
        <f t="shared" si="4"/>
        <v>209.08231793339849</v>
      </c>
      <c r="AC77" s="18">
        <f t="shared" si="8"/>
        <v>1.4526653777102468E-2</v>
      </c>
      <c r="AE77">
        <f t="shared" si="5"/>
        <v>209.08231793339849</v>
      </c>
    </row>
    <row r="78" spans="1:31" x14ac:dyDescent="0.25">
      <c r="A78" s="2">
        <v>35186</v>
      </c>
      <c r="B78" s="6">
        <v>189.14</v>
      </c>
      <c r="C78" s="6" t="e">
        <v>#N/A</v>
      </c>
      <c r="D78" s="7">
        <f t="shared" si="7"/>
        <v>166.21888888888887</v>
      </c>
      <c r="E78" s="17">
        <f t="shared" si="9"/>
        <v>212.88653138708077</v>
      </c>
      <c r="F78" s="9">
        <f t="shared" si="12"/>
        <v>1.8194811934761912E-2</v>
      </c>
      <c r="G78" s="9">
        <f t="shared" si="10"/>
        <v>1.8194811934761912E-2</v>
      </c>
      <c r="H78">
        <f t="shared" si="11"/>
        <v>212.88653138708077</v>
      </c>
      <c r="X78" s="2">
        <v>35186</v>
      </c>
      <c r="Y78" s="6">
        <v>189.14</v>
      </c>
      <c r="Z78" s="6" t="e">
        <v>#N/A</v>
      </c>
      <c r="AA78" s="7">
        <f t="shared" si="6"/>
        <v>166.21888888888887</v>
      </c>
      <c r="AB78" s="7">
        <f t="shared" si="4"/>
        <v>212.88653138708077</v>
      </c>
      <c r="AC78" s="18">
        <f t="shared" si="8"/>
        <v>1.8194811934762013E-2</v>
      </c>
      <c r="AE78">
        <f t="shared" si="5"/>
        <v>212.88653138708077</v>
      </c>
    </row>
    <row r="79" spans="1:31" x14ac:dyDescent="0.25">
      <c r="A79" s="2">
        <v>35217</v>
      </c>
      <c r="B79" s="6">
        <v>183.67500000000001</v>
      </c>
      <c r="C79" s="6" t="e">
        <v>#N/A</v>
      </c>
      <c r="D79" s="7">
        <f t="shared" si="7"/>
        <v>169.50527777777779</v>
      </c>
      <c r="E79" s="17">
        <f t="shared" si="9"/>
        <v>217.0956073592603</v>
      </c>
      <c r="F79" s="9">
        <f t="shared" si="12"/>
        <v>1.9771452636082376E-2</v>
      </c>
      <c r="G79" s="9">
        <f t="shared" si="10"/>
        <v>1.9771452636082376E-2</v>
      </c>
      <c r="H79">
        <f t="shared" si="11"/>
        <v>217.0956073592603</v>
      </c>
      <c r="X79" s="2">
        <v>35217</v>
      </c>
      <c r="Y79" s="6">
        <v>183.67500000000001</v>
      </c>
      <c r="Z79" s="6" t="e">
        <v>#N/A</v>
      </c>
      <c r="AA79" s="7">
        <f t="shared" si="6"/>
        <v>169.50527777777779</v>
      </c>
      <c r="AB79" s="7">
        <f t="shared" si="4"/>
        <v>217.0956073592603</v>
      </c>
      <c r="AC79" s="18">
        <f t="shared" si="8"/>
        <v>1.9771452636082477E-2</v>
      </c>
      <c r="AE79">
        <f t="shared" si="5"/>
        <v>217.0956073592603</v>
      </c>
    </row>
    <row r="80" spans="1:31" x14ac:dyDescent="0.25">
      <c r="A80" s="2">
        <v>35247</v>
      </c>
      <c r="B80" s="6">
        <v>181.5</v>
      </c>
      <c r="C80" s="6" t="e">
        <v>#N/A</v>
      </c>
      <c r="D80" s="7">
        <f t="shared" si="7"/>
        <v>172.38583333333335</v>
      </c>
      <c r="E80" s="17">
        <f t="shared" si="9"/>
        <v>220.78490816489816</v>
      </c>
      <c r="F80" s="9">
        <f t="shared" si="12"/>
        <v>1.6993898911702221E-2</v>
      </c>
      <c r="G80" s="9">
        <f t="shared" si="10"/>
        <v>1.6993898911702221E-2</v>
      </c>
      <c r="H80">
        <f t="shared" si="11"/>
        <v>220.78490816489816</v>
      </c>
      <c r="X80" s="2">
        <v>35247</v>
      </c>
      <c r="Y80" s="6">
        <v>181.5</v>
      </c>
      <c r="Z80" s="6" t="e">
        <v>#N/A</v>
      </c>
      <c r="AA80" s="7">
        <f t="shared" si="6"/>
        <v>172.38583333333335</v>
      </c>
      <c r="AB80" s="7">
        <f t="shared" si="4"/>
        <v>220.78490816489816</v>
      </c>
      <c r="AC80" s="18">
        <f t="shared" si="8"/>
        <v>1.6993898911702218E-2</v>
      </c>
      <c r="AE80">
        <f t="shared" si="5"/>
        <v>220.78490816489816</v>
      </c>
    </row>
    <row r="81" spans="1:31" x14ac:dyDescent="0.25">
      <c r="A81" s="2">
        <v>35278</v>
      </c>
      <c r="B81" s="6">
        <v>182.02</v>
      </c>
      <c r="C81" s="6" t="e">
        <v>#N/A</v>
      </c>
      <c r="D81" s="7">
        <f t="shared" si="7"/>
        <v>174.76611111111112</v>
      </c>
      <c r="E81" s="17">
        <f t="shared" si="9"/>
        <v>223.83347312184227</v>
      </c>
      <c r="F81" s="9">
        <f t="shared" si="12"/>
        <v>1.3807850284165424E-2</v>
      </c>
      <c r="G81" s="9">
        <f t="shared" si="10"/>
        <v>1.3807850284165424E-2</v>
      </c>
      <c r="H81">
        <f t="shared" si="11"/>
        <v>223.83347312184227</v>
      </c>
      <c r="X81" s="2">
        <v>35278</v>
      </c>
      <c r="Y81" s="6">
        <v>182.02</v>
      </c>
      <c r="Z81" s="6" t="e">
        <v>#N/A</v>
      </c>
      <c r="AA81" s="7">
        <f t="shared" si="6"/>
        <v>174.76611111111112</v>
      </c>
      <c r="AB81" s="7">
        <f t="shared" si="4"/>
        <v>223.83347312184227</v>
      </c>
      <c r="AC81" s="18">
        <f t="shared" si="8"/>
        <v>1.3807850284165443E-2</v>
      </c>
      <c r="AE81">
        <f t="shared" si="5"/>
        <v>223.83347312184227</v>
      </c>
    </row>
    <row r="82" spans="1:31" x14ac:dyDescent="0.25">
      <c r="A82" s="2">
        <v>35309</v>
      </c>
      <c r="B82" s="6">
        <v>186.375</v>
      </c>
      <c r="C82" s="6" t="e">
        <v>#N/A</v>
      </c>
      <c r="D82" s="7">
        <f t="shared" si="7"/>
        <v>177.3725</v>
      </c>
      <c r="E82" s="17">
        <f t="shared" si="9"/>
        <v>227.17163218252696</v>
      </c>
      <c r="F82" s="9">
        <f t="shared" si="12"/>
        <v>1.4913582915579315E-2</v>
      </c>
      <c r="G82" s="9">
        <f t="shared" si="10"/>
        <v>1.4913582915579315E-2</v>
      </c>
      <c r="H82">
        <f t="shared" si="11"/>
        <v>227.17163218252696</v>
      </c>
      <c r="X82" s="2">
        <v>35309</v>
      </c>
      <c r="Y82" s="6">
        <v>186.375</v>
      </c>
      <c r="Z82" s="6" t="e">
        <v>#N/A</v>
      </c>
      <c r="AA82" s="7">
        <f t="shared" si="6"/>
        <v>177.3725</v>
      </c>
      <c r="AB82" s="7">
        <f t="shared" si="4"/>
        <v>227.17163218252696</v>
      </c>
      <c r="AC82" s="18">
        <f t="shared" si="8"/>
        <v>1.4913582915579222E-2</v>
      </c>
      <c r="AE82">
        <f t="shared" si="5"/>
        <v>227.17163218252696</v>
      </c>
    </row>
    <row r="83" spans="1:31" x14ac:dyDescent="0.25">
      <c r="A83" s="2">
        <v>35339</v>
      </c>
      <c r="B83" s="6">
        <v>182.27500000000001</v>
      </c>
      <c r="C83" s="6" t="e">
        <v>#N/A</v>
      </c>
      <c r="D83" s="7">
        <f t="shared" si="7"/>
        <v>179.16416666666666</v>
      </c>
      <c r="E83" s="17">
        <f t="shared" si="9"/>
        <v>229.466327476294</v>
      </c>
      <c r="F83" s="9">
        <f t="shared" si="12"/>
        <v>1.0101152471023722E-2</v>
      </c>
      <c r="G83" s="9">
        <f t="shared" si="10"/>
        <v>1.0101152471023722E-2</v>
      </c>
      <c r="H83">
        <f t="shared" si="11"/>
        <v>229.466327476294</v>
      </c>
      <c r="X83" s="2">
        <v>35339</v>
      </c>
      <c r="Y83" s="6">
        <v>182.27500000000001</v>
      </c>
      <c r="Z83" s="6" t="e">
        <v>#N/A</v>
      </c>
      <c r="AA83" s="7">
        <f t="shared" si="6"/>
        <v>179.16416666666666</v>
      </c>
      <c r="AB83" s="7">
        <f t="shared" ref="AB83:AB146" si="13">IF(ISNA(AVERAGE(Z66:Z83)),AE83,AVERAGE(Z66:Z83))</f>
        <v>229.466327476294</v>
      </c>
      <c r="AC83" s="18">
        <f t="shared" si="8"/>
        <v>1.0101152471023734E-2</v>
      </c>
      <c r="AE83">
        <f t="shared" si="5"/>
        <v>229.466327476294</v>
      </c>
    </row>
    <row r="84" spans="1:31" x14ac:dyDescent="0.25">
      <c r="A84" s="2">
        <v>35370</v>
      </c>
      <c r="B84" s="6">
        <v>199.88</v>
      </c>
      <c r="C84" s="6" t="e">
        <v>#N/A</v>
      </c>
      <c r="D84" s="7">
        <f t="shared" ref="D84:D147" si="14">AVERAGE(B67:B84)</f>
        <v>181.59361111111113</v>
      </c>
      <c r="E84" s="17">
        <f t="shared" si="9"/>
        <v>232.5778631412997</v>
      </c>
      <c r="F84" s="9">
        <f t="shared" si="12"/>
        <v>1.3559879130096597E-2</v>
      </c>
      <c r="G84" s="9">
        <f t="shared" si="10"/>
        <v>1.3559879130096597E-2</v>
      </c>
      <c r="H84">
        <f t="shared" si="11"/>
        <v>232.5778631412997</v>
      </c>
      <c r="X84" s="2">
        <v>35370</v>
      </c>
      <c r="Y84" s="6">
        <v>199.88</v>
      </c>
      <c r="Z84" s="6" t="e">
        <v>#N/A</v>
      </c>
      <c r="AA84" s="7">
        <f t="shared" ref="AA84:AA147" si="15">AVERAGE(Y67:Y84)</f>
        <v>181.59361111111113</v>
      </c>
      <c r="AB84" s="7">
        <f t="shared" si="13"/>
        <v>232.5778631412997</v>
      </c>
      <c r="AC84" s="18">
        <f t="shared" si="8"/>
        <v>1.3559879130096536E-2</v>
      </c>
      <c r="AE84">
        <f t="shared" ref="AE84:AE147" si="16">AB85/(1+AC85)</f>
        <v>232.5778631412997</v>
      </c>
    </row>
    <row r="85" spans="1:31" x14ac:dyDescent="0.25">
      <c r="A85" s="2">
        <v>35400</v>
      </c>
      <c r="B85" s="6">
        <v>190.17500000000001</v>
      </c>
      <c r="C85" s="6" t="e">
        <v>#N/A</v>
      </c>
      <c r="D85" s="7">
        <f t="shared" si="14"/>
        <v>182.59000000000003</v>
      </c>
      <c r="E85" s="17">
        <f t="shared" si="9"/>
        <v>233.85399833800398</v>
      </c>
      <c r="F85" s="9">
        <f t="shared" si="12"/>
        <v>5.4869159922110722E-3</v>
      </c>
      <c r="G85" s="9">
        <f t="shared" si="10"/>
        <v>5.4869159922110722E-3</v>
      </c>
      <c r="H85">
        <f t="shared" si="11"/>
        <v>233.85399833800398</v>
      </c>
      <c r="X85" s="2">
        <v>35400</v>
      </c>
      <c r="Y85" s="6">
        <v>190.17500000000001</v>
      </c>
      <c r="Z85" s="6" t="e">
        <v>#N/A</v>
      </c>
      <c r="AA85" s="7">
        <f t="shared" si="15"/>
        <v>182.59000000000003</v>
      </c>
      <c r="AB85" s="7">
        <f t="shared" si="13"/>
        <v>233.85399833800398</v>
      </c>
      <c r="AC85" s="18">
        <f t="shared" ref="AC85:AC148" si="17">(AA85-AA84)/AA84</f>
        <v>5.4869159922110045E-3</v>
      </c>
      <c r="AE85">
        <f t="shared" si="16"/>
        <v>233.85399833800398</v>
      </c>
    </row>
    <row r="86" spans="1:31" x14ac:dyDescent="0.25">
      <c r="A86" s="2">
        <v>35431</v>
      </c>
      <c r="B86" s="6">
        <v>184.28</v>
      </c>
      <c r="C86" s="6" t="e">
        <v>#N/A</v>
      </c>
      <c r="D86" s="7">
        <f t="shared" si="14"/>
        <v>183.84305555555559</v>
      </c>
      <c r="E86" s="17">
        <f t="shared" si="9"/>
        <v>235.45886197679209</v>
      </c>
      <c r="F86" s="9">
        <f t="shared" si="12"/>
        <v>6.862673506520478E-3</v>
      </c>
      <c r="G86" s="9">
        <f t="shared" si="10"/>
        <v>6.862673506520478E-3</v>
      </c>
      <c r="H86">
        <f t="shared" si="11"/>
        <v>235.45886197679209</v>
      </c>
      <c r="X86" s="2">
        <v>35431</v>
      </c>
      <c r="Y86" s="6">
        <v>184.28</v>
      </c>
      <c r="Z86" s="6" t="e">
        <v>#N/A</v>
      </c>
      <c r="AA86" s="7">
        <f t="shared" si="15"/>
        <v>183.84305555555559</v>
      </c>
      <c r="AB86" s="7">
        <f t="shared" si="13"/>
        <v>235.45886197679209</v>
      </c>
      <c r="AC86" s="18">
        <f t="shared" si="17"/>
        <v>6.8626735065204121E-3</v>
      </c>
      <c r="AE86">
        <f t="shared" si="16"/>
        <v>235.45886197679209</v>
      </c>
    </row>
    <row r="87" spans="1:31" x14ac:dyDescent="0.25">
      <c r="A87" s="2">
        <v>35462</v>
      </c>
      <c r="B87" s="6">
        <v>184.2</v>
      </c>
      <c r="C87" s="6" t="e">
        <v>#N/A</v>
      </c>
      <c r="D87" s="7">
        <f t="shared" si="14"/>
        <v>185.50138888888893</v>
      </c>
      <c r="E87" s="17">
        <f t="shared" si="9"/>
        <v>237.58278924869742</v>
      </c>
      <c r="F87" s="9">
        <f t="shared" si="12"/>
        <v>9.0203751690376421E-3</v>
      </c>
      <c r="G87" s="9">
        <f t="shared" si="10"/>
        <v>9.0203751690376421E-3</v>
      </c>
      <c r="H87">
        <f t="shared" si="11"/>
        <v>237.58278924869742</v>
      </c>
      <c r="X87" s="2">
        <v>35462</v>
      </c>
      <c r="Y87" s="6">
        <v>184.2</v>
      </c>
      <c r="Z87" s="6" t="e">
        <v>#N/A</v>
      </c>
      <c r="AA87" s="7">
        <f t="shared" si="15"/>
        <v>185.50138888888893</v>
      </c>
      <c r="AB87" s="7">
        <f t="shared" si="13"/>
        <v>237.58278924869742</v>
      </c>
      <c r="AC87" s="18">
        <f t="shared" si="17"/>
        <v>9.0203751690375884E-3</v>
      </c>
      <c r="AE87">
        <f t="shared" si="16"/>
        <v>237.58278924869742</v>
      </c>
    </row>
    <row r="88" spans="1:31" x14ac:dyDescent="0.25">
      <c r="A88" s="2">
        <v>35490</v>
      </c>
      <c r="B88" s="6">
        <v>204.875</v>
      </c>
      <c r="C88" s="6" t="e">
        <v>#N/A</v>
      </c>
      <c r="D88" s="7">
        <f t="shared" si="14"/>
        <v>186.39999999999998</v>
      </c>
      <c r="E88" s="17">
        <f t="shared" si="9"/>
        <v>238.73369456270296</v>
      </c>
      <c r="F88" s="9">
        <f t="shared" si="12"/>
        <v>4.8442284798702051E-3</v>
      </c>
      <c r="G88" s="9">
        <f t="shared" si="10"/>
        <v>4.8442284798702051E-3</v>
      </c>
      <c r="H88">
        <f t="shared" si="11"/>
        <v>238.73369456270296</v>
      </c>
      <c r="X88" s="2">
        <v>35490</v>
      </c>
      <c r="Y88" s="6">
        <v>204.875</v>
      </c>
      <c r="Z88" s="6" t="e">
        <v>#N/A</v>
      </c>
      <c r="AA88" s="7">
        <f t="shared" si="15"/>
        <v>186.39999999999998</v>
      </c>
      <c r="AB88" s="7">
        <f t="shared" si="13"/>
        <v>238.73369456270296</v>
      </c>
      <c r="AC88" s="18">
        <f t="shared" si="17"/>
        <v>4.8442284798702996E-3</v>
      </c>
      <c r="AE88">
        <f t="shared" si="16"/>
        <v>238.73369456270296</v>
      </c>
    </row>
    <row r="89" spans="1:31" x14ac:dyDescent="0.25">
      <c r="A89" s="2">
        <v>35521</v>
      </c>
      <c r="B89" s="6">
        <v>179.8</v>
      </c>
      <c r="C89" s="6" t="e">
        <v>#N/A</v>
      </c>
      <c r="D89" s="7">
        <f t="shared" si="14"/>
        <v>186.0013888888889</v>
      </c>
      <c r="E89" s="17">
        <f t="shared" si="9"/>
        <v>238.22316933067884</v>
      </c>
      <c r="F89" s="9">
        <f t="shared" si="12"/>
        <v>-2.1384716261324543E-3</v>
      </c>
      <c r="G89" s="9">
        <f t="shared" si="10"/>
        <v>-2.1384716261324543E-3</v>
      </c>
      <c r="H89">
        <f t="shared" si="11"/>
        <v>238.22316933067884</v>
      </c>
      <c r="X89" s="2">
        <v>35521</v>
      </c>
      <c r="Y89" s="6">
        <v>179.8</v>
      </c>
      <c r="Z89" s="6" t="e">
        <v>#N/A</v>
      </c>
      <c r="AA89" s="7">
        <f t="shared" si="15"/>
        <v>186.0013888888889</v>
      </c>
      <c r="AB89" s="7">
        <f t="shared" si="13"/>
        <v>238.22316933067884</v>
      </c>
      <c r="AC89" s="18">
        <f t="shared" si="17"/>
        <v>-2.1384716261324045E-3</v>
      </c>
      <c r="AE89">
        <f t="shared" si="16"/>
        <v>238.22316933067884</v>
      </c>
    </row>
    <row r="90" spans="1:31" x14ac:dyDescent="0.25">
      <c r="A90" s="2">
        <v>35551</v>
      </c>
      <c r="B90" s="6">
        <v>192.96</v>
      </c>
      <c r="C90" s="6" t="e">
        <v>#N/A</v>
      </c>
      <c r="D90" s="7">
        <f t="shared" si="14"/>
        <v>186.25611111111115</v>
      </c>
      <c r="E90" s="17">
        <f t="shared" si="9"/>
        <v>238.54940740577723</v>
      </c>
      <c r="F90" s="9">
        <f t="shared" si="12"/>
        <v>1.3694640870365316E-3</v>
      </c>
      <c r="G90" s="9">
        <f t="shared" si="10"/>
        <v>1.3694640870365316E-3</v>
      </c>
      <c r="H90">
        <f t="shared" si="11"/>
        <v>238.54940740577723</v>
      </c>
      <c r="X90" s="2">
        <v>35551</v>
      </c>
      <c r="Y90" s="6">
        <v>192.96</v>
      </c>
      <c r="Z90" s="6" t="e">
        <v>#N/A</v>
      </c>
      <c r="AA90" s="7">
        <f t="shared" si="15"/>
        <v>186.25611111111115</v>
      </c>
      <c r="AB90" s="7">
        <f t="shared" si="13"/>
        <v>238.54940740577723</v>
      </c>
      <c r="AC90" s="18">
        <f t="shared" si="17"/>
        <v>1.3694640870365678E-3</v>
      </c>
      <c r="AE90">
        <f t="shared" si="16"/>
        <v>238.54940740577723</v>
      </c>
    </row>
    <row r="91" spans="1:31" x14ac:dyDescent="0.25">
      <c r="A91" s="2">
        <v>35582</v>
      </c>
      <c r="B91" s="6">
        <v>207.75</v>
      </c>
      <c r="C91" s="6" t="e">
        <v>#N/A</v>
      </c>
      <c r="D91" s="7">
        <f t="shared" si="14"/>
        <v>186.42666666666668</v>
      </c>
      <c r="E91" s="17">
        <f t="shared" si="9"/>
        <v>238.7678481670753</v>
      </c>
      <c r="F91" s="9">
        <f t="shared" si="12"/>
        <v>9.1570448098621249E-4</v>
      </c>
      <c r="G91" s="9">
        <f t="shared" si="10"/>
        <v>9.1570448098621249E-4</v>
      </c>
      <c r="H91">
        <f t="shared" si="11"/>
        <v>238.7678481670753</v>
      </c>
      <c r="X91" s="2">
        <v>35582</v>
      </c>
      <c r="Y91" s="6">
        <v>207.75</v>
      </c>
      <c r="Z91" s="6" t="e">
        <v>#N/A</v>
      </c>
      <c r="AA91" s="7">
        <f t="shared" si="15"/>
        <v>186.42666666666668</v>
      </c>
      <c r="AB91" s="7">
        <f t="shared" si="13"/>
        <v>238.7678481670753</v>
      </c>
      <c r="AC91" s="18">
        <f t="shared" si="17"/>
        <v>9.157044809862835E-4</v>
      </c>
      <c r="AE91">
        <f t="shared" si="16"/>
        <v>238.7678481670753</v>
      </c>
    </row>
    <row r="92" spans="1:31" x14ac:dyDescent="0.25">
      <c r="A92" s="2">
        <v>35612</v>
      </c>
      <c r="B92" s="6">
        <v>211.45</v>
      </c>
      <c r="C92" s="6" t="e">
        <v>#N/A</v>
      </c>
      <c r="D92" s="7">
        <f t="shared" si="14"/>
        <v>188.35583333333332</v>
      </c>
      <c r="E92" s="17">
        <f t="shared" si="9"/>
        <v>241.23864798338724</v>
      </c>
      <c r="F92" s="9">
        <f t="shared" si="12"/>
        <v>1.0348126162208482E-2</v>
      </c>
      <c r="G92" s="9">
        <f t="shared" si="10"/>
        <v>1.0348126162208482E-2</v>
      </c>
      <c r="H92">
        <f t="shared" si="11"/>
        <v>241.23864798338724</v>
      </c>
      <c r="X92" s="2">
        <v>35612</v>
      </c>
      <c r="Y92" s="6">
        <v>211.45</v>
      </c>
      <c r="Z92" s="6" t="e">
        <v>#N/A</v>
      </c>
      <c r="AA92" s="7">
        <f t="shared" si="15"/>
        <v>188.35583333333332</v>
      </c>
      <c r="AB92" s="7">
        <f t="shared" si="13"/>
        <v>241.23864798338724</v>
      </c>
      <c r="AC92" s="18">
        <f t="shared" si="17"/>
        <v>1.0348126162208442E-2</v>
      </c>
      <c r="AE92">
        <f t="shared" si="16"/>
        <v>241.23864798338724</v>
      </c>
    </row>
    <row r="93" spans="1:31" x14ac:dyDescent="0.25">
      <c r="A93" s="2">
        <v>35643</v>
      </c>
      <c r="B93" s="6">
        <v>213.92</v>
      </c>
      <c r="C93" s="6" t="e">
        <v>#N/A</v>
      </c>
      <c r="D93" s="7">
        <f t="shared" si="14"/>
        <v>190.60694444444442</v>
      </c>
      <c r="E93" s="17">
        <f t="shared" si="9"/>
        <v>244.12178141915285</v>
      </c>
      <c r="F93" s="9">
        <f t="shared" si="12"/>
        <v>1.1951374540799753E-2</v>
      </c>
      <c r="G93" s="9">
        <f t="shared" si="10"/>
        <v>1.1951374540799753E-2</v>
      </c>
      <c r="H93">
        <f t="shared" si="11"/>
        <v>244.12178141915285</v>
      </c>
      <c r="X93" s="2">
        <v>35643</v>
      </c>
      <c r="Y93" s="6">
        <v>213.92</v>
      </c>
      <c r="Z93" s="6" t="e">
        <v>#N/A</v>
      </c>
      <c r="AA93" s="7">
        <f t="shared" si="15"/>
        <v>190.60694444444442</v>
      </c>
      <c r="AB93" s="7">
        <f t="shared" si="13"/>
        <v>244.12178141915285</v>
      </c>
      <c r="AC93" s="18">
        <f t="shared" si="17"/>
        <v>1.1951374540799644E-2</v>
      </c>
      <c r="AE93">
        <f t="shared" si="16"/>
        <v>244.12178141915285</v>
      </c>
    </row>
    <row r="94" spans="1:31" x14ac:dyDescent="0.25">
      <c r="A94" s="2">
        <v>35674</v>
      </c>
      <c r="B94" s="6">
        <v>218.32499999999999</v>
      </c>
      <c r="C94" s="6" t="e">
        <v>#N/A</v>
      </c>
      <c r="D94" s="7">
        <f t="shared" si="14"/>
        <v>192.77499999999998</v>
      </c>
      <c r="E94" s="17">
        <f t="shared" si="9"/>
        <v>246.89854060796711</v>
      </c>
      <c r="F94" s="9">
        <f t="shared" si="12"/>
        <v>1.1374483557641257E-2</v>
      </c>
      <c r="G94" s="9">
        <f t="shared" si="10"/>
        <v>1.1374483557641257E-2</v>
      </c>
      <c r="H94">
        <f t="shared" si="11"/>
        <v>246.89854060796711</v>
      </c>
      <c r="X94" s="2">
        <v>35674</v>
      </c>
      <c r="Y94" s="6">
        <v>218.32499999999999</v>
      </c>
      <c r="Z94" s="6" t="e">
        <v>#N/A</v>
      </c>
      <c r="AA94" s="7">
        <f t="shared" si="15"/>
        <v>192.77499999999998</v>
      </c>
      <c r="AB94" s="7">
        <f t="shared" si="13"/>
        <v>246.89854060796711</v>
      </c>
      <c r="AC94" s="18">
        <f t="shared" si="17"/>
        <v>1.1374483557641155E-2</v>
      </c>
      <c r="AE94">
        <f t="shared" si="16"/>
        <v>246.89854060796711</v>
      </c>
    </row>
    <row r="95" spans="1:31" x14ac:dyDescent="0.25">
      <c r="A95" s="2">
        <v>35704</v>
      </c>
      <c r="B95" s="6">
        <v>220.12</v>
      </c>
      <c r="C95" s="6" t="e">
        <v>#N/A</v>
      </c>
      <c r="D95" s="7">
        <f t="shared" si="14"/>
        <v>195.15111111111113</v>
      </c>
      <c r="E95" s="17">
        <f t="shared" si="9"/>
        <v>249.94176906422814</v>
      </c>
      <c r="F95" s="9">
        <f t="shared" si="12"/>
        <v>1.2325826020548103E-2</v>
      </c>
      <c r="G95" s="9">
        <f t="shared" si="10"/>
        <v>1.2325826020548103E-2</v>
      </c>
      <c r="H95">
        <f t="shared" si="11"/>
        <v>249.94176906422814</v>
      </c>
      <c r="X95" s="2">
        <v>35704</v>
      </c>
      <c r="Y95" s="6">
        <v>220.12</v>
      </c>
      <c r="Z95" s="6" t="e">
        <v>#N/A</v>
      </c>
      <c r="AA95" s="7">
        <f t="shared" si="15"/>
        <v>195.15111111111113</v>
      </c>
      <c r="AB95" s="7">
        <f t="shared" si="13"/>
        <v>249.94176906422814</v>
      </c>
      <c r="AC95" s="18">
        <f t="shared" si="17"/>
        <v>1.2325826020548089E-2</v>
      </c>
      <c r="AE95">
        <f t="shared" si="16"/>
        <v>249.94176906422814</v>
      </c>
    </row>
    <row r="96" spans="1:31" x14ac:dyDescent="0.25">
      <c r="A96" s="2">
        <v>35735</v>
      </c>
      <c r="B96" s="6">
        <v>224.82499999999999</v>
      </c>
      <c r="C96" s="6" t="e">
        <v>#N/A</v>
      </c>
      <c r="D96" s="7">
        <f t="shared" si="14"/>
        <v>197.13361111111107</v>
      </c>
      <c r="E96" s="17">
        <f t="shared" si="9"/>
        <v>252.48087608928469</v>
      </c>
      <c r="F96" s="9">
        <f t="shared" si="12"/>
        <v>1.015879432462552E-2</v>
      </c>
      <c r="G96" s="9">
        <f t="shared" si="10"/>
        <v>1.015879432462552E-2</v>
      </c>
      <c r="H96">
        <f t="shared" si="11"/>
        <v>252.48087608928469</v>
      </c>
      <c r="X96" s="2">
        <v>35735</v>
      </c>
      <c r="Y96" s="6">
        <v>224.82499999999999</v>
      </c>
      <c r="Z96" s="6" t="e">
        <v>#N/A</v>
      </c>
      <c r="AA96" s="7">
        <f t="shared" si="15"/>
        <v>197.13361111111107</v>
      </c>
      <c r="AB96" s="7">
        <f t="shared" si="13"/>
        <v>252.48087608928469</v>
      </c>
      <c r="AC96" s="18">
        <f t="shared" si="17"/>
        <v>1.0158794324625573E-2</v>
      </c>
      <c r="AE96">
        <f t="shared" si="16"/>
        <v>252.48087608928469</v>
      </c>
    </row>
    <row r="97" spans="1:31" x14ac:dyDescent="0.25">
      <c r="A97" s="2">
        <v>35765</v>
      </c>
      <c r="B97" s="6">
        <v>227.875</v>
      </c>
      <c r="C97" s="6" t="e">
        <v>#N/A</v>
      </c>
      <c r="D97" s="7">
        <f t="shared" si="14"/>
        <v>199.58916666666661</v>
      </c>
      <c r="E97" s="17">
        <f t="shared" si="9"/>
        <v>255.62585382523829</v>
      </c>
      <c r="F97" s="9">
        <f t="shared" si="12"/>
        <v>1.2456300788664221E-2</v>
      </c>
      <c r="G97" s="9">
        <f t="shared" si="10"/>
        <v>1.2456300788664221E-2</v>
      </c>
      <c r="H97">
        <f t="shared" si="11"/>
        <v>255.62585382523829</v>
      </c>
      <c r="X97" s="2">
        <v>35765</v>
      </c>
      <c r="Y97" s="6">
        <v>227.875</v>
      </c>
      <c r="Z97" s="6" t="e">
        <v>#N/A</v>
      </c>
      <c r="AA97" s="7">
        <f t="shared" si="15"/>
        <v>199.58916666666661</v>
      </c>
      <c r="AB97" s="7">
        <f t="shared" si="13"/>
        <v>255.62585382523829</v>
      </c>
      <c r="AC97" s="18">
        <f t="shared" si="17"/>
        <v>1.245630078866417E-2</v>
      </c>
      <c r="AE97">
        <f t="shared" si="16"/>
        <v>255.62585382523829</v>
      </c>
    </row>
    <row r="98" spans="1:31" x14ac:dyDescent="0.25">
      <c r="A98" s="2">
        <v>35796</v>
      </c>
      <c r="B98" s="6">
        <v>270.18</v>
      </c>
      <c r="C98" s="6" t="e">
        <v>#N/A</v>
      </c>
      <c r="D98" s="7">
        <f t="shared" si="14"/>
        <v>204.51583333333329</v>
      </c>
      <c r="E98" s="17">
        <f t="shared" si="9"/>
        <v>261.93573223302934</v>
      </c>
      <c r="F98" s="9">
        <f t="shared" si="12"/>
        <v>2.4684038462341462E-2</v>
      </c>
      <c r="G98" s="9">
        <f t="shared" si="10"/>
        <v>2.4684038462341462E-2</v>
      </c>
      <c r="H98">
        <f t="shared" si="11"/>
        <v>261.93573223302934</v>
      </c>
      <c r="X98" s="2">
        <v>35796</v>
      </c>
      <c r="Y98" s="6">
        <v>270.18</v>
      </c>
      <c r="Z98" s="6" t="e">
        <v>#N/A</v>
      </c>
      <c r="AA98" s="7">
        <f t="shared" si="15"/>
        <v>204.51583333333329</v>
      </c>
      <c r="AB98" s="7">
        <f t="shared" si="13"/>
        <v>261.93573223302934</v>
      </c>
      <c r="AC98" s="18">
        <f t="shared" si="17"/>
        <v>2.4684038462341448E-2</v>
      </c>
      <c r="AE98">
        <f t="shared" si="16"/>
        <v>261.93573223302934</v>
      </c>
    </row>
    <row r="99" spans="1:31" x14ac:dyDescent="0.25">
      <c r="A99" s="2">
        <v>35827</v>
      </c>
      <c r="B99" s="6">
        <v>235</v>
      </c>
      <c r="C99" s="6" t="e">
        <v>#N/A</v>
      </c>
      <c r="D99" s="7">
        <f t="shared" si="14"/>
        <v>207.45916666666665</v>
      </c>
      <c r="E99" s="17">
        <f t="shared" si="9"/>
        <v>265.70543631562714</v>
      </c>
      <c r="F99" s="9">
        <f t="shared" si="12"/>
        <v>1.4391713762993197E-2</v>
      </c>
      <c r="G99" s="9">
        <f t="shared" si="10"/>
        <v>1.4391713762993197E-2</v>
      </c>
      <c r="H99">
        <f t="shared" si="11"/>
        <v>265.70543631562714</v>
      </c>
      <c r="X99" s="2">
        <v>35827</v>
      </c>
      <c r="Y99" s="6">
        <v>235</v>
      </c>
      <c r="Z99" s="6" t="e">
        <v>#N/A</v>
      </c>
      <c r="AA99" s="7">
        <f t="shared" si="15"/>
        <v>207.45916666666665</v>
      </c>
      <c r="AB99" s="7">
        <f t="shared" si="13"/>
        <v>265.70543631562714</v>
      </c>
      <c r="AC99" s="18">
        <f t="shared" si="17"/>
        <v>1.4391713762993202E-2</v>
      </c>
      <c r="AE99">
        <f t="shared" si="16"/>
        <v>265.70543631562714</v>
      </c>
    </row>
    <row r="100" spans="1:31" x14ac:dyDescent="0.25">
      <c r="A100" s="2">
        <v>35855</v>
      </c>
      <c r="B100" s="6">
        <v>224.72499999999999</v>
      </c>
      <c r="C100" s="6" t="e">
        <v>#N/A</v>
      </c>
      <c r="D100" s="7">
        <f t="shared" si="14"/>
        <v>209.58972222222218</v>
      </c>
      <c r="E100" s="17">
        <f t="shared" si="9"/>
        <v>268.43416699829271</v>
      </c>
      <c r="F100" s="9">
        <f t="shared" si="12"/>
        <v>1.0269758573641541E-2</v>
      </c>
      <c r="G100" s="9">
        <f t="shared" si="10"/>
        <v>1.0269758573641541E-2</v>
      </c>
      <c r="H100">
        <f t="shared" si="11"/>
        <v>268.43416699829271</v>
      </c>
      <c r="X100" s="2">
        <v>35855</v>
      </c>
      <c r="Y100" s="6">
        <v>224.72499999999999</v>
      </c>
      <c r="Z100" s="6" t="e">
        <v>#N/A</v>
      </c>
      <c r="AA100" s="7">
        <f t="shared" si="15"/>
        <v>209.58972222222218</v>
      </c>
      <c r="AB100" s="7">
        <f t="shared" si="13"/>
        <v>268.43416699829271</v>
      </c>
      <c r="AC100" s="18">
        <f t="shared" si="17"/>
        <v>1.0269758573641553E-2</v>
      </c>
      <c r="AE100">
        <f t="shared" si="16"/>
        <v>268.43416699829271</v>
      </c>
    </row>
    <row r="101" spans="1:31" x14ac:dyDescent="0.25">
      <c r="A101" s="2">
        <v>35886</v>
      </c>
      <c r="B101" s="6">
        <v>251.2</v>
      </c>
      <c r="C101" s="6" t="e">
        <v>#N/A</v>
      </c>
      <c r="D101" s="7">
        <f t="shared" si="14"/>
        <v>213.41888888888886</v>
      </c>
      <c r="E101" s="17">
        <f t="shared" si="9"/>
        <v>273.33841112613436</v>
      </c>
      <c r="F101" s="9">
        <f t="shared" si="12"/>
        <v>1.8269820800691283E-2</v>
      </c>
      <c r="G101" s="9">
        <f t="shared" si="10"/>
        <v>1.8269820800691283E-2</v>
      </c>
      <c r="H101">
        <f t="shared" si="11"/>
        <v>273.33841112613436</v>
      </c>
      <c r="X101" s="2">
        <v>35886</v>
      </c>
      <c r="Y101" s="6">
        <v>251.2</v>
      </c>
      <c r="Z101" s="6" t="e">
        <v>#N/A</v>
      </c>
      <c r="AA101" s="7">
        <f t="shared" si="15"/>
        <v>213.41888888888886</v>
      </c>
      <c r="AB101" s="7">
        <f t="shared" si="13"/>
        <v>273.33841112613436</v>
      </c>
      <c r="AC101" s="18">
        <f t="shared" si="17"/>
        <v>1.8269820800691366E-2</v>
      </c>
      <c r="AE101">
        <f t="shared" si="16"/>
        <v>273.33841112613436</v>
      </c>
    </row>
    <row r="102" spans="1:31" x14ac:dyDescent="0.25">
      <c r="A102" s="2">
        <v>35916</v>
      </c>
      <c r="B102" s="6">
        <v>264.88</v>
      </c>
      <c r="C102" s="6" t="e">
        <v>#N/A</v>
      </c>
      <c r="D102" s="7">
        <f t="shared" si="14"/>
        <v>217.02999999999997</v>
      </c>
      <c r="E102" s="17">
        <f t="shared" si="9"/>
        <v>277.96337838488961</v>
      </c>
      <c r="F102" s="9">
        <f t="shared" si="12"/>
        <v>1.6920297588987721E-2</v>
      </c>
      <c r="G102" s="9">
        <f t="shared" si="10"/>
        <v>1.6920297588987721E-2</v>
      </c>
      <c r="H102">
        <f t="shared" si="11"/>
        <v>277.96337838488961</v>
      </c>
      <c r="X102" s="2">
        <v>35916</v>
      </c>
      <c r="Y102" s="6">
        <v>264.88</v>
      </c>
      <c r="Z102" s="6" t="e">
        <v>#N/A</v>
      </c>
      <c r="AA102" s="7">
        <f t="shared" si="15"/>
        <v>217.02999999999997</v>
      </c>
      <c r="AB102" s="7">
        <f t="shared" si="13"/>
        <v>277.96337838488961</v>
      </c>
      <c r="AC102" s="18">
        <f t="shared" si="17"/>
        <v>1.6920297588987766E-2</v>
      </c>
      <c r="AE102">
        <f t="shared" si="16"/>
        <v>277.96337838488961</v>
      </c>
    </row>
    <row r="103" spans="1:31" x14ac:dyDescent="0.25">
      <c r="A103" s="2">
        <v>35947</v>
      </c>
      <c r="B103" s="6">
        <v>262.52499999999998</v>
      </c>
      <c r="C103" s="6" t="e">
        <v>#N/A</v>
      </c>
      <c r="D103" s="7">
        <f t="shared" si="14"/>
        <v>221.04944444444445</v>
      </c>
      <c r="E103" s="17">
        <f t="shared" si="9"/>
        <v>283.11132271059648</v>
      </c>
      <c r="F103" s="9">
        <f t="shared" si="12"/>
        <v>1.8520225058491713E-2</v>
      </c>
      <c r="G103" s="9">
        <f t="shared" si="10"/>
        <v>1.8520225058491713E-2</v>
      </c>
      <c r="H103">
        <f t="shared" si="11"/>
        <v>283.11132271059648</v>
      </c>
      <c r="X103" s="2">
        <v>35947</v>
      </c>
      <c r="Y103" s="6">
        <v>262.52499999999998</v>
      </c>
      <c r="Z103" s="6" t="e">
        <v>#N/A</v>
      </c>
      <c r="AA103" s="7">
        <f t="shared" si="15"/>
        <v>221.04944444444445</v>
      </c>
      <c r="AB103" s="7">
        <f t="shared" si="13"/>
        <v>283.11132271059648</v>
      </c>
      <c r="AC103" s="18">
        <f t="shared" si="17"/>
        <v>1.8520225058491796E-2</v>
      </c>
      <c r="AE103">
        <f t="shared" si="16"/>
        <v>283.11132271059648</v>
      </c>
    </row>
    <row r="104" spans="1:31" x14ac:dyDescent="0.25">
      <c r="A104" s="2">
        <v>35977</v>
      </c>
      <c r="B104" s="6">
        <v>262.7</v>
      </c>
      <c r="C104" s="6" t="e">
        <v>#N/A</v>
      </c>
      <c r="D104" s="7">
        <f t="shared" si="14"/>
        <v>225.40611111111107</v>
      </c>
      <c r="E104" s="17">
        <f t="shared" si="9"/>
        <v>288.69116782492858</v>
      </c>
      <c r="F104" s="9">
        <f t="shared" si="12"/>
        <v>1.9709014323090024E-2</v>
      </c>
      <c r="G104" s="9">
        <f t="shared" si="10"/>
        <v>1.9709014323090024E-2</v>
      </c>
      <c r="H104">
        <f t="shared" si="11"/>
        <v>288.69116782492858</v>
      </c>
      <c r="X104" s="2">
        <v>35977</v>
      </c>
      <c r="Y104" s="6">
        <v>262.7</v>
      </c>
      <c r="Z104" s="6" t="e">
        <v>#N/A</v>
      </c>
      <c r="AA104" s="7">
        <f t="shared" si="15"/>
        <v>225.40611111111107</v>
      </c>
      <c r="AB104" s="7">
        <f t="shared" si="13"/>
        <v>288.69116782492858</v>
      </c>
      <c r="AC104" s="18">
        <f t="shared" si="17"/>
        <v>1.9709014323089927E-2</v>
      </c>
      <c r="AE104">
        <f t="shared" si="16"/>
        <v>288.69116782492858</v>
      </c>
    </row>
    <row r="105" spans="1:31" x14ac:dyDescent="0.25">
      <c r="A105" s="2">
        <v>36008</v>
      </c>
      <c r="B105" s="6">
        <v>254.65</v>
      </c>
      <c r="C105" s="6" t="e">
        <v>#N/A</v>
      </c>
      <c r="D105" s="7">
        <f t="shared" si="14"/>
        <v>229.32000000000002</v>
      </c>
      <c r="E105" s="17">
        <f t="shared" si="9"/>
        <v>293.70392079999493</v>
      </c>
      <c r="F105" s="9">
        <f t="shared" si="12"/>
        <v>1.7363721283313538E-2</v>
      </c>
      <c r="G105" s="9">
        <f t="shared" si="10"/>
        <v>1.7363721283313538E-2</v>
      </c>
      <c r="H105">
        <f t="shared" si="11"/>
        <v>293.70392079999493</v>
      </c>
      <c r="X105" s="2">
        <v>36008</v>
      </c>
      <c r="Y105" s="6">
        <v>254.65</v>
      </c>
      <c r="Z105" s="6" t="e">
        <v>#N/A</v>
      </c>
      <c r="AA105" s="7">
        <f t="shared" si="15"/>
        <v>229.32000000000002</v>
      </c>
      <c r="AB105" s="7">
        <f t="shared" si="13"/>
        <v>293.70392079999493</v>
      </c>
      <c r="AC105" s="18">
        <f t="shared" si="17"/>
        <v>1.7363721283313593E-2</v>
      </c>
      <c r="AE105">
        <f t="shared" si="16"/>
        <v>293.70392079999493</v>
      </c>
    </row>
    <row r="106" spans="1:31" x14ac:dyDescent="0.25">
      <c r="A106" s="2">
        <v>36039</v>
      </c>
      <c r="B106" s="6">
        <v>292.375</v>
      </c>
      <c r="C106" s="6" t="e">
        <v>#N/A</v>
      </c>
      <c r="D106" s="7">
        <f t="shared" si="14"/>
        <v>234.18111111111114</v>
      </c>
      <c r="E106" s="17">
        <f t="shared" si="9"/>
        <v>299.92983826370397</v>
      </c>
      <c r="F106" s="9">
        <f t="shared" si="12"/>
        <v>2.1197937864604555E-2</v>
      </c>
      <c r="G106" s="9">
        <f t="shared" si="10"/>
        <v>2.1197937864604555E-2</v>
      </c>
      <c r="H106">
        <f t="shared" si="11"/>
        <v>299.92983826370397</v>
      </c>
      <c r="X106" s="2">
        <v>36039</v>
      </c>
      <c r="Y106" s="6">
        <v>292.375</v>
      </c>
      <c r="Z106" s="6" t="e">
        <v>#N/A</v>
      </c>
      <c r="AA106" s="7">
        <f t="shared" si="15"/>
        <v>234.18111111111114</v>
      </c>
      <c r="AB106" s="7">
        <f t="shared" si="13"/>
        <v>299.92983826370397</v>
      </c>
      <c r="AC106" s="18">
        <f t="shared" si="17"/>
        <v>2.1197937864604544E-2</v>
      </c>
      <c r="AE106">
        <f t="shared" si="16"/>
        <v>299.92983826370397</v>
      </c>
    </row>
    <row r="107" spans="1:31" x14ac:dyDescent="0.25">
      <c r="A107" s="2">
        <v>36069</v>
      </c>
      <c r="B107" s="6">
        <v>298.58</v>
      </c>
      <c r="C107" s="6" t="e">
        <v>#N/A</v>
      </c>
      <c r="D107" s="7">
        <f t="shared" si="14"/>
        <v>240.78</v>
      </c>
      <c r="E107" s="17">
        <f t="shared" si="9"/>
        <v>308.38143227901088</v>
      </c>
      <c r="F107" s="9">
        <f t="shared" si="12"/>
        <v>2.8178570242404888E-2</v>
      </c>
      <c r="G107" s="9">
        <f t="shared" si="10"/>
        <v>2.8178570242404888E-2</v>
      </c>
      <c r="H107">
        <f t="shared" si="11"/>
        <v>308.38143227901088</v>
      </c>
      <c r="X107" s="2">
        <v>36069</v>
      </c>
      <c r="Y107" s="6">
        <v>298.58</v>
      </c>
      <c r="Z107" s="6" t="e">
        <v>#N/A</v>
      </c>
      <c r="AA107" s="7">
        <f t="shared" si="15"/>
        <v>240.78</v>
      </c>
      <c r="AB107" s="7">
        <f t="shared" si="13"/>
        <v>308.38143227901088</v>
      </c>
      <c r="AC107" s="18">
        <f t="shared" si="17"/>
        <v>2.8178570242404874E-2</v>
      </c>
      <c r="AE107">
        <f t="shared" si="16"/>
        <v>308.38143227901088</v>
      </c>
    </row>
    <row r="108" spans="1:31" x14ac:dyDescent="0.25">
      <c r="A108" s="2">
        <v>36100</v>
      </c>
      <c r="B108" s="6">
        <v>285.2</v>
      </c>
      <c r="C108" s="6" t="e">
        <v>#N/A</v>
      </c>
      <c r="D108" s="7">
        <f t="shared" si="14"/>
        <v>245.90444444444444</v>
      </c>
      <c r="E108" s="17">
        <f t="shared" si="9"/>
        <v>314.94461658589682</v>
      </c>
      <c r="F108" s="9">
        <f t="shared" si="12"/>
        <v>2.1282683131673918E-2</v>
      </c>
      <c r="G108" s="9">
        <f t="shared" si="10"/>
        <v>2.1282683131673918E-2</v>
      </c>
      <c r="H108">
        <f t="shared" si="11"/>
        <v>314.94461658589682</v>
      </c>
      <c r="X108" s="2">
        <v>36100</v>
      </c>
      <c r="Y108" s="6">
        <v>285.2</v>
      </c>
      <c r="Z108" s="6" t="e">
        <v>#N/A</v>
      </c>
      <c r="AA108" s="7">
        <f t="shared" si="15"/>
        <v>245.90444444444444</v>
      </c>
      <c r="AB108" s="7">
        <f t="shared" si="13"/>
        <v>314.94461658589682</v>
      </c>
      <c r="AC108" s="18">
        <f t="shared" si="17"/>
        <v>2.1282683131673873E-2</v>
      </c>
      <c r="AE108">
        <f t="shared" si="16"/>
        <v>314.94461658589682</v>
      </c>
    </row>
    <row r="109" spans="1:31" x14ac:dyDescent="0.25">
      <c r="A109" s="2">
        <v>36130</v>
      </c>
      <c r="B109" s="6">
        <v>281.27499999999998</v>
      </c>
      <c r="C109" s="6" t="e">
        <v>#N/A</v>
      </c>
      <c r="D109" s="7">
        <f t="shared" si="14"/>
        <v>249.98916666666662</v>
      </c>
      <c r="E109" s="17">
        <f t="shared" si="9"/>
        <v>320.17616608897345</v>
      </c>
      <c r="F109" s="9">
        <f t="shared" si="12"/>
        <v>1.6611014215097031E-2</v>
      </c>
      <c r="G109" s="9">
        <f t="shared" si="10"/>
        <v>1.6611014215097031E-2</v>
      </c>
      <c r="H109">
        <f t="shared" si="11"/>
        <v>320.17616608897345</v>
      </c>
      <c r="X109" s="2">
        <v>36130</v>
      </c>
      <c r="Y109" s="6">
        <v>281.27499999999998</v>
      </c>
      <c r="Z109" s="6" t="e">
        <v>#N/A</v>
      </c>
      <c r="AA109" s="7">
        <f t="shared" si="15"/>
        <v>249.98916666666662</v>
      </c>
      <c r="AB109" s="7">
        <f t="shared" si="13"/>
        <v>320.17616608897345</v>
      </c>
      <c r="AC109" s="18">
        <f t="shared" si="17"/>
        <v>1.6611014215096944E-2</v>
      </c>
      <c r="AE109">
        <f t="shared" si="16"/>
        <v>320.17616608897345</v>
      </c>
    </row>
    <row r="110" spans="1:31" x14ac:dyDescent="0.25">
      <c r="A110" s="2">
        <v>36161</v>
      </c>
      <c r="B110" s="6">
        <v>266.27999999999997</v>
      </c>
      <c r="C110" s="6" t="e">
        <v>#N/A</v>
      </c>
      <c r="D110" s="7">
        <f t="shared" si="14"/>
        <v>253.03527777777774</v>
      </c>
      <c r="E110" s="17">
        <f t="shared" si="9"/>
        <v>324.07750385508962</v>
      </c>
      <c r="F110" s="9">
        <f t="shared" si="12"/>
        <v>1.2184972459917676E-2</v>
      </c>
      <c r="G110" s="9">
        <f t="shared" si="10"/>
        <v>1.2184972459917676E-2</v>
      </c>
      <c r="H110">
        <f t="shared" si="11"/>
        <v>324.07750385508962</v>
      </c>
      <c r="X110" s="2">
        <v>36161</v>
      </c>
      <c r="Y110" s="6">
        <v>266.27999999999997</v>
      </c>
      <c r="Z110" s="6" t="e">
        <v>#N/A</v>
      </c>
      <c r="AA110" s="7">
        <f t="shared" si="15"/>
        <v>253.03527777777774</v>
      </c>
      <c r="AB110" s="7">
        <f t="shared" si="13"/>
        <v>324.07750385508962</v>
      </c>
      <c r="AC110" s="18">
        <f t="shared" si="17"/>
        <v>1.2184972459917731E-2</v>
      </c>
      <c r="AE110">
        <f t="shared" si="16"/>
        <v>324.07750385508962</v>
      </c>
    </row>
    <row r="111" spans="1:31" x14ac:dyDescent="0.25">
      <c r="A111" s="2">
        <v>36192</v>
      </c>
      <c r="B111" s="6">
        <v>246.97499999999999</v>
      </c>
      <c r="C111" s="6" t="e">
        <v>#N/A</v>
      </c>
      <c r="D111" s="7">
        <f t="shared" si="14"/>
        <v>254.8716666666667</v>
      </c>
      <c r="E111" s="17">
        <f t="shared" si="9"/>
        <v>326.42947758952289</v>
      </c>
      <c r="F111" s="9">
        <f t="shared" si="12"/>
        <v>7.2574421441018444E-3</v>
      </c>
      <c r="G111" s="9">
        <f t="shared" si="10"/>
        <v>7.2574421441018444E-3</v>
      </c>
      <c r="H111">
        <f t="shared" si="11"/>
        <v>326.42947758952289</v>
      </c>
      <c r="X111" s="2">
        <v>36192</v>
      </c>
      <c r="Y111" s="6">
        <v>246.97499999999999</v>
      </c>
      <c r="Z111" s="6" t="e">
        <v>#N/A</v>
      </c>
      <c r="AA111" s="7">
        <f t="shared" si="15"/>
        <v>254.8716666666667</v>
      </c>
      <c r="AB111" s="7">
        <f t="shared" si="13"/>
        <v>326.42947758952289</v>
      </c>
      <c r="AC111" s="18">
        <f t="shared" si="17"/>
        <v>7.2574421441018479E-3</v>
      </c>
      <c r="AE111">
        <f t="shared" si="16"/>
        <v>326.42947758952289</v>
      </c>
    </row>
    <row r="112" spans="1:31" x14ac:dyDescent="0.25">
      <c r="A112" s="2">
        <v>36220</v>
      </c>
      <c r="B112" s="6">
        <v>257.2</v>
      </c>
      <c r="C112" s="6" t="e">
        <v>#N/A</v>
      </c>
      <c r="D112" s="7">
        <f t="shared" si="14"/>
        <v>257.03138888888884</v>
      </c>
      <c r="E112" s="17">
        <f t="shared" si="9"/>
        <v>329.19556377697063</v>
      </c>
      <c r="F112" s="9">
        <f t="shared" si="12"/>
        <v>8.4737634844547216E-3</v>
      </c>
      <c r="G112" s="9">
        <f t="shared" si="10"/>
        <v>8.4737634844547216E-3</v>
      </c>
      <c r="H112">
        <f t="shared" si="11"/>
        <v>329.19556377697063</v>
      </c>
      <c r="X112" s="2">
        <v>36220</v>
      </c>
      <c r="Y112" s="6">
        <v>257.2</v>
      </c>
      <c r="Z112" s="6" t="e">
        <v>#N/A</v>
      </c>
      <c r="AA112" s="7">
        <f t="shared" si="15"/>
        <v>257.03138888888884</v>
      </c>
      <c r="AB112" s="7">
        <f t="shared" si="13"/>
        <v>329.19556377697063</v>
      </c>
      <c r="AC112" s="18">
        <f t="shared" si="17"/>
        <v>8.4737634844548292E-3</v>
      </c>
      <c r="AE112">
        <f t="shared" si="16"/>
        <v>329.19556377697063</v>
      </c>
    </row>
    <row r="113" spans="1:31" x14ac:dyDescent="0.25">
      <c r="A113" s="2">
        <v>36251</v>
      </c>
      <c r="B113" s="6">
        <v>277.2</v>
      </c>
      <c r="C113" s="6" t="e">
        <v>#N/A</v>
      </c>
      <c r="D113" s="7">
        <f t="shared" si="14"/>
        <v>260.20249999999999</v>
      </c>
      <c r="E113" s="17">
        <f t="shared" si="9"/>
        <v>333.25699656358228</v>
      </c>
      <c r="F113" s="9">
        <f t="shared" si="12"/>
        <v>1.2337446896347748E-2</v>
      </c>
      <c r="G113" s="9">
        <f t="shared" si="10"/>
        <v>1.2337446896347748E-2</v>
      </c>
      <c r="H113">
        <f t="shared" si="11"/>
        <v>333.25699656358228</v>
      </c>
      <c r="X113" s="2">
        <v>36251</v>
      </c>
      <c r="Y113" s="6">
        <v>277.2</v>
      </c>
      <c r="Z113" s="6" t="e">
        <v>#N/A</v>
      </c>
      <c r="AA113" s="7">
        <f t="shared" si="15"/>
        <v>260.20249999999999</v>
      </c>
      <c r="AB113" s="7">
        <f t="shared" si="13"/>
        <v>333.25699656358228</v>
      </c>
      <c r="AC113" s="18">
        <f t="shared" si="17"/>
        <v>1.233744689634764E-2</v>
      </c>
      <c r="AE113">
        <f t="shared" si="16"/>
        <v>333.25699656358228</v>
      </c>
    </row>
    <row r="114" spans="1:31" x14ac:dyDescent="0.25">
      <c r="A114" s="2">
        <v>36281</v>
      </c>
      <c r="B114" s="6">
        <v>288.27499999999998</v>
      </c>
      <c r="C114" s="6" t="e">
        <v>#N/A</v>
      </c>
      <c r="D114" s="7">
        <f t="shared" si="14"/>
        <v>263.72749999999996</v>
      </c>
      <c r="E114" s="17">
        <f t="shared" si="9"/>
        <v>337.77167614155184</v>
      </c>
      <c r="F114" s="9">
        <f t="shared" si="12"/>
        <v>1.3547141168897214E-2</v>
      </c>
      <c r="G114" s="9">
        <f t="shared" si="10"/>
        <v>1.3547141168897214E-2</v>
      </c>
      <c r="H114">
        <f t="shared" si="11"/>
        <v>337.77167614155184</v>
      </c>
      <c r="X114" s="2">
        <v>36281</v>
      </c>
      <c r="Y114" s="6">
        <v>288.27499999999998</v>
      </c>
      <c r="Z114" s="6" t="e">
        <v>#N/A</v>
      </c>
      <c r="AA114" s="7">
        <f t="shared" si="15"/>
        <v>263.72749999999996</v>
      </c>
      <c r="AB114" s="7">
        <f t="shared" si="13"/>
        <v>337.77167614155184</v>
      </c>
      <c r="AC114" s="18">
        <f t="shared" si="17"/>
        <v>1.3547141168897214E-2</v>
      </c>
      <c r="AE114">
        <f t="shared" si="16"/>
        <v>337.77167614155184</v>
      </c>
    </row>
    <row r="115" spans="1:31" x14ac:dyDescent="0.25">
      <c r="A115" s="2">
        <v>36312</v>
      </c>
      <c r="B115" s="6">
        <v>309.60000000000002</v>
      </c>
      <c r="C115" s="6" t="e">
        <v>#N/A</v>
      </c>
      <c r="D115" s="7">
        <f t="shared" si="14"/>
        <v>268.26777777777784</v>
      </c>
      <c r="E115" s="17">
        <f t="shared" si="9"/>
        <v>343.58668305265616</v>
      </c>
      <c r="F115" s="9">
        <f t="shared" si="12"/>
        <v>1.7215791973828498E-2</v>
      </c>
      <c r="G115" s="9">
        <f t="shared" si="10"/>
        <v>1.7215791973828498E-2</v>
      </c>
      <c r="H115">
        <f t="shared" si="11"/>
        <v>343.58668305265616</v>
      </c>
      <c r="X115" s="2">
        <v>36312</v>
      </c>
      <c r="Y115" s="6">
        <v>309.60000000000002</v>
      </c>
      <c r="Z115" s="6" t="e">
        <v>#N/A</v>
      </c>
      <c r="AA115" s="7">
        <f t="shared" si="15"/>
        <v>268.26777777777784</v>
      </c>
      <c r="AB115" s="7">
        <f t="shared" si="13"/>
        <v>343.58668305265616</v>
      </c>
      <c r="AC115" s="18">
        <f t="shared" si="17"/>
        <v>1.7215791973828571E-2</v>
      </c>
      <c r="AE115">
        <f t="shared" si="16"/>
        <v>343.58668305265616</v>
      </c>
    </row>
    <row r="116" spans="1:31" x14ac:dyDescent="0.25">
      <c r="A116" s="2">
        <v>36342</v>
      </c>
      <c r="B116" s="6">
        <v>285.86</v>
      </c>
      <c r="C116" s="6" t="e">
        <v>#N/A</v>
      </c>
      <c r="D116" s="7">
        <f t="shared" si="14"/>
        <v>269.13888888888891</v>
      </c>
      <c r="E116" s="17">
        <f t="shared" si="9"/>
        <v>344.70236746215278</v>
      </c>
      <c r="F116" s="9">
        <f t="shared" si="12"/>
        <v>3.2471701160945443E-3</v>
      </c>
      <c r="G116" s="9">
        <f t="shared" si="10"/>
        <v>3.2471701160945443E-3</v>
      </c>
      <c r="H116">
        <f t="shared" si="11"/>
        <v>344.70236746215278</v>
      </c>
      <c r="X116" s="2">
        <v>36342</v>
      </c>
      <c r="Y116" s="6">
        <v>285.86</v>
      </c>
      <c r="Z116" s="6" t="e">
        <v>#N/A</v>
      </c>
      <c r="AA116" s="7">
        <f t="shared" si="15"/>
        <v>269.13888888888891</v>
      </c>
      <c r="AB116" s="7">
        <f t="shared" si="13"/>
        <v>344.70236746215278</v>
      </c>
      <c r="AC116" s="18">
        <f t="shared" si="17"/>
        <v>3.2471701160944866E-3</v>
      </c>
      <c r="AE116">
        <f t="shared" si="16"/>
        <v>344.70236746215278</v>
      </c>
    </row>
    <row r="117" spans="1:31" x14ac:dyDescent="0.25">
      <c r="A117" s="2">
        <v>36373</v>
      </c>
      <c r="B117" s="6">
        <v>277.45</v>
      </c>
      <c r="C117" s="6" t="e">
        <v>#N/A</v>
      </c>
      <c r="D117" s="7">
        <f t="shared" si="14"/>
        <v>271.49722222222221</v>
      </c>
      <c r="E117" s="17">
        <f t="shared" si="9"/>
        <v>347.72282684883209</v>
      </c>
      <c r="F117" s="9">
        <f t="shared" si="12"/>
        <v>8.7625141913507676E-3</v>
      </c>
      <c r="G117" s="9">
        <f t="shared" si="10"/>
        <v>8.7625141913507676E-3</v>
      </c>
      <c r="H117">
        <f t="shared" si="11"/>
        <v>347.72282684883209</v>
      </c>
      <c r="X117" s="2">
        <v>36373</v>
      </c>
      <c r="Y117" s="6">
        <v>277.45</v>
      </c>
      <c r="Z117" s="6" t="e">
        <v>#N/A</v>
      </c>
      <c r="AA117" s="7">
        <f t="shared" si="15"/>
        <v>271.49722222222221</v>
      </c>
      <c r="AB117" s="7">
        <f t="shared" si="13"/>
        <v>347.72282684883209</v>
      </c>
      <c r="AC117" s="18">
        <f t="shared" si="17"/>
        <v>8.7625141913508613E-3</v>
      </c>
      <c r="AE117">
        <f t="shared" si="16"/>
        <v>347.72282684883209</v>
      </c>
    </row>
    <row r="118" spans="1:31" x14ac:dyDescent="0.25">
      <c r="A118" s="2">
        <v>36404</v>
      </c>
      <c r="B118" s="6">
        <v>264.85000000000002</v>
      </c>
      <c r="C118" s="6" t="e">
        <v>#N/A</v>
      </c>
      <c r="D118" s="7">
        <f t="shared" si="14"/>
        <v>273.72638888888889</v>
      </c>
      <c r="E118" s="17">
        <f t="shared" si="9"/>
        <v>350.57785471433294</v>
      </c>
      <c r="F118" s="9">
        <f t="shared" si="12"/>
        <v>8.2106426298611535E-3</v>
      </c>
      <c r="G118" s="9">
        <f t="shared" si="10"/>
        <v>8.2106426298611535E-3</v>
      </c>
      <c r="H118">
        <f t="shared" si="11"/>
        <v>350.57785471433294</v>
      </c>
      <c r="X118" s="2">
        <v>36404</v>
      </c>
      <c r="Y118" s="6">
        <v>264.85000000000002</v>
      </c>
      <c r="Z118" s="6" t="e">
        <v>#N/A</v>
      </c>
      <c r="AA118" s="7">
        <f t="shared" si="15"/>
        <v>273.72638888888889</v>
      </c>
      <c r="AB118" s="7">
        <f t="shared" si="13"/>
        <v>350.57785471433294</v>
      </c>
      <c r="AC118" s="18">
        <f t="shared" si="17"/>
        <v>8.2106426298612315E-3</v>
      </c>
      <c r="AE118">
        <f t="shared" si="16"/>
        <v>350.57785471433294</v>
      </c>
    </row>
    <row r="119" spans="1:31" x14ac:dyDescent="0.25">
      <c r="A119" s="2">
        <v>36434</v>
      </c>
      <c r="B119" s="6">
        <v>272.38</v>
      </c>
      <c r="C119" s="6" t="e">
        <v>#N/A</v>
      </c>
      <c r="D119" s="7">
        <f t="shared" si="14"/>
        <v>274.90305555555557</v>
      </c>
      <c r="E119" s="17">
        <f t="shared" si="9"/>
        <v>352.08488250726276</v>
      </c>
      <c r="F119" s="9">
        <f t="shared" si="12"/>
        <v>4.2986964882816281E-3</v>
      </c>
      <c r="G119" s="9">
        <f t="shared" si="10"/>
        <v>4.2986964882816281E-3</v>
      </c>
      <c r="H119">
        <f t="shared" si="11"/>
        <v>352.08488250726276</v>
      </c>
      <c r="X119" s="2">
        <v>36434</v>
      </c>
      <c r="Y119" s="6">
        <v>272.38</v>
      </c>
      <c r="Z119" s="6" t="e">
        <v>#N/A</v>
      </c>
      <c r="AA119" s="7">
        <f t="shared" si="15"/>
        <v>274.90305555555557</v>
      </c>
      <c r="AB119" s="7">
        <f t="shared" si="13"/>
        <v>352.08488250726276</v>
      </c>
      <c r="AC119" s="18">
        <f t="shared" si="17"/>
        <v>4.2986964882816229E-3</v>
      </c>
      <c r="AE119">
        <f t="shared" si="16"/>
        <v>352.08488250726276</v>
      </c>
    </row>
    <row r="120" spans="1:31" x14ac:dyDescent="0.25">
      <c r="A120" s="2">
        <v>36465</v>
      </c>
      <c r="B120" s="6">
        <v>295.47500000000002</v>
      </c>
      <c r="C120" s="6" t="e">
        <v>#N/A</v>
      </c>
      <c r="D120" s="7">
        <f t="shared" si="14"/>
        <v>276.60277777777782</v>
      </c>
      <c r="E120" s="17">
        <f t="shared" si="9"/>
        <v>354.26181901928771</v>
      </c>
      <c r="F120" s="9">
        <f t="shared" si="12"/>
        <v>6.182987740122714E-3</v>
      </c>
      <c r="G120" s="9">
        <f t="shared" si="10"/>
        <v>6.182987740122714E-3</v>
      </c>
      <c r="H120">
        <f t="shared" si="11"/>
        <v>354.26181901928771</v>
      </c>
      <c r="X120" s="2">
        <v>36465</v>
      </c>
      <c r="Y120" s="6">
        <v>295.47500000000002</v>
      </c>
      <c r="Z120" s="6" t="e">
        <v>#N/A</v>
      </c>
      <c r="AA120" s="7">
        <f t="shared" si="15"/>
        <v>276.60277777777782</v>
      </c>
      <c r="AB120" s="7">
        <f t="shared" si="13"/>
        <v>354.26181901928771</v>
      </c>
      <c r="AC120" s="18">
        <f t="shared" si="17"/>
        <v>6.1829877401226255E-3</v>
      </c>
      <c r="AE120">
        <f t="shared" si="16"/>
        <v>354.26181901928771</v>
      </c>
    </row>
    <row r="121" spans="1:31" x14ac:dyDescent="0.25">
      <c r="A121" s="2">
        <v>36495</v>
      </c>
      <c r="B121" s="6">
        <v>269.86</v>
      </c>
      <c r="C121" s="6" t="e">
        <v>#N/A</v>
      </c>
      <c r="D121" s="7">
        <f t="shared" si="14"/>
        <v>277.01027777777779</v>
      </c>
      <c r="E121" s="17">
        <f t="shared" si="9"/>
        <v>354.78372878610264</v>
      </c>
      <c r="F121" s="9">
        <f t="shared" si="12"/>
        <v>1.4732317703887166E-3</v>
      </c>
      <c r="G121" s="9">
        <f t="shared" si="10"/>
        <v>1.4732317703887166E-3</v>
      </c>
      <c r="H121">
        <f t="shared" si="11"/>
        <v>354.78372878610264</v>
      </c>
      <c r="X121" s="2">
        <v>36495</v>
      </c>
      <c r="Y121" s="6">
        <v>269.86</v>
      </c>
      <c r="Z121" s="6" t="e">
        <v>#N/A</v>
      </c>
      <c r="AA121" s="7">
        <f t="shared" si="15"/>
        <v>277.01027777777779</v>
      </c>
      <c r="AB121" s="7">
        <f t="shared" si="13"/>
        <v>354.78372878610264</v>
      </c>
      <c r="AC121" s="18">
        <f t="shared" si="17"/>
        <v>1.4732317703886374E-3</v>
      </c>
      <c r="AE121">
        <f t="shared" si="16"/>
        <v>354.78372878610264</v>
      </c>
    </row>
    <row r="122" spans="1:31" x14ac:dyDescent="0.25">
      <c r="A122" s="2">
        <v>36526</v>
      </c>
      <c r="B122" s="6">
        <v>281.32499999999999</v>
      </c>
      <c r="C122" s="6" t="e">
        <v>#N/A</v>
      </c>
      <c r="D122" s="7">
        <f t="shared" si="14"/>
        <v>278.04499999999996</v>
      </c>
      <c r="E122" s="17">
        <f t="shared" si="9"/>
        <v>356.10895978909207</v>
      </c>
      <c r="F122" s="9">
        <f t="shared" si="12"/>
        <v>3.7353206910692993E-3</v>
      </c>
      <c r="G122" s="9">
        <f t="shared" si="10"/>
        <v>3.7353206910692993E-3</v>
      </c>
      <c r="H122">
        <f t="shared" si="11"/>
        <v>356.10895978909207</v>
      </c>
      <c r="X122" s="2">
        <v>36526</v>
      </c>
      <c r="Y122" s="6">
        <v>281.32499999999999</v>
      </c>
      <c r="Z122" s="6" t="e">
        <v>#N/A</v>
      </c>
      <c r="AA122" s="7">
        <f t="shared" si="15"/>
        <v>278.04499999999996</v>
      </c>
      <c r="AB122" s="7">
        <f t="shared" si="13"/>
        <v>356.10895978909207</v>
      </c>
      <c r="AC122" s="18">
        <f t="shared" si="17"/>
        <v>3.7353206910692425E-3</v>
      </c>
      <c r="AE122">
        <f t="shared" si="16"/>
        <v>356.10895978909207</v>
      </c>
    </row>
    <row r="123" spans="1:31" x14ac:dyDescent="0.25">
      <c r="A123" s="2">
        <v>36557</v>
      </c>
      <c r="B123" s="6">
        <v>279.67500000000001</v>
      </c>
      <c r="C123" s="6" t="e">
        <v>#N/A</v>
      </c>
      <c r="D123" s="7">
        <f t="shared" si="14"/>
        <v>279.43527777777774</v>
      </c>
      <c r="E123" s="17">
        <f t="shared" si="9"/>
        <v>357.88957218371286</v>
      </c>
      <c r="F123" s="9">
        <f t="shared" si="12"/>
        <v>5.0001898173956949E-3</v>
      </c>
      <c r="G123" s="9">
        <f t="shared" si="10"/>
        <v>5.0001898173956949E-3</v>
      </c>
      <c r="H123">
        <f t="shared" si="11"/>
        <v>357.88957218371286</v>
      </c>
      <c r="X123" s="2">
        <v>36557</v>
      </c>
      <c r="Y123" s="6">
        <v>279.67500000000001</v>
      </c>
      <c r="Z123" s="6" t="e">
        <v>#N/A</v>
      </c>
      <c r="AA123" s="7">
        <f t="shared" si="15"/>
        <v>279.43527777777774</v>
      </c>
      <c r="AB123" s="7">
        <f t="shared" si="13"/>
        <v>357.88957218371286</v>
      </c>
      <c r="AC123" s="18">
        <f t="shared" si="17"/>
        <v>5.0001898173956845E-3</v>
      </c>
      <c r="AE123">
        <f t="shared" si="16"/>
        <v>357.88957218371286</v>
      </c>
    </row>
    <row r="124" spans="1:31" x14ac:dyDescent="0.25">
      <c r="A124" s="2">
        <v>36586</v>
      </c>
      <c r="B124" s="6">
        <v>296.18</v>
      </c>
      <c r="C124" s="6" t="e">
        <v>#N/A</v>
      </c>
      <c r="D124" s="7">
        <f t="shared" si="14"/>
        <v>279.6466666666667</v>
      </c>
      <c r="E124" s="17">
        <f t="shared" si="9"/>
        <v>358.16031065170625</v>
      </c>
      <c r="F124" s="9">
        <f t="shared" si="12"/>
        <v>7.5648604775335748E-4</v>
      </c>
      <c r="G124" s="9">
        <f t="shared" si="10"/>
        <v>7.5648604775335748E-4</v>
      </c>
      <c r="H124">
        <f t="shared" si="11"/>
        <v>358.16031065170625</v>
      </c>
      <c r="X124" s="2">
        <v>36586</v>
      </c>
      <c r="Y124" s="6">
        <v>296.18</v>
      </c>
      <c r="Z124" s="6" t="e">
        <v>#N/A</v>
      </c>
      <c r="AA124" s="7">
        <f t="shared" si="15"/>
        <v>279.6466666666667</v>
      </c>
      <c r="AB124" s="7">
        <f t="shared" si="13"/>
        <v>358.16031065170625</v>
      </c>
      <c r="AC124" s="18">
        <f t="shared" si="17"/>
        <v>7.5648604775331888E-4</v>
      </c>
      <c r="AE124">
        <f t="shared" si="16"/>
        <v>358.16031065170625</v>
      </c>
    </row>
    <row r="125" spans="1:31" x14ac:dyDescent="0.25">
      <c r="A125" s="2">
        <v>36617</v>
      </c>
      <c r="B125" s="6">
        <v>304.89999999999998</v>
      </c>
      <c r="C125" s="6" t="e">
        <v>#N/A</v>
      </c>
      <c r="D125" s="7">
        <f t="shared" si="14"/>
        <v>279.9977777777778</v>
      </c>
      <c r="E125" s="17">
        <f t="shared" si="9"/>
        <v>358.60999977594207</v>
      </c>
      <c r="F125" s="9">
        <f t="shared" si="12"/>
        <v>1.2555526418256413E-3</v>
      </c>
      <c r="G125" s="9">
        <f t="shared" si="10"/>
        <v>1.2555526418256413E-3</v>
      </c>
      <c r="H125">
        <f t="shared" si="11"/>
        <v>358.60999977594207</v>
      </c>
      <c r="X125" s="2">
        <v>36617</v>
      </c>
      <c r="Y125" s="6">
        <v>304.89999999999998</v>
      </c>
      <c r="Z125" s="6" t="e">
        <v>#N/A</v>
      </c>
      <c r="AA125" s="7">
        <f t="shared" si="15"/>
        <v>279.9977777777778</v>
      </c>
      <c r="AB125" s="7">
        <f t="shared" si="13"/>
        <v>358.60999977594207</v>
      </c>
      <c r="AC125" s="18">
        <f t="shared" si="17"/>
        <v>1.255552641825738E-3</v>
      </c>
      <c r="AE125">
        <f t="shared" si="16"/>
        <v>358.60999977594207</v>
      </c>
    </row>
    <row r="126" spans="1:31" x14ac:dyDescent="0.25">
      <c r="A126" s="2">
        <v>36647</v>
      </c>
      <c r="B126" s="6">
        <v>303.77499999999998</v>
      </c>
      <c r="C126" s="6" t="e">
        <v>#N/A</v>
      </c>
      <c r="D126" s="7">
        <f t="shared" si="14"/>
        <v>281.02972222222218</v>
      </c>
      <c r="E126" s="17">
        <f t="shared" si="9"/>
        <v>359.93167311180935</v>
      </c>
      <c r="F126" s="9">
        <f t="shared" si="12"/>
        <v>3.6855451233737124E-3</v>
      </c>
      <c r="G126" s="9">
        <f t="shared" si="10"/>
        <v>3.6855451233737124E-3</v>
      </c>
      <c r="H126">
        <f t="shared" si="11"/>
        <v>359.93167311180935</v>
      </c>
      <c r="X126" s="2">
        <v>36647</v>
      </c>
      <c r="Y126" s="6">
        <v>303.77499999999998</v>
      </c>
      <c r="Z126" s="6" t="e">
        <v>#N/A</v>
      </c>
      <c r="AA126" s="7">
        <f t="shared" si="15"/>
        <v>281.02972222222218</v>
      </c>
      <c r="AB126" s="7">
        <f t="shared" si="13"/>
        <v>359.93167311180935</v>
      </c>
      <c r="AC126" s="18">
        <f t="shared" si="17"/>
        <v>3.6855451233737558E-3</v>
      </c>
      <c r="AE126">
        <f t="shared" si="16"/>
        <v>359.93167311180935</v>
      </c>
    </row>
    <row r="127" spans="1:31" x14ac:dyDescent="0.25">
      <c r="A127" s="2">
        <v>36678</v>
      </c>
      <c r="B127" s="6">
        <v>314.82</v>
      </c>
      <c r="C127" s="6" t="e">
        <v>#N/A</v>
      </c>
      <c r="D127" s="7">
        <f t="shared" si="14"/>
        <v>282.89333333333326</v>
      </c>
      <c r="E127" s="17">
        <f t="shared" si="9"/>
        <v>362.31851198403922</v>
      </c>
      <c r="F127" s="9">
        <f t="shared" si="12"/>
        <v>6.6313665913153574E-3</v>
      </c>
      <c r="G127" s="9">
        <f t="shared" si="10"/>
        <v>6.6313665913153574E-3</v>
      </c>
      <c r="H127">
        <f t="shared" si="11"/>
        <v>362.31851198403922</v>
      </c>
      <c r="X127" s="2">
        <v>36678</v>
      </c>
      <c r="Y127" s="6">
        <v>314.82</v>
      </c>
      <c r="Z127" s="6" t="e">
        <v>#N/A</v>
      </c>
      <c r="AA127" s="7">
        <f t="shared" si="15"/>
        <v>282.89333333333326</v>
      </c>
      <c r="AB127" s="7">
        <f t="shared" si="13"/>
        <v>362.31851198403922</v>
      </c>
      <c r="AC127" s="18">
        <f t="shared" si="17"/>
        <v>6.6313665913153731E-3</v>
      </c>
      <c r="AE127">
        <f t="shared" si="16"/>
        <v>362.31851198403922</v>
      </c>
    </row>
    <row r="128" spans="1:31" x14ac:dyDescent="0.25">
      <c r="A128" s="2">
        <v>36708</v>
      </c>
      <c r="B128" s="6">
        <v>312.22500000000002</v>
      </c>
      <c r="C128" s="6" t="e">
        <v>#N/A</v>
      </c>
      <c r="D128" s="7">
        <f t="shared" si="14"/>
        <v>285.44583333333333</v>
      </c>
      <c r="E128" s="17">
        <f t="shared" si="9"/>
        <v>365.58765230255483</v>
      </c>
      <c r="F128" s="9">
        <f t="shared" si="12"/>
        <v>9.0228354621295637E-3</v>
      </c>
      <c r="G128" s="9">
        <f t="shared" si="10"/>
        <v>9.0228354621295637E-3</v>
      </c>
      <c r="H128">
        <f t="shared" si="11"/>
        <v>365.58765230255483</v>
      </c>
      <c r="X128" s="2">
        <v>36708</v>
      </c>
      <c r="Y128" s="6">
        <v>312.22500000000002</v>
      </c>
      <c r="Z128" s="6" t="e">
        <v>#N/A</v>
      </c>
      <c r="AA128" s="7">
        <f t="shared" si="15"/>
        <v>285.44583333333333</v>
      </c>
      <c r="AB128" s="7">
        <f t="shared" si="13"/>
        <v>365.58765230255483</v>
      </c>
      <c r="AC128" s="18">
        <f t="shared" si="17"/>
        <v>9.0228354621296608E-3</v>
      </c>
      <c r="AE128">
        <f t="shared" si="16"/>
        <v>365.58765230255483</v>
      </c>
    </row>
    <row r="129" spans="1:31" x14ac:dyDescent="0.25">
      <c r="A129" s="2">
        <v>36739</v>
      </c>
      <c r="B129" s="6">
        <v>308.42500000000001</v>
      </c>
      <c r="C129" s="6" t="e">
        <v>#N/A</v>
      </c>
      <c r="D129" s="7">
        <f t="shared" si="14"/>
        <v>288.85972222222222</v>
      </c>
      <c r="E129" s="17">
        <f t="shared" si="9"/>
        <v>369.96002519563962</v>
      </c>
      <c r="F129" s="9">
        <f t="shared" si="12"/>
        <v>1.1959848385323157E-2</v>
      </c>
      <c r="G129" s="9">
        <f t="shared" si="10"/>
        <v>1.1959848385323157E-2</v>
      </c>
      <c r="H129">
        <f t="shared" si="11"/>
        <v>369.96002519563962</v>
      </c>
      <c r="X129" s="2">
        <v>36739</v>
      </c>
      <c r="Y129" s="6">
        <v>308.42500000000001</v>
      </c>
      <c r="Z129" s="6" t="e">
        <v>#N/A</v>
      </c>
      <c r="AA129" s="7">
        <f t="shared" si="15"/>
        <v>288.85972222222222</v>
      </c>
      <c r="AB129" s="7">
        <f t="shared" si="13"/>
        <v>369.96002519563962</v>
      </c>
      <c r="AC129" s="18">
        <f t="shared" si="17"/>
        <v>1.1959848385323164E-2</v>
      </c>
      <c r="AE129">
        <f t="shared" si="16"/>
        <v>369.96002519563962</v>
      </c>
    </row>
    <row r="130" spans="1:31" x14ac:dyDescent="0.25">
      <c r="A130" s="2">
        <v>36770</v>
      </c>
      <c r="B130" s="6">
        <v>315.77999999999997</v>
      </c>
      <c r="C130" s="6" t="e">
        <v>#N/A</v>
      </c>
      <c r="D130" s="7">
        <f t="shared" si="14"/>
        <v>292.11416666666668</v>
      </c>
      <c r="E130" s="17">
        <f t="shared" ref="E130:E190" si="18">H130</f>
        <v>374.12818799591474</v>
      </c>
      <c r="F130" s="9">
        <f t="shared" si="12"/>
        <v>1.1266522100789045E-2</v>
      </c>
      <c r="G130" s="9">
        <f t="shared" si="10"/>
        <v>1.1266522100789045E-2</v>
      </c>
      <c r="H130">
        <f t="shared" si="11"/>
        <v>374.12818799591474</v>
      </c>
      <c r="X130" s="2">
        <v>36770</v>
      </c>
      <c r="Y130" s="6">
        <v>315.77999999999997</v>
      </c>
      <c r="Z130" s="6" t="e">
        <v>#N/A</v>
      </c>
      <c r="AA130" s="7">
        <f t="shared" si="15"/>
        <v>292.11416666666668</v>
      </c>
      <c r="AB130" s="7">
        <f t="shared" si="13"/>
        <v>374.12818799591474</v>
      </c>
      <c r="AC130" s="18">
        <f t="shared" si="17"/>
        <v>1.1266522100789074E-2</v>
      </c>
      <c r="AE130">
        <f t="shared" si="16"/>
        <v>374.12818799591474</v>
      </c>
    </row>
    <row r="131" spans="1:31" x14ac:dyDescent="0.25">
      <c r="A131" s="2">
        <v>36800</v>
      </c>
      <c r="B131" s="6">
        <v>304.3</v>
      </c>
      <c r="C131" s="6" t="e">
        <v>#N/A</v>
      </c>
      <c r="D131" s="7">
        <f t="shared" si="14"/>
        <v>293.61972222222226</v>
      </c>
      <c r="E131" s="17">
        <f t="shared" si="18"/>
        <v>376.05644357610356</v>
      </c>
      <c r="F131" s="9">
        <f t="shared" si="12"/>
        <v>5.1539970578475813E-3</v>
      </c>
      <c r="G131" s="9">
        <f t="shared" ref="G131:G194" si="19">E131/E130-1</f>
        <v>5.1539970578475813E-3</v>
      </c>
      <c r="H131">
        <f t="shared" ref="H131:H190" si="20">E132/(F132+1)</f>
        <v>376.05644357610356</v>
      </c>
      <c r="X131" s="2">
        <v>36800</v>
      </c>
      <c r="Y131" s="6">
        <v>304.3</v>
      </c>
      <c r="Z131" s="6" t="e">
        <v>#N/A</v>
      </c>
      <c r="AA131" s="7">
        <f t="shared" si="15"/>
        <v>293.61972222222226</v>
      </c>
      <c r="AB131" s="7">
        <f t="shared" si="13"/>
        <v>376.05644357610356</v>
      </c>
      <c r="AC131" s="18">
        <f t="shared" si="17"/>
        <v>5.1539970578475484E-3</v>
      </c>
      <c r="AE131">
        <f t="shared" si="16"/>
        <v>376.05644357610356</v>
      </c>
    </row>
    <row r="132" spans="1:31" x14ac:dyDescent="0.25">
      <c r="A132" s="2">
        <v>36831</v>
      </c>
      <c r="B132" s="6">
        <v>312.89999999999998</v>
      </c>
      <c r="C132" s="6" t="e">
        <v>#N/A</v>
      </c>
      <c r="D132" s="7">
        <f t="shared" si="14"/>
        <v>294.98777777777775</v>
      </c>
      <c r="E132" s="17">
        <f t="shared" si="18"/>
        <v>377.80859463374725</v>
      </c>
      <c r="F132" s="9">
        <f t="shared" ref="F132:F195" si="21">D132/D131-1</f>
        <v>4.6592767856379336E-3</v>
      </c>
      <c r="G132" s="9">
        <f t="shared" si="19"/>
        <v>4.6592767856379336E-3</v>
      </c>
      <c r="H132">
        <f t="shared" si="20"/>
        <v>377.80859463374725</v>
      </c>
      <c r="X132" s="2">
        <v>36831</v>
      </c>
      <c r="Y132" s="6">
        <v>312.89999999999998</v>
      </c>
      <c r="Z132" s="6" t="e">
        <v>#N/A</v>
      </c>
      <c r="AA132" s="7">
        <f t="shared" si="15"/>
        <v>294.98777777777775</v>
      </c>
      <c r="AB132" s="7">
        <f t="shared" si="13"/>
        <v>377.80859463374725</v>
      </c>
      <c r="AC132" s="18">
        <f t="shared" si="17"/>
        <v>4.6592767856380272E-3</v>
      </c>
      <c r="AE132">
        <f t="shared" si="16"/>
        <v>377.80859463374725</v>
      </c>
    </row>
    <row r="133" spans="1:31" x14ac:dyDescent="0.25">
      <c r="A133" s="2">
        <v>36861</v>
      </c>
      <c r="B133" s="6">
        <v>295.38</v>
      </c>
      <c r="C133" s="6" t="e">
        <v>#N/A</v>
      </c>
      <c r="D133" s="7">
        <f t="shared" si="14"/>
        <v>294.19777777777779</v>
      </c>
      <c r="E133" s="17">
        <f t="shared" si="18"/>
        <v>376.79679410421653</v>
      </c>
      <c r="F133" s="9">
        <f t="shared" si="21"/>
        <v>-2.6780770578064272E-3</v>
      </c>
      <c r="G133" s="9">
        <f t="shared" si="19"/>
        <v>-2.6780770578064272E-3</v>
      </c>
      <c r="H133">
        <f t="shared" si="20"/>
        <v>376.79679410421653</v>
      </c>
      <c r="X133" s="2">
        <v>36861</v>
      </c>
      <c r="Y133" s="6">
        <v>295.38</v>
      </c>
      <c r="Z133" s="6" t="e">
        <v>#N/A</v>
      </c>
      <c r="AA133" s="7">
        <f t="shared" si="15"/>
        <v>294.19777777777779</v>
      </c>
      <c r="AB133" s="7">
        <f t="shared" si="13"/>
        <v>376.79679410421653</v>
      </c>
      <c r="AC133" s="18">
        <f t="shared" si="17"/>
        <v>-2.6780770578064151E-3</v>
      </c>
      <c r="AE133">
        <f t="shared" si="16"/>
        <v>376.79679410421653</v>
      </c>
    </row>
    <row r="134" spans="1:31" x14ac:dyDescent="0.25">
      <c r="A134" s="2">
        <v>36892</v>
      </c>
      <c r="B134" s="6">
        <v>314.10000000000002</v>
      </c>
      <c r="C134" s="6" t="e">
        <v>#N/A</v>
      </c>
      <c r="D134" s="7">
        <f t="shared" si="14"/>
        <v>295.76666666666665</v>
      </c>
      <c r="E134" s="17">
        <f t="shared" si="18"/>
        <v>378.80616449478958</v>
      </c>
      <c r="F134" s="9">
        <f t="shared" si="21"/>
        <v>5.3327693388423025E-3</v>
      </c>
      <c r="G134" s="9">
        <f t="shared" si="19"/>
        <v>5.3327693388423025E-3</v>
      </c>
      <c r="H134">
        <f t="shared" si="20"/>
        <v>378.80616449478958</v>
      </c>
      <c r="X134" s="2">
        <v>36892</v>
      </c>
      <c r="Y134" s="6">
        <v>314.10000000000002</v>
      </c>
      <c r="Z134" s="6" t="e">
        <v>#N/A</v>
      </c>
      <c r="AA134" s="7">
        <f t="shared" si="15"/>
        <v>295.76666666666665</v>
      </c>
      <c r="AB134" s="7">
        <f t="shared" si="13"/>
        <v>378.80616449478958</v>
      </c>
      <c r="AC134" s="18">
        <f t="shared" si="17"/>
        <v>5.332769338842267E-3</v>
      </c>
      <c r="AE134">
        <f t="shared" si="16"/>
        <v>378.80616449478958</v>
      </c>
    </row>
    <row r="135" spans="1:31" x14ac:dyDescent="0.25">
      <c r="A135" s="2">
        <v>36923</v>
      </c>
      <c r="B135" s="6">
        <v>288.7</v>
      </c>
      <c r="C135" s="6" t="e">
        <v>#N/A</v>
      </c>
      <c r="D135" s="7">
        <f t="shared" si="14"/>
        <v>296.39166666666665</v>
      </c>
      <c r="E135" s="17">
        <f t="shared" si="18"/>
        <v>379.60663959726651</v>
      </c>
      <c r="F135" s="9">
        <f t="shared" si="21"/>
        <v>2.1131522596642416E-3</v>
      </c>
      <c r="G135" s="9">
        <f t="shared" si="19"/>
        <v>2.1131522596642416E-3</v>
      </c>
      <c r="H135">
        <f t="shared" si="20"/>
        <v>379.60663959726651</v>
      </c>
      <c r="X135" s="2">
        <v>36923</v>
      </c>
      <c r="Y135" s="6">
        <v>288.7</v>
      </c>
      <c r="Z135" s="6" t="e">
        <v>#N/A</v>
      </c>
      <c r="AA135" s="7">
        <f t="shared" si="15"/>
        <v>296.39166666666665</v>
      </c>
      <c r="AB135" s="7">
        <f t="shared" si="13"/>
        <v>379.60663959726651</v>
      </c>
      <c r="AC135" s="18">
        <f t="shared" si="17"/>
        <v>2.1131522596641496E-3</v>
      </c>
      <c r="AE135">
        <f t="shared" si="16"/>
        <v>379.60663959726651</v>
      </c>
    </row>
    <row r="136" spans="1:31" x14ac:dyDescent="0.25">
      <c r="A136" s="2">
        <v>36951</v>
      </c>
      <c r="B136" s="6">
        <v>299.44</v>
      </c>
      <c r="C136" s="6" t="e">
        <v>#N/A</v>
      </c>
      <c r="D136" s="7">
        <f t="shared" si="14"/>
        <v>298.31333333333333</v>
      </c>
      <c r="E136" s="17">
        <f t="shared" si="18"/>
        <v>382.06783371234877</v>
      </c>
      <c r="F136" s="9">
        <f t="shared" si="21"/>
        <v>6.4835381111705281E-3</v>
      </c>
      <c r="G136" s="9">
        <f t="shared" si="19"/>
        <v>6.4835381111705281E-3</v>
      </c>
      <c r="H136">
        <f t="shared" si="20"/>
        <v>382.06783371234877</v>
      </c>
      <c r="X136" s="2">
        <v>36951</v>
      </c>
      <c r="Y136" s="6">
        <v>299.44</v>
      </c>
      <c r="Z136" s="6" t="e">
        <v>#N/A</v>
      </c>
      <c r="AA136" s="7">
        <f t="shared" si="15"/>
        <v>298.31333333333333</v>
      </c>
      <c r="AB136" s="7">
        <f t="shared" si="13"/>
        <v>382.06783371234877</v>
      </c>
      <c r="AC136" s="18">
        <f t="shared" si="17"/>
        <v>6.483538111170516E-3</v>
      </c>
      <c r="AE136">
        <f t="shared" si="16"/>
        <v>382.06783371234877</v>
      </c>
    </row>
    <row r="137" spans="1:31" x14ac:dyDescent="0.25">
      <c r="A137" s="2">
        <v>36982</v>
      </c>
      <c r="B137" s="6">
        <v>301.7</v>
      </c>
      <c r="C137" s="6" t="e">
        <v>#N/A</v>
      </c>
      <c r="D137" s="7">
        <f t="shared" si="14"/>
        <v>299.9422222222222</v>
      </c>
      <c r="E137" s="17">
        <f t="shared" si="18"/>
        <v>384.15404971275956</v>
      </c>
      <c r="F137" s="9">
        <f t="shared" si="21"/>
        <v>5.4603288116148452E-3</v>
      </c>
      <c r="G137" s="9">
        <f t="shared" si="19"/>
        <v>5.4603288116148452E-3</v>
      </c>
      <c r="H137">
        <f t="shared" si="20"/>
        <v>384.15404971275956</v>
      </c>
      <c r="X137" s="2">
        <v>36982</v>
      </c>
      <c r="Y137" s="6">
        <v>301.7</v>
      </c>
      <c r="Z137" s="6" t="e">
        <v>#N/A</v>
      </c>
      <c r="AA137" s="7">
        <f t="shared" si="15"/>
        <v>299.9422222222222</v>
      </c>
      <c r="AB137" s="7">
        <f t="shared" si="13"/>
        <v>384.15404971275956</v>
      </c>
      <c r="AC137" s="18">
        <f t="shared" si="17"/>
        <v>5.4603288116148556E-3</v>
      </c>
      <c r="AE137">
        <f t="shared" si="16"/>
        <v>384.15404971275956</v>
      </c>
    </row>
    <row r="138" spans="1:31" x14ac:dyDescent="0.25">
      <c r="A138" s="2">
        <v>37012</v>
      </c>
      <c r="B138" s="6">
        <v>307.89999999999998</v>
      </c>
      <c r="C138" s="6" t="e">
        <v>#N/A</v>
      </c>
      <c r="D138" s="7">
        <f t="shared" si="14"/>
        <v>300.63249999999994</v>
      </c>
      <c r="E138" s="17">
        <f t="shared" si="18"/>
        <v>385.03812999260623</v>
      </c>
      <c r="F138" s="9">
        <f t="shared" si="21"/>
        <v>2.3013691525775037E-3</v>
      </c>
      <c r="G138" s="9">
        <f t="shared" si="19"/>
        <v>2.3013691525775037E-3</v>
      </c>
      <c r="H138">
        <f t="shared" si="20"/>
        <v>385.03812999260623</v>
      </c>
      <c r="X138" s="2">
        <v>37012</v>
      </c>
      <c r="Y138" s="6">
        <v>307.89999999999998</v>
      </c>
      <c r="Z138" s="6" t="e">
        <v>#N/A</v>
      </c>
      <c r="AA138" s="7">
        <f t="shared" si="15"/>
        <v>300.63249999999994</v>
      </c>
      <c r="AB138" s="7">
        <f t="shared" si="13"/>
        <v>385.03812999260623</v>
      </c>
      <c r="AC138" s="18">
        <f t="shared" si="17"/>
        <v>2.3013691525773988E-3</v>
      </c>
      <c r="AE138">
        <f t="shared" si="16"/>
        <v>385.03812999260623</v>
      </c>
    </row>
    <row r="139" spans="1:31" x14ac:dyDescent="0.25">
      <c r="A139" s="2">
        <v>37043</v>
      </c>
      <c r="B139" s="6">
        <v>325.48</v>
      </c>
      <c r="C139" s="6" t="e">
        <v>#N/A</v>
      </c>
      <c r="D139" s="7">
        <f t="shared" si="14"/>
        <v>303.72249999999997</v>
      </c>
      <c r="E139" s="17">
        <f t="shared" si="18"/>
        <v>388.99567889925197</v>
      </c>
      <c r="F139" s="9">
        <f t="shared" si="21"/>
        <v>1.0278329854556789E-2</v>
      </c>
      <c r="G139" s="9">
        <f t="shared" si="19"/>
        <v>1.0278329854556789E-2</v>
      </c>
      <c r="H139">
        <f t="shared" si="20"/>
        <v>388.99567889925197</v>
      </c>
      <c r="X139" s="2">
        <v>37043</v>
      </c>
      <c r="Y139" s="6">
        <v>325.48</v>
      </c>
      <c r="Z139" s="6" t="e">
        <v>#N/A</v>
      </c>
      <c r="AA139" s="7">
        <f t="shared" si="15"/>
        <v>303.72249999999997</v>
      </c>
      <c r="AB139" s="7">
        <f t="shared" si="13"/>
        <v>388.99567889925197</v>
      </c>
      <c r="AC139" s="18">
        <f t="shared" si="17"/>
        <v>1.0278329854556751E-2</v>
      </c>
      <c r="AE139">
        <f t="shared" si="16"/>
        <v>388.99567889925197</v>
      </c>
    </row>
    <row r="140" spans="1:31" x14ac:dyDescent="0.25">
      <c r="A140" s="2">
        <v>37073</v>
      </c>
      <c r="B140" s="6">
        <v>311.92500000000001</v>
      </c>
      <c r="C140" s="6" t="e">
        <v>#N/A</v>
      </c>
      <c r="D140" s="7">
        <f t="shared" si="14"/>
        <v>305.4224999999999</v>
      </c>
      <c r="E140" s="17">
        <f t="shared" si="18"/>
        <v>391.17297117798898</v>
      </c>
      <c r="F140" s="9">
        <f t="shared" si="21"/>
        <v>5.5972145626350667E-3</v>
      </c>
      <c r="G140" s="9">
        <f t="shared" si="19"/>
        <v>5.5972145626350667E-3</v>
      </c>
      <c r="H140">
        <f t="shared" si="20"/>
        <v>391.17297117798898</v>
      </c>
      <c r="X140" s="2">
        <v>37073</v>
      </c>
      <c r="Y140" s="6">
        <v>311.92500000000001</v>
      </c>
      <c r="Z140" s="6" t="e">
        <v>#N/A</v>
      </c>
      <c r="AA140" s="7">
        <f t="shared" si="15"/>
        <v>305.4224999999999</v>
      </c>
      <c r="AB140" s="7">
        <f t="shared" si="13"/>
        <v>391.17297117798898</v>
      </c>
      <c r="AC140" s="18">
        <f t="shared" si="17"/>
        <v>5.5972145626350762E-3</v>
      </c>
      <c r="AE140">
        <f t="shared" si="16"/>
        <v>391.17297117798898</v>
      </c>
    </row>
    <row r="141" spans="1:31" x14ac:dyDescent="0.25">
      <c r="A141" s="2">
        <v>37104</v>
      </c>
      <c r="B141" s="6">
        <v>304.89999999999998</v>
      </c>
      <c r="C141" s="6" t="e">
        <v>#N/A</v>
      </c>
      <c r="D141" s="7">
        <f t="shared" si="14"/>
        <v>306.82388888888886</v>
      </c>
      <c r="E141" s="17">
        <f t="shared" si="18"/>
        <v>392.96781424109832</v>
      </c>
      <c r="F141" s="9">
        <f t="shared" si="21"/>
        <v>4.5883616593045407E-3</v>
      </c>
      <c r="G141" s="9">
        <f t="shared" si="19"/>
        <v>4.5883616593045407E-3</v>
      </c>
      <c r="H141">
        <f t="shared" si="20"/>
        <v>392.96781424109832</v>
      </c>
      <c r="X141" s="2">
        <v>37104</v>
      </c>
      <c r="Y141" s="6">
        <v>304.89999999999998</v>
      </c>
      <c r="Z141" s="6" t="e">
        <v>#N/A</v>
      </c>
      <c r="AA141" s="7">
        <f t="shared" si="15"/>
        <v>306.82388888888886</v>
      </c>
      <c r="AB141" s="7">
        <f t="shared" si="13"/>
        <v>392.96781424109832</v>
      </c>
      <c r="AC141" s="18">
        <f t="shared" si="17"/>
        <v>4.5883616593046031E-3</v>
      </c>
      <c r="AE141">
        <f t="shared" si="16"/>
        <v>392.96781424109832</v>
      </c>
    </row>
    <row r="142" spans="1:31" x14ac:dyDescent="0.25">
      <c r="A142" s="2">
        <v>37135</v>
      </c>
      <c r="B142" s="6">
        <v>296.3</v>
      </c>
      <c r="C142" s="6" t="e">
        <v>#N/A</v>
      </c>
      <c r="D142" s="7">
        <f t="shared" si="14"/>
        <v>306.83055555555552</v>
      </c>
      <c r="E142" s="17">
        <f t="shared" si="18"/>
        <v>392.97635264219139</v>
      </c>
      <c r="F142" s="9">
        <f t="shared" si="21"/>
        <v>2.172799090316424E-5</v>
      </c>
      <c r="G142" s="9">
        <f t="shared" si="19"/>
        <v>2.172799090316424E-5</v>
      </c>
      <c r="H142">
        <f t="shared" si="20"/>
        <v>392.97635264219139</v>
      </c>
      <c r="X142" s="2">
        <v>37135</v>
      </c>
      <c r="Y142" s="6">
        <v>296.3</v>
      </c>
      <c r="Z142" s="6" t="e">
        <v>#N/A</v>
      </c>
      <c r="AA142" s="7">
        <f t="shared" si="15"/>
        <v>306.83055555555552</v>
      </c>
      <c r="AB142" s="7">
        <f t="shared" si="13"/>
        <v>392.97635264219139</v>
      </c>
      <c r="AC142" s="18">
        <f t="shared" si="17"/>
        <v>2.1727990903194717E-5</v>
      </c>
      <c r="AE142">
        <f t="shared" si="16"/>
        <v>392.97635264219139</v>
      </c>
    </row>
    <row r="143" spans="1:31" x14ac:dyDescent="0.25">
      <c r="A143" s="2">
        <v>37165</v>
      </c>
      <c r="B143" s="6">
        <v>272.02499999999998</v>
      </c>
      <c r="C143" s="6" t="e">
        <v>#N/A</v>
      </c>
      <c r="D143" s="7">
        <f t="shared" si="14"/>
        <v>305.00416666666661</v>
      </c>
      <c r="E143" s="17">
        <f t="shared" si="18"/>
        <v>390.63718650939785</v>
      </c>
      <c r="F143" s="9">
        <f t="shared" si="21"/>
        <v>-5.9524348400764593E-3</v>
      </c>
      <c r="G143" s="9">
        <f t="shared" si="19"/>
        <v>-5.9524348400764593E-3</v>
      </c>
      <c r="H143">
        <f t="shared" si="20"/>
        <v>390.63718650939785</v>
      </c>
      <c r="X143" s="2">
        <v>37165</v>
      </c>
      <c r="Y143" s="6">
        <v>272.02499999999998</v>
      </c>
      <c r="Z143" s="6" t="e">
        <v>#N/A</v>
      </c>
      <c r="AA143" s="7">
        <f t="shared" si="15"/>
        <v>305.00416666666661</v>
      </c>
      <c r="AB143" s="7">
        <f t="shared" si="13"/>
        <v>390.63718650939785</v>
      </c>
      <c r="AC143" s="18">
        <f t="shared" si="17"/>
        <v>-5.9524348400764914E-3</v>
      </c>
      <c r="AE143">
        <f t="shared" si="16"/>
        <v>390.63718650939785</v>
      </c>
    </row>
    <row r="144" spans="1:31" x14ac:dyDescent="0.25">
      <c r="A144" s="2">
        <v>37196</v>
      </c>
      <c r="B144" s="6">
        <v>315</v>
      </c>
      <c r="C144" s="6" t="e">
        <v>#N/A</v>
      </c>
      <c r="D144" s="7">
        <f t="shared" si="14"/>
        <v>305.62777777777774</v>
      </c>
      <c r="E144" s="17">
        <f t="shared" si="18"/>
        <v>391.43588277831373</v>
      </c>
      <c r="F144" s="9">
        <f t="shared" si="21"/>
        <v>2.0445986621313583E-3</v>
      </c>
      <c r="G144" s="9">
        <f t="shared" si="19"/>
        <v>2.0445986621313583E-3</v>
      </c>
      <c r="H144">
        <f t="shared" si="20"/>
        <v>391.43588277831373</v>
      </c>
      <c r="X144" s="2">
        <v>37196</v>
      </c>
      <c r="Y144" s="6">
        <v>315</v>
      </c>
      <c r="Z144" s="6" t="e">
        <v>#N/A</v>
      </c>
      <c r="AA144" s="7">
        <f t="shared" si="15"/>
        <v>305.62777777777774</v>
      </c>
      <c r="AB144" s="7">
        <f t="shared" si="13"/>
        <v>391.43588277831373</v>
      </c>
      <c r="AC144" s="18">
        <f t="shared" si="17"/>
        <v>2.0445986621312764E-3</v>
      </c>
      <c r="AE144">
        <f t="shared" si="16"/>
        <v>391.43588277831373</v>
      </c>
    </row>
    <row r="145" spans="1:31" x14ac:dyDescent="0.25">
      <c r="A145" s="2">
        <v>37226</v>
      </c>
      <c r="B145" s="6">
        <v>315</v>
      </c>
      <c r="C145" s="6" t="e">
        <v>#N/A</v>
      </c>
      <c r="D145" s="7">
        <f t="shared" si="14"/>
        <v>305.63777777777773</v>
      </c>
      <c r="E145" s="17">
        <f t="shared" si="18"/>
        <v>391.44869037995329</v>
      </c>
      <c r="F145" s="9">
        <f t="shared" si="21"/>
        <v>3.2719539017955768E-5</v>
      </c>
      <c r="G145" s="9">
        <f t="shared" si="19"/>
        <v>3.2719539017955768E-5</v>
      </c>
      <c r="H145">
        <f t="shared" si="20"/>
        <v>391.44869037995329</v>
      </c>
      <c r="X145" s="2">
        <v>37226</v>
      </c>
      <c r="Y145" s="6">
        <v>315</v>
      </c>
      <c r="Z145" s="6" t="e">
        <v>#N/A</v>
      </c>
      <c r="AA145" s="7">
        <f t="shared" si="15"/>
        <v>305.63777777777773</v>
      </c>
      <c r="AB145" s="7">
        <f t="shared" si="13"/>
        <v>391.44869037995329</v>
      </c>
      <c r="AC145" s="18">
        <f t="shared" si="17"/>
        <v>3.2719539018020528E-5</v>
      </c>
      <c r="AE145">
        <f t="shared" si="16"/>
        <v>391.44869037995329</v>
      </c>
    </row>
    <row r="146" spans="1:31" x14ac:dyDescent="0.25">
      <c r="A146" s="2">
        <v>37257</v>
      </c>
      <c r="B146" s="6">
        <v>356.2</v>
      </c>
      <c r="C146" s="6" t="e">
        <v>#N/A</v>
      </c>
      <c r="D146" s="7">
        <f t="shared" si="14"/>
        <v>308.08083333333326</v>
      </c>
      <c r="E146" s="17">
        <f t="shared" si="18"/>
        <v>394.57765861385735</v>
      </c>
      <c r="F146" s="9">
        <f t="shared" si="21"/>
        <v>7.9933036201167429E-3</v>
      </c>
      <c r="G146" s="9">
        <f t="shared" si="19"/>
        <v>7.9933036201167429E-3</v>
      </c>
      <c r="H146">
        <f t="shared" si="20"/>
        <v>394.57765861385735</v>
      </c>
      <c r="X146" s="2">
        <v>37257</v>
      </c>
      <c r="Y146" s="6">
        <v>356.2</v>
      </c>
      <c r="Z146" s="6" t="e">
        <v>#N/A</v>
      </c>
      <c r="AA146" s="7">
        <f t="shared" si="15"/>
        <v>308.08083333333326</v>
      </c>
      <c r="AB146" s="7">
        <f t="shared" si="13"/>
        <v>394.57765861385735</v>
      </c>
      <c r="AC146" s="18">
        <f t="shared" si="17"/>
        <v>7.9933036201166908E-3</v>
      </c>
      <c r="AE146">
        <f t="shared" si="16"/>
        <v>394.57765861385735</v>
      </c>
    </row>
    <row r="147" spans="1:31" x14ac:dyDescent="0.25">
      <c r="A147" s="2">
        <v>37288</v>
      </c>
      <c r="B147" s="6">
        <v>315.32499999999999</v>
      </c>
      <c r="C147" s="6" t="e">
        <v>#N/A</v>
      </c>
      <c r="D147" s="7">
        <f t="shared" si="14"/>
        <v>308.46416666666664</v>
      </c>
      <c r="E147" s="17">
        <f t="shared" si="18"/>
        <v>395.06861667670989</v>
      </c>
      <c r="F147" s="9">
        <f t="shared" si="21"/>
        <v>1.2442621930934816E-3</v>
      </c>
      <c r="G147" s="9">
        <f t="shared" si="19"/>
        <v>1.2442621930934816E-3</v>
      </c>
      <c r="H147">
        <f t="shared" si="20"/>
        <v>395.06861667670989</v>
      </c>
      <c r="X147" s="2">
        <v>37288</v>
      </c>
      <c r="Y147" s="6">
        <v>315.32499999999999</v>
      </c>
      <c r="Z147" s="6" t="e">
        <v>#N/A</v>
      </c>
      <c r="AA147" s="7">
        <f t="shared" si="15"/>
        <v>308.46416666666664</v>
      </c>
      <c r="AB147" s="7">
        <f t="shared" ref="AB147:AB190" si="22">IF(ISNA(AVERAGE(Z130:Z147)),AE147,AVERAGE(Z130:Z147))</f>
        <v>395.06861667670989</v>
      </c>
      <c r="AC147" s="18">
        <f t="shared" si="17"/>
        <v>1.2442621930934231E-3</v>
      </c>
      <c r="AE147">
        <f t="shared" si="16"/>
        <v>395.06861667670989</v>
      </c>
    </row>
    <row r="148" spans="1:31" x14ac:dyDescent="0.25">
      <c r="A148" s="2">
        <v>37316</v>
      </c>
      <c r="B148" s="6">
        <v>328.24</v>
      </c>
      <c r="C148" s="6" t="e">
        <v>#N/A</v>
      </c>
      <c r="D148" s="7">
        <f t="shared" ref="D148:D211" si="23">AVERAGE(B131:B148)</f>
        <v>309.1563888888889</v>
      </c>
      <c r="E148" s="17">
        <f t="shared" si="18"/>
        <v>395.95518732354208</v>
      </c>
      <c r="F148" s="9">
        <f t="shared" si="21"/>
        <v>2.2440928218747658E-3</v>
      </c>
      <c r="G148" s="9">
        <f t="shared" si="19"/>
        <v>2.2440928218747658E-3</v>
      </c>
      <c r="H148">
        <f t="shared" si="20"/>
        <v>395.95518732354208</v>
      </c>
      <c r="X148" s="2">
        <v>37316</v>
      </c>
      <c r="Y148" s="6">
        <v>328.24</v>
      </c>
      <c r="Z148" s="6" t="e">
        <v>#N/A</v>
      </c>
      <c r="AA148" s="7">
        <f t="shared" ref="AA148:AA211" si="24">AVERAGE(Y131:Y148)</f>
        <v>309.1563888888889</v>
      </c>
      <c r="AB148" s="7">
        <f t="shared" si="22"/>
        <v>395.95518732354208</v>
      </c>
      <c r="AC148" s="18">
        <f t="shared" si="17"/>
        <v>2.2440928218747909E-3</v>
      </c>
      <c r="AE148">
        <f t="shared" ref="AE148:AE189" si="25">AB149/(1+AC149)</f>
        <v>395.95518732354208</v>
      </c>
    </row>
    <row r="149" spans="1:31" x14ac:dyDescent="0.25">
      <c r="A149" s="2">
        <v>37347</v>
      </c>
      <c r="B149" s="6">
        <v>347.52499999999998</v>
      </c>
      <c r="C149" s="6" t="e">
        <v>#N/A</v>
      </c>
      <c r="D149" s="7">
        <f t="shared" si="23"/>
        <v>311.55777777777774</v>
      </c>
      <c r="E149" s="17">
        <f t="shared" si="18"/>
        <v>399.03079055061426</v>
      </c>
      <c r="F149" s="9">
        <f t="shared" si="21"/>
        <v>7.767553818051276E-3</v>
      </c>
      <c r="G149" s="9">
        <f t="shared" si="19"/>
        <v>7.767553818051276E-3</v>
      </c>
      <c r="H149">
        <f t="shared" si="20"/>
        <v>399.03079055061426</v>
      </c>
      <c r="X149" s="2">
        <v>37347</v>
      </c>
      <c r="Y149" s="6">
        <v>347.52499999999998</v>
      </c>
      <c r="Z149" s="6" t="e">
        <v>#N/A</v>
      </c>
      <c r="AA149" s="7">
        <f t="shared" si="24"/>
        <v>311.55777777777774</v>
      </c>
      <c r="AB149" s="7">
        <f t="shared" si="22"/>
        <v>399.03079055061426</v>
      </c>
      <c r="AC149" s="18">
        <f t="shared" ref="AC149:AC212" si="26">(AA149-AA148)/AA148</f>
        <v>7.7675538180513141E-3</v>
      </c>
      <c r="AE149">
        <f t="shared" si="25"/>
        <v>399.03079055061426</v>
      </c>
    </row>
    <row r="150" spans="1:31" x14ac:dyDescent="0.25">
      <c r="A150" s="2">
        <v>37377</v>
      </c>
      <c r="B150" s="6">
        <v>369.16</v>
      </c>
      <c r="C150" s="6" t="e">
        <v>#N/A</v>
      </c>
      <c r="D150" s="7">
        <f t="shared" si="23"/>
        <v>314.68333333333334</v>
      </c>
      <c r="E150" s="17">
        <f t="shared" si="18"/>
        <v>403.03387759642305</v>
      </c>
      <c r="F150" s="9">
        <f t="shared" si="21"/>
        <v>1.0032025449176585E-2</v>
      </c>
      <c r="G150" s="9">
        <f t="shared" si="19"/>
        <v>1.0032025449176585E-2</v>
      </c>
      <c r="H150">
        <f t="shared" si="20"/>
        <v>403.03387759642305</v>
      </c>
      <c r="X150" s="2">
        <v>37377</v>
      </c>
      <c r="Y150" s="6">
        <v>369.16</v>
      </c>
      <c r="Z150" s="6" t="e">
        <v>#N/A</v>
      </c>
      <c r="AA150" s="7">
        <f t="shared" si="24"/>
        <v>314.68333333333334</v>
      </c>
      <c r="AB150" s="7">
        <f t="shared" si="22"/>
        <v>403.03387759642305</v>
      </c>
      <c r="AC150" s="18">
        <f t="shared" si="26"/>
        <v>1.0032025449176661E-2</v>
      </c>
      <c r="AE150">
        <f t="shared" si="25"/>
        <v>403.03387759642305</v>
      </c>
    </row>
    <row r="151" spans="1:31" x14ac:dyDescent="0.25">
      <c r="A151" s="2">
        <v>37408</v>
      </c>
      <c r="B151" s="6">
        <v>373.17500000000001</v>
      </c>
      <c r="C151" s="6" t="e">
        <v>#N/A</v>
      </c>
      <c r="D151" s="7">
        <f t="shared" si="23"/>
        <v>319.00527777777779</v>
      </c>
      <c r="E151" s="17">
        <f t="shared" si="18"/>
        <v>408.56925187172874</v>
      </c>
      <c r="F151" s="9">
        <f t="shared" si="21"/>
        <v>1.3734265487350683E-2</v>
      </c>
      <c r="G151" s="9">
        <f t="shared" si="19"/>
        <v>1.3734265487350683E-2</v>
      </c>
      <c r="H151">
        <f t="shared" si="20"/>
        <v>408.56925187172874</v>
      </c>
      <c r="X151" s="2">
        <v>37408</v>
      </c>
      <c r="Y151" s="6">
        <v>373.17500000000001</v>
      </c>
      <c r="Z151" s="6" t="e">
        <v>#N/A</v>
      </c>
      <c r="AA151" s="7">
        <f t="shared" si="24"/>
        <v>319.00527777777779</v>
      </c>
      <c r="AB151" s="7">
        <f t="shared" si="22"/>
        <v>408.56925187172874</v>
      </c>
      <c r="AC151" s="18">
        <f t="shared" si="26"/>
        <v>1.3734265487350633E-2</v>
      </c>
      <c r="AE151">
        <f t="shared" si="25"/>
        <v>408.56925187172874</v>
      </c>
    </row>
    <row r="152" spans="1:31" x14ac:dyDescent="0.25">
      <c r="A152" s="2">
        <v>37438</v>
      </c>
      <c r="B152" s="6">
        <v>374.25</v>
      </c>
      <c r="C152" s="6" t="e">
        <v>#N/A</v>
      </c>
      <c r="D152" s="7">
        <f t="shared" si="23"/>
        <v>322.34694444444438</v>
      </c>
      <c r="E152" s="17">
        <f t="shared" si="18"/>
        <v>412.84912541963831</v>
      </c>
      <c r="F152" s="9">
        <f t="shared" si="21"/>
        <v>1.0475270785314184E-2</v>
      </c>
      <c r="G152" s="9">
        <f t="shared" si="19"/>
        <v>1.0475270785314184E-2</v>
      </c>
      <c r="H152">
        <f t="shared" si="20"/>
        <v>412.84912541963831</v>
      </c>
      <c r="X152" s="2">
        <v>37438</v>
      </c>
      <c r="Y152" s="6">
        <v>374.25</v>
      </c>
      <c r="Z152" s="6" t="e">
        <v>#N/A</v>
      </c>
      <c r="AA152" s="7">
        <f t="shared" si="24"/>
        <v>322.34694444444438</v>
      </c>
      <c r="AB152" s="7">
        <f t="shared" si="22"/>
        <v>412.84912541963831</v>
      </c>
      <c r="AC152" s="18">
        <f t="shared" si="26"/>
        <v>1.0475270785314158E-2</v>
      </c>
      <c r="AE152">
        <f t="shared" si="25"/>
        <v>412.84912541963831</v>
      </c>
    </row>
    <row r="153" spans="1:31" x14ac:dyDescent="0.25">
      <c r="A153" s="2">
        <v>37469</v>
      </c>
      <c r="B153" s="6">
        <v>360.6</v>
      </c>
      <c r="C153" s="6" t="e">
        <v>#N/A</v>
      </c>
      <c r="D153" s="7">
        <f t="shared" si="23"/>
        <v>326.34138888888884</v>
      </c>
      <c r="E153" s="17">
        <f t="shared" si="18"/>
        <v>417.96505074124605</v>
      </c>
      <c r="F153" s="9">
        <f t="shared" si="21"/>
        <v>1.2391755260248383E-2</v>
      </c>
      <c r="G153" s="9">
        <f t="shared" si="19"/>
        <v>1.2391755260248383E-2</v>
      </c>
      <c r="H153">
        <f t="shared" si="20"/>
        <v>417.96505074124605</v>
      </c>
      <c r="X153" s="2">
        <v>37469</v>
      </c>
      <c r="Y153" s="6">
        <v>360.6</v>
      </c>
      <c r="Z153" s="6" t="e">
        <v>#N/A</v>
      </c>
      <c r="AA153" s="7">
        <f t="shared" si="24"/>
        <v>326.34138888888884</v>
      </c>
      <c r="AB153" s="7">
        <f t="shared" si="22"/>
        <v>417.96505074124605</v>
      </c>
      <c r="AC153" s="18">
        <f t="shared" si="26"/>
        <v>1.2391755260248482E-2</v>
      </c>
      <c r="AE153">
        <f t="shared" si="25"/>
        <v>417.96505074124605</v>
      </c>
    </row>
    <row r="154" spans="1:31" x14ac:dyDescent="0.25">
      <c r="A154" s="2">
        <v>37500</v>
      </c>
      <c r="B154" s="6">
        <v>369.52499999999998</v>
      </c>
      <c r="C154" s="6" t="e">
        <v>#N/A</v>
      </c>
      <c r="D154" s="7">
        <f t="shared" si="23"/>
        <v>330.2349999999999</v>
      </c>
      <c r="E154" s="17">
        <f t="shared" si="18"/>
        <v>422.95183274632075</v>
      </c>
      <c r="F154" s="9">
        <f t="shared" si="21"/>
        <v>1.1931098057674561E-2</v>
      </c>
      <c r="G154" s="9">
        <f t="shared" si="19"/>
        <v>1.1931098057674561E-2</v>
      </c>
      <c r="H154">
        <f t="shared" si="20"/>
        <v>422.95183274632075</v>
      </c>
      <c r="X154" s="2">
        <v>37500</v>
      </c>
      <c r="Y154" s="6">
        <v>369.52499999999998</v>
      </c>
      <c r="Z154" s="6" t="e">
        <v>#N/A</v>
      </c>
      <c r="AA154" s="7">
        <f t="shared" si="24"/>
        <v>330.2349999999999</v>
      </c>
      <c r="AB154" s="7">
        <f t="shared" si="22"/>
        <v>422.95183274632075</v>
      </c>
      <c r="AC154" s="18">
        <f t="shared" si="26"/>
        <v>1.1931098057674611E-2</v>
      </c>
      <c r="AE154">
        <f t="shared" si="25"/>
        <v>422.95183274632075</v>
      </c>
    </row>
    <row r="155" spans="1:31" x14ac:dyDescent="0.25">
      <c r="A155" s="2">
        <v>37530</v>
      </c>
      <c r="B155" s="6">
        <v>348.625</v>
      </c>
      <c r="C155" s="6" t="e">
        <v>#N/A</v>
      </c>
      <c r="D155" s="7">
        <f t="shared" si="23"/>
        <v>332.84194444444444</v>
      </c>
      <c r="E155" s="17">
        <f t="shared" si="18"/>
        <v>426.29070334043001</v>
      </c>
      <c r="F155" s="9">
        <f t="shared" si="21"/>
        <v>7.8942100154271166E-3</v>
      </c>
      <c r="G155" s="9">
        <f t="shared" si="19"/>
        <v>7.8942100154271166E-3</v>
      </c>
      <c r="H155">
        <f t="shared" si="20"/>
        <v>426.29070334043001</v>
      </c>
      <c r="X155" s="2">
        <v>37530</v>
      </c>
      <c r="Y155" s="6">
        <v>348.625</v>
      </c>
      <c r="Z155" s="6" t="e">
        <v>#N/A</v>
      </c>
      <c r="AA155" s="7">
        <f t="shared" si="24"/>
        <v>332.84194444444444</v>
      </c>
      <c r="AB155" s="7">
        <f t="shared" si="22"/>
        <v>426.29070334043001</v>
      </c>
      <c r="AC155" s="18">
        <f t="shared" si="26"/>
        <v>7.8942100154270056E-3</v>
      </c>
      <c r="AE155">
        <f t="shared" si="25"/>
        <v>426.29070334043001</v>
      </c>
    </row>
    <row r="156" spans="1:31" x14ac:dyDescent="0.25">
      <c r="A156" s="2">
        <v>37561</v>
      </c>
      <c r="B156" s="6">
        <v>356.92</v>
      </c>
      <c r="C156" s="6" t="e">
        <v>#N/A</v>
      </c>
      <c r="D156" s="7">
        <f t="shared" si="23"/>
        <v>335.56527777777774</v>
      </c>
      <c r="E156" s="17">
        <f t="shared" si="18"/>
        <v>429.77864018695584</v>
      </c>
      <c r="F156" s="9">
        <f t="shared" si="21"/>
        <v>8.1820617226560088E-3</v>
      </c>
      <c r="G156" s="9">
        <f t="shared" si="19"/>
        <v>8.1820617226560088E-3</v>
      </c>
      <c r="H156">
        <f t="shared" si="20"/>
        <v>429.77864018695584</v>
      </c>
      <c r="X156" s="2">
        <v>37561</v>
      </c>
      <c r="Y156" s="6">
        <v>356.92</v>
      </c>
      <c r="Z156" s="6" t="e">
        <v>#N/A</v>
      </c>
      <c r="AA156" s="7">
        <f t="shared" si="24"/>
        <v>335.56527777777774</v>
      </c>
      <c r="AB156" s="7">
        <f t="shared" si="22"/>
        <v>429.77864018695584</v>
      </c>
      <c r="AC156" s="18">
        <f t="shared" si="26"/>
        <v>8.1820617226560505E-3</v>
      </c>
      <c r="AE156">
        <f t="shared" si="25"/>
        <v>429.77864018695584</v>
      </c>
    </row>
    <row r="157" spans="1:31" x14ac:dyDescent="0.25">
      <c r="A157" s="2">
        <v>37591</v>
      </c>
      <c r="B157" s="6">
        <v>357.625</v>
      </c>
      <c r="C157" s="6" t="e">
        <v>#N/A</v>
      </c>
      <c r="D157" s="7">
        <f t="shared" si="23"/>
        <v>337.35111111111109</v>
      </c>
      <c r="E157" s="17">
        <f t="shared" si="18"/>
        <v>432.06586437976648</v>
      </c>
      <c r="F157" s="9">
        <f t="shared" si="21"/>
        <v>5.3218656744218329E-3</v>
      </c>
      <c r="G157" s="9">
        <f t="shared" si="19"/>
        <v>5.3218656744218329E-3</v>
      </c>
      <c r="H157">
        <f t="shared" si="20"/>
        <v>432.06586437976648</v>
      </c>
      <c r="X157" s="2">
        <v>37591</v>
      </c>
      <c r="Y157" s="6">
        <v>357.625</v>
      </c>
      <c r="Z157" s="6" t="e">
        <v>#N/A</v>
      </c>
      <c r="AA157" s="7">
        <f t="shared" si="24"/>
        <v>337.35111111111109</v>
      </c>
      <c r="AB157" s="7">
        <f t="shared" si="22"/>
        <v>432.06586437976648</v>
      </c>
      <c r="AC157" s="18">
        <f t="shared" si="26"/>
        <v>5.3218656744217574E-3</v>
      </c>
      <c r="AE157">
        <f t="shared" si="25"/>
        <v>432.06586437976648</v>
      </c>
    </row>
    <row r="158" spans="1:31" x14ac:dyDescent="0.25">
      <c r="A158" s="2">
        <v>37622</v>
      </c>
      <c r="B158" s="6">
        <v>365.22</v>
      </c>
      <c r="C158" s="6" t="e">
        <v>#N/A</v>
      </c>
      <c r="D158" s="7">
        <f t="shared" si="23"/>
        <v>340.31194444444441</v>
      </c>
      <c r="E158" s="17">
        <f t="shared" si="18"/>
        <v>435.8579817652336</v>
      </c>
      <c r="F158" s="9">
        <f t="shared" si="21"/>
        <v>8.7767113722596601E-3</v>
      </c>
      <c r="G158" s="9">
        <f t="shared" si="19"/>
        <v>8.7767113722596601E-3</v>
      </c>
      <c r="H158">
        <f t="shared" si="20"/>
        <v>435.8579817652336</v>
      </c>
      <c r="X158" s="2">
        <v>37622</v>
      </c>
      <c r="Y158" s="6">
        <v>365.22</v>
      </c>
      <c r="Z158" s="6" t="e">
        <v>#N/A</v>
      </c>
      <c r="AA158" s="7">
        <f t="shared" si="24"/>
        <v>340.31194444444441</v>
      </c>
      <c r="AB158" s="7">
        <f t="shared" si="22"/>
        <v>435.8579817652336</v>
      </c>
      <c r="AC158" s="18">
        <f t="shared" si="26"/>
        <v>8.7767113722596341E-3</v>
      </c>
      <c r="AE158">
        <f t="shared" si="25"/>
        <v>435.8579817652336</v>
      </c>
    </row>
    <row r="159" spans="1:31" x14ac:dyDescent="0.25">
      <c r="A159" s="2">
        <v>37653</v>
      </c>
      <c r="B159" s="6">
        <v>329.45</v>
      </c>
      <c r="C159" s="6" t="e">
        <v>#N/A</v>
      </c>
      <c r="D159" s="7">
        <f t="shared" si="23"/>
        <v>341.67583333333334</v>
      </c>
      <c r="E159" s="17">
        <f t="shared" si="18"/>
        <v>437.60479632219432</v>
      </c>
      <c r="F159" s="9">
        <f t="shared" si="21"/>
        <v>4.0077608534001552E-3</v>
      </c>
      <c r="G159" s="9">
        <f t="shared" si="19"/>
        <v>4.0077608534001552E-3</v>
      </c>
      <c r="H159">
        <f t="shared" si="20"/>
        <v>437.60479632219432</v>
      </c>
      <c r="X159" s="2">
        <v>37653</v>
      </c>
      <c r="Y159" s="6">
        <v>329.45</v>
      </c>
      <c r="Z159" s="6" t="e">
        <v>#N/A</v>
      </c>
      <c r="AA159" s="7">
        <f t="shared" si="24"/>
        <v>341.67583333333334</v>
      </c>
      <c r="AB159" s="7">
        <f t="shared" si="22"/>
        <v>437.60479632219432</v>
      </c>
      <c r="AC159" s="18">
        <f t="shared" si="26"/>
        <v>4.0077608534001673E-3</v>
      </c>
      <c r="AE159">
        <f t="shared" si="25"/>
        <v>437.60479632219432</v>
      </c>
    </row>
    <row r="160" spans="1:31" x14ac:dyDescent="0.25">
      <c r="A160" s="2">
        <v>37681</v>
      </c>
      <c r="B160" s="6">
        <v>360.17500000000001</v>
      </c>
      <c r="C160" s="6" t="e">
        <v>#N/A</v>
      </c>
      <c r="D160" s="7">
        <f t="shared" si="23"/>
        <v>345.22444444444443</v>
      </c>
      <c r="E160" s="17">
        <f t="shared" si="18"/>
        <v>442.14971607070186</v>
      </c>
      <c r="F160" s="9">
        <f t="shared" si="21"/>
        <v>1.0385900215685195E-2</v>
      </c>
      <c r="G160" s="9">
        <f t="shared" si="19"/>
        <v>1.0385900215685195E-2</v>
      </c>
      <c r="H160">
        <f t="shared" si="20"/>
        <v>442.14971607070186</v>
      </c>
      <c r="X160" s="2">
        <v>37681</v>
      </c>
      <c r="Y160" s="6">
        <v>360.17500000000001</v>
      </c>
      <c r="Z160" s="6" t="e">
        <v>#N/A</v>
      </c>
      <c r="AA160" s="7">
        <f t="shared" si="24"/>
        <v>345.22444444444443</v>
      </c>
      <c r="AB160" s="7">
        <f t="shared" si="22"/>
        <v>442.14971607070186</v>
      </c>
      <c r="AC160" s="18">
        <f t="shared" si="26"/>
        <v>1.0385900215685195E-2</v>
      </c>
      <c r="AE160">
        <f t="shared" si="25"/>
        <v>442.14971607070186</v>
      </c>
    </row>
    <row r="161" spans="1:31" x14ac:dyDescent="0.25">
      <c r="A161" s="2">
        <v>37712</v>
      </c>
      <c r="B161" s="6">
        <v>373.2</v>
      </c>
      <c r="C161" s="6" t="e">
        <v>#N/A</v>
      </c>
      <c r="D161" s="7">
        <f t="shared" si="23"/>
        <v>350.84527777777777</v>
      </c>
      <c r="E161" s="17">
        <f t="shared" si="18"/>
        <v>449.34865549231051</v>
      </c>
      <c r="F161" s="9">
        <f t="shared" si="21"/>
        <v>1.6281678264060018E-2</v>
      </c>
      <c r="G161" s="9">
        <f t="shared" si="19"/>
        <v>1.6281678264060018E-2</v>
      </c>
      <c r="H161">
        <f t="shared" si="20"/>
        <v>449.34865549231051</v>
      </c>
      <c r="X161" s="2">
        <v>37712</v>
      </c>
      <c r="Y161" s="6">
        <v>373.2</v>
      </c>
      <c r="Z161" s="6" t="e">
        <v>#N/A</v>
      </c>
      <c r="AA161" s="7">
        <f t="shared" si="24"/>
        <v>350.84527777777777</v>
      </c>
      <c r="AB161" s="7">
        <f t="shared" si="22"/>
        <v>449.34865549231051</v>
      </c>
      <c r="AC161" s="18">
        <f t="shared" si="26"/>
        <v>1.6281678264060108E-2</v>
      </c>
      <c r="AE161">
        <f t="shared" si="25"/>
        <v>449.34865549231051</v>
      </c>
    </row>
    <row r="162" spans="1:31" x14ac:dyDescent="0.25">
      <c r="A162" s="2">
        <v>37742</v>
      </c>
      <c r="B162" s="6">
        <v>416.64</v>
      </c>
      <c r="C162" s="6" t="e">
        <v>#N/A</v>
      </c>
      <c r="D162" s="7">
        <f t="shared" si="23"/>
        <v>356.49194444444447</v>
      </c>
      <c r="E162" s="17">
        <f t="shared" si="18"/>
        <v>456.58068121815495</v>
      </c>
      <c r="F162" s="9">
        <f t="shared" si="21"/>
        <v>1.6094463925614644E-2</v>
      </c>
      <c r="G162" s="9">
        <f t="shared" si="19"/>
        <v>1.6094463925614644E-2</v>
      </c>
      <c r="H162">
        <f t="shared" si="20"/>
        <v>456.58068121815495</v>
      </c>
      <c r="X162" s="2">
        <v>37742</v>
      </c>
      <c r="Y162" s="6">
        <v>416.64</v>
      </c>
      <c r="Z162" s="6" t="e">
        <v>#N/A</v>
      </c>
      <c r="AA162" s="7">
        <f t="shared" si="24"/>
        <v>356.49194444444447</v>
      </c>
      <c r="AB162" s="7">
        <f t="shared" si="22"/>
        <v>456.58068121815495</v>
      </c>
      <c r="AC162" s="18">
        <f t="shared" si="26"/>
        <v>1.6094463925614675E-2</v>
      </c>
      <c r="AE162">
        <f t="shared" si="25"/>
        <v>456.58068121815495</v>
      </c>
    </row>
    <row r="163" spans="1:31" x14ac:dyDescent="0.25">
      <c r="A163" s="2">
        <v>37773</v>
      </c>
      <c r="B163" s="6">
        <v>421.9</v>
      </c>
      <c r="C163" s="6" t="e">
        <v>#N/A</v>
      </c>
      <c r="D163" s="7">
        <f t="shared" si="23"/>
        <v>362.43083333333334</v>
      </c>
      <c r="E163" s="17">
        <f t="shared" si="18"/>
        <v>464.18697352524629</v>
      </c>
      <c r="F163" s="9">
        <f t="shared" si="21"/>
        <v>1.6659251299896871E-2</v>
      </c>
      <c r="G163" s="9">
        <f t="shared" si="19"/>
        <v>1.6659251299896871E-2</v>
      </c>
      <c r="H163">
        <f t="shared" si="20"/>
        <v>464.18697352524629</v>
      </c>
      <c r="X163" s="2">
        <v>37773</v>
      </c>
      <c r="Y163" s="6">
        <v>421.9</v>
      </c>
      <c r="Z163" s="6" t="e">
        <v>#N/A</v>
      </c>
      <c r="AA163" s="7">
        <f t="shared" si="24"/>
        <v>362.43083333333334</v>
      </c>
      <c r="AB163" s="7">
        <f t="shared" si="22"/>
        <v>464.18697352524629</v>
      </c>
      <c r="AC163" s="18">
        <f t="shared" si="26"/>
        <v>1.6659251299896854E-2</v>
      </c>
      <c r="AE163">
        <f t="shared" si="25"/>
        <v>464.18697352524629</v>
      </c>
    </row>
    <row r="164" spans="1:31" x14ac:dyDescent="0.25">
      <c r="A164" s="2">
        <v>37803</v>
      </c>
      <c r="B164" s="6">
        <v>432.65</v>
      </c>
      <c r="C164" s="6" t="e">
        <v>#N/A</v>
      </c>
      <c r="D164" s="7">
        <f t="shared" si="23"/>
        <v>366.67805555555555</v>
      </c>
      <c r="E164" s="17">
        <f t="shared" si="18"/>
        <v>469.6266465549669</v>
      </c>
      <c r="F164" s="9">
        <f t="shared" si="21"/>
        <v>1.1718711079738542E-2</v>
      </c>
      <c r="G164" s="9">
        <f t="shared" si="19"/>
        <v>1.1718711079738542E-2</v>
      </c>
      <c r="H164">
        <f t="shared" si="20"/>
        <v>469.6266465549669</v>
      </c>
      <c r="X164" s="2">
        <v>37803</v>
      </c>
      <c r="Y164" s="6">
        <v>432.65</v>
      </c>
      <c r="Z164" s="6" t="e">
        <v>#N/A</v>
      </c>
      <c r="AA164" s="7">
        <f t="shared" si="24"/>
        <v>366.67805555555555</v>
      </c>
      <c r="AB164" s="7">
        <f t="shared" si="22"/>
        <v>469.6266465549669</v>
      </c>
      <c r="AC164" s="18">
        <f t="shared" si="26"/>
        <v>1.171871107973854E-2</v>
      </c>
      <c r="AE164">
        <f t="shared" si="25"/>
        <v>469.6266465549669</v>
      </c>
    </row>
    <row r="165" spans="1:31" x14ac:dyDescent="0.25">
      <c r="A165" s="2">
        <v>37834</v>
      </c>
      <c r="B165" s="6">
        <v>405.42</v>
      </c>
      <c r="C165" s="6" t="e">
        <v>#N/A</v>
      </c>
      <c r="D165" s="7">
        <f t="shared" si="23"/>
        <v>371.68333333333328</v>
      </c>
      <c r="E165" s="17">
        <f t="shared" si="18"/>
        <v>476.03720694231384</v>
      </c>
      <c r="F165" s="9">
        <f t="shared" si="21"/>
        <v>1.3650333588123287E-2</v>
      </c>
      <c r="G165" s="9">
        <f t="shared" si="19"/>
        <v>1.3650333588123287E-2</v>
      </c>
      <c r="H165">
        <f t="shared" si="20"/>
        <v>476.03720694231384</v>
      </c>
      <c r="X165" s="2">
        <v>37834</v>
      </c>
      <c r="Y165" s="6">
        <v>405.42</v>
      </c>
      <c r="Z165" s="6" t="e">
        <v>#N/A</v>
      </c>
      <c r="AA165" s="7">
        <f t="shared" si="24"/>
        <v>371.68333333333328</v>
      </c>
      <c r="AB165" s="7">
        <f t="shared" si="22"/>
        <v>476.03720694231384</v>
      </c>
      <c r="AC165" s="18">
        <f t="shared" si="26"/>
        <v>1.3650333588123283E-2</v>
      </c>
      <c r="AE165">
        <f t="shared" si="25"/>
        <v>476.03720694231384</v>
      </c>
    </row>
    <row r="166" spans="1:31" x14ac:dyDescent="0.25">
      <c r="A166" s="2">
        <v>37865</v>
      </c>
      <c r="B166" s="6">
        <v>410.27499999999998</v>
      </c>
      <c r="C166" s="6" t="e">
        <v>#N/A</v>
      </c>
      <c r="D166" s="7">
        <f t="shared" si="23"/>
        <v>376.24083333333328</v>
      </c>
      <c r="E166" s="17">
        <f t="shared" si="18"/>
        <v>481.8742713895752</v>
      </c>
      <c r="F166" s="9">
        <f t="shared" si="21"/>
        <v>1.2261781982870756E-2</v>
      </c>
      <c r="G166" s="9">
        <f t="shared" si="19"/>
        <v>1.2261781982870756E-2</v>
      </c>
      <c r="H166">
        <f t="shared" si="20"/>
        <v>481.8742713895752</v>
      </c>
      <c r="X166" s="2">
        <v>37865</v>
      </c>
      <c r="Y166" s="6">
        <v>410.27499999999998</v>
      </c>
      <c r="Z166" s="6" t="e">
        <v>#N/A</v>
      </c>
      <c r="AA166" s="7">
        <f t="shared" si="24"/>
        <v>376.24083333333328</v>
      </c>
      <c r="AB166" s="7">
        <f t="shared" si="22"/>
        <v>481.8742713895752</v>
      </c>
      <c r="AC166" s="18">
        <f t="shared" si="26"/>
        <v>1.2261781982870737E-2</v>
      </c>
      <c r="AE166">
        <f t="shared" si="25"/>
        <v>481.8742713895752</v>
      </c>
    </row>
    <row r="167" spans="1:31" x14ac:dyDescent="0.25">
      <c r="A167" s="2">
        <v>37895</v>
      </c>
      <c r="B167" s="6">
        <v>390.88</v>
      </c>
      <c r="C167" s="6" t="e">
        <v>#N/A</v>
      </c>
      <c r="D167" s="7">
        <f t="shared" si="23"/>
        <v>378.64944444444444</v>
      </c>
      <c r="E167" s="17">
        <f t="shared" si="18"/>
        <v>484.95912455116496</v>
      </c>
      <c r="F167" s="9">
        <f t="shared" si="21"/>
        <v>6.4017801836442345E-3</v>
      </c>
      <c r="G167" s="9">
        <f t="shared" si="19"/>
        <v>6.4017801836442345E-3</v>
      </c>
      <c r="H167">
        <f t="shared" si="20"/>
        <v>484.95912455116496</v>
      </c>
      <c r="X167" s="2">
        <v>37895</v>
      </c>
      <c r="Y167" s="6">
        <v>390.88</v>
      </c>
      <c r="Z167" s="6" t="e">
        <v>#N/A</v>
      </c>
      <c r="AA167" s="7">
        <f t="shared" si="24"/>
        <v>378.64944444444444</v>
      </c>
      <c r="AB167" s="7">
        <f t="shared" si="22"/>
        <v>484.95912455116496</v>
      </c>
      <c r="AC167" s="18">
        <f t="shared" si="26"/>
        <v>6.4017801836443143E-3</v>
      </c>
      <c r="AE167">
        <f t="shared" si="25"/>
        <v>484.95912455116496</v>
      </c>
    </row>
    <row r="168" spans="1:31" x14ac:dyDescent="0.25">
      <c r="A168" s="2">
        <v>37926</v>
      </c>
      <c r="B168" s="6">
        <v>425.75</v>
      </c>
      <c r="C168" s="6" t="e">
        <v>#N/A</v>
      </c>
      <c r="D168" s="7">
        <f t="shared" si="23"/>
        <v>381.79333333333329</v>
      </c>
      <c r="E168" s="17">
        <f t="shared" si="18"/>
        <v>488.98569219997967</v>
      </c>
      <c r="F168" s="9">
        <f t="shared" si="21"/>
        <v>8.3029011002553332E-3</v>
      </c>
      <c r="G168" s="9">
        <f t="shared" si="19"/>
        <v>8.3029011002553332E-3</v>
      </c>
      <c r="H168">
        <f t="shared" si="20"/>
        <v>488.98569219997967</v>
      </c>
      <c r="X168" s="2">
        <v>37926</v>
      </c>
      <c r="Y168" s="6">
        <v>425.75</v>
      </c>
      <c r="Z168" s="6" t="e">
        <v>#N/A</v>
      </c>
      <c r="AA168" s="7">
        <f t="shared" si="24"/>
        <v>381.79333333333329</v>
      </c>
      <c r="AB168" s="7">
        <f t="shared" si="22"/>
        <v>488.98569219997967</v>
      </c>
      <c r="AC168" s="18">
        <f t="shared" si="26"/>
        <v>8.3029011002553454E-3</v>
      </c>
      <c r="AE168">
        <f t="shared" si="25"/>
        <v>488.98569219997967</v>
      </c>
    </row>
    <row r="169" spans="1:31" x14ac:dyDescent="0.25">
      <c r="A169" s="2">
        <v>37956</v>
      </c>
      <c r="B169" s="6">
        <v>409.67500000000001</v>
      </c>
      <c r="C169" s="6" t="e">
        <v>#N/A</v>
      </c>
      <c r="D169" s="7">
        <f t="shared" si="23"/>
        <v>383.82111111111112</v>
      </c>
      <c r="E169" s="17">
        <f t="shared" si="18"/>
        <v>491.58278919912686</v>
      </c>
      <c r="F169" s="9">
        <f t="shared" si="21"/>
        <v>5.3111922098634246E-3</v>
      </c>
      <c r="G169" s="9">
        <f t="shared" si="19"/>
        <v>5.3111922098634246E-3</v>
      </c>
      <c r="H169">
        <f t="shared" si="20"/>
        <v>491.58278919912686</v>
      </c>
      <c r="X169" s="2">
        <v>37956</v>
      </c>
      <c r="Y169" s="6">
        <v>409.67500000000001</v>
      </c>
      <c r="Z169" s="6" t="e">
        <v>#N/A</v>
      </c>
      <c r="AA169" s="7">
        <f t="shared" si="24"/>
        <v>383.82111111111112</v>
      </c>
      <c r="AB169" s="7">
        <f t="shared" si="22"/>
        <v>491.58278919912686</v>
      </c>
      <c r="AC169" s="18">
        <f t="shared" si="26"/>
        <v>5.311192209863526E-3</v>
      </c>
      <c r="AE169">
        <f t="shared" si="25"/>
        <v>491.58278919912686</v>
      </c>
    </row>
    <row r="170" spans="1:31" x14ac:dyDescent="0.25">
      <c r="A170" s="2">
        <v>37987</v>
      </c>
      <c r="B170" s="6">
        <v>448.88</v>
      </c>
      <c r="C170" s="6" t="e">
        <v>#N/A</v>
      </c>
      <c r="D170" s="7">
        <f t="shared" si="23"/>
        <v>387.96722222222223</v>
      </c>
      <c r="E170" s="17">
        <f t="shared" si="18"/>
        <v>496.89296314560232</v>
      </c>
      <c r="F170" s="9">
        <f t="shared" si="21"/>
        <v>1.0802196625163907E-2</v>
      </c>
      <c r="G170" s="9">
        <f t="shared" si="19"/>
        <v>1.0802196625163907E-2</v>
      </c>
      <c r="H170">
        <f t="shared" si="20"/>
        <v>496.89296314560232</v>
      </c>
      <c r="X170" s="2">
        <v>37987</v>
      </c>
      <c r="Y170" s="6">
        <v>448.88</v>
      </c>
      <c r="Z170" s="6" t="e">
        <v>#N/A</v>
      </c>
      <c r="AA170" s="7">
        <f t="shared" si="24"/>
        <v>387.96722222222223</v>
      </c>
      <c r="AB170" s="7">
        <f t="shared" si="22"/>
        <v>496.89296314560232</v>
      </c>
      <c r="AC170" s="18">
        <f t="shared" si="26"/>
        <v>1.0802196625163921E-2</v>
      </c>
      <c r="AE170">
        <f t="shared" si="25"/>
        <v>496.89296314560232</v>
      </c>
    </row>
    <row r="171" spans="1:31" x14ac:dyDescent="0.25">
      <c r="A171" s="2">
        <v>38018</v>
      </c>
      <c r="B171" s="6">
        <v>415.55</v>
      </c>
      <c r="C171" s="6" t="e">
        <v>#N/A</v>
      </c>
      <c r="D171" s="7">
        <f t="shared" si="23"/>
        <v>391.02</v>
      </c>
      <c r="E171" s="17">
        <f t="shared" si="18"/>
        <v>500.80283931281161</v>
      </c>
      <c r="F171" s="9">
        <f t="shared" si="21"/>
        <v>7.8686486974128833E-3</v>
      </c>
      <c r="G171" s="9">
        <f t="shared" si="19"/>
        <v>7.8686486974128833E-3</v>
      </c>
      <c r="H171">
        <f t="shared" si="20"/>
        <v>500.80283931281161</v>
      </c>
      <c r="X171" s="2">
        <v>38018</v>
      </c>
      <c r="Y171" s="6">
        <v>415.55</v>
      </c>
      <c r="Z171" s="6" t="e">
        <v>#N/A</v>
      </c>
      <c r="AA171" s="7">
        <f t="shared" si="24"/>
        <v>391.02</v>
      </c>
      <c r="AB171" s="7">
        <f t="shared" si="22"/>
        <v>500.80283931281161</v>
      </c>
      <c r="AC171" s="18">
        <f t="shared" si="26"/>
        <v>7.8686486974127931E-3</v>
      </c>
      <c r="AE171">
        <f t="shared" si="25"/>
        <v>500.80283931281161</v>
      </c>
    </row>
    <row r="172" spans="1:31" x14ac:dyDescent="0.25">
      <c r="A172" s="2">
        <v>38047</v>
      </c>
      <c r="B172" s="6">
        <v>443.42500000000001</v>
      </c>
      <c r="C172" s="6" t="e">
        <v>#N/A</v>
      </c>
      <c r="D172" s="7">
        <f t="shared" si="23"/>
        <v>395.12555555555559</v>
      </c>
      <c r="E172" s="17">
        <f t="shared" si="18"/>
        <v>506.06107131930418</v>
      </c>
      <c r="F172" s="9">
        <f t="shared" si="21"/>
        <v>1.0499605021624392E-2</v>
      </c>
      <c r="G172" s="9">
        <f t="shared" si="19"/>
        <v>1.0499605021624392E-2</v>
      </c>
      <c r="H172">
        <f t="shared" si="20"/>
        <v>506.06107131930418</v>
      </c>
      <c r="X172" s="2">
        <v>38047</v>
      </c>
      <c r="Y172" s="6">
        <v>443.42500000000001</v>
      </c>
      <c r="Z172" s="6" t="e">
        <v>#N/A</v>
      </c>
      <c r="AA172" s="7">
        <f t="shared" si="24"/>
        <v>395.12555555555559</v>
      </c>
      <c r="AB172" s="7">
        <f t="shared" si="22"/>
        <v>506.06107131930418</v>
      </c>
      <c r="AC172" s="18">
        <f t="shared" si="26"/>
        <v>1.0499605021624498E-2</v>
      </c>
      <c r="AE172">
        <f t="shared" si="25"/>
        <v>506.06107131930418</v>
      </c>
    </row>
    <row r="173" spans="1:31" x14ac:dyDescent="0.25">
      <c r="A173" s="2">
        <v>38078</v>
      </c>
      <c r="B173" s="6">
        <v>457.96</v>
      </c>
      <c r="C173" s="6" t="e">
        <v>#N/A</v>
      </c>
      <c r="D173" s="7">
        <f t="shared" si="23"/>
        <v>401.19972222222231</v>
      </c>
      <c r="E173" s="17">
        <f t="shared" si="18"/>
        <v>513.84062201524284</v>
      </c>
      <c r="F173" s="9">
        <f t="shared" si="21"/>
        <v>1.5372750714962802E-2</v>
      </c>
      <c r="G173" s="9">
        <f t="shared" si="19"/>
        <v>1.5372750714962802E-2</v>
      </c>
      <c r="H173">
        <f t="shared" si="20"/>
        <v>513.84062201524284</v>
      </c>
      <c r="X173" s="2">
        <v>38078</v>
      </c>
      <c r="Y173" s="6">
        <v>457.96</v>
      </c>
      <c r="Z173" s="6" t="e">
        <v>#N/A</v>
      </c>
      <c r="AA173" s="7">
        <f t="shared" si="24"/>
        <v>401.19972222222231</v>
      </c>
      <c r="AB173" s="7">
        <f t="shared" si="22"/>
        <v>513.84062201524284</v>
      </c>
      <c r="AC173" s="18">
        <f t="shared" si="26"/>
        <v>1.5372750714962729E-2</v>
      </c>
      <c r="AE173">
        <f t="shared" si="25"/>
        <v>513.84062201524284</v>
      </c>
    </row>
    <row r="174" spans="1:31" x14ac:dyDescent="0.25">
      <c r="A174" s="2">
        <v>38108</v>
      </c>
      <c r="B174" s="6">
        <v>464.52499999999998</v>
      </c>
      <c r="C174" s="6" t="e">
        <v>#N/A</v>
      </c>
      <c r="D174" s="7">
        <f t="shared" si="23"/>
        <v>407.17777777777781</v>
      </c>
      <c r="E174" s="17">
        <f t="shared" si="18"/>
        <v>521.49707742875603</v>
      </c>
      <c r="F174" s="9">
        <f t="shared" si="21"/>
        <v>1.4900447892743696E-2</v>
      </c>
      <c r="G174" s="9">
        <f t="shared" si="19"/>
        <v>1.4900447892743696E-2</v>
      </c>
      <c r="H174">
        <f t="shared" si="20"/>
        <v>521.49707742875603</v>
      </c>
      <c r="X174" s="2">
        <v>38108</v>
      </c>
      <c r="Y174" s="6">
        <v>464.52499999999998</v>
      </c>
      <c r="Z174" s="6" t="e">
        <v>#N/A</v>
      </c>
      <c r="AA174" s="7">
        <f t="shared" si="24"/>
        <v>407.17777777777781</v>
      </c>
      <c r="AB174" s="7">
        <f t="shared" si="22"/>
        <v>521.49707742875603</v>
      </c>
      <c r="AC174" s="18">
        <f t="shared" si="26"/>
        <v>1.4900447892743774E-2</v>
      </c>
      <c r="AE174">
        <f t="shared" si="25"/>
        <v>521.49707742875603</v>
      </c>
    </row>
    <row r="175" spans="1:31" x14ac:dyDescent="0.25">
      <c r="A175" s="2">
        <v>38139</v>
      </c>
      <c r="B175" s="6">
        <v>442.9</v>
      </c>
      <c r="C175" s="6">
        <v>377</v>
      </c>
      <c r="D175" s="7">
        <f t="shared" si="23"/>
        <v>411.91527777777782</v>
      </c>
      <c r="E175" s="17">
        <f t="shared" si="18"/>
        <v>527.56467870553081</v>
      </c>
      <c r="F175" s="9">
        <f t="shared" si="21"/>
        <v>1.163496698138955E-2</v>
      </c>
      <c r="G175" s="9">
        <f t="shared" si="19"/>
        <v>1.163496698138955E-2</v>
      </c>
      <c r="H175">
        <f t="shared" si="20"/>
        <v>527.56467870553081</v>
      </c>
      <c r="X175" s="2">
        <v>38139</v>
      </c>
      <c r="Y175" s="6">
        <v>442.9</v>
      </c>
      <c r="Z175" s="6">
        <v>377</v>
      </c>
      <c r="AA175" s="7">
        <f t="shared" si="24"/>
        <v>411.91527777777782</v>
      </c>
      <c r="AB175" s="7">
        <f t="shared" si="22"/>
        <v>527.56467870553081</v>
      </c>
      <c r="AC175" s="18">
        <f t="shared" si="26"/>
        <v>1.1634966981389537E-2</v>
      </c>
      <c r="AE175">
        <f t="shared" si="25"/>
        <v>527.56467870553081</v>
      </c>
    </row>
    <row r="176" spans="1:31" x14ac:dyDescent="0.25">
      <c r="A176" s="2">
        <v>38169</v>
      </c>
      <c r="B176" s="6">
        <v>461.36</v>
      </c>
      <c r="C176" s="6">
        <v>383.5</v>
      </c>
      <c r="D176" s="7">
        <f t="shared" si="23"/>
        <v>417.25638888888886</v>
      </c>
      <c r="E176" s="17">
        <f t="shared" si="18"/>
        <v>534.40536104794194</v>
      </c>
      <c r="F176" s="9">
        <f t="shared" si="21"/>
        <v>1.2966528311174841E-2</v>
      </c>
      <c r="G176" s="9">
        <f t="shared" si="19"/>
        <v>1.2966528311174841E-2</v>
      </c>
      <c r="H176">
        <f t="shared" si="20"/>
        <v>534.40536104794194</v>
      </c>
      <c r="X176" s="2">
        <v>38169</v>
      </c>
      <c r="Y176" s="6">
        <v>461.36</v>
      </c>
      <c r="Z176" s="6">
        <v>383.5</v>
      </c>
      <c r="AA176" s="7">
        <f t="shared" si="24"/>
        <v>417.25638888888886</v>
      </c>
      <c r="AB176" s="7">
        <f t="shared" si="22"/>
        <v>534.40536104794194</v>
      </c>
      <c r="AC176" s="18">
        <f t="shared" si="26"/>
        <v>1.2966528311174943E-2</v>
      </c>
      <c r="AE176">
        <f t="shared" si="25"/>
        <v>534.40536104794194</v>
      </c>
    </row>
    <row r="177" spans="1:31" x14ac:dyDescent="0.25">
      <c r="A177" s="2">
        <v>38200</v>
      </c>
      <c r="B177" s="6">
        <v>448.47500000000002</v>
      </c>
      <c r="C177" s="6">
        <v>390</v>
      </c>
      <c r="D177" s="7">
        <f t="shared" si="23"/>
        <v>423.86888888888893</v>
      </c>
      <c r="E177" s="17">
        <f t="shared" si="18"/>
        <v>542.87438763214732</v>
      </c>
      <c r="F177" s="9">
        <f t="shared" si="21"/>
        <v>1.5847570405353117E-2</v>
      </c>
      <c r="G177" s="9">
        <f t="shared" si="19"/>
        <v>1.5847570405353117E-2</v>
      </c>
      <c r="H177">
        <f t="shared" si="20"/>
        <v>542.87438763214732</v>
      </c>
      <c r="X177" s="2">
        <v>38200</v>
      </c>
      <c r="Y177" s="6">
        <v>448.47500000000002</v>
      </c>
      <c r="Z177" s="6">
        <v>390</v>
      </c>
      <c r="AA177" s="7">
        <f t="shared" si="24"/>
        <v>423.86888888888893</v>
      </c>
      <c r="AB177" s="7">
        <f t="shared" si="22"/>
        <v>542.87438763214732</v>
      </c>
      <c r="AC177" s="18">
        <f t="shared" si="26"/>
        <v>1.5847570405353121E-2</v>
      </c>
      <c r="AE177">
        <f t="shared" si="25"/>
        <v>542.87438763214732</v>
      </c>
    </row>
    <row r="178" spans="1:31" x14ac:dyDescent="0.25">
      <c r="A178" s="2">
        <v>38231</v>
      </c>
      <c r="B178" s="6">
        <v>464.35</v>
      </c>
      <c r="C178" s="6">
        <v>396.5</v>
      </c>
      <c r="D178" s="7">
        <f t="shared" si="23"/>
        <v>429.6563888888889</v>
      </c>
      <c r="E178" s="17">
        <f t="shared" si="18"/>
        <v>550.28678708108305</v>
      </c>
      <c r="F178" s="9">
        <f t="shared" si="21"/>
        <v>1.3653986295552478E-2</v>
      </c>
      <c r="G178" s="9">
        <f t="shared" si="19"/>
        <v>1.3653986295552478E-2</v>
      </c>
      <c r="H178">
        <f t="shared" si="20"/>
        <v>550.28678708108305</v>
      </c>
      <c r="X178" s="2">
        <v>38231</v>
      </c>
      <c r="Y178" s="6">
        <v>464.35</v>
      </c>
      <c r="Z178" s="6">
        <v>396.5</v>
      </c>
      <c r="AA178" s="7">
        <f t="shared" si="24"/>
        <v>429.6563888888889</v>
      </c>
      <c r="AB178" s="7">
        <f t="shared" si="22"/>
        <v>550.28678708108305</v>
      </c>
      <c r="AC178" s="18">
        <f t="shared" si="26"/>
        <v>1.3653986295552527E-2</v>
      </c>
      <c r="AE178">
        <f t="shared" si="25"/>
        <v>550.28678708108305</v>
      </c>
    </row>
    <row r="179" spans="1:31" x14ac:dyDescent="0.25">
      <c r="A179" s="2">
        <v>38261</v>
      </c>
      <c r="B179" s="6">
        <v>458.82</v>
      </c>
      <c r="C179" s="6">
        <v>403</v>
      </c>
      <c r="D179" s="7">
        <f t="shared" si="23"/>
        <v>434.41305555555556</v>
      </c>
      <c r="E179" s="17">
        <f t="shared" si="18"/>
        <v>556.37893626100038</v>
      </c>
      <c r="F179" s="9">
        <f t="shared" si="21"/>
        <v>1.1070862181213226E-2</v>
      </c>
      <c r="G179" s="9">
        <f t="shared" si="19"/>
        <v>1.1070862181213226E-2</v>
      </c>
      <c r="H179">
        <f t="shared" si="20"/>
        <v>556.37893626100038</v>
      </c>
      <c r="X179" s="2">
        <v>38261</v>
      </c>
      <c r="Y179" s="6">
        <v>458.82</v>
      </c>
      <c r="Z179" s="6">
        <v>403</v>
      </c>
      <c r="AA179" s="7">
        <f t="shared" si="24"/>
        <v>434.41305555555556</v>
      </c>
      <c r="AB179" s="7">
        <f t="shared" si="22"/>
        <v>556.37893626100038</v>
      </c>
      <c r="AC179" s="18">
        <f t="shared" si="26"/>
        <v>1.1070862181213267E-2</v>
      </c>
      <c r="AE179">
        <f t="shared" si="25"/>
        <v>556.37893626100038</v>
      </c>
    </row>
    <row r="180" spans="1:31" x14ac:dyDescent="0.25">
      <c r="A180" s="2">
        <v>38292</v>
      </c>
      <c r="B180" s="6">
        <v>471.72500000000002</v>
      </c>
      <c r="C180" s="6">
        <v>409.5</v>
      </c>
      <c r="D180" s="7">
        <f t="shared" si="23"/>
        <v>437.47333333333336</v>
      </c>
      <c r="E180" s="17">
        <f t="shared" si="18"/>
        <v>560.29841812943937</v>
      </c>
      <c r="F180" s="9">
        <f t="shared" si="21"/>
        <v>7.0446266258368251E-3</v>
      </c>
      <c r="G180" s="9">
        <f t="shared" si="19"/>
        <v>7.0446266258368251E-3</v>
      </c>
      <c r="H180">
        <f t="shared" si="20"/>
        <v>560.29841812943937</v>
      </c>
      <c r="X180" s="2">
        <v>38292</v>
      </c>
      <c r="Y180" s="6">
        <v>471.72500000000002</v>
      </c>
      <c r="Z180" s="6">
        <v>409.5</v>
      </c>
      <c r="AA180" s="7">
        <f t="shared" si="24"/>
        <v>437.47333333333336</v>
      </c>
      <c r="AB180" s="7">
        <f t="shared" si="22"/>
        <v>560.29841812943937</v>
      </c>
      <c r="AC180" s="18">
        <f t="shared" si="26"/>
        <v>7.0446266258368251E-3</v>
      </c>
      <c r="AE180">
        <f t="shared" si="25"/>
        <v>560.29841812943937</v>
      </c>
    </row>
    <row r="181" spans="1:31" x14ac:dyDescent="0.25">
      <c r="A181" s="2">
        <v>38322</v>
      </c>
      <c r="B181" s="6">
        <v>470.4</v>
      </c>
      <c r="C181" s="6">
        <v>416</v>
      </c>
      <c r="D181" s="7">
        <f t="shared" si="23"/>
        <v>440.16777777777776</v>
      </c>
      <c r="E181" s="17">
        <f t="shared" si="18"/>
        <v>563.7493552378952</v>
      </c>
      <c r="F181" s="9">
        <f t="shared" si="21"/>
        <v>6.1591055708791753E-3</v>
      </c>
      <c r="G181" s="9">
        <f t="shared" si="19"/>
        <v>6.1591055708791753E-3</v>
      </c>
      <c r="H181">
        <f t="shared" si="20"/>
        <v>563.7493552378952</v>
      </c>
      <c r="X181" s="2">
        <v>38322</v>
      </c>
      <c r="Y181" s="6">
        <v>470.4</v>
      </c>
      <c r="Z181" s="6">
        <v>416</v>
      </c>
      <c r="AA181" s="7">
        <f t="shared" si="24"/>
        <v>440.16777777777776</v>
      </c>
      <c r="AB181" s="7">
        <f t="shared" si="22"/>
        <v>563.7493552378952</v>
      </c>
      <c r="AC181" s="18">
        <f t="shared" si="26"/>
        <v>6.1591055708791398E-3</v>
      </c>
      <c r="AE181">
        <f t="shared" si="25"/>
        <v>563.7493552378952</v>
      </c>
    </row>
    <row r="182" spans="1:31" x14ac:dyDescent="0.25">
      <c r="A182" s="2">
        <v>38353</v>
      </c>
      <c r="B182" s="6">
        <v>430.125</v>
      </c>
      <c r="C182" s="6">
        <v>480.83333329999999</v>
      </c>
      <c r="D182" s="7">
        <f t="shared" si="23"/>
        <v>440.02749999999997</v>
      </c>
      <c r="E182" s="17">
        <f t="shared" si="18"/>
        <v>563.56969304822815</v>
      </c>
      <c r="F182" s="9">
        <f t="shared" si="21"/>
        <v>-3.1869161001740753E-4</v>
      </c>
      <c r="G182" s="9">
        <f t="shared" si="19"/>
        <v>-3.1869161001740753E-4</v>
      </c>
      <c r="H182">
        <f t="shared" si="20"/>
        <v>563.56969304822815</v>
      </c>
      <c r="X182" s="2">
        <v>38353</v>
      </c>
      <c r="Y182" s="6">
        <v>430.125</v>
      </c>
      <c r="Z182" s="6">
        <v>480.83333329999999</v>
      </c>
      <c r="AA182" s="7">
        <f t="shared" si="24"/>
        <v>440.02749999999997</v>
      </c>
      <c r="AB182" s="7">
        <f t="shared" si="22"/>
        <v>563.56969304822815</v>
      </c>
      <c r="AC182" s="18">
        <f t="shared" si="26"/>
        <v>-3.1869161001740385E-4</v>
      </c>
      <c r="AE182">
        <f t="shared" si="25"/>
        <v>563.56969304822815</v>
      </c>
    </row>
    <row r="183" spans="1:31" x14ac:dyDescent="0.25">
      <c r="A183" s="2">
        <v>38384</v>
      </c>
      <c r="B183" s="6">
        <v>431.42500000000001</v>
      </c>
      <c r="C183" s="6">
        <v>545.66666669999995</v>
      </c>
      <c r="D183" s="7">
        <f t="shared" si="23"/>
        <v>441.47222222222229</v>
      </c>
      <c r="E183" s="17">
        <f t="shared" si="18"/>
        <v>565.42003571844259</v>
      </c>
      <c r="F183" s="9">
        <f t="shared" si="21"/>
        <v>3.2832543925602753E-3</v>
      </c>
      <c r="G183" s="9">
        <f t="shared" si="19"/>
        <v>3.2832543925602753E-3</v>
      </c>
      <c r="H183">
        <f t="shared" si="20"/>
        <v>565.42003571844259</v>
      </c>
      <c r="X183" s="2">
        <v>38384</v>
      </c>
      <c r="Y183" s="6">
        <v>431.42500000000001</v>
      </c>
      <c r="Z183" s="6">
        <v>545.66666669999995</v>
      </c>
      <c r="AA183" s="7">
        <f t="shared" si="24"/>
        <v>441.47222222222229</v>
      </c>
      <c r="AB183" s="7">
        <f t="shared" si="22"/>
        <v>565.42003571844259</v>
      </c>
      <c r="AC183" s="18">
        <f t="shared" si="26"/>
        <v>3.2832543925602614E-3</v>
      </c>
      <c r="AE183">
        <f t="shared" si="25"/>
        <v>565.42003571844259</v>
      </c>
    </row>
    <row r="184" spans="1:31" x14ac:dyDescent="0.25">
      <c r="A184" s="2">
        <v>38412</v>
      </c>
      <c r="B184" s="6">
        <v>457.95</v>
      </c>
      <c r="C184" s="6">
        <v>610.5</v>
      </c>
      <c r="D184" s="7">
        <f t="shared" si="23"/>
        <v>444.12083333333339</v>
      </c>
      <c r="E184" s="17">
        <f t="shared" si="18"/>
        <v>568.81227131938351</v>
      </c>
      <c r="F184" s="9">
        <f t="shared" si="21"/>
        <v>5.9994966337382216E-3</v>
      </c>
      <c r="G184" s="9">
        <f t="shared" si="19"/>
        <v>5.9994966337382216E-3</v>
      </c>
      <c r="H184">
        <f t="shared" si="20"/>
        <v>568.81227131938351</v>
      </c>
      <c r="X184" s="2">
        <v>38412</v>
      </c>
      <c r="Y184" s="6">
        <v>457.95</v>
      </c>
      <c r="Z184" s="6">
        <v>610.5</v>
      </c>
      <c r="AA184" s="7">
        <f t="shared" si="24"/>
        <v>444.12083333333339</v>
      </c>
      <c r="AB184" s="7">
        <f t="shared" si="22"/>
        <v>568.81227131938351</v>
      </c>
      <c r="AC184" s="18">
        <f t="shared" si="26"/>
        <v>5.9994966337381175E-3</v>
      </c>
      <c r="AE184">
        <f t="shared" si="25"/>
        <v>568.81227131938351</v>
      </c>
    </row>
    <row r="185" spans="1:31" x14ac:dyDescent="0.25">
      <c r="A185" s="2">
        <v>38443</v>
      </c>
      <c r="B185" s="6">
        <v>470.34</v>
      </c>
      <c r="C185" s="6">
        <v>675.33333330000005</v>
      </c>
      <c r="D185" s="7">
        <f t="shared" si="23"/>
        <v>448.53527777777776</v>
      </c>
      <c r="E185" s="17">
        <f t="shared" si="18"/>
        <v>574.4661159098556</v>
      </c>
      <c r="F185" s="9">
        <f t="shared" si="21"/>
        <v>9.9397373712732939E-3</v>
      </c>
      <c r="G185" s="9">
        <f t="shared" si="19"/>
        <v>9.9397373712732939E-3</v>
      </c>
      <c r="H185">
        <f t="shared" si="20"/>
        <v>574.4661159098556</v>
      </c>
      <c r="X185" s="2">
        <v>38443</v>
      </c>
      <c r="Y185" s="6">
        <v>470.34</v>
      </c>
      <c r="Z185" s="6">
        <v>675.33333330000005</v>
      </c>
      <c r="AA185" s="7">
        <f t="shared" si="24"/>
        <v>448.53527777777776</v>
      </c>
      <c r="AB185" s="7">
        <f t="shared" si="22"/>
        <v>574.4661159098556</v>
      </c>
      <c r="AC185" s="18">
        <f t="shared" si="26"/>
        <v>9.9397373712732905E-3</v>
      </c>
      <c r="AE185">
        <f t="shared" si="25"/>
        <v>574.4661159098556</v>
      </c>
    </row>
    <row r="186" spans="1:31" x14ac:dyDescent="0.25">
      <c r="A186" s="2">
        <v>38473</v>
      </c>
      <c r="B186" s="6">
        <v>485.125</v>
      </c>
      <c r="C186" s="6">
        <v>740.16666669999995</v>
      </c>
      <c r="D186" s="7">
        <f t="shared" si="23"/>
        <v>451.83388888888891</v>
      </c>
      <c r="E186" s="17">
        <f t="shared" si="18"/>
        <v>578.69084561737247</v>
      </c>
      <c r="F186" s="9">
        <f t="shared" si="21"/>
        <v>7.354184329611213E-3</v>
      </c>
      <c r="G186" s="9">
        <f t="shared" si="19"/>
        <v>7.354184329611213E-3</v>
      </c>
      <c r="H186">
        <f t="shared" si="20"/>
        <v>578.69084561737247</v>
      </c>
      <c r="X186" s="2">
        <v>38473</v>
      </c>
      <c r="Y186" s="6">
        <v>485.125</v>
      </c>
      <c r="Z186" s="6">
        <v>740.16666669999995</v>
      </c>
      <c r="AA186" s="7">
        <f t="shared" si="24"/>
        <v>451.83388888888891</v>
      </c>
      <c r="AB186" s="7">
        <f t="shared" si="22"/>
        <v>578.69084561737247</v>
      </c>
      <c r="AC186" s="18">
        <f t="shared" si="26"/>
        <v>7.3541843296112061E-3</v>
      </c>
      <c r="AE186">
        <f t="shared" si="25"/>
        <v>578.69084561737247</v>
      </c>
    </row>
    <row r="187" spans="1:31" x14ac:dyDescent="0.25">
      <c r="A187" s="2">
        <v>38504</v>
      </c>
      <c r="B187" s="6">
        <v>491.35</v>
      </c>
      <c r="C187" s="6">
        <v>805</v>
      </c>
      <c r="D187" s="7">
        <f t="shared" si="23"/>
        <v>456.37138888888887</v>
      </c>
      <c r="E187" s="17">
        <f t="shared" si="18"/>
        <v>584.50229486135447</v>
      </c>
      <c r="F187" s="9">
        <f t="shared" si="21"/>
        <v>1.0042407423573652E-2</v>
      </c>
      <c r="G187" s="9">
        <f t="shared" si="19"/>
        <v>1.0042407423573652E-2</v>
      </c>
      <c r="H187">
        <f t="shared" si="20"/>
        <v>584.50229486135447</v>
      </c>
      <c r="X187" s="2">
        <v>38504</v>
      </c>
      <c r="Y187" s="6">
        <v>491.35</v>
      </c>
      <c r="Z187" s="6">
        <v>805</v>
      </c>
      <c r="AA187" s="7">
        <f t="shared" si="24"/>
        <v>456.37138888888887</v>
      </c>
      <c r="AB187" s="7">
        <f t="shared" si="22"/>
        <v>584.50229486135447</v>
      </c>
      <c r="AC187" s="18">
        <f t="shared" si="26"/>
        <v>1.004240742357373E-2</v>
      </c>
      <c r="AE187">
        <f t="shared" si="25"/>
        <v>584.50229486135447</v>
      </c>
    </row>
    <row r="188" spans="1:31" x14ac:dyDescent="0.25">
      <c r="A188" s="2">
        <v>38534</v>
      </c>
      <c r="B188" s="6">
        <v>495.62</v>
      </c>
      <c r="C188" s="6">
        <v>812.16666669999995</v>
      </c>
      <c r="D188" s="7">
        <f t="shared" si="23"/>
        <v>458.96805555555562</v>
      </c>
      <c r="E188" s="17">
        <f t="shared" si="18"/>
        <v>587.82800208711183</v>
      </c>
      <c r="F188" s="9">
        <f t="shared" si="21"/>
        <v>5.6898103822606849E-3</v>
      </c>
      <c r="G188" s="9">
        <f t="shared" si="19"/>
        <v>5.6898103822606849E-3</v>
      </c>
      <c r="H188">
        <f t="shared" si="20"/>
        <v>587.82800208711183</v>
      </c>
      <c r="X188" s="2">
        <v>38534</v>
      </c>
      <c r="Y188" s="6">
        <v>495.62</v>
      </c>
      <c r="Z188" s="6">
        <v>812.16666669999995</v>
      </c>
      <c r="AA188" s="7">
        <f t="shared" si="24"/>
        <v>458.96805555555562</v>
      </c>
      <c r="AB188" s="7">
        <f t="shared" si="22"/>
        <v>587.82800208711183</v>
      </c>
      <c r="AC188" s="18">
        <f t="shared" si="26"/>
        <v>5.6898103822607309E-3</v>
      </c>
      <c r="AE188">
        <f t="shared" si="25"/>
        <v>587.82800208711183</v>
      </c>
    </row>
    <row r="189" spans="1:31" x14ac:dyDescent="0.25">
      <c r="A189" s="2">
        <v>38565</v>
      </c>
      <c r="B189" s="6">
        <v>489.27499999999998</v>
      </c>
      <c r="C189" s="6">
        <v>819.33333330000005</v>
      </c>
      <c r="D189" s="7">
        <f t="shared" si="23"/>
        <v>463.06388888888887</v>
      </c>
      <c r="E189" s="17">
        <f t="shared" si="18"/>
        <v>593.07378225867683</v>
      </c>
      <c r="F189" s="9">
        <f t="shared" si="21"/>
        <v>8.9240052412262738E-3</v>
      </c>
      <c r="G189" s="9">
        <f t="shared" si="19"/>
        <v>8.9240052412262738E-3</v>
      </c>
      <c r="H189">
        <f t="shared" si="20"/>
        <v>593.07378225867683</v>
      </c>
      <c r="X189" s="2">
        <v>38565</v>
      </c>
      <c r="Y189" s="6">
        <v>489.27499999999998</v>
      </c>
      <c r="Z189" s="6">
        <v>819.33333330000005</v>
      </c>
      <c r="AA189" s="7">
        <f t="shared" si="24"/>
        <v>463.06388888888887</v>
      </c>
      <c r="AB189" s="7">
        <f t="shared" si="22"/>
        <v>593.07378225867683</v>
      </c>
      <c r="AC189" s="18">
        <f t="shared" si="26"/>
        <v>8.9240052412263519E-3</v>
      </c>
      <c r="AE189">
        <f t="shared" si="25"/>
        <v>593.07378225867683</v>
      </c>
    </row>
    <row r="190" spans="1:31" x14ac:dyDescent="0.25">
      <c r="A190" s="2">
        <v>38596</v>
      </c>
      <c r="B190" s="6">
        <v>493.94</v>
      </c>
      <c r="C190" s="6">
        <v>826.5</v>
      </c>
      <c r="D190" s="7">
        <f t="shared" si="23"/>
        <v>465.87027777777774</v>
      </c>
      <c r="E190" s="17">
        <f t="shared" si="18"/>
        <v>596.66809335215407</v>
      </c>
      <c r="F190" s="9">
        <f t="shared" si="21"/>
        <v>6.0604788156182199E-3</v>
      </c>
      <c r="G190" s="9">
        <f t="shared" si="19"/>
        <v>6.0604788156182199E-3</v>
      </c>
      <c r="H190">
        <f t="shared" si="20"/>
        <v>596.66809335215407</v>
      </c>
      <c r="X190" s="2">
        <v>38596</v>
      </c>
      <c r="Y190" s="6">
        <v>493.94</v>
      </c>
      <c r="Z190" s="6">
        <v>826.5</v>
      </c>
      <c r="AA190" s="7">
        <f t="shared" si="24"/>
        <v>465.87027777777774</v>
      </c>
      <c r="AB190" s="7">
        <f t="shared" si="22"/>
        <v>596.66809335215407</v>
      </c>
      <c r="AC190" s="18">
        <f t="shared" si="26"/>
        <v>6.060478815618167E-3</v>
      </c>
      <c r="AE190">
        <f>AB191/(1+AC191)</f>
        <v>596.66809335215407</v>
      </c>
    </row>
    <row r="191" spans="1:31" s="14" customFormat="1" x14ac:dyDescent="0.25">
      <c r="A191" s="10">
        <v>38626</v>
      </c>
      <c r="B191" s="11">
        <v>469.35</v>
      </c>
      <c r="C191" s="11">
        <v>833.66666669999995</v>
      </c>
      <c r="D191" s="12">
        <f>AVERAGE(B174:B191)</f>
        <v>466.50305555555559</v>
      </c>
      <c r="E191" s="17">
        <f>H191</f>
        <v>597.47852992257299</v>
      </c>
      <c r="F191" s="13">
        <f>D191/D190-1</f>
        <v>1.3582703339569679E-3</v>
      </c>
      <c r="G191" s="13">
        <f>E191/E190-1</f>
        <v>1.3582703339569679E-3</v>
      </c>
      <c r="H191" s="14">
        <f>E192/(F192+1)</f>
        <v>597.47852992257299</v>
      </c>
      <c r="X191" s="10">
        <v>38626</v>
      </c>
      <c r="Y191" s="11">
        <v>469.35</v>
      </c>
      <c r="Z191" s="11">
        <v>833.66666669999995</v>
      </c>
      <c r="AA191" s="7">
        <f t="shared" si="24"/>
        <v>466.50305555555559</v>
      </c>
      <c r="AB191" s="7">
        <f>IF(ISNA(AVERAGE(Z174:Z191)),AE191,AVERAGE(Z174:Z191))</f>
        <v>597.47852992257299</v>
      </c>
      <c r="AC191" s="18">
        <f t="shared" si="26"/>
        <v>1.3582703339569656E-3</v>
      </c>
      <c r="AE191" s="14">
        <f>AB192/(1+AC192)</f>
        <v>597.47852992257299</v>
      </c>
    </row>
    <row r="192" spans="1:31" x14ac:dyDescent="0.25">
      <c r="A192" s="2">
        <v>38657</v>
      </c>
      <c r="B192" s="6">
        <v>473.02499999999998</v>
      </c>
      <c r="C192" s="6">
        <v>840.83333330000005</v>
      </c>
      <c r="D192" s="7">
        <f t="shared" si="23"/>
        <v>466.97527777777782</v>
      </c>
      <c r="E192" s="17">
        <f t="shared" ref="E192:E211" si="27">AVERAGE(C175:C192)</f>
        <v>598.08333333333337</v>
      </c>
      <c r="F192" s="9">
        <f>D192/D191-1</f>
        <v>1.0122596553197027E-3</v>
      </c>
      <c r="G192" s="9">
        <f t="shared" si="19"/>
        <v>1.0122596553197027E-3</v>
      </c>
      <c r="X192" s="2">
        <v>38657</v>
      </c>
      <c r="Y192" s="6">
        <v>473.02499999999998</v>
      </c>
      <c r="Z192" s="6">
        <v>840.83333330000005</v>
      </c>
      <c r="AA192" s="7">
        <f t="shared" si="24"/>
        <v>466.97527777777782</v>
      </c>
      <c r="AB192" s="7">
        <f t="shared" ref="AB148:AB211" si="28">IF(ISNA(AVERAGE(Z175:Z192)),0,AVERAGE(Z175:Z192))</f>
        <v>598.08333333333337</v>
      </c>
      <c r="AC192" s="18">
        <f t="shared" si="26"/>
        <v>1.0122596553196464E-3</v>
      </c>
    </row>
    <row r="193" spans="1:29" x14ac:dyDescent="0.25">
      <c r="A193" s="2">
        <v>38687</v>
      </c>
      <c r="B193" s="6">
        <v>455.46</v>
      </c>
      <c r="C193" s="6">
        <v>848</v>
      </c>
      <c r="D193" s="7">
        <f t="shared" si="23"/>
        <v>467.67305555555555</v>
      </c>
      <c r="E193" s="17">
        <f t="shared" si="27"/>
        <v>624.25</v>
      </c>
      <c r="F193" s="9">
        <f t="shared" si="21"/>
        <v>1.4942499335259818E-3</v>
      </c>
      <c r="G193" s="9">
        <f t="shared" si="19"/>
        <v>4.375087083739726E-2</v>
      </c>
      <c r="X193" s="2">
        <v>38687</v>
      </c>
      <c r="Y193" s="6">
        <v>455.46</v>
      </c>
      <c r="Z193" s="6">
        <v>848</v>
      </c>
      <c r="AA193" s="7">
        <f t="shared" si="24"/>
        <v>467.67305555555555</v>
      </c>
      <c r="AB193" s="7">
        <f t="shared" si="28"/>
        <v>624.25</v>
      </c>
      <c r="AC193" s="18">
        <f t="shared" si="26"/>
        <v>1.4942499335260013E-3</v>
      </c>
    </row>
    <row r="194" spans="1:29" x14ac:dyDescent="0.25">
      <c r="A194" s="2">
        <v>38718</v>
      </c>
      <c r="B194" s="6">
        <v>452.67500000000001</v>
      </c>
      <c r="C194" s="6">
        <v>851.83333330000005</v>
      </c>
      <c r="D194" s="7">
        <f t="shared" si="23"/>
        <v>467.19055555555548</v>
      </c>
      <c r="E194" s="17">
        <f t="shared" si="27"/>
        <v>650.26851851666675</v>
      </c>
      <c r="F194" s="9">
        <f t="shared" si="21"/>
        <v>-1.031703653371463E-3</v>
      </c>
      <c r="G194" s="9">
        <f t="shared" si="19"/>
        <v>4.1679645200907833E-2</v>
      </c>
      <c r="X194" s="2">
        <v>38718</v>
      </c>
      <c r="Y194" s="6">
        <v>452.67500000000001</v>
      </c>
      <c r="Z194" s="6">
        <v>851.83333330000005</v>
      </c>
      <c r="AA194" s="7">
        <f t="shared" si="24"/>
        <v>467.19055555555548</v>
      </c>
      <c r="AB194" s="7">
        <f t="shared" si="28"/>
        <v>650.26851851666675</v>
      </c>
      <c r="AC194" s="18">
        <f t="shared" si="26"/>
        <v>-1.0317036533714864E-3</v>
      </c>
    </row>
    <row r="195" spans="1:29" x14ac:dyDescent="0.25">
      <c r="A195" s="2">
        <v>38749</v>
      </c>
      <c r="B195" s="6">
        <v>406.57499999999999</v>
      </c>
      <c r="C195" s="6">
        <v>855.66666669999995</v>
      </c>
      <c r="D195" s="7">
        <f t="shared" si="23"/>
        <v>464.86277777777781</v>
      </c>
      <c r="E195" s="17">
        <f t="shared" si="27"/>
        <v>676.13888888888891</v>
      </c>
      <c r="F195" s="9">
        <f t="shared" si="21"/>
        <v>-4.9825017866844679E-3</v>
      </c>
      <c r="G195" s="9">
        <f t="shared" ref="G195:G258" si="29">E195/E194-1</f>
        <v>3.9784134762106182E-2</v>
      </c>
      <c r="X195" s="2">
        <v>38749</v>
      </c>
      <c r="Y195" s="6">
        <v>406.57499999999999</v>
      </c>
      <c r="Z195" s="6">
        <v>855.66666669999995</v>
      </c>
      <c r="AA195" s="7">
        <f t="shared" si="24"/>
        <v>464.86277777777781</v>
      </c>
      <c r="AB195" s="7">
        <f t="shared" si="28"/>
        <v>676.13888888888891</v>
      </c>
      <c r="AC195" s="18">
        <f t="shared" si="26"/>
        <v>-4.9825017866844783E-3</v>
      </c>
    </row>
    <row r="196" spans="1:29" x14ac:dyDescent="0.25">
      <c r="A196" s="2">
        <v>38777</v>
      </c>
      <c r="B196" s="6">
        <v>407.58</v>
      </c>
      <c r="C196" s="6">
        <v>859.5</v>
      </c>
      <c r="D196" s="7">
        <f t="shared" si="23"/>
        <v>461.70888888888891</v>
      </c>
      <c r="E196" s="17">
        <f t="shared" si="27"/>
        <v>701.86111111111109</v>
      </c>
      <c r="F196" s="9">
        <f t="shared" ref="F196:F259" si="30">D196/D195-1</f>
        <v>-6.7845588841629612E-3</v>
      </c>
      <c r="G196" s="9">
        <f t="shared" si="29"/>
        <v>3.8042808430220454E-2</v>
      </c>
      <c r="X196" s="2">
        <v>38777</v>
      </c>
      <c r="Y196" s="6">
        <v>407.58</v>
      </c>
      <c r="Z196" s="6">
        <v>859.5</v>
      </c>
      <c r="AA196" s="7">
        <f t="shared" si="24"/>
        <v>461.70888888888891</v>
      </c>
      <c r="AB196" s="7">
        <f t="shared" si="28"/>
        <v>701.86111111111109</v>
      </c>
      <c r="AC196" s="18">
        <f t="shared" si="26"/>
        <v>-6.7845588841629733E-3</v>
      </c>
    </row>
    <row r="197" spans="1:29" x14ac:dyDescent="0.25">
      <c r="A197" s="2">
        <v>38808</v>
      </c>
      <c r="B197" s="6">
        <v>411.95</v>
      </c>
      <c r="C197" s="6">
        <v>863.33333330000005</v>
      </c>
      <c r="D197" s="7">
        <f t="shared" si="23"/>
        <v>459.10499999999996</v>
      </c>
      <c r="E197" s="17">
        <f t="shared" si="27"/>
        <v>727.43518518333337</v>
      </c>
      <c r="F197" s="9">
        <f t="shared" si="30"/>
        <v>-5.6396767563978711E-3</v>
      </c>
      <c r="G197" s="9">
        <f t="shared" si="29"/>
        <v>3.6437514014327155E-2</v>
      </c>
      <c r="X197" s="2">
        <v>38808</v>
      </c>
      <c r="Y197" s="6">
        <v>411.95</v>
      </c>
      <c r="Z197" s="6">
        <v>863.33333330000005</v>
      </c>
      <c r="AA197" s="7">
        <f t="shared" si="24"/>
        <v>459.10499999999996</v>
      </c>
      <c r="AB197" s="7">
        <f t="shared" si="28"/>
        <v>727.43518518333337</v>
      </c>
      <c r="AC197" s="18">
        <f t="shared" si="26"/>
        <v>-5.6396767563978538E-3</v>
      </c>
    </row>
    <row r="198" spans="1:29" x14ac:dyDescent="0.25">
      <c r="A198" s="2">
        <v>38838</v>
      </c>
      <c r="B198" s="6">
        <v>408.77499999999998</v>
      </c>
      <c r="C198" s="6">
        <v>867.16666669999995</v>
      </c>
      <c r="D198" s="7">
        <f t="shared" si="23"/>
        <v>455.6077777777777</v>
      </c>
      <c r="E198" s="17">
        <f t="shared" si="27"/>
        <v>752.86111111111109</v>
      </c>
      <c r="F198" s="9">
        <f t="shared" si="30"/>
        <v>-7.6174779673979787E-3</v>
      </c>
      <c r="G198" s="9">
        <f t="shared" si="29"/>
        <v>3.4952840398240648E-2</v>
      </c>
      <c r="X198" s="2">
        <v>38838</v>
      </c>
      <c r="Y198" s="6">
        <v>408.77499999999998</v>
      </c>
      <c r="Z198" s="6">
        <v>867.16666669999995</v>
      </c>
      <c r="AA198" s="7">
        <f t="shared" si="24"/>
        <v>455.6077777777777</v>
      </c>
      <c r="AB198" s="7">
        <f t="shared" si="28"/>
        <v>752.86111111111109</v>
      </c>
      <c r="AC198" s="18">
        <f t="shared" si="26"/>
        <v>-7.617477967398009E-3</v>
      </c>
    </row>
    <row r="199" spans="1:29" x14ac:dyDescent="0.25">
      <c r="A199" s="2">
        <v>38869</v>
      </c>
      <c r="B199" s="6">
        <v>405.64</v>
      </c>
      <c r="C199" s="6">
        <v>871</v>
      </c>
      <c r="D199" s="7">
        <f t="shared" si="23"/>
        <v>452.01</v>
      </c>
      <c r="E199" s="17">
        <f t="shared" si="27"/>
        <v>778.13888888888891</v>
      </c>
      <c r="F199" s="9">
        <f t="shared" si="30"/>
        <v>-7.8966557492188283E-3</v>
      </c>
      <c r="G199" s="9">
        <f t="shared" si="29"/>
        <v>3.3575618935173246E-2</v>
      </c>
      <c r="X199" s="2">
        <v>38869</v>
      </c>
      <c r="Y199" s="6">
        <v>405.64</v>
      </c>
      <c r="Z199" s="6">
        <v>871</v>
      </c>
      <c r="AA199" s="7">
        <f t="shared" si="24"/>
        <v>452.01</v>
      </c>
      <c r="AB199" s="7">
        <f t="shared" si="28"/>
        <v>778.13888888888891</v>
      </c>
      <c r="AC199" s="18">
        <f t="shared" si="26"/>
        <v>-7.8966557492188404E-3</v>
      </c>
    </row>
    <row r="200" spans="1:29" x14ac:dyDescent="0.25">
      <c r="A200" s="2">
        <v>38899</v>
      </c>
      <c r="B200" s="6">
        <v>397.17500000000001</v>
      </c>
      <c r="C200" s="6">
        <v>846.83333330000005</v>
      </c>
      <c r="D200" s="7">
        <f t="shared" si="23"/>
        <v>450.17944444444441</v>
      </c>
      <c r="E200" s="17">
        <f t="shared" si="27"/>
        <v>798.47222222222217</v>
      </c>
      <c r="F200" s="9">
        <f t="shared" si="30"/>
        <v>-4.0498120739709265E-3</v>
      </c>
      <c r="G200" s="9">
        <f t="shared" si="29"/>
        <v>2.6130725020526047E-2</v>
      </c>
      <c r="X200" s="2">
        <v>38899</v>
      </c>
      <c r="Y200" s="6">
        <v>397.17500000000001</v>
      </c>
      <c r="Z200" s="6">
        <v>846.83333330000005</v>
      </c>
      <c r="AA200" s="7">
        <f t="shared" si="24"/>
        <v>450.17944444444441</v>
      </c>
      <c r="AB200" s="7">
        <f t="shared" si="28"/>
        <v>798.47222222222217</v>
      </c>
      <c r="AC200" s="18">
        <f t="shared" si="26"/>
        <v>-4.0498120739708788E-3</v>
      </c>
    </row>
    <row r="201" spans="1:29" x14ac:dyDescent="0.25">
      <c r="A201" s="2">
        <v>38930</v>
      </c>
      <c r="B201" s="6">
        <v>383.22500000000002</v>
      </c>
      <c r="C201" s="6">
        <v>822.66666669999995</v>
      </c>
      <c r="D201" s="7">
        <f t="shared" si="23"/>
        <v>447.50166666666667</v>
      </c>
      <c r="E201" s="17">
        <f t="shared" si="27"/>
        <v>813.86111111111109</v>
      </c>
      <c r="F201" s="9">
        <f t="shared" si="30"/>
        <v>-5.9482453293315807E-3</v>
      </c>
      <c r="G201" s="9">
        <f t="shared" si="29"/>
        <v>1.9272917029048653E-2</v>
      </c>
      <c r="X201" s="2">
        <v>38930</v>
      </c>
      <c r="Y201" s="6">
        <v>383.22500000000002</v>
      </c>
      <c r="Z201" s="6">
        <v>822.66666669999995</v>
      </c>
      <c r="AA201" s="7">
        <f t="shared" si="24"/>
        <v>447.50166666666667</v>
      </c>
      <c r="AB201" s="7">
        <f t="shared" si="28"/>
        <v>813.86111111111109</v>
      </c>
      <c r="AC201" s="18">
        <f t="shared" si="26"/>
        <v>-5.9482453293315729E-3</v>
      </c>
    </row>
    <row r="202" spans="1:29" x14ac:dyDescent="0.25">
      <c r="A202" s="2">
        <v>38961</v>
      </c>
      <c r="B202" s="6">
        <v>395.66</v>
      </c>
      <c r="C202" s="6">
        <v>798.5</v>
      </c>
      <c r="D202" s="7">
        <f t="shared" si="23"/>
        <v>444.04111111111109</v>
      </c>
      <c r="E202" s="17">
        <f t="shared" si="27"/>
        <v>824.30555555555554</v>
      </c>
      <c r="F202" s="9">
        <f t="shared" si="30"/>
        <v>-7.7330562393933544E-3</v>
      </c>
      <c r="G202" s="9">
        <f t="shared" si="29"/>
        <v>1.2833202498378826E-2</v>
      </c>
      <c r="X202" s="2">
        <v>38961</v>
      </c>
      <c r="Y202" s="6">
        <v>395.66</v>
      </c>
      <c r="Z202" s="6">
        <v>798.5</v>
      </c>
      <c r="AA202" s="7">
        <f t="shared" si="24"/>
        <v>444.04111111111109</v>
      </c>
      <c r="AB202" s="7">
        <f t="shared" si="28"/>
        <v>824.30555555555554</v>
      </c>
      <c r="AC202" s="18">
        <f t="shared" si="26"/>
        <v>-7.733056239393311E-3</v>
      </c>
    </row>
    <row r="203" spans="1:29" x14ac:dyDescent="0.25">
      <c r="A203" s="2">
        <v>38991</v>
      </c>
      <c r="B203" s="6">
        <v>381.5</v>
      </c>
      <c r="C203" s="6">
        <v>774.33333330000005</v>
      </c>
      <c r="D203" s="7">
        <f t="shared" si="23"/>
        <v>439.10555555555555</v>
      </c>
      <c r="E203" s="17">
        <f t="shared" si="27"/>
        <v>829.80555555555554</v>
      </c>
      <c r="F203" s="9">
        <f t="shared" si="30"/>
        <v>-1.1115086941399288E-2</v>
      </c>
      <c r="G203" s="9">
        <f t="shared" si="29"/>
        <v>6.6722830665544297E-3</v>
      </c>
      <c r="X203" s="2">
        <v>38991</v>
      </c>
      <c r="Y203" s="6">
        <v>381.5</v>
      </c>
      <c r="Z203" s="6">
        <v>774.33333330000005</v>
      </c>
      <c r="AA203" s="7">
        <f t="shared" si="24"/>
        <v>439.10555555555555</v>
      </c>
      <c r="AB203" s="7">
        <f t="shared" si="28"/>
        <v>829.80555555555554</v>
      </c>
      <c r="AC203" s="18">
        <f t="shared" si="26"/>
        <v>-1.1115086941399281E-2</v>
      </c>
    </row>
    <row r="204" spans="1:29" x14ac:dyDescent="0.25">
      <c r="A204" s="2">
        <v>39022</v>
      </c>
      <c r="B204" s="6">
        <v>405.8</v>
      </c>
      <c r="C204" s="6">
        <v>750.16666669999995</v>
      </c>
      <c r="D204" s="7">
        <f t="shared" si="23"/>
        <v>434.69861111111118</v>
      </c>
      <c r="E204" s="17">
        <f t="shared" si="27"/>
        <v>830.36111111111109</v>
      </c>
      <c r="F204" s="9">
        <f t="shared" si="30"/>
        <v>-1.0036184668328119E-2</v>
      </c>
      <c r="G204" s="9">
        <f t="shared" si="29"/>
        <v>6.6950088708872535E-4</v>
      </c>
      <c r="X204" s="2">
        <v>39022</v>
      </c>
      <c r="Y204" s="6">
        <v>405.8</v>
      </c>
      <c r="Z204" s="6">
        <v>750.16666669999995</v>
      </c>
      <c r="AA204" s="7">
        <f t="shared" si="24"/>
        <v>434.69861111111118</v>
      </c>
      <c r="AB204" s="7">
        <f t="shared" si="28"/>
        <v>830.36111111111109</v>
      </c>
      <c r="AC204" s="18">
        <f t="shared" si="26"/>
        <v>-1.0036184668328141E-2</v>
      </c>
    </row>
    <row r="205" spans="1:29" x14ac:dyDescent="0.25">
      <c r="A205" s="2">
        <v>39052</v>
      </c>
      <c r="B205" s="6">
        <v>424.8</v>
      </c>
      <c r="C205" s="6">
        <v>726</v>
      </c>
      <c r="D205" s="7">
        <f t="shared" si="23"/>
        <v>431.00138888888893</v>
      </c>
      <c r="E205" s="17">
        <f t="shared" si="27"/>
        <v>825.97222222222217</v>
      </c>
      <c r="F205" s="9">
        <f t="shared" si="30"/>
        <v>-8.5052542789865182E-3</v>
      </c>
      <c r="G205" s="9">
        <f t="shared" si="29"/>
        <v>-5.2855183487773294E-3</v>
      </c>
      <c r="X205" s="2">
        <v>39052</v>
      </c>
      <c r="Y205" s="6">
        <v>424.8</v>
      </c>
      <c r="Z205" s="6">
        <v>726</v>
      </c>
      <c r="AA205" s="7">
        <f t="shared" si="24"/>
        <v>431.00138888888893</v>
      </c>
      <c r="AB205" s="7">
        <f t="shared" si="28"/>
        <v>825.97222222222217</v>
      </c>
      <c r="AC205" s="18">
        <f t="shared" si="26"/>
        <v>-8.5052542789864644E-3</v>
      </c>
    </row>
    <row r="206" spans="1:29" x14ac:dyDescent="0.25">
      <c r="A206" s="2">
        <v>39083</v>
      </c>
      <c r="B206" s="6">
        <v>430.8</v>
      </c>
      <c r="C206" s="6">
        <v>696.33333330000005</v>
      </c>
      <c r="D206" s="7">
        <f t="shared" si="23"/>
        <v>427.40027777777783</v>
      </c>
      <c r="E206" s="17">
        <f t="shared" si="27"/>
        <v>819.53703703333349</v>
      </c>
      <c r="F206" s="9">
        <f t="shared" si="30"/>
        <v>-8.355219272946357E-3</v>
      </c>
      <c r="G206" s="9">
        <f t="shared" si="29"/>
        <v>-7.7910431074489361E-3</v>
      </c>
      <c r="X206" s="2">
        <v>39083</v>
      </c>
      <c r="Y206" s="6">
        <v>430.8</v>
      </c>
      <c r="Z206" s="6">
        <v>696.33333330000005</v>
      </c>
      <c r="AA206" s="7">
        <f t="shared" si="24"/>
        <v>427.40027777777783</v>
      </c>
      <c r="AB206" s="7">
        <f t="shared" si="28"/>
        <v>819.53703703333349</v>
      </c>
      <c r="AC206" s="18">
        <f t="shared" si="26"/>
        <v>-8.3552192729463622E-3</v>
      </c>
    </row>
    <row r="207" spans="1:29" x14ac:dyDescent="0.25">
      <c r="A207" s="2">
        <v>39114</v>
      </c>
      <c r="B207" s="6">
        <v>397.02499999999998</v>
      </c>
      <c r="C207" s="6">
        <v>666.66666669999995</v>
      </c>
      <c r="D207" s="7">
        <f t="shared" si="23"/>
        <v>422.27527777777783</v>
      </c>
      <c r="E207" s="17">
        <f t="shared" si="27"/>
        <v>811.05555555555554</v>
      </c>
      <c r="F207" s="9">
        <f t="shared" si="30"/>
        <v>-1.1991101238040591E-2</v>
      </c>
      <c r="G207" s="9">
        <f t="shared" si="29"/>
        <v>-1.0349113090093343E-2</v>
      </c>
      <c r="X207" s="2">
        <v>39114</v>
      </c>
      <c r="Y207" s="6">
        <v>397.02499999999998</v>
      </c>
      <c r="Z207" s="6">
        <v>666.66666669999995</v>
      </c>
      <c r="AA207" s="7">
        <f t="shared" si="24"/>
        <v>422.27527777777783</v>
      </c>
      <c r="AB207" s="7">
        <f t="shared" si="28"/>
        <v>811.05555555555554</v>
      </c>
      <c r="AC207" s="18">
        <f t="shared" si="26"/>
        <v>-1.1991101238040581E-2</v>
      </c>
    </row>
    <row r="208" spans="1:29" x14ac:dyDescent="0.25">
      <c r="A208" s="2">
        <v>39142</v>
      </c>
      <c r="B208" s="6">
        <v>408.84</v>
      </c>
      <c r="C208" s="6">
        <v>637</v>
      </c>
      <c r="D208" s="7">
        <f t="shared" si="23"/>
        <v>417.54750000000001</v>
      </c>
      <c r="E208" s="17">
        <f t="shared" si="27"/>
        <v>800.52777777777783</v>
      </c>
      <c r="F208" s="9">
        <f t="shared" si="30"/>
        <v>-1.1195961560093504E-2</v>
      </c>
      <c r="G208" s="9">
        <f t="shared" si="29"/>
        <v>-1.2980341119254613E-2</v>
      </c>
      <c r="X208" s="2">
        <v>39142</v>
      </c>
      <c r="Y208" s="6">
        <v>408.84</v>
      </c>
      <c r="Z208" s="6">
        <v>637</v>
      </c>
      <c r="AA208" s="7">
        <f t="shared" si="24"/>
        <v>417.54750000000001</v>
      </c>
      <c r="AB208" s="7">
        <f t="shared" si="28"/>
        <v>800.52777777777783</v>
      </c>
      <c r="AC208" s="18">
        <f t="shared" si="26"/>
        <v>-1.1195961560093526E-2</v>
      </c>
    </row>
    <row r="209" spans="1:29" x14ac:dyDescent="0.25">
      <c r="A209" s="2">
        <v>39173</v>
      </c>
      <c r="B209" s="6">
        <v>412.15</v>
      </c>
      <c r="C209" s="6">
        <v>607.33333330000005</v>
      </c>
      <c r="D209" s="7">
        <f t="shared" si="23"/>
        <v>414.36972222222221</v>
      </c>
      <c r="E209" s="17">
        <f t="shared" si="27"/>
        <v>787.95370370000012</v>
      </c>
      <c r="F209" s="9">
        <f t="shared" si="30"/>
        <v>-7.6105779049756572E-3</v>
      </c>
      <c r="G209" s="9">
        <f t="shared" si="29"/>
        <v>-1.5707230188417243E-2</v>
      </c>
      <c r="X209" s="2">
        <v>39173</v>
      </c>
      <c r="Y209" s="6">
        <v>412.15</v>
      </c>
      <c r="Z209" s="6">
        <v>607.33333330000005</v>
      </c>
      <c r="AA209" s="7">
        <f t="shared" si="24"/>
        <v>414.36972222222221</v>
      </c>
      <c r="AB209" s="7">
        <f t="shared" si="28"/>
        <v>787.95370370000012</v>
      </c>
      <c r="AC209" s="18">
        <f t="shared" si="26"/>
        <v>-7.6105779049756147E-3</v>
      </c>
    </row>
    <row r="210" spans="1:29" x14ac:dyDescent="0.25">
      <c r="A210" s="2">
        <v>39203</v>
      </c>
      <c r="B210" s="6">
        <v>433.92500000000001</v>
      </c>
      <c r="C210" s="6">
        <v>577.66666669999995</v>
      </c>
      <c r="D210" s="7">
        <f t="shared" si="23"/>
        <v>412.19749999999999</v>
      </c>
      <c r="E210" s="17">
        <f t="shared" si="27"/>
        <v>773.33333333333337</v>
      </c>
      <c r="F210" s="9">
        <f t="shared" si="30"/>
        <v>-5.2422320109992704E-3</v>
      </c>
      <c r="G210" s="9">
        <f t="shared" si="29"/>
        <v>-1.855485962946013E-2</v>
      </c>
      <c r="X210" s="2">
        <v>39203</v>
      </c>
      <c r="Y210" s="6">
        <v>433.92500000000001</v>
      </c>
      <c r="Z210" s="6">
        <v>577.66666669999995</v>
      </c>
      <c r="AA210" s="7">
        <f t="shared" si="24"/>
        <v>412.19749999999999</v>
      </c>
      <c r="AB210" s="7">
        <f t="shared" si="28"/>
        <v>773.33333333333337</v>
      </c>
      <c r="AC210" s="18">
        <f t="shared" si="26"/>
        <v>-5.2422320109992903E-3</v>
      </c>
    </row>
    <row r="211" spans="1:29" x14ac:dyDescent="0.25">
      <c r="A211" s="2">
        <v>39234</v>
      </c>
      <c r="B211" s="6">
        <v>443.08</v>
      </c>
      <c r="C211" s="6">
        <v>548</v>
      </c>
      <c r="D211" s="7">
        <f t="shared" si="23"/>
        <v>411.50972222222219</v>
      </c>
      <c r="E211" s="17">
        <f t="shared" si="27"/>
        <v>756.66666666666663</v>
      </c>
      <c r="F211" s="9">
        <f t="shared" si="30"/>
        <v>-1.6685636807060034E-3</v>
      </c>
      <c r="G211" s="9">
        <f t="shared" si="29"/>
        <v>-2.1551724137931161E-2</v>
      </c>
      <c r="X211" s="2">
        <v>39234</v>
      </c>
      <c r="Y211" s="6">
        <v>443.08</v>
      </c>
      <c r="Z211" s="6">
        <v>548</v>
      </c>
      <c r="AA211" s="7">
        <f t="shared" si="24"/>
        <v>411.50972222222219</v>
      </c>
      <c r="AB211" s="7">
        <f t="shared" si="28"/>
        <v>756.66666666666663</v>
      </c>
      <c r="AC211" s="18">
        <f t="shared" si="26"/>
        <v>-1.6685636807059637E-3</v>
      </c>
    </row>
    <row r="212" spans="1:29" x14ac:dyDescent="0.25">
      <c r="A212" s="2">
        <v>39264</v>
      </c>
      <c r="B212" s="6">
        <v>435.3</v>
      </c>
      <c r="C212" s="6">
        <v>509.5</v>
      </c>
      <c r="D212" s="7">
        <f t="shared" ref="D212:D275" si="31">AVERAGE(B195:B212)</f>
        <v>410.54444444444448</v>
      </c>
      <c r="E212" s="17">
        <f t="shared" ref="E212:E275" si="32">AVERAGE(C195:C212)</f>
        <v>737.64814815</v>
      </c>
      <c r="F212" s="9">
        <f t="shared" si="30"/>
        <v>-2.3456985962932997E-3</v>
      </c>
      <c r="G212" s="9">
        <f t="shared" si="29"/>
        <v>-2.5134605969162949E-2</v>
      </c>
      <c r="X212" s="2">
        <v>39264</v>
      </c>
      <c r="Y212" s="6">
        <v>435.3</v>
      </c>
      <c r="Z212" s="6">
        <v>509.5</v>
      </c>
      <c r="AA212" s="7">
        <f t="shared" ref="AA212:AA275" si="33">AVERAGE(Y195:Y212)</f>
        <v>410.54444444444448</v>
      </c>
      <c r="AB212" s="7">
        <f t="shared" ref="AB212:AB275" si="34">IF(ISNA(AVERAGE(Z195:Z212)),0,AVERAGE(Z195:Z212))</f>
        <v>737.64814815</v>
      </c>
      <c r="AC212" s="18">
        <f t="shared" si="26"/>
        <v>-2.3456985962933053E-3</v>
      </c>
    </row>
    <row r="213" spans="1:29" x14ac:dyDescent="0.25">
      <c r="A213" s="2">
        <v>39295</v>
      </c>
      <c r="B213" s="6">
        <v>440.72</v>
      </c>
      <c r="C213" s="6">
        <v>471</v>
      </c>
      <c r="D213" s="7">
        <f t="shared" si="31"/>
        <v>412.44138888888887</v>
      </c>
      <c r="E213" s="17">
        <f t="shared" si="32"/>
        <v>716.27777777777783</v>
      </c>
      <c r="F213" s="9">
        <f t="shared" si="30"/>
        <v>4.6205580665239498E-3</v>
      </c>
      <c r="G213" s="9">
        <f t="shared" si="29"/>
        <v>-2.8970953734268057E-2</v>
      </c>
      <c r="X213" s="2">
        <v>39295</v>
      </c>
      <c r="Y213" s="6">
        <v>440.72</v>
      </c>
      <c r="Z213" s="6">
        <v>471</v>
      </c>
      <c r="AA213" s="7">
        <f t="shared" si="33"/>
        <v>412.44138888888887</v>
      </c>
      <c r="AB213" s="7">
        <f t="shared" si="34"/>
        <v>716.27777777777783</v>
      </c>
      <c r="AC213" s="18">
        <f t="shared" ref="AC213:AC276" si="35">(AA213-AA212)/AA212</f>
        <v>4.6205580665239863E-3</v>
      </c>
    </row>
    <row r="214" spans="1:29" x14ac:dyDescent="0.25">
      <c r="A214" s="2">
        <v>39326</v>
      </c>
      <c r="B214" s="6">
        <v>432.55</v>
      </c>
      <c r="C214" s="6">
        <v>432.5</v>
      </c>
      <c r="D214" s="7">
        <f t="shared" si="31"/>
        <v>413.82861111111117</v>
      </c>
      <c r="E214" s="17">
        <f t="shared" si="32"/>
        <v>692.55555555555554</v>
      </c>
      <c r="F214" s="9">
        <f t="shared" si="30"/>
        <v>3.3634408660088155E-3</v>
      </c>
      <c r="G214" s="9">
        <f t="shared" si="29"/>
        <v>-3.31187466066859E-2</v>
      </c>
      <c r="X214" s="2">
        <v>39326</v>
      </c>
      <c r="Y214" s="6">
        <v>432.55</v>
      </c>
      <c r="Z214" s="6">
        <v>432.5</v>
      </c>
      <c r="AA214" s="7">
        <f t="shared" si="33"/>
        <v>413.82861111111117</v>
      </c>
      <c r="AB214" s="7">
        <f t="shared" si="34"/>
        <v>692.55555555555554</v>
      </c>
      <c r="AC214" s="18">
        <f t="shared" si="35"/>
        <v>3.3634408660087739E-3</v>
      </c>
    </row>
    <row r="215" spans="1:29" x14ac:dyDescent="0.25">
      <c r="A215" s="2">
        <v>39356</v>
      </c>
      <c r="B215" s="6">
        <v>419.52499999999998</v>
      </c>
      <c r="C215" s="6">
        <v>394</v>
      </c>
      <c r="D215" s="7">
        <f t="shared" si="31"/>
        <v>414.24944444444446</v>
      </c>
      <c r="E215" s="17">
        <f t="shared" si="32"/>
        <v>666.48148148333325</v>
      </c>
      <c r="F215" s="9">
        <f t="shared" si="30"/>
        <v>1.0169266262267662E-3</v>
      </c>
      <c r="G215" s="9">
        <f t="shared" si="29"/>
        <v>-3.7649072140221507E-2</v>
      </c>
      <c r="X215" s="2">
        <v>39356</v>
      </c>
      <c r="Y215" s="6">
        <v>419.52499999999998</v>
      </c>
      <c r="Z215" s="6">
        <v>394</v>
      </c>
      <c r="AA215" s="7">
        <f t="shared" si="33"/>
        <v>414.24944444444446</v>
      </c>
      <c r="AB215" s="7">
        <f t="shared" si="34"/>
        <v>666.48148148333325</v>
      </c>
      <c r="AC215" s="18">
        <f t="shared" si="35"/>
        <v>1.0169266262266717E-3</v>
      </c>
    </row>
    <row r="216" spans="1:29" x14ac:dyDescent="0.25">
      <c r="A216" s="2">
        <v>39387</v>
      </c>
      <c r="B216" s="6">
        <v>427.38</v>
      </c>
      <c r="C216" s="6">
        <v>355.5</v>
      </c>
      <c r="D216" s="7">
        <f t="shared" si="31"/>
        <v>415.28305555555562</v>
      </c>
      <c r="E216" s="17">
        <f t="shared" si="32"/>
        <v>638.05555555555554</v>
      </c>
      <c r="F216" s="9">
        <f t="shared" si="30"/>
        <v>2.4951418160557015E-3</v>
      </c>
      <c r="G216" s="9">
        <f t="shared" si="29"/>
        <v>-4.2650736318303184E-2</v>
      </c>
      <c r="X216" s="2">
        <v>39387</v>
      </c>
      <c r="Y216" s="6">
        <v>427.38</v>
      </c>
      <c r="Z216" s="6">
        <v>355.5</v>
      </c>
      <c r="AA216" s="7">
        <f t="shared" si="33"/>
        <v>415.28305555555562</v>
      </c>
      <c r="AB216" s="7">
        <f t="shared" si="34"/>
        <v>638.05555555555554</v>
      </c>
      <c r="AC216" s="18">
        <f t="shared" si="35"/>
        <v>2.4951418160556525E-3</v>
      </c>
    </row>
    <row r="217" spans="1:29" x14ac:dyDescent="0.25">
      <c r="A217" s="2">
        <v>39417</v>
      </c>
      <c r="B217" s="6">
        <v>412.375</v>
      </c>
      <c r="C217" s="6">
        <v>317</v>
      </c>
      <c r="D217" s="7">
        <f t="shared" si="31"/>
        <v>415.65722222222229</v>
      </c>
      <c r="E217" s="17">
        <f t="shared" si="32"/>
        <v>607.27777777777783</v>
      </c>
      <c r="F217" s="9">
        <f t="shared" si="30"/>
        <v>9.0099189374859279E-4</v>
      </c>
      <c r="G217" s="9">
        <f t="shared" si="29"/>
        <v>-4.8236830648672124E-2</v>
      </c>
      <c r="X217" s="2">
        <v>39417</v>
      </c>
      <c r="Y217" s="6">
        <v>412.375</v>
      </c>
      <c r="Z217" s="6">
        <v>317</v>
      </c>
      <c r="AA217" s="7">
        <f t="shared" si="33"/>
        <v>415.65722222222229</v>
      </c>
      <c r="AB217" s="7">
        <f t="shared" si="34"/>
        <v>607.27777777777783</v>
      </c>
      <c r="AC217" s="18">
        <f t="shared" si="35"/>
        <v>9.009918937485092E-4</v>
      </c>
    </row>
    <row r="218" spans="1:29" x14ac:dyDescent="0.25">
      <c r="A218" s="2">
        <v>39448</v>
      </c>
      <c r="B218" s="6">
        <v>419.27499999999998</v>
      </c>
      <c r="C218" s="6">
        <v>283.83333329999999</v>
      </c>
      <c r="D218" s="7">
        <f t="shared" si="31"/>
        <v>416.88499999999999</v>
      </c>
      <c r="E218" s="17">
        <f t="shared" si="32"/>
        <v>575.99999999999989</v>
      </c>
      <c r="F218" s="9">
        <f t="shared" si="30"/>
        <v>2.9538227946903639E-3</v>
      </c>
      <c r="G218" s="9">
        <f t="shared" si="29"/>
        <v>-5.1504894337206397E-2</v>
      </c>
      <c r="X218" s="2">
        <v>39448</v>
      </c>
      <c r="Y218" s="6">
        <v>419.27499999999998</v>
      </c>
      <c r="Z218" s="6">
        <v>283.83333329999999</v>
      </c>
      <c r="AA218" s="7">
        <f t="shared" si="33"/>
        <v>416.88499999999999</v>
      </c>
      <c r="AB218" s="7">
        <f t="shared" si="34"/>
        <v>575.99999999999989</v>
      </c>
      <c r="AC218" s="18">
        <f t="shared" si="35"/>
        <v>2.9538227946904242E-3</v>
      </c>
    </row>
    <row r="219" spans="1:29" x14ac:dyDescent="0.25">
      <c r="A219" s="2">
        <v>39479</v>
      </c>
      <c r="B219" s="6">
        <v>377.62</v>
      </c>
      <c r="C219" s="6">
        <v>250.66666670000001</v>
      </c>
      <c r="D219" s="7">
        <f t="shared" si="31"/>
        <v>416.57361111111118</v>
      </c>
      <c r="E219" s="17">
        <f t="shared" si="32"/>
        <v>544.22222222222217</v>
      </c>
      <c r="F219" s="9">
        <f t="shared" si="30"/>
        <v>-7.4694193575886025E-4</v>
      </c>
      <c r="G219" s="9">
        <f t="shared" si="29"/>
        <v>-5.5169753086419693E-2</v>
      </c>
      <c r="X219" s="2">
        <v>39479</v>
      </c>
      <c r="Y219" s="6">
        <v>377.62</v>
      </c>
      <c r="Z219" s="6">
        <v>250.66666670000001</v>
      </c>
      <c r="AA219" s="7">
        <f t="shared" si="33"/>
        <v>416.57361111111118</v>
      </c>
      <c r="AB219" s="7">
        <f t="shared" si="34"/>
        <v>544.22222222222217</v>
      </c>
      <c r="AC219" s="18">
        <f t="shared" si="35"/>
        <v>-7.4694193575881624E-4</v>
      </c>
    </row>
    <row r="220" spans="1:29" x14ac:dyDescent="0.25">
      <c r="A220" s="2">
        <v>39508</v>
      </c>
      <c r="B220" s="6">
        <v>373.375</v>
      </c>
      <c r="C220" s="6">
        <v>217.5</v>
      </c>
      <c r="D220" s="7">
        <f t="shared" si="31"/>
        <v>415.33555555555557</v>
      </c>
      <c r="E220" s="17">
        <f t="shared" si="32"/>
        <v>511.94444444444446</v>
      </c>
      <c r="F220" s="9">
        <f t="shared" si="30"/>
        <v>-2.9719970793478101E-3</v>
      </c>
      <c r="G220" s="9">
        <f t="shared" si="29"/>
        <v>-5.9309922417313032E-2</v>
      </c>
      <c r="X220" s="2">
        <v>39508</v>
      </c>
      <c r="Y220" s="6">
        <v>373.375</v>
      </c>
      <c r="Z220" s="6">
        <v>217.5</v>
      </c>
      <c r="AA220" s="7">
        <f t="shared" si="33"/>
        <v>415.33555555555557</v>
      </c>
      <c r="AB220" s="7">
        <f t="shared" si="34"/>
        <v>511.94444444444446</v>
      </c>
      <c r="AC220" s="18">
        <f t="shared" si="35"/>
        <v>-2.9719970793478374E-3</v>
      </c>
    </row>
    <row r="221" spans="1:29" x14ac:dyDescent="0.25">
      <c r="A221" s="2">
        <v>39539</v>
      </c>
      <c r="B221" s="6">
        <v>365.92500000000001</v>
      </c>
      <c r="C221" s="6">
        <v>184.33333329999999</v>
      </c>
      <c r="D221" s="7">
        <f t="shared" si="31"/>
        <v>414.47027777777777</v>
      </c>
      <c r="E221" s="17">
        <f t="shared" si="32"/>
        <v>479.16666666666669</v>
      </c>
      <c r="F221" s="9">
        <f t="shared" si="30"/>
        <v>-2.0833221866122242E-3</v>
      </c>
      <c r="G221" s="9">
        <f t="shared" si="29"/>
        <v>-6.4026044492675016E-2</v>
      </c>
      <c r="X221" s="2">
        <v>39539</v>
      </c>
      <c r="Y221" s="6">
        <v>365.92500000000001</v>
      </c>
      <c r="Z221" s="6">
        <v>184.33333329999999</v>
      </c>
      <c r="AA221" s="7">
        <f t="shared" si="33"/>
        <v>414.47027777777777</v>
      </c>
      <c r="AB221" s="7">
        <f t="shared" si="34"/>
        <v>479.16666666666669</v>
      </c>
      <c r="AC221" s="18">
        <f t="shared" si="35"/>
        <v>-2.0833221866122303E-3</v>
      </c>
    </row>
    <row r="222" spans="1:29" x14ac:dyDescent="0.25">
      <c r="A222" s="2">
        <v>39569</v>
      </c>
      <c r="B222" s="6">
        <v>359.72</v>
      </c>
      <c r="C222" s="6">
        <v>151.16666670000001</v>
      </c>
      <c r="D222" s="7">
        <f t="shared" si="31"/>
        <v>411.91027777777776</v>
      </c>
      <c r="E222" s="17">
        <f t="shared" si="32"/>
        <v>445.88888888888891</v>
      </c>
      <c r="F222" s="9">
        <f t="shared" si="30"/>
        <v>-6.1765586997593047E-3</v>
      </c>
      <c r="G222" s="9">
        <f t="shared" si="29"/>
        <v>-6.9449275362318819E-2</v>
      </c>
      <c r="X222" s="2">
        <v>39569</v>
      </c>
      <c r="Y222" s="6">
        <v>359.72</v>
      </c>
      <c r="Z222" s="6">
        <v>151.16666670000001</v>
      </c>
      <c r="AA222" s="7">
        <f t="shared" si="33"/>
        <v>411.91027777777776</v>
      </c>
      <c r="AB222" s="7">
        <f t="shared" si="34"/>
        <v>445.88888888888891</v>
      </c>
      <c r="AC222" s="18">
        <f t="shared" si="35"/>
        <v>-6.1765586997593368E-3</v>
      </c>
    </row>
    <row r="223" spans="1:29" x14ac:dyDescent="0.25">
      <c r="A223" s="2">
        <v>39600</v>
      </c>
      <c r="B223" s="6">
        <v>353.15</v>
      </c>
      <c r="C223" s="6">
        <v>118</v>
      </c>
      <c r="D223" s="7">
        <f t="shared" si="31"/>
        <v>407.92972222222221</v>
      </c>
      <c r="E223" s="17">
        <f t="shared" si="32"/>
        <v>412.11111111111109</v>
      </c>
      <c r="F223" s="9">
        <f t="shared" si="30"/>
        <v>-9.6636470860361756E-3</v>
      </c>
      <c r="G223" s="9">
        <f t="shared" si="29"/>
        <v>-7.5753800149514161E-2</v>
      </c>
      <c r="X223" s="2">
        <v>39600</v>
      </c>
      <c r="Y223" s="6">
        <v>353.15</v>
      </c>
      <c r="Z223" s="6">
        <v>118</v>
      </c>
      <c r="AA223" s="7">
        <f t="shared" si="33"/>
        <v>407.92972222222221</v>
      </c>
      <c r="AB223" s="7">
        <f t="shared" si="34"/>
        <v>412.11111111111109</v>
      </c>
      <c r="AC223" s="18">
        <f t="shared" si="35"/>
        <v>-9.6636470860361288E-3</v>
      </c>
    </row>
    <row r="224" spans="1:29" x14ac:dyDescent="0.25">
      <c r="A224" s="2">
        <v>39630</v>
      </c>
      <c r="B224" s="6">
        <v>342.65</v>
      </c>
      <c r="C224" s="6">
        <v>112.33333330000001</v>
      </c>
      <c r="D224" s="7">
        <f t="shared" si="31"/>
        <v>403.03249999999997</v>
      </c>
      <c r="E224" s="17">
        <f t="shared" si="32"/>
        <v>379.66666666666669</v>
      </c>
      <c r="F224" s="9">
        <f t="shared" si="30"/>
        <v>-1.2005063508352176E-2</v>
      </c>
      <c r="G224" s="9">
        <f t="shared" si="29"/>
        <v>-7.8727419789700659E-2</v>
      </c>
      <c r="X224" s="2">
        <v>39630</v>
      </c>
      <c r="Y224" s="6">
        <v>342.65</v>
      </c>
      <c r="Z224" s="6">
        <v>112.33333330000001</v>
      </c>
      <c r="AA224" s="7">
        <f t="shared" si="33"/>
        <v>403.03249999999997</v>
      </c>
      <c r="AB224" s="7">
        <f t="shared" si="34"/>
        <v>379.66666666666669</v>
      </c>
      <c r="AC224" s="18">
        <f t="shared" si="35"/>
        <v>-1.2005063508352176E-2</v>
      </c>
    </row>
    <row r="225" spans="1:29" x14ac:dyDescent="0.25">
      <c r="A225" s="2">
        <v>39661</v>
      </c>
      <c r="B225" s="6">
        <v>321.86</v>
      </c>
      <c r="C225" s="6">
        <v>106.66666669999999</v>
      </c>
      <c r="D225" s="7">
        <f t="shared" si="31"/>
        <v>398.85666666666668</v>
      </c>
      <c r="E225" s="17">
        <f t="shared" si="32"/>
        <v>348.55555555555554</v>
      </c>
      <c r="F225" s="9">
        <f t="shared" si="30"/>
        <v>-1.036103374624453E-2</v>
      </c>
      <c r="G225" s="9">
        <f t="shared" si="29"/>
        <v>-8.1943225051214541E-2</v>
      </c>
      <c r="X225" s="2">
        <v>39661</v>
      </c>
      <c r="Y225" s="6">
        <v>321.86</v>
      </c>
      <c r="Z225" s="6">
        <v>106.66666669999999</v>
      </c>
      <c r="AA225" s="7">
        <f t="shared" si="33"/>
        <v>398.85666666666668</v>
      </c>
      <c r="AB225" s="7">
        <f t="shared" si="34"/>
        <v>348.55555555555554</v>
      </c>
      <c r="AC225" s="18">
        <f t="shared" si="35"/>
        <v>-1.0361033746244502E-2</v>
      </c>
    </row>
    <row r="226" spans="1:29" x14ac:dyDescent="0.25">
      <c r="A226" s="2">
        <v>39692</v>
      </c>
      <c r="B226" s="6">
        <v>349.72500000000002</v>
      </c>
      <c r="C226" s="6">
        <v>101</v>
      </c>
      <c r="D226" s="7">
        <f t="shared" si="31"/>
        <v>395.57249999999999</v>
      </c>
      <c r="E226" s="17">
        <f t="shared" si="32"/>
        <v>318.77777777777777</v>
      </c>
      <c r="F226" s="9">
        <f t="shared" si="30"/>
        <v>-8.2339520462656468E-3</v>
      </c>
      <c r="G226" s="9">
        <f t="shared" si="29"/>
        <v>-8.5431941345234241E-2</v>
      </c>
      <c r="X226" s="2">
        <v>39692</v>
      </c>
      <c r="Y226" s="6">
        <v>349.72500000000002</v>
      </c>
      <c r="Z226" s="6">
        <v>101</v>
      </c>
      <c r="AA226" s="7">
        <f t="shared" si="33"/>
        <v>395.57249999999999</v>
      </c>
      <c r="AB226" s="7">
        <f t="shared" si="34"/>
        <v>318.77777777777777</v>
      </c>
      <c r="AC226" s="18">
        <f t="shared" si="35"/>
        <v>-8.2339520462656399E-3</v>
      </c>
    </row>
    <row r="227" spans="1:29" x14ac:dyDescent="0.25">
      <c r="A227" s="2">
        <v>39722</v>
      </c>
      <c r="B227" s="6">
        <v>294.26</v>
      </c>
      <c r="C227" s="6">
        <v>95.333333330000002</v>
      </c>
      <c r="D227" s="7">
        <f t="shared" si="31"/>
        <v>389.02305555555563</v>
      </c>
      <c r="E227" s="17">
        <f t="shared" si="32"/>
        <v>290.33333333499996</v>
      </c>
      <c r="F227" s="9">
        <f t="shared" si="30"/>
        <v>-1.6556875021505157E-2</v>
      </c>
      <c r="G227" s="9">
        <f t="shared" si="29"/>
        <v>-8.922969675322423E-2</v>
      </c>
      <c r="X227" s="2">
        <v>39722</v>
      </c>
      <c r="Y227" s="6">
        <v>294.26</v>
      </c>
      <c r="Z227" s="6">
        <v>95.333333330000002</v>
      </c>
      <c r="AA227" s="7">
        <f t="shared" si="33"/>
        <v>389.02305555555563</v>
      </c>
      <c r="AB227" s="7">
        <f t="shared" si="34"/>
        <v>290.33333333499996</v>
      </c>
      <c r="AC227" s="18">
        <f t="shared" si="35"/>
        <v>-1.6556875021505189E-2</v>
      </c>
    </row>
    <row r="228" spans="1:29" x14ac:dyDescent="0.25">
      <c r="A228" s="2">
        <v>39753</v>
      </c>
      <c r="B228" s="6">
        <v>288.89999999999998</v>
      </c>
      <c r="C228" s="6">
        <v>89.666666669999998</v>
      </c>
      <c r="D228" s="7">
        <f t="shared" si="31"/>
        <v>380.9661111111111</v>
      </c>
      <c r="E228" s="17">
        <f t="shared" si="32"/>
        <v>263.22222222222223</v>
      </c>
      <c r="F228" s="9">
        <f t="shared" si="30"/>
        <v>-2.0710711947235505E-2</v>
      </c>
      <c r="G228" s="9">
        <f t="shared" si="29"/>
        <v>-9.3379257563566354E-2</v>
      </c>
      <c r="X228" s="2">
        <v>39753</v>
      </c>
      <c r="Y228" s="6">
        <v>288.89999999999998</v>
      </c>
      <c r="Z228" s="6">
        <v>89.666666669999998</v>
      </c>
      <c r="AA228" s="7">
        <f t="shared" si="33"/>
        <v>380.9661111111111</v>
      </c>
      <c r="AB228" s="7">
        <f t="shared" si="34"/>
        <v>263.22222222222223</v>
      </c>
      <c r="AC228" s="18">
        <f t="shared" si="35"/>
        <v>-2.071071194723555E-2</v>
      </c>
    </row>
    <row r="229" spans="1:29" x14ac:dyDescent="0.25">
      <c r="A229" s="2">
        <v>39783</v>
      </c>
      <c r="B229" s="6">
        <v>305.77499999999998</v>
      </c>
      <c r="C229" s="6">
        <v>84</v>
      </c>
      <c r="D229" s="7">
        <f t="shared" si="31"/>
        <v>373.33805555555551</v>
      </c>
      <c r="E229" s="17">
        <f t="shared" si="32"/>
        <v>237.44444444444446</v>
      </c>
      <c r="F229" s="9">
        <f t="shared" si="30"/>
        <v>-2.0022924173774714E-2</v>
      </c>
      <c r="G229" s="9">
        <f t="shared" si="29"/>
        <v>-9.7931616715913883E-2</v>
      </c>
      <c r="X229" s="2">
        <v>39783</v>
      </c>
      <c r="Y229" s="6">
        <v>305.77499999999998</v>
      </c>
      <c r="Z229" s="6">
        <v>84</v>
      </c>
      <c r="AA229" s="7">
        <f t="shared" si="33"/>
        <v>373.33805555555551</v>
      </c>
      <c r="AB229" s="7">
        <f t="shared" si="34"/>
        <v>237.44444444444446</v>
      </c>
      <c r="AC229" s="18">
        <f t="shared" si="35"/>
        <v>-2.0022924173774662E-2</v>
      </c>
    </row>
    <row r="230" spans="1:29" x14ac:dyDescent="0.25">
      <c r="A230" s="2">
        <v>39814</v>
      </c>
      <c r="B230" s="6">
        <v>299.76</v>
      </c>
      <c r="C230" s="6">
        <v>91.166666669999998</v>
      </c>
      <c r="D230" s="7">
        <f t="shared" si="31"/>
        <v>365.80805555555548</v>
      </c>
      <c r="E230" s="17">
        <f t="shared" si="32"/>
        <v>214.20370370388889</v>
      </c>
      <c r="F230" s="9">
        <f t="shared" si="30"/>
        <v>-2.0169387738399269E-2</v>
      </c>
      <c r="G230" s="9">
        <f t="shared" si="29"/>
        <v>-9.7878646076275166E-2</v>
      </c>
      <c r="X230" s="2">
        <v>39814</v>
      </c>
      <c r="Y230" s="6">
        <v>299.76</v>
      </c>
      <c r="Z230" s="6">
        <v>91.166666669999998</v>
      </c>
      <c r="AA230" s="7">
        <f t="shared" si="33"/>
        <v>365.80805555555548</v>
      </c>
      <c r="AB230" s="7">
        <f t="shared" si="34"/>
        <v>214.20370370388889</v>
      </c>
      <c r="AC230" s="18">
        <f t="shared" si="35"/>
        <v>-2.0169387738399224E-2</v>
      </c>
    </row>
    <row r="231" spans="1:29" x14ac:dyDescent="0.25">
      <c r="A231" s="2">
        <v>39845</v>
      </c>
      <c r="B231" s="6">
        <v>245.02500000000001</v>
      </c>
      <c r="C231" s="6">
        <v>98.333333330000002</v>
      </c>
      <c r="D231" s="7">
        <f t="shared" si="31"/>
        <v>354.93611111111107</v>
      </c>
      <c r="E231" s="17">
        <f t="shared" si="32"/>
        <v>193.5</v>
      </c>
      <c r="F231" s="9">
        <f t="shared" si="30"/>
        <v>-2.9720352735078781E-2</v>
      </c>
      <c r="G231" s="9">
        <f t="shared" si="29"/>
        <v>-9.6654275093717823E-2</v>
      </c>
      <c r="X231" s="2">
        <v>39845</v>
      </c>
      <c r="Y231" s="6">
        <v>245.02500000000001</v>
      </c>
      <c r="Z231" s="6">
        <v>98.333333330000002</v>
      </c>
      <c r="AA231" s="7">
        <f t="shared" si="33"/>
        <v>354.93611111111107</v>
      </c>
      <c r="AB231" s="7">
        <f t="shared" si="34"/>
        <v>193.5</v>
      </c>
      <c r="AC231" s="18">
        <f t="shared" si="35"/>
        <v>-2.9720352735078795E-2</v>
      </c>
    </row>
    <row r="232" spans="1:29" x14ac:dyDescent="0.25">
      <c r="A232" s="2">
        <v>39873</v>
      </c>
      <c r="B232" s="6">
        <v>261.55</v>
      </c>
      <c r="C232" s="6">
        <v>105.5</v>
      </c>
      <c r="D232" s="7">
        <f t="shared" si="31"/>
        <v>345.43611111111107</v>
      </c>
      <c r="E232" s="17">
        <f t="shared" si="32"/>
        <v>175.33333333333334</v>
      </c>
      <c r="F232" s="9">
        <f t="shared" si="30"/>
        <v>-2.6765380311010611E-2</v>
      </c>
      <c r="G232" s="9">
        <f t="shared" si="29"/>
        <v>-9.3884582256675286E-2</v>
      </c>
      <c r="X232" s="2">
        <v>39873</v>
      </c>
      <c r="Y232" s="6">
        <v>261.55</v>
      </c>
      <c r="Z232" s="6">
        <v>105.5</v>
      </c>
      <c r="AA232" s="7">
        <f t="shared" si="33"/>
        <v>345.43611111111107</v>
      </c>
      <c r="AB232" s="7">
        <f t="shared" si="34"/>
        <v>175.33333333333334</v>
      </c>
      <c r="AC232" s="18">
        <f t="shared" si="35"/>
        <v>-2.6765380311010591E-2</v>
      </c>
    </row>
    <row r="233" spans="1:29" x14ac:dyDescent="0.25">
      <c r="A233" s="2">
        <v>39904</v>
      </c>
      <c r="B233" s="6">
        <v>266.60000000000002</v>
      </c>
      <c r="C233" s="6">
        <v>112.66666669999999</v>
      </c>
      <c r="D233" s="7">
        <f t="shared" si="31"/>
        <v>336.94027777777779</v>
      </c>
      <c r="E233" s="17">
        <f t="shared" si="32"/>
        <v>159.70370370555554</v>
      </c>
      <c r="F233" s="9">
        <f t="shared" si="30"/>
        <v>-2.4594514180946603E-2</v>
      </c>
      <c r="G233" s="9">
        <f t="shared" si="29"/>
        <v>-8.9142374302915273E-2</v>
      </c>
      <c r="X233" s="2">
        <v>39904</v>
      </c>
      <c r="Y233" s="6">
        <v>266.60000000000002</v>
      </c>
      <c r="Z233" s="6">
        <v>112.66666669999999</v>
      </c>
      <c r="AA233" s="7">
        <f t="shared" si="33"/>
        <v>336.94027777777779</v>
      </c>
      <c r="AB233" s="7">
        <f t="shared" si="34"/>
        <v>159.70370370555554</v>
      </c>
      <c r="AC233" s="18">
        <f t="shared" si="35"/>
        <v>-2.4594514180946641E-2</v>
      </c>
    </row>
    <row r="234" spans="1:29" x14ac:dyDescent="0.25">
      <c r="A234" s="2">
        <v>39934</v>
      </c>
      <c r="B234" s="6">
        <v>261.66000000000003</v>
      </c>
      <c r="C234" s="6">
        <v>119.83333330000001</v>
      </c>
      <c r="D234" s="7">
        <f t="shared" si="31"/>
        <v>327.73361111111109</v>
      </c>
      <c r="E234" s="17">
        <f t="shared" si="32"/>
        <v>146.61111111111111</v>
      </c>
      <c r="F234" s="9">
        <f t="shared" si="30"/>
        <v>-2.7324328000758569E-2</v>
      </c>
      <c r="G234" s="9">
        <f t="shared" si="29"/>
        <v>-8.1980519491164361E-2</v>
      </c>
      <c r="X234" s="2">
        <v>39934</v>
      </c>
      <c r="Y234" s="6">
        <v>261.66000000000003</v>
      </c>
      <c r="Z234" s="6">
        <v>119.83333330000001</v>
      </c>
      <c r="AA234" s="7">
        <f t="shared" si="33"/>
        <v>327.73361111111109</v>
      </c>
      <c r="AB234" s="7">
        <f t="shared" si="34"/>
        <v>146.61111111111111</v>
      </c>
      <c r="AC234" s="18">
        <f t="shared" si="35"/>
        <v>-2.7324328000758576E-2</v>
      </c>
    </row>
    <row r="235" spans="1:29" x14ac:dyDescent="0.25">
      <c r="A235" s="2">
        <v>39965</v>
      </c>
      <c r="B235" s="6">
        <v>269.97500000000002</v>
      </c>
      <c r="C235" s="6">
        <v>127</v>
      </c>
      <c r="D235" s="7">
        <f t="shared" si="31"/>
        <v>319.82250000000005</v>
      </c>
      <c r="E235" s="17">
        <f t="shared" si="32"/>
        <v>136.05555555555554</v>
      </c>
      <c r="F235" s="9">
        <f t="shared" si="30"/>
        <v>-2.4138845827530786E-2</v>
      </c>
      <c r="G235" s="9">
        <f t="shared" si="29"/>
        <v>-7.1996968548692752E-2</v>
      </c>
      <c r="X235" s="2">
        <v>39965</v>
      </c>
      <c r="Y235" s="6">
        <v>269.97500000000002</v>
      </c>
      <c r="Z235" s="6">
        <v>127</v>
      </c>
      <c r="AA235" s="7">
        <f t="shared" si="33"/>
        <v>319.82250000000005</v>
      </c>
      <c r="AB235" s="7">
        <f t="shared" si="34"/>
        <v>136.05555555555554</v>
      </c>
      <c r="AC235" s="18">
        <f t="shared" si="35"/>
        <v>-2.4138845827530783E-2</v>
      </c>
    </row>
    <row r="236" spans="1:29" x14ac:dyDescent="0.25">
      <c r="A236" s="2">
        <v>39995</v>
      </c>
      <c r="B236" s="6">
        <v>266.58</v>
      </c>
      <c r="C236" s="6">
        <v>121.5</v>
      </c>
      <c r="D236" s="7">
        <f t="shared" si="31"/>
        <v>311.3394444444445</v>
      </c>
      <c r="E236" s="17">
        <f t="shared" si="32"/>
        <v>127.03703703888888</v>
      </c>
      <c r="F236" s="9">
        <f t="shared" si="30"/>
        <v>-2.6524261287293904E-2</v>
      </c>
      <c r="G236" s="9">
        <f t="shared" si="29"/>
        <v>-6.6285558717844029E-2</v>
      </c>
      <c r="X236" s="2">
        <v>39995</v>
      </c>
      <c r="Y236" s="6">
        <v>266.58</v>
      </c>
      <c r="Z236" s="6">
        <v>121.5</v>
      </c>
      <c r="AA236" s="7">
        <f t="shared" si="33"/>
        <v>311.3394444444445</v>
      </c>
      <c r="AB236" s="7">
        <f t="shared" si="34"/>
        <v>127.03703703888888</v>
      </c>
      <c r="AC236" s="18">
        <f t="shared" si="35"/>
        <v>-2.652426128729389E-2</v>
      </c>
    </row>
    <row r="237" spans="1:29" x14ac:dyDescent="0.25">
      <c r="A237" s="2">
        <v>40026</v>
      </c>
      <c r="B237" s="6">
        <v>275.72500000000002</v>
      </c>
      <c r="C237" s="6">
        <v>116</v>
      </c>
      <c r="D237" s="7">
        <f t="shared" si="31"/>
        <v>305.67861111111119</v>
      </c>
      <c r="E237" s="17">
        <f t="shared" si="32"/>
        <v>119.55555555555556</v>
      </c>
      <c r="F237" s="9">
        <f t="shared" si="30"/>
        <v>-1.8182191284610627E-2</v>
      </c>
      <c r="G237" s="9">
        <f t="shared" si="29"/>
        <v>-5.8892128293602131E-2</v>
      </c>
      <c r="X237" s="2">
        <v>40026</v>
      </c>
      <c r="Y237" s="6">
        <v>275.72500000000002</v>
      </c>
      <c r="Z237" s="6">
        <v>116</v>
      </c>
      <c r="AA237" s="7">
        <f t="shared" si="33"/>
        <v>305.67861111111119</v>
      </c>
      <c r="AB237" s="7">
        <f t="shared" si="34"/>
        <v>119.55555555555556</v>
      </c>
      <c r="AC237" s="18">
        <f t="shared" si="35"/>
        <v>-1.8182191284610651E-2</v>
      </c>
    </row>
    <row r="238" spans="1:29" x14ac:dyDescent="0.25">
      <c r="A238" s="2">
        <v>40057</v>
      </c>
      <c r="B238" s="6">
        <v>283.92500000000001</v>
      </c>
      <c r="C238" s="6">
        <v>110.5</v>
      </c>
      <c r="D238" s="7">
        <f t="shared" si="31"/>
        <v>300.70916666666676</v>
      </c>
      <c r="E238" s="17">
        <f t="shared" si="32"/>
        <v>113.61111111111111</v>
      </c>
      <c r="F238" s="9">
        <f t="shared" si="30"/>
        <v>-1.6257089190444218E-2</v>
      </c>
      <c r="G238" s="9">
        <f t="shared" si="29"/>
        <v>-4.9721189591078074E-2</v>
      </c>
      <c r="X238" s="2">
        <v>40057</v>
      </c>
      <c r="Y238" s="6">
        <v>283.92500000000001</v>
      </c>
      <c r="Z238" s="6">
        <v>110.5</v>
      </c>
      <c r="AA238" s="7">
        <f t="shared" si="33"/>
        <v>300.70916666666676</v>
      </c>
      <c r="AB238" s="7">
        <f t="shared" si="34"/>
        <v>113.61111111111111</v>
      </c>
      <c r="AC238" s="18">
        <f t="shared" si="35"/>
        <v>-1.6257089190444173E-2</v>
      </c>
    </row>
    <row r="239" spans="1:29" x14ac:dyDescent="0.25">
      <c r="A239" s="2">
        <v>40087</v>
      </c>
      <c r="B239" s="6">
        <v>274.2</v>
      </c>
      <c r="C239" s="6">
        <v>105</v>
      </c>
      <c r="D239" s="7">
        <f t="shared" si="31"/>
        <v>295.6133333333334</v>
      </c>
      <c r="E239" s="17">
        <f t="shared" si="32"/>
        <v>109.20370370555555</v>
      </c>
      <c r="F239" s="9">
        <f t="shared" si="30"/>
        <v>-1.6946052525834809E-2</v>
      </c>
      <c r="G239" s="9">
        <f t="shared" si="29"/>
        <v>-3.8793806014669974E-2</v>
      </c>
      <c r="X239" s="2">
        <v>40087</v>
      </c>
      <c r="Y239" s="6">
        <v>274.2</v>
      </c>
      <c r="Z239" s="6">
        <v>105</v>
      </c>
      <c r="AA239" s="7">
        <f t="shared" si="33"/>
        <v>295.6133333333334</v>
      </c>
      <c r="AB239" s="7">
        <f t="shared" si="34"/>
        <v>109.20370370555555</v>
      </c>
      <c r="AC239" s="18">
        <f t="shared" si="35"/>
        <v>-1.6946052525834844E-2</v>
      </c>
    </row>
    <row r="240" spans="1:29" x14ac:dyDescent="0.25">
      <c r="A240" s="2">
        <v>40118</v>
      </c>
      <c r="B240" s="6">
        <v>219.97499999999999</v>
      </c>
      <c r="C240" s="6">
        <v>99.5</v>
      </c>
      <c r="D240" s="7">
        <f t="shared" si="31"/>
        <v>287.84972222222228</v>
      </c>
      <c r="E240" s="17">
        <f t="shared" si="32"/>
        <v>106.33333333333333</v>
      </c>
      <c r="F240" s="9">
        <f t="shared" si="30"/>
        <v>-2.6262723076691752E-2</v>
      </c>
      <c r="G240" s="9">
        <f t="shared" si="29"/>
        <v>-2.6284551483359619E-2</v>
      </c>
      <c r="X240" s="2">
        <v>40118</v>
      </c>
      <c r="Y240" s="6">
        <v>219.97499999999999</v>
      </c>
      <c r="Z240" s="6">
        <v>99.5</v>
      </c>
      <c r="AA240" s="7">
        <f t="shared" si="33"/>
        <v>287.84972222222228</v>
      </c>
      <c r="AB240" s="7">
        <f t="shared" si="34"/>
        <v>106.33333333333333</v>
      </c>
      <c r="AC240" s="18">
        <f t="shared" si="35"/>
        <v>-2.626272307669179E-2</v>
      </c>
    </row>
    <row r="241" spans="1:29" x14ac:dyDescent="0.25">
      <c r="A241" s="2">
        <v>40148</v>
      </c>
      <c r="B241" s="6">
        <v>225.17500000000001</v>
      </c>
      <c r="C241" s="6">
        <v>94</v>
      </c>
      <c r="D241" s="7">
        <f t="shared" si="31"/>
        <v>280.74</v>
      </c>
      <c r="E241" s="17">
        <f t="shared" si="32"/>
        <v>105</v>
      </c>
      <c r="F241" s="9">
        <f t="shared" si="30"/>
        <v>-2.4699423599698678E-2</v>
      </c>
      <c r="G241" s="9">
        <f t="shared" si="29"/>
        <v>-1.2539184952978011E-2</v>
      </c>
      <c r="X241" s="2">
        <v>40148</v>
      </c>
      <c r="Y241" s="6">
        <v>225.17500000000001</v>
      </c>
      <c r="Z241" s="6">
        <v>94</v>
      </c>
      <c r="AA241" s="7">
        <f t="shared" si="33"/>
        <v>280.74</v>
      </c>
      <c r="AB241" s="7">
        <f t="shared" si="34"/>
        <v>105</v>
      </c>
      <c r="AC241" s="18">
        <f t="shared" si="35"/>
        <v>-2.4699423599698705E-2</v>
      </c>
    </row>
    <row r="242" spans="1:29" x14ac:dyDescent="0.25">
      <c r="A242" s="2">
        <v>40179</v>
      </c>
      <c r="B242" s="6">
        <v>220.44</v>
      </c>
      <c r="C242" s="6">
        <v>94.666666669999998</v>
      </c>
      <c r="D242" s="7">
        <f t="shared" si="31"/>
        <v>273.95055555555552</v>
      </c>
      <c r="E242" s="17">
        <f t="shared" si="32"/>
        <v>104.01851852055556</v>
      </c>
      <c r="F242" s="9">
        <f t="shared" si="30"/>
        <v>-2.4184100749606308E-2</v>
      </c>
      <c r="G242" s="9">
        <f t="shared" si="29"/>
        <v>-9.34744266137566E-3</v>
      </c>
      <c r="X242" s="2">
        <v>40179</v>
      </c>
      <c r="Y242" s="6">
        <v>220.44</v>
      </c>
      <c r="Z242" s="6">
        <v>94.666666669999998</v>
      </c>
      <c r="AA242" s="7">
        <f t="shared" si="33"/>
        <v>273.95055555555552</v>
      </c>
      <c r="AB242" s="7">
        <f t="shared" si="34"/>
        <v>104.01851852055556</v>
      </c>
      <c r="AC242" s="18">
        <f t="shared" si="35"/>
        <v>-2.4184100749606342E-2</v>
      </c>
    </row>
    <row r="243" spans="1:29" x14ac:dyDescent="0.25">
      <c r="A243" s="2">
        <v>40210</v>
      </c>
      <c r="B243" s="6">
        <v>211.2</v>
      </c>
      <c r="C243" s="6">
        <v>95.333333330000002</v>
      </c>
      <c r="D243" s="7">
        <f t="shared" si="31"/>
        <v>267.80277777777769</v>
      </c>
      <c r="E243" s="17">
        <f t="shared" si="32"/>
        <v>103.38888888888889</v>
      </c>
      <c r="F243" s="9">
        <f t="shared" si="30"/>
        <v>-2.2441194781702478E-2</v>
      </c>
      <c r="G243" s="9">
        <f t="shared" si="29"/>
        <v>-6.0530532507271362E-3</v>
      </c>
      <c r="X243" s="2">
        <v>40210</v>
      </c>
      <c r="Y243" s="6">
        <v>211.2</v>
      </c>
      <c r="Z243" s="6">
        <v>95.333333330000002</v>
      </c>
      <c r="AA243" s="7">
        <f t="shared" si="33"/>
        <v>267.80277777777769</v>
      </c>
      <c r="AB243" s="7">
        <f t="shared" si="34"/>
        <v>103.38888888888889</v>
      </c>
      <c r="AC243" s="18">
        <f t="shared" si="35"/>
        <v>-2.2441194781702499E-2</v>
      </c>
    </row>
    <row r="244" spans="1:29" x14ac:dyDescent="0.25">
      <c r="A244" s="2">
        <v>40238</v>
      </c>
      <c r="B244" s="6">
        <v>229.7</v>
      </c>
      <c r="C244" s="6">
        <v>96</v>
      </c>
      <c r="D244" s="7">
        <f t="shared" si="31"/>
        <v>261.13472222222219</v>
      </c>
      <c r="E244" s="17">
        <f t="shared" si="32"/>
        <v>103.11111111111111</v>
      </c>
      <c r="F244" s="9">
        <f t="shared" si="30"/>
        <v>-2.4899127674801957E-2</v>
      </c>
      <c r="G244" s="9">
        <f t="shared" si="29"/>
        <v>-2.6867275658247758E-3</v>
      </c>
      <c r="X244" s="2">
        <v>40238</v>
      </c>
      <c r="Y244" s="6">
        <v>229.7</v>
      </c>
      <c r="Z244" s="6">
        <v>96</v>
      </c>
      <c r="AA244" s="7">
        <f t="shared" si="33"/>
        <v>261.13472222222219</v>
      </c>
      <c r="AB244" s="7">
        <f t="shared" si="34"/>
        <v>103.11111111111111</v>
      </c>
      <c r="AC244" s="18">
        <f t="shared" si="35"/>
        <v>-2.4899127674801937E-2</v>
      </c>
    </row>
    <row r="245" spans="1:29" x14ac:dyDescent="0.25">
      <c r="A245" s="2">
        <v>40269</v>
      </c>
      <c r="B245" s="6">
        <v>250.18</v>
      </c>
      <c r="C245" s="6">
        <v>96.666666669999998</v>
      </c>
      <c r="D245" s="7">
        <f t="shared" si="31"/>
        <v>258.68583333333333</v>
      </c>
      <c r="E245" s="17">
        <f t="shared" si="32"/>
        <v>103.18518518555555</v>
      </c>
      <c r="F245" s="9">
        <f t="shared" si="30"/>
        <v>-9.3778754048834401E-3</v>
      </c>
      <c r="G245" s="9">
        <f t="shared" si="29"/>
        <v>7.1839080818958401E-4</v>
      </c>
      <c r="X245" s="2">
        <v>40269</v>
      </c>
      <c r="Y245" s="6">
        <v>250.18</v>
      </c>
      <c r="Z245" s="6">
        <v>96.666666669999998</v>
      </c>
      <c r="AA245" s="7">
        <f t="shared" si="33"/>
        <v>258.68583333333333</v>
      </c>
      <c r="AB245" s="7">
        <f t="shared" si="34"/>
        <v>103.18518518555555</v>
      </c>
      <c r="AC245" s="18">
        <f t="shared" si="35"/>
        <v>-9.3778754048834904E-3</v>
      </c>
    </row>
    <row r="246" spans="1:29" x14ac:dyDescent="0.25">
      <c r="A246" s="2">
        <v>40299</v>
      </c>
      <c r="B246" s="6">
        <v>204.85</v>
      </c>
      <c r="C246" s="6">
        <v>97.333333330000002</v>
      </c>
      <c r="D246" s="7">
        <f t="shared" si="31"/>
        <v>254.01638888888894</v>
      </c>
      <c r="E246" s="17">
        <f t="shared" si="32"/>
        <v>103.61111111111111</v>
      </c>
      <c r="F246" s="9">
        <f t="shared" si="30"/>
        <v>-1.8050638429927157E-2</v>
      </c>
      <c r="G246" s="9">
        <f t="shared" si="29"/>
        <v>4.1277817623686097E-3</v>
      </c>
      <c r="X246" s="2">
        <v>40299</v>
      </c>
      <c r="Y246" s="6">
        <v>204.85</v>
      </c>
      <c r="Z246" s="6">
        <v>97.333333330000002</v>
      </c>
      <c r="AA246" s="7">
        <f t="shared" si="33"/>
        <v>254.01638888888894</v>
      </c>
      <c r="AB246" s="7">
        <f t="shared" si="34"/>
        <v>103.61111111111111</v>
      </c>
      <c r="AC246" s="18">
        <f t="shared" si="35"/>
        <v>-1.8050638429927143E-2</v>
      </c>
    </row>
    <row r="247" spans="1:29" x14ac:dyDescent="0.25">
      <c r="A247" s="2">
        <v>40330</v>
      </c>
      <c r="B247" s="6">
        <v>174.45</v>
      </c>
      <c r="C247" s="6">
        <v>98</v>
      </c>
      <c r="D247" s="7">
        <f t="shared" si="31"/>
        <v>246.72055555555551</v>
      </c>
      <c r="E247" s="17">
        <f t="shared" si="32"/>
        <v>104.38888888888889</v>
      </c>
      <c r="F247" s="9">
        <f t="shared" si="30"/>
        <v>-2.8721900052381066E-2</v>
      </c>
      <c r="G247" s="9">
        <f t="shared" si="29"/>
        <v>7.5067024128685489E-3</v>
      </c>
      <c r="X247" s="2">
        <v>40330</v>
      </c>
      <c r="Y247" s="6">
        <v>174.45</v>
      </c>
      <c r="Z247" s="6">
        <v>98</v>
      </c>
      <c r="AA247" s="7">
        <f t="shared" si="33"/>
        <v>246.72055555555551</v>
      </c>
      <c r="AB247" s="7">
        <f t="shared" si="34"/>
        <v>104.38888888888889</v>
      </c>
      <c r="AC247" s="18">
        <f t="shared" si="35"/>
        <v>-2.8721900052381087E-2</v>
      </c>
    </row>
    <row r="248" spans="1:29" x14ac:dyDescent="0.25">
      <c r="A248" s="2">
        <v>40360</v>
      </c>
      <c r="B248" s="6">
        <v>169.6</v>
      </c>
      <c r="C248" s="6">
        <v>101.16666669999999</v>
      </c>
      <c r="D248" s="7">
        <f t="shared" si="31"/>
        <v>239.48944444444442</v>
      </c>
      <c r="E248" s="17">
        <f t="shared" si="32"/>
        <v>104.94444444611111</v>
      </c>
      <c r="F248" s="9">
        <f t="shared" si="30"/>
        <v>-2.9308912242145269E-2</v>
      </c>
      <c r="G248" s="9">
        <f t="shared" si="29"/>
        <v>5.3219797924428658E-3</v>
      </c>
      <c r="X248" s="2">
        <v>40360</v>
      </c>
      <c r="Y248" s="6">
        <v>169.6</v>
      </c>
      <c r="Z248" s="6">
        <v>101.16666669999999</v>
      </c>
      <c r="AA248" s="7">
        <f t="shared" si="33"/>
        <v>239.48944444444442</v>
      </c>
      <c r="AB248" s="7">
        <f t="shared" si="34"/>
        <v>104.94444444611111</v>
      </c>
      <c r="AC248" s="18">
        <f t="shared" si="35"/>
        <v>-2.930891224214522E-2</v>
      </c>
    </row>
    <row r="249" spans="1:29" x14ac:dyDescent="0.25">
      <c r="A249" s="2">
        <v>40391</v>
      </c>
      <c r="B249" s="6">
        <v>172.22499999999999</v>
      </c>
      <c r="C249" s="6">
        <v>104.33333330000001</v>
      </c>
      <c r="D249" s="7">
        <f t="shared" si="31"/>
        <v>235.44499999999996</v>
      </c>
      <c r="E249" s="17">
        <f t="shared" si="32"/>
        <v>105.27777777777777</v>
      </c>
      <c r="F249" s="9">
        <f t="shared" si="30"/>
        <v>-1.688777747105541E-2</v>
      </c>
      <c r="G249" s="9">
        <f t="shared" si="29"/>
        <v>3.1762837320830073E-3</v>
      </c>
      <c r="X249" s="2">
        <v>40391</v>
      </c>
      <c r="Y249" s="6">
        <v>172.22499999999999</v>
      </c>
      <c r="Z249" s="6">
        <v>104.33333330000001</v>
      </c>
      <c r="AA249" s="7">
        <f t="shared" si="33"/>
        <v>235.44499999999996</v>
      </c>
      <c r="AB249" s="7">
        <f t="shared" si="34"/>
        <v>105.27777777777777</v>
      </c>
      <c r="AC249" s="18">
        <f t="shared" si="35"/>
        <v>-1.6887777471055354E-2</v>
      </c>
    </row>
    <row r="250" spans="1:29" x14ac:dyDescent="0.25">
      <c r="A250" s="2">
        <v>40422</v>
      </c>
      <c r="B250" s="6">
        <v>181.9</v>
      </c>
      <c r="C250" s="6">
        <v>107.5</v>
      </c>
      <c r="D250" s="7">
        <f t="shared" si="31"/>
        <v>231.01999999999992</v>
      </c>
      <c r="E250" s="17">
        <f t="shared" si="32"/>
        <v>105.38888888888889</v>
      </c>
      <c r="F250" s="9">
        <f t="shared" si="30"/>
        <v>-1.8794198220391301E-2</v>
      </c>
      <c r="G250" s="9">
        <f t="shared" si="29"/>
        <v>1.0554089709762238E-3</v>
      </c>
      <c r="X250" s="2">
        <v>40422</v>
      </c>
      <c r="Y250" s="6">
        <v>181.9</v>
      </c>
      <c r="Z250" s="6">
        <v>107.5</v>
      </c>
      <c r="AA250" s="7">
        <f t="shared" si="33"/>
        <v>231.01999999999992</v>
      </c>
      <c r="AB250" s="7">
        <f t="shared" si="34"/>
        <v>105.38888888888889</v>
      </c>
      <c r="AC250" s="18">
        <f t="shared" si="35"/>
        <v>-1.8794198220391346E-2</v>
      </c>
    </row>
    <row r="251" spans="1:29" x14ac:dyDescent="0.25">
      <c r="A251" s="2">
        <v>40452</v>
      </c>
      <c r="B251" s="6">
        <v>181.1</v>
      </c>
      <c r="C251" s="6">
        <v>110.66666669999999</v>
      </c>
      <c r="D251" s="7">
        <f t="shared" si="31"/>
        <v>226.26999999999995</v>
      </c>
      <c r="E251" s="17">
        <f t="shared" si="32"/>
        <v>105.27777777777777</v>
      </c>
      <c r="F251" s="9">
        <f t="shared" si="30"/>
        <v>-2.0560990390442235E-2</v>
      </c>
      <c r="G251" s="9">
        <f t="shared" si="29"/>
        <v>-1.0542962572482883E-3</v>
      </c>
      <c r="X251" s="2">
        <v>40452</v>
      </c>
      <c r="Y251" s="6">
        <v>181.1</v>
      </c>
      <c r="Z251" s="6">
        <v>110.66666669999999</v>
      </c>
      <c r="AA251" s="7">
        <f t="shared" si="33"/>
        <v>226.26999999999995</v>
      </c>
      <c r="AB251" s="7">
        <f t="shared" si="34"/>
        <v>105.27777777777777</v>
      </c>
      <c r="AC251" s="18">
        <f t="shared" si="35"/>
        <v>-2.056099039044227E-2</v>
      </c>
    </row>
    <row r="252" spans="1:29" x14ac:dyDescent="0.25">
      <c r="A252" s="2">
        <v>40483</v>
      </c>
      <c r="B252" s="6">
        <v>195.02500000000001</v>
      </c>
      <c r="C252" s="6">
        <v>113.83333330000001</v>
      </c>
      <c r="D252" s="7">
        <f t="shared" si="31"/>
        <v>222.56805555555553</v>
      </c>
      <c r="E252" s="17">
        <f t="shared" si="32"/>
        <v>104.94444444444444</v>
      </c>
      <c r="F252" s="9">
        <f t="shared" si="30"/>
        <v>-1.6360739136626279E-2</v>
      </c>
      <c r="G252" s="9">
        <f t="shared" si="29"/>
        <v>-3.1662269129286713E-3</v>
      </c>
      <c r="X252" s="2">
        <v>40483</v>
      </c>
      <c r="Y252" s="6">
        <v>195.02500000000001</v>
      </c>
      <c r="Z252" s="6">
        <v>113.83333330000001</v>
      </c>
      <c r="AA252" s="7">
        <f t="shared" si="33"/>
        <v>222.56805555555553</v>
      </c>
      <c r="AB252" s="7">
        <f t="shared" si="34"/>
        <v>104.94444444444444</v>
      </c>
      <c r="AC252" s="18">
        <f t="shared" si="35"/>
        <v>-1.6360739136626255E-2</v>
      </c>
    </row>
    <row r="253" spans="1:29" x14ac:dyDescent="0.25">
      <c r="A253" s="2">
        <v>40513</v>
      </c>
      <c r="B253" s="6">
        <v>201.54</v>
      </c>
      <c r="C253" s="6">
        <v>117</v>
      </c>
      <c r="D253" s="7">
        <f t="shared" si="31"/>
        <v>218.76611111111109</v>
      </c>
      <c r="E253" s="17">
        <f t="shared" si="32"/>
        <v>104.38888888888889</v>
      </c>
      <c r="F253" s="9">
        <f t="shared" si="30"/>
        <v>-1.7082165879350297E-2</v>
      </c>
      <c r="G253" s="9">
        <f t="shared" si="29"/>
        <v>-5.2938062466914015E-3</v>
      </c>
      <c r="X253" s="2">
        <v>40513</v>
      </c>
      <c r="Y253" s="6">
        <v>201.54</v>
      </c>
      <c r="Z253" s="6">
        <v>117</v>
      </c>
      <c r="AA253" s="7">
        <f t="shared" si="33"/>
        <v>218.76611111111109</v>
      </c>
      <c r="AB253" s="7">
        <f t="shared" si="34"/>
        <v>104.38888888888889</v>
      </c>
      <c r="AC253" s="18">
        <f t="shared" si="35"/>
        <v>-1.7082165879350263E-2</v>
      </c>
    </row>
    <row r="254" spans="1:29" x14ac:dyDescent="0.25">
      <c r="A254" s="2">
        <v>40544</v>
      </c>
      <c r="B254" s="6">
        <v>185.55</v>
      </c>
      <c r="C254" s="6">
        <v>115.83333330000001</v>
      </c>
      <c r="D254" s="7">
        <f t="shared" si="31"/>
        <v>214.26444444444442</v>
      </c>
      <c r="E254" s="17">
        <f t="shared" si="32"/>
        <v>104.07407407222223</v>
      </c>
      <c r="F254" s="9">
        <f t="shared" si="30"/>
        <v>-2.0577532067479476E-2</v>
      </c>
      <c r="G254" s="9">
        <f t="shared" si="29"/>
        <v>-3.0157885577433152E-3</v>
      </c>
      <c r="X254" s="2">
        <v>40544</v>
      </c>
      <c r="Y254" s="6">
        <v>185.55</v>
      </c>
      <c r="Z254" s="6">
        <v>115.83333330000001</v>
      </c>
      <c r="AA254" s="7">
        <f t="shared" si="33"/>
        <v>214.26444444444442</v>
      </c>
      <c r="AB254" s="7">
        <f t="shared" si="34"/>
        <v>104.07407407222223</v>
      </c>
      <c r="AC254" s="18">
        <f t="shared" si="35"/>
        <v>-2.0577532067479469E-2</v>
      </c>
    </row>
    <row r="255" spans="1:29" x14ac:dyDescent="0.25">
      <c r="A255" s="2">
        <v>40575</v>
      </c>
      <c r="B255" s="6">
        <v>179.52500000000001</v>
      </c>
      <c r="C255" s="6">
        <v>114.66666669999999</v>
      </c>
      <c r="D255" s="7">
        <f t="shared" si="31"/>
        <v>208.92000000000002</v>
      </c>
      <c r="E255" s="17">
        <f t="shared" si="32"/>
        <v>104</v>
      </c>
      <c r="F255" s="9">
        <f t="shared" si="30"/>
        <v>-2.4943216585942452E-2</v>
      </c>
      <c r="G255" s="9">
        <f t="shared" si="29"/>
        <v>-7.1174375446114713E-4</v>
      </c>
      <c r="X255" s="2">
        <v>40575</v>
      </c>
      <c r="Y255" s="6">
        <v>179.52500000000001</v>
      </c>
      <c r="Z255" s="6">
        <v>114.66666669999999</v>
      </c>
      <c r="AA255" s="7">
        <f t="shared" si="33"/>
        <v>208.92000000000002</v>
      </c>
      <c r="AB255" s="7">
        <f t="shared" si="34"/>
        <v>104</v>
      </c>
      <c r="AC255" s="18">
        <f t="shared" si="35"/>
        <v>-2.4943216585942427E-2</v>
      </c>
    </row>
    <row r="256" spans="1:29" x14ac:dyDescent="0.25">
      <c r="A256" s="2">
        <v>40603</v>
      </c>
      <c r="B256" s="6">
        <v>190.3</v>
      </c>
      <c r="C256" s="6">
        <v>112.08</v>
      </c>
      <c r="D256" s="7">
        <f t="shared" si="31"/>
        <v>203.71861111111113</v>
      </c>
      <c r="E256" s="17">
        <f t="shared" si="32"/>
        <v>104.08777777777777</v>
      </c>
      <c r="F256" s="9">
        <f t="shared" si="30"/>
        <v>-2.4896557959452781E-2</v>
      </c>
      <c r="G256" s="9">
        <f t="shared" si="29"/>
        <v>8.4401709401715763E-4</v>
      </c>
      <c r="X256" s="2">
        <v>40603</v>
      </c>
      <c r="Y256" s="6">
        <v>190.3</v>
      </c>
      <c r="Z256" s="6">
        <v>112.08</v>
      </c>
      <c r="AA256" s="7">
        <f t="shared" si="33"/>
        <v>203.71861111111113</v>
      </c>
      <c r="AB256" s="7">
        <f t="shared" si="34"/>
        <v>104.08777777777777</v>
      </c>
      <c r="AC256" s="18">
        <f t="shared" si="35"/>
        <v>-2.4896557959452829E-2</v>
      </c>
    </row>
    <row r="257" spans="1:29" x14ac:dyDescent="0.25">
      <c r="A257" s="2">
        <v>40634</v>
      </c>
      <c r="B257" s="6">
        <v>193.7</v>
      </c>
      <c r="C257" s="6">
        <v>107.04</v>
      </c>
      <c r="D257" s="7">
        <f t="shared" si="31"/>
        <v>199.2463888888889</v>
      </c>
      <c r="E257" s="17">
        <f t="shared" si="32"/>
        <v>104.2011111111111</v>
      </c>
      <c r="F257" s="9">
        <f t="shared" si="30"/>
        <v>-2.1952938898562424E-2</v>
      </c>
      <c r="G257" s="9">
        <f t="shared" si="29"/>
        <v>1.0888246031661719E-3</v>
      </c>
      <c r="X257" s="2">
        <v>40634</v>
      </c>
      <c r="Y257" s="6">
        <v>193.7</v>
      </c>
      <c r="Z257" s="6">
        <v>107.04</v>
      </c>
      <c r="AA257" s="7">
        <f t="shared" si="33"/>
        <v>199.2463888888889</v>
      </c>
      <c r="AB257" s="7">
        <f t="shared" si="34"/>
        <v>104.2011111111111</v>
      </c>
      <c r="AC257" s="18">
        <f t="shared" si="35"/>
        <v>-2.1952938898562452E-2</v>
      </c>
    </row>
    <row r="258" spans="1:29" x14ac:dyDescent="0.25">
      <c r="A258" s="2">
        <v>40664</v>
      </c>
      <c r="B258" s="6">
        <v>191.57499999999999</v>
      </c>
      <c r="C258" s="6">
        <v>109.28</v>
      </c>
      <c r="D258" s="7">
        <f t="shared" si="31"/>
        <v>197.66861111111112</v>
      </c>
      <c r="E258" s="17">
        <f t="shared" si="32"/>
        <v>104.74444444444444</v>
      </c>
      <c r="F258" s="9">
        <f t="shared" si="30"/>
        <v>-7.918727092502742E-3</v>
      </c>
      <c r="G258" s="9">
        <f t="shared" si="29"/>
        <v>5.214275812797986E-3</v>
      </c>
      <c r="X258" s="2">
        <v>40664</v>
      </c>
      <c r="Y258" s="6">
        <v>191.57499999999999</v>
      </c>
      <c r="Z258" s="6">
        <v>109.28</v>
      </c>
      <c r="AA258" s="7">
        <f t="shared" si="33"/>
        <v>197.66861111111112</v>
      </c>
      <c r="AB258" s="7">
        <f t="shared" si="34"/>
        <v>104.74444444444444</v>
      </c>
      <c r="AC258" s="18">
        <f t="shared" si="35"/>
        <v>-7.9187270925027472E-3</v>
      </c>
    </row>
    <row r="259" spans="1:29" x14ac:dyDescent="0.25">
      <c r="A259" s="2">
        <v>40695</v>
      </c>
      <c r="B259" s="6">
        <v>185.02500000000001</v>
      </c>
      <c r="C259" s="6">
        <v>110.55</v>
      </c>
      <c r="D259" s="7">
        <f t="shared" si="31"/>
        <v>195.43805555555554</v>
      </c>
      <c r="E259" s="17">
        <f t="shared" si="32"/>
        <v>105.66388888888888</v>
      </c>
      <c r="F259" s="9">
        <f t="shared" si="30"/>
        <v>-1.1284318451055264E-2</v>
      </c>
      <c r="G259" s="9">
        <f t="shared" ref="G259:G319" si="36">E259/E258-1</f>
        <v>8.7779781478729557E-3</v>
      </c>
      <c r="X259" s="2">
        <v>40695</v>
      </c>
      <c r="Y259" s="6">
        <v>185.02500000000001</v>
      </c>
      <c r="Z259" s="6">
        <v>110.55</v>
      </c>
      <c r="AA259" s="7">
        <f t="shared" si="33"/>
        <v>195.43805555555554</v>
      </c>
      <c r="AB259" s="7">
        <f t="shared" si="34"/>
        <v>105.66388888888888</v>
      </c>
      <c r="AC259" s="18">
        <f t="shared" si="35"/>
        <v>-1.1284318451055283E-2</v>
      </c>
    </row>
    <row r="260" spans="1:29" x14ac:dyDescent="0.25">
      <c r="A260" s="2">
        <v>40725</v>
      </c>
      <c r="B260" s="6">
        <v>183.8</v>
      </c>
      <c r="C260" s="6">
        <v>109.95</v>
      </c>
      <c r="D260" s="7">
        <f t="shared" si="31"/>
        <v>193.40250000000003</v>
      </c>
      <c r="E260" s="17">
        <f t="shared" si="32"/>
        <v>106.51296296277778</v>
      </c>
      <c r="F260" s="9">
        <f t="shared" ref="F260:F319" si="37">D260/D259-1</f>
        <v>-1.0415348995205687E-2</v>
      </c>
      <c r="G260" s="9">
        <f t="shared" si="36"/>
        <v>8.0356125713085813E-3</v>
      </c>
      <c r="X260" s="2">
        <v>40725</v>
      </c>
      <c r="Y260" s="6">
        <v>183.8</v>
      </c>
      <c r="Z260" s="6">
        <v>109.95</v>
      </c>
      <c r="AA260" s="7">
        <f t="shared" si="33"/>
        <v>193.40250000000003</v>
      </c>
      <c r="AB260" s="7">
        <f t="shared" si="34"/>
        <v>106.51296296277778</v>
      </c>
      <c r="AC260" s="18">
        <f t="shared" si="35"/>
        <v>-1.0415348995205666E-2</v>
      </c>
    </row>
    <row r="261" spans="1:29" x14ac:dyDescent="0.25">
      <c r="A261" s="2">
        <v>40756</v>
      </c>
      <c r="B261" s="6">
        <v>167.22499999999999</v>
      </c>
      <c r="C261" s="6">
        <v>107.75</v>
      </c>
      <c r="D261" s="7">
        <f t="shared" si="31"/>
        <v>190.95944444444444</v>
      </c>
      <c r="E261" s="17">
        <f t="shared" si="32"/>
        <v>107.20277777777777</v>
      </c>
      <c r="F261" s="9">
        <f t="shared" si="37"/>
        <v>-1.2631975054901545E-2</v>
      </c>
      <c r="G261" s="9">
        <f t="shared" si="36"/>
        <v>6.4763461255044064E-3</v>
      </c>
      <c r="X261" s="2">
        <v>40756</v>
      </c>
      <c r="Y261" s="6">
        <v>167.22499999999999</v>
      </c>
      <c r="Z261" s="6">
        <v>107.75</v>
      </c>
      <c r="AA261" s="7">
        <f t="shared" si="33"/>
        <v>190.95944444444444</v>
      </c>
      <c r="AB261" s="7">
        <f t="shared" si="34"/>
        <v>107.20277777777777</v>
      </c>
      <c r="AC261" s="18">
        <f t="shared" si="35"/>
        <v>-1.2631975054901504E-2</v>
      </c>
    </row>
    <row r="262" spans="1:29" x14ac:dyDescent="0.25">
      <c r="A262" s="2">
        <v>40787</v>
      </c>
      <c r="B262" s="6">
        <v>170.876</v>
      </c>
      <c r="C262" s="6">
        <v>111.19</v>
      </c>
      <c r="D262" s="7">
        <f t="shared" si="31"/>
        <v>187.69144444444447</v>
      </c>
      <c r="E262" s="17">
        <f t="shared" si="32"/>
        <v>108.04666666666667</v>
      </c>
      <c r="F262" s="9">
        <f t="shared" si="37"/>
        <v>-1.7113581417811052E-2</v>
      </c>
      <c r="G262" s="9">
        <f t="shared" si="36"/>
        <v>7.8718938667634575E-3</v>
      </c>
      <c r="X262" s="2">
        <v>40787</v>
      </c>
      <c r="Y262" s="6">
        <v>170.876</v>
      </c>
      <c r="Z262" s="6">
        <v>111.19</v>
      </c>
      <c r="AA262" s="7">
        <f t="shared" si="33"/>
        <v>187.69144444444447</v>
      </c>
      <c r="AB262" s="7">
        <f t="shared" si="34"/>
        <v>108.04666666666667</v>
      </c>
      <c r="AC262" s="18">
        <f t="shared" si="35"/>
        <v>-1.7113581417811084E-2</v>
      </c>
    </row>
    <row r="263" spans="1:29" x14ac:dyDescent="0.25">
      <c r="A263" s="2">
        <v>40817</v>
      </c>
      <c r="B263" s="6">
        <v>171.25</v>
      </c>
      <c r="C263" s="6">
        <v>107.1</v>
      </c>
      <c r="D263" s="7">
        <f t="shared" si="31"/>
        <v>183.30644444444445</v>
      </c>
      <c r="E263" s="17">
        <f t="shared" si="32"/>
        <v>108.62629629611111</v>
      </c>
      <c r="F263" s="9">
        <f t="shared" si="37"/>
        <v>-2.336281236994775E-2</v>
      </c>
      <c r="G263" s="9">
        <f t="shared" si="36"/>
        <v>5.3646229664137124E-3</v>
      </c>
      <c r="X263" s="2">
        <v>40817</v>
      </c>
      <c r="Y263" s="6">
        <v>171.25</v>
      </c>
      <c r="Z263" s="6">
        <v>107.1</v>
      </c>
      <c r="AA263" s="7">
        <f t="shared" si="33"/>
        <v>183.30644444444445</v>
      </c>
      <c r="AB263" s="7">
        <f t="shared" si="34"/>
        <v>108.62629629611111</v>
      </c>
      <c r="AC263" s="18">
        <f t="shared" si="35"/>
        <v>-2.3362812369947701E-2</v>
      </c>
    </row>
    <row r="264" spans="1:29" x14ac:dyDescent="0.25">
      <c r="A264" s="2">
        <v>40848</v>
      </c>
      <c r="B264" s="6">
        <v>186.92750000000001</v>
      </c>
      <c r="C264" s="6">
        <v>106.28</v>
      </c>
      <c r="D264" s="7">
        <f t="shared" si="31"/>
        <v>182.31074999999998</v>
      </c>
      <c r="E264" s="17">
        <f t="shared" si="32"/>
        <v>109.12333333333332</v>
      </c>
      <c r="F264" s="9">
        <f t="shared" si="37"/>
        <v>-5.431857278461627E-3</v>
      </c>
      <c r="G264" s="9">
        <f t="shared" si="36"/>
        <v>4.5756603526949657E-3</v>
      </c>
      <c r="X264" s="2">
        <v>40848</v>
      </c>
      <c r="Y264" s="6">
        <v>186.92750000000001</v>
      </c>
      <c r="Z264" s="6">
        <v>106.28</v>
      </c>
      <c r="AA264" s="7">
        <f t="shared" si="33"/>
        <v>182.31074999999998</v>
      </c>
      <c r="AB264" s="7">
        <f t="shared" si="34"/>
        <v>109.12333333333332</v>
      </c>
      <c r="AC264" s="18">
        <f t="shared" si="35"/>
        <v>-5.4318572784615715E-3</v>
      </c>
    </row>
    <row r="265" spans="1:29" x14ac:dyDescent="0.25">
      <c r="A265" s="2">
        <v>40878</v>
      </c>
      <c r="B265" s="6">
        <v>185.166</v>
      </c>
      <c r="C265" s="6">
        <v>104.92</v>
      </c>
      <c r="D265" s="7">
        <f t="shared" si="31"/>
        <v>182.90608333333336</v>
      </c>
      <c r="E265" s="17">
        <f t="shared" si="32"/>
        <v>109.50777777777779</v>
      </c>
      <c r="F265" s="9">
        <f t="shared" si="37"/>
        <v>3.2654867216188599E-3</v>
      </c>
      <c r="G265" s="9">
        <f t="shared" si="36"/>
        <v>3.5230269521746571E-3</v>
      </c>
      <c r="X265" s="2">
        <v>40878</v>
      </c>
      <c r="Y265" s="6">
        <v>185.166</v>
      </c>
      <c r="Z265" s="6">
        <v>104.92</v>
      </c>
      <c r="AA265" s="7">
        <f t="shared" si="33"/>
        <v>182.90608333333336</v>
      </c>
      <c r="AB265" s="7">
        <f t="shared" si="34"/>
        <v>109.50777777777779</v>
      </c>
      <c r="AC265" s="18">
        <f t="shared" si="35"/>
        <v>3.2654867216188391E-3</v>
      </c>
    </row>
    <row r="266" spans="1:29" x14ac:dyDescent="0.25">
      <c r="A266" s="2">
        <v>40909</v>
      </c>
      <c r="B266" s="6">
        <v>184.7475</v>
      </c>
      <c r="C266" s="6">
        <v>102.38</v>
      </c>
      <c r="D266" s="7">
        <f t="shared" si="31"/>
        <v>183.74761111111115</v>
      </c>
      <c r="E266" s="17">
        <f t="shared" si="32"/>
        <v>109.57518518333333</v>
      </c>
      <c r="F266" s="9">
        <f t="shared" si="37"/>
        <v>4.6008736420437568E-3</v>
      </c>
      <c r="G266" s="9">
        <f t="shared" si="36"/>
        <v>6.1554902239291387E-4</v>
      </c>
      <c r="X266" s="2">
        <v>40909</v>
      </c>
      <c r="Y266" s="6">
        <v>184.7475</v>
      </c>
      <c r="Z266" s="6">
        <v>102.38</v>
      </c>
      <c r="AA266" s="7">
        <f t="shared" si="33"/>
        <v>183.74761111111115</v>
      </c>
      <c r="AB266" s="7">
        <f t="shared" si="34"/>
        <v>109.57518518333333</v>
      </c>
      <c r="AC266" s="18">
        <f t="shared" si="35"/>
        <v>4.6008736420437915E-3</v>
      </c>
    </row>
    <row r="267" spans="1:29" x14ac:dyDescent="0.25">
      <c r="A267" s="2">
        <v>40940</v>
      </c>
      <c r="B267" s="6">
        <v>171.35</v>
      </c>
      <c r="C267" s="6">
        <v>99.04</v>
      </c>
      <c r="D267" s="7">
        <f t="shared" si="31"/>
        <v>183.69900000000001</v>
      </c>
      <c r="E267" s="17">
        <f t="shared" si="32"/>
        <v>109.2811111111111</v>
      </c>
      <c r="F267" s="9">
        <f t="shared" si="37"/>
        <v>-2.645537039485113E-4</v>
      </c>
      <c r="G267" s="9">
        <f t="shared" si="36"/>
        <v>-2.6837652314272153E-3</v>
      </c>
      <c r="X267" s="2">
        <v>40940</v>
      </c>
      <c r="Y267" s="6">
        <v>171.35</v>
      </c>
      <c r="Z267" s="6">
        <v>99.04</v>
      </c>
      <c r="AA267" s="7">
        <f t="shared" si="33"/>
        <v>183.69900000000001</v>
      </c>
      <c r="AB267" s="7">
        <f t="shared" si="34"/>
        <v>109.2811111111111</v>
      </c>
      <c r="AC267" s="18">
        <f t="shared" si="35"/>
        <v>-2.6455370394855266E-4</v>
      </c>
    </row>
    <row r="268" spans="1:29" x14ac:dyDescent="0.25">
      <c r="A268" s="2">
        <v>40969</v>
      </c>
      <c r="B268" s="6">
        <v>188.96</v>
      </c>
      <c r="C268" s="6">
        <v>100</v>
      </c>
      <c r="D268" s="7">
        <f t="shared" si="31"/>
        <v>184.09122222222226</v>
      </c>
      <c r="E268" s="17">
        <f t="shared" si="32"/>
        <v>108.86444444444444</v>
      </c>
      <c r="F268" s="9">
        <f t="shared" si="37"/>
        <v>2.1351353149567931E-3</v>
      </c>
      <c r="G268" s="9">
        <f t="shared" si="36"/>
        <v>-3.8127967626813142E-3</v>
      </c>
      <c r="X268" s="2">
        <v>40969</v>
      </c>
      <c r="Y268" s="6">
        <v>188.96</v>
      </c>
      <c r="Z268" s="6">
        <v>100</v>
      </c>
      <c r="AA268" s="7">
        <f t="shared" si="33"/>
        <v>184.09122222222226</v>
      </c>
      <c r="AB268" s="7">
        <f t="shared" si="34"/>
        <v>108.86444444444444</v>
      </c>
      <c r="AC268" s="18">
        <f t="shared" si="35"/>
        <v>2.135135314956774E-3</v>
      </c>
    </row>
    <row r="269" spans="1:29" x14ac:dyDescent="0.25">
      <c r="A269" s="2">
        <v>41000</v>
      </c>
      <c r="B269" s="6">
        <v>189.97499999999999</v>
      </c>
      <c r="C269" s="6">
        <v>101.71</v>
      </c>
      <c r="D269" s="7">
        <f t="shared" si="31"/>
        <v>184.5842777777778</v>
      </c>
      <c r="E269" s="17">
        <f t="shared" si="32"/>
        <v>108.36685185</v>
      </c>
      <c r="F269" s="9">
        <f t="shared" si="37"/>
        <v>2.6783219189037144E-3</v>
      </c>
      <c r="G269" s="9">
        <f t="shared" si="36"/>
        <v>-4.570753995794985E-3</v>
      </c>
      <c r="X269" s="2">
        <v>41000</v>
      </c>
      <c r="Y269" s="6">
        <v>189.97499999999999</v>
      </c>
      <c r="Z269" s="6">
        <v>101.71</v>
      </c>
      <c r="AA269" s="7">
        <f t="shared" si="33"/>
        <v>184.5842777777778</v>
      </c>
      <c r="AB269" s="7">
        <f t="shared" si="34"/>
        <v>108.36685185</v>
      </c>
      <c r="AC269" s="18">
        <f t="shared" si="35"/>
        <v>2.6783219189036628E-3</v>
      </c>
    </row>
    <row r="270" spans="1:29" x14ac:dyDescent="0.25">
      <c r="A270" s="2">
        <v>41030</v>
      </c>
      <c r="B270" s="6">
        <v>190.45</v>
      </c>
      <c r="C270" s="6">
        <v>101.55</v>
      </c>
      <c r="D270" s="7">
        <f t="shared" si="31"/>
        <v>184.33011111111108</v>
      </c>
      <c r="E270" s="17">
        <f t="shared" si="32"/>
        <v>107.68444444444444</v>
      </c>
      <c r="F270" s="9">
        <f t="shared" si="37"/>
        <v>-1.3769681238654519E-3</v>
      </c>
      <c r="G270" s="9">
        <f t="shared" si="36"/>
        <v>-6.2971969186679244E-3</v>
      </c>
      <c r="X270" s="2">
        <v>41030</v>
      </c>
      <c r="Y270" s="6">
        <v>190.45</v>
      </c>
      <c r="Z270" s="6">
        <v>101.55</v>
      </c>
      <c r="AA270" s="7">
        <f t="shared" si="33"/>
        <v>184.33011111111108</v>
      </c>
      <c r="AB270" s="7">
        <f t="shared" si="34"/>
        <v>107.68444444444444</v>
      </c>
      <c r="AC270" s="18">
        <f t="shared" si="35"/>
        <v>-1.3769681238654172E-3</v>
      </c>
    </row>
    <row r="271" spans="1:29" x14ac:dyDescent="0.25">
      <c r="A271" s="2">
        <v>41061</v>
      </c>
      <c r="B271" s="6">
        <v>189.56</v>
      </c>
      <c r="C271" s="6">
        <v>103.01</v>
      </c>
      <c r="D271" s="7">
        <f t="shared" si="31"/>
        <v>183.66455555555552</v>
      </c>
      <c r="E271" s="17">
        <f t="shared" si="32"/>
        <v>106.90722222222222</v>
      </c>
      <c r="F271" s="9">
        <f t="shared" si="37"/>
        <v>-3.6106719165073242E-3</v>
      </c>
      <c r="G271" s="9">
        <f t="shared" si="36"/>
        <v>-7.217590490734227E-3</v>
      </c>
      <c r="X271" s="2">
        <v>41061</v>
      </c>
      <c r="Y271" s="6">
        <v>189.56</v>
      </c>
      <c r="Z271" s="6">
        <v>103.01</v>
      </c>
      <c r="AA271" s="7">
        <f t="shared" si="33"/>
        <v>183.66455555555552</v>
      </c>
      <c r="AB271" s="7">
        <f t="shared" si="34"/>
        <v>106.90722222222222</v>
      </c>
      <c r="AC271" s="18">
        <f t="shared" si="35"/>
        <v>-3.6106719165072869E-3</v>
      </c>
    </row>
    <row r="272" spans="1:29" x14ac:dyDescent="0.25">
      <c r="A272" s="2">
        <v>41091</v>
      </c>
      <c r="B272" s="6">
        <v>188.3</v>
      </c>
      <c r="C272" s="6">
        <v>99.67</v>
      </c>
      <c r="D272" s="7">
        <f t="shared" si="31"/>
        <v>183.81733333333332</v>
      </c>
      <c r="E272" s="17">
        <f t="shared" si="32"/>
        <v>106.00925926111114</v>
      </c>
      <c r="F272" s="9">
        <f t="shared" si="37"/>
        <v>8.3183049290957989E-4</v>
      </c>
      <c r="G272" s="9">
        <f t="shared" si="36"/>
        <v>-8.3994602277153163E-3</v>
      </c>
      <c r="X272" s="2">
        <v>41091</v>
      </c>
      <c r="Y272" s="6">
        <v>188.3</v>
      </c>
      <c r="Z272" s="6">
        <v>99.67</v>
      </c>
      <c r="AA272" s="7">
        <f t="shared" si="33"/>
        <v>183.81733333333332</v>
      </c>
      <c r="AB272" s="7">
        <f t="shared" si="34"/>
        <v>106.00925926111114</v>
      </c>
      <c r="AC272" s="18">
        <f t="shared" si="35"/>
        <v>8.3183049290959734E-4</v>
      </c>
    </row>
    <row r="273" spans="1:29" x14ac:dyDescent="0.25">
      <c r="A273" s="2">
        <v>41122</v>
      </c>
      <c r="B273" s="6">
        <v>178.22</v>
      </c>
      <c r="C273" s="6">
        <v>103.93</v>
      </c>
      <c r="D273" s="7">
        <f t="shared" si="31"/>
        <v>183.7448333333333</v>
      </c>
      <c r="E273" s="17">
        <f t="shared" si="32"/>
        <v>105.41277777777778</v>
      </c>
      <c r="F273" s="9">
        <f t="shared" si="37"/>
        <v>-3.9441329435752071E-4</v>
      </c>
      <c r="G273" s="9">
        <f t="shared" si="36"/>
        <v>-5.6266923049067552E-3</v>
      </c>
      <c r="X273" s="2">
        <v>41122</v>
      </c>
      <c r="Y273" s="6">
        <v>178.22</v>
      </c>
      <c r="Z273" s="6">
        <v>103.93</v>
      </c>
      <c r="AA273" s="7">
        <f t="shared" si="33"/>
        <v>183.7448333333333</v>
      </c>
      <c r="AB273" s="7">
        <f t="shared" si="34"/>
        <v>105.41277777777778</v>
      </c>
      <c r="AC273" s="18">
        <f t="shared" si="35"/>
        <v>-3.94413294357547E-4</v>
      </c>
    </row>
    <row r="274" spans="1:29" x14ac:dyDescent="0.25">
      <c r="A274" s="2">
        <v>41153</v>
      </c>
      <c r="B274" s="6">
        <v>189.97499999999999</v>
      </c>
      <c r="C274" s="6">
        <v>103.92</v>
      </c>
      <c r="D274" s="7">
        <f t="shared" si="31"/>
        <v>183.72677777777776</v>
      </c>
      <c r="E274" s="17">
        <f t="shared" si="32"/>
        <v>104.95944444444446</v>
      </c>
      <c r="F274" s="9">
        <f t="shared" si="37"/>
        <v>-9.8264289819738337E-5</v>
      </c>
      <c r="G274" s="9">
        <f t="shared" si="36"/>
        <v>-4.3005539071269139E-3</v>
      </c>
      <c r="X274" s="2">
        <v>41153</v>
      </c>
      <c r="Y274" s="6">
        <v>189.97499999999999</v>
      </c>
      <c r="Z274" s="6">
        <v>103.92</v>
      </c>
      <c r="AA274" s="7">
        <f t="shared" si="33"/>
        <v>183.72677777777776</v>
      </c>
      <c r="AB274" s="7">
        <f t="shared" si="34"/>
        <v>104.95944444444446</v>
      </c>
      <c r="AC274" s="18">
        <f t="shared" si="35"/>
        <v>-9.8264289819751551E-5</v>
      </c>
    </row>
    <row r="275" spans="1:29" x14ac:dyDescent="0.25">
      <c r="A275" s="2">
        <v>41183</v>
      </c>
      <c r="B275" s="6">
        <v>192.375</v>
      </c>
      <c r="C275" s="6">
        <v>101.4</v>
      </c>
      <c r="D275" s="7">
        <f t="shared" si="31"/>
        <v>183.65316666666664</v>
      </c>
      <c r="E275" s="17">
        <f t="shared" si="32"/>
        <v>104.64611111111113</v>
      </c>
      <c r="F275" s="9">
        <f t="shared" si="37"/>
        <v>-4.0065532091437817E-4</v>
      </c>
      <c r="G275" s="9">
        <f t="shared" si="36"/>
        <v>-2.9852800287941683E-3</v>
      </c>
      <c r="X275" s="2">
        <v>41183</v>
      </c>
      <c r="Y275" s="6">
        <v>192.375</v>
      </c>
      <c r="Z275" s="6">
        <v>101.4</v>
      </c>
      <c r="AA275" s="7">
        <f t="shared" si="33"/>
        <v>183.65316666666664</v>
      </c>
      <c r="AB275" s="7">
        <f t="shared" si="34"/>
        <v>104.64611111111113</v>
      </c>
      <c r="AC275" s="18">
        <f t="shared" si="35"/>
        <v>-4.0065532091437686E-4</v>
      </c>
    </row>
    <row r="276" spans="1:29" x14ac:dyDescent="0.25">
      <c r="A276" s="2">
        <v>41214</v>
      </c>
      <c r="B276" s="6">
        <v>197.2</v>
      </c>
      <c r="C276" s="6">
        <v>105.95</v>
      </c>
      <c r="D276" s="7">
        <f t="shared" ref="D276:D319" si="38">AVERAGE(B259:B276)</f>
        <v>183.96566666666664</v>
      </c>
      <c r="E276" s="17">
        <f t="shared" ref="E276:E319" si="39">AVERAGE(C259:C276)</f>
        <v>104.46111111111112</v>
      </c>
      <c r="F276" s="9">
        <f t="shared" si="37"/>
        <v>1.7015769761661304E-3</v>
      </c>
      <c r="G276" s="9">
        <f t="shared" si="36"/>
        <v>-1.767863115367696E-3</v>
      </c>
      <c r="X276" s="2">
        <v>41214</v>
      </c>
      <c r="Y276" s="6">
        <v>197.2</v>
      </c>
      <c r="Z276" s="6">
        <v>105.95</v>
      </c>
      <c r="AA276" s="7">
        <f t="shared" ref="AA276:AA319" si="40">AVERAGE(Y259:Y276)</f>
        <v>183.96566666666664</v>
      </c>
      <c r="AB276" s="7">
        <f t="shared" ref="AB276:AB319" si="41">IF(ISNA(AVERAGE(Z259:Z276)),0,AVERAGE(Z259:Z276))</f>
        <v>104.46111111111112</v>
      </c>
      <c r="AC276" s="18">
        <f t="shared" si="35"/>
        <v>1.7015769761661249E-3</v>
      </c>
    </row>
    <row r="277" spans="1:29" x14ac:dyDescent="0.25">
      <c r="A277" s="2">
        <v>41244</v>
      </c>
      <c r="B277" s="6">
        <v>191.22499999999999</v>
      </c>
      <c r="C277" s="6">
        <v>108.16</v>
      </c>
      <c r="D277" s="7">
        <f t="shared" si="38"/>
        <v>184.31011111111107</v>
      </c>
      <c r="E277" s="17">
        <f t="shared" si="39"/>
        <v>104.32833333333335</v>
      </c>
      <c r="F277" s="9">
        <f t="shared" si="37"/>
        <v>1.872330042260284E-3</v>
      </c>
      <c r="G277" s="9">
        <f t="shared" si="36"/>
        <v>-1.271073764824715E-3</v>
      </c>
      <c r="X277" s="2">
        <v>41244</v>
      </c>
      <c r="Y277" s="6">
        <v>191.22499999999999</v>
      </c>
      <c r="Z277" s="6">
        <v>108.16</v>
      </c>
      <c r="AA277" s="7">
        <f t="shared" si="40"/>
        <v>184.31011111111107</v>
      </c>
      <c r="AB277" s="7">
        <f t="shared" si="41"/>
        <v>104.32833333333335</v>
      </c>
      <c r="AC277" s="18">
        <f t="shared" ref="AC277:AC319" si="42">(AA277-AA276)/AA276</f>
        <v>1.8723300422602465E-3</v>
      </c>
    </row>
    <row r="278" spans="1:29" x14ac:dyDescent="0.25">
      <c r="A278" s="2">
        <v>41275</v>
      </c>
      <c r="B278" s="6">
        <v>205.32499999999999</v>
      </c>
      <c r="C278" s="6">
        <v>108.21</v>
      </c>
      <c r="D278" s="7">
        <f t="shared" si="38"/>
        <v>185.5059444444444</v>
      </c>
      <c r="E278" s="17">
        <f t="shared" si="39"/>
        <v>104.23166666666668</v>
      </c>
      <c r="F278" s="9">
        <f t="shared" si="37"/>
        <v>6.4881591472343292E-3</v>
      </c>
      <c r="G278" s="9">
        <f t="shared" si="36"/>
        <v>-9.265619758135335E-4</v>
      </c>
      <c r="X278" s="2">
        <v>41275</v>
      </c>
      <c r="Y278" s="6">
        <v>205.32499999999999</v>
      </c>
      <c r="Z278" s="6">
        <v>108.21</v>
      </c>
      <c r="AA278" s="7">
        <f t="shared" si="40"/>
        <v>185.5059444444444</v>
      </c>
      <c r="AB278" s="7">
        <f t="shared" si="41"/>
        <v>104.23166666666668</v>
      </c>
      <c r="AC278" s="18">
        <f t="shared" si="42"/>
        <v>6.4881591472343014E-3</v>
      </c>
    </row>
    <row r="279" spans="1:29" x14ac:dyDescent="0.25">
      <c r="A279" s="2">
        <v>41306</v>
      </c>
      <c r="B279" s="6">
        <v>196.375</v>
      </c>
      <c r="C279" s="6">
        <v>109.13</v>
      </c>
      <c r="D279" s="7">
        <f t="shared" si="38"/>
        <v>187.12538888888884</v>
      </c>
      <c r="E279" s="17">
        <f t="shared" si="39"/>
        <v>104.30833333333337</v>
      </c>
      <c r="F279" s="9">
        <f t="shared" si="37"/>
        <v>8.7298789766245832E-3</v>
      </c>
      <c r="G279" s="9">
        <f t="shared" si="36"/>
        <v>7.3554102240214192E-4</v>
      </c>
      <c r="X279" s="2">
        <v>41306</v>
      </c>
      <c r="Y279" s="6">
        <v>196.375</v>
      </c>
      <c r="Z279" s="6">
        <v>109.13</v>
      </c>
      <c r="AA279" s="7">
        <f t="shared" si="40"/>
        <v>187.12538888888884</v>
      </c>
      <c r="AB279" s="7">
        <f t="shared" si="41"/>
        <v>104.30833333333337</v>
      </c>
      <c r="AC279" s="18">
        <f t="shared" si="42"/>
        <v>8.7298789766245676E-3</v>
      </c>
    </row>
    <row r="280" spans="1:29" x14ac:dyDescent="0.25">
      <c r="A280" s="2">
        <v>41334</v>
      </c>
      <c r="B280" s="6">
        <v>206.44</v>
      </c>
      <c r="C280" s="6">
        <v>108.01</v>
      </c>
      <c r="D280" s="7">
        <f t="shared" si="38"/>
        <v>189.10116666666664</v>
      </c>
      <c r="E280" s="17">
        <f t="shared" si="39"/>
        <v>104.1316666666667</v>
      </c>
      <c r="F280" s="9">
        <f t="shared" si="37"/>
        <v>1.0558576735682834E-2</v>
      </c>
      <c r="G280" s="9">
        <f t="shared" si="36"/>
        <v>-1.693696572661163E-3</v>
      </c>
      <c r="X280" s="2">
        <v>41334</v>
      </c>
      <c r="Y280" s="6">
        <v>206.44</v>
      </c>
      <c r="Z280" s="6">
        <v>108.01</v>
      </c>
      <c r="AA280" s="7">
        <f t="shared" si="40"/>
        <v>189.10116666666664</v>
      </c>
      <c r="AB280" s="7">
        <f t="shared" si="41"/>
        <v>104.1316666666667</v>
      </c>
      <c r="AC280" s="18">
        <f t="shared" si="42"/>
        <v>1.055857673568274E-2</v>
      </c>
    </row>
    <row r="281" spans="1:29" x14ac:dyDescent="0.25">
      <c r="A281" s="2">
        <v>41365</v>
      </c>
      <c r="B281" s="6">
        <v>215.375</v>
      </c>
      <c r="C281" s="6">
        <v>108.56</v>
      </c>
      <c r="D281" s="7">
        <f t="shared" si="38"/>
        <v>191.55255555555553</v>
      </c>
      <c r="E281" s="17">
        <f t="shared" si="39"/>
        <v>104.21277777777779</v>
      </c>
      <c r="F281" s="9">
        <f t="shared" si="37"/>
        <v>1.2963372633284731E-2</v>
      </c>
      <c r="G281" s="9">
        <f t="shared" si="36"/>
        <v>7.7892838660420516E-4</v>
      </c>
      <c r="X281" s="2">
        <v>41365</v>
      </c>
      <c r="Y281" s="6">
        <v>215.375</v>
      </c>
      <c r="Z281" s="6">
        <v>108.56</v>
      </c>
      <c r="AA281" s="7">
        <f t="shared" si="40"/>
        <v>191.55255555555553</v>
      </c>
      <c r="AB281" s="7">
        <f t="shared" si="41"/>
        <v>104.21277777777779</v>
      </c>
      <c r="AC281" s="18">
        <f t="shared" si="42"/>
        <v>1.2963372633284755E-2</v>
      </c>
    </row>
    <row r="282" spans="1:29" x14ac:dyDescent="0.25">
      <c r="A282" s="2">
        <v>41395</v>
      </c>
      <c r="B282" s="6">
        <v>211.08</v>
      </c>
      <c r="C282" s="6">
        <v>108.87</v>
      </c>
      <c r="D282" s="7">
        <f t="shared" si="38"/>
        <v>192.89436111111107</v>
      </c>
      <c r="E282" s="17">
        <f t="shared" si="39"/>
        <v>104.35666666666667</v>
      </c>
      <c r="F282" s="9">
        <f t="shared" si="37"/>
        <v>7.0048950882639627E-3</v>
      </c>
      <c r="G282" s="9">
        <f t="shared" si="36"/>
        <v>1.3807221336687991E-3</v>
      </c>
      <c r="X282" s="2">
        <v>41395</v>
      </c>
      <c r="Y282" s="6">
        <v>211.08</v>
      </c>
      <c r="Z282" s="6">
        <v>108.87</v>
      </c>
      <c r="AA282" s="7">
        <f t="shared" si="40"/>
        <v>192.89436111111107</v>
      </c>
      <c r="AB282" s="7">
        <f t="shared" si="41"/>
        <v>104.35666666666667</v>
      </c>
      <c r="AC282" s="18">
        <f t="shared" si="42"/>
        <v>7.0048950882640546E-3</v>
      </c>
    </row>
    <row r="283" spans="1:29" x14ac:dyDescent="0.25">
      <c r="A283" s="2">
        <v>41426</v>
      </c>
      <c r="B283" s="6">
        <v>212.6</v>
      </c>
      <c r="C283" s="6">
        <v>109.81</v>
      </c>
      <c r="D283" s="7">
        <f t="shared" si="38"/>
        <v>194.41847222222219</v>
      </c>
      <c r="E283" s="17">
        <f t="shared" si="39"/>
        <v>104.62833333333333</v>
      </c>
      <c r="F283" s="9">
        <f t="shared" si="37"/>
        <v>7.9012735381787103E-3</v>
      </c>
      <c r="G283" s="9">
        <f t="shared" si="36"/>
        <v>2.6032516689558083E-3</v>
      </c>
      <c r="X283" s="2">
        <v>41426</v>
      </c>
      <c r="Y283" s="6">
        <v>212.6</v>
      </c>
      <c r="Z283" s="6">
        <v>109.81</v>
      </c>
      <c r="AA283" s="7">
        <f t="shared" si="40"/>
        <v>194.41847222222219</v>
      </c>
      <c r="AB283" s="7">
        <f t="shared" si="41"/>
        <v>104.62833333333333</v>
      </c>
      <c r="AC283" s="18">
        <f t="shared" si="42"/>
        <v>7.9012735381787866E-3</v>
      </c>
    </row>
    <row r="284" spans="1:29" x14ac:dyDescent="0.25">
      <c r="A284" s="2">
        <v>41456</v>
      </c>
      <c r="B284" s="6">
        <v>198.65</v>
      </c>
      <c r="C284" s="6">
        <v>112.3</v>
      </c>
      <c r="D284" s="7">
        <f t="shared" si="38"/>
        <v>195.1908333333333</v>
      </c>
      <c r="E284" s="17">
        <f t="shared" si="39"/>
        <v>105.17944444444446</v>
      </c>
      <c r="F284" s="9">
        <f t="shared" si="37"/>
        <v>3.972673492816492E-3</v>
      </c>
      <c r="G284" s="9">
        <f t="shared" si="36"/>
        <v>5.2673218960235246E-3</v>
      </c>
      <c r="X284" s="2">
        <v>41456</v>
      </c>
      <c r="Y284" s="6">
        <v>198.65</v>
      </c>
      <c r="Z284" s="6">
        <v>112.3</v>
      </c>
      <c r="AA284" s="7">
        <f t="shared" si="40"/>
        <v>195.1908333333333</v>
      </c>
      <c r="AB284" s="7">
        <f t="shared" si="41"/>
        <v>105.17944444444446</v>
      </c>
      <c r="AC284" s="18">
        <f t="shared" si="42"/>
        <v>3.9726734928165336E-3</v>
      </c>
    </row>
    <row r="285" spans="1:29" x14ac:dyDescent="0.25">
      <c r="A285" s="2">
        <v>41487</v>
      </c>
      <c r="B285" s="6">
        <v>187.74</v>
      </c>
      <c r="C285" s="6">
        <v>111.5</v>
      </c>
      <c r="D285" s="7">
        <f t="shared" si="38"/>
        <v>196.10138888888889</v>
      </c>
      <c r="E285" s="17">
        <f t="shared" si="39"/>
        <v>105.87166666666666</v>
      </c>
      <c r="F285" s="9">
        <f t="shared" si="37"/>
        <v>4.6649503975455531E-3</v>
      </c>
      <c r="G285" s="9">
        <f t="shared" si="36"/>
        <v>6.5813451086236263E-3</v>
      </c>
      <c r="X285" s="2">
        <v>41487</v>
      </c>
      <c r="Y285" s="6">
        <v>187.74</v>
      </c>
      <c r="Z285" s="6">
        <v>111.5</v>
      </c>
      <c r="AA285" s="7">
        <f t="shared" si="40"/>
        <v>196.10138888888889</v>
      </c>
      <c r="AB285" s="7">
        <f t="shared" si="41"/>
        <v>105.87166666666666</v>
      </c>
      <c r="AC285" s="18">
        <f t="shared" si="42"/>
        <v>4.6649503975455973E-3</v>
      </c>
    </row>
    <row r="286" spans="1:29" x14ac:dyDescent="0.25">
      <c r="A286" s="2">
        <v>41518</v>
      </c>
      <c r="B286" s="6">
        <v>190.42500000000001</v>
      </c>
      <c r="C286" s="6">
        <v>110.7</v>
      </c>
      <c r="D286" s="7">
        <f t="shared" si="38"/>
        <v>196.18277777777777</v>
      </c>
      <c r="E286" s="17">
        <f t="shared" si="39"/>
        <v>106.4661111111111</v>
      </c>
      <c r="F286" s="9">
        <f t="shared" si="37"/>
        <v>4.1503473968251825E-4</v>
      </c>
      <c r="G286" s="9">
        <f t="shared" si="36"/>
        <v>5.6147642061405989E-3</v>
      </c>
      <c r="X286" s="2">
        <v>41518</v>
      </c>
      <c r="Y286" s="6">
        <v>190.42500000000001</v>
      </c>
      <c r="Z286" s="6">
        <v>110.7</v>
      </c>
      <c r="AA286" s="7">
        <f t="shared" si="40"/>
        <v>196.18277777777777</v>
      </c>
      <c r="AB286" s="7">
        <f t="shared" si="41"/>
        <v>106.4661111111111</v>
      </c>
      <c r="AC286" s="18">
        <f t="shared" si="42"/>
        <v>4.1503473968252286E-4</v>
      </c>
    </row>
    <row r="287" spans="1:29" x14ac:dyDescent="0.25">
      <c r="A287" s="2">
        <v>41548</v>
      </c>
      <c r="B287" s="6">
        <v>182.97499999999999</v>
      </c>
      <c r="C287" s="6">
        <v>111.5</v>
      </c>
      <c r="D287" s="7">
        <f t="shared" si="38"/>
        <v>195.79388888888892</v>
      </c>
      <c r="E287" s="17">
        <f t="shared" si="39"/>
        <v>107.00999999999999</v>
      </c>
      <c r="F287" s="9">
        <f t="shared" si="37"/>
        <v>-1.9822784308282104E-3</v>
      </c>
      <c r="G287" s="9">
        <f t="shared" si="36"/>
        <v>5.1085634969916249E-3</v>
      </c>
      <c r="X287" s="2">
        <v>41548</v>
      </c>
      <c r="Y287" s="6">
        <v>182.97499999999999</v>
      </c>
      <c r="Z287" s="6">
        <v>111.5</v>
      </c>
      <c r="AA287" s="7">
        <f t="shared" si="40"/>
        <v>195.79388888888892</v>
      </c>
      <c r="AB287" s="7">
        <f t="shared" si="41"/>
        <v>107.00999999999999</v>
      </c>
      <c r="AC287" s="18">
        <f t="shared" si="42"/>
        <v>-1.9822784308282334E-3</v>
      </c>
    </row>
    <row r="288" spans="1:29" x14ac:dyDescent="0.25">
      <c r="A288" s="2">
        <v>41579</v>
      </c>
      <c r="B288" s="6">
        <v>187.02</v>
      </c>
      <c r="C288" s="6">
        <v>110.2</v>
      </c>
      <c r="D288" s="7">
        <f t="shared" si="38"/>
        <v>195.60333333333332</v>
      </c>
      <c r="E288" s="17">
        <f t="shared" si="39"/>
        <v>107.49055555555556</v>
      </c>
      <c r="F288" s="9">
        <f t="shared" si="37"/>
        <v>-9.7324567501555492E-4</v>
      </c>
      <c r="G288" s="9">
        <f t="shared" si="36"/>
        <v>4.4907537197977909E-3</v>
      </c>
      <c r="X288" s="2">
        <v>41579</v>
      </c>
      <c r="Y288" s="6">
        <v>187.02</v>
      </c>
      <c r="Z288" s="6">
        <v>110.2</v>
      </c>
      <c r="AA288" s="7">
        <f t="shared" si="40"/>
        <v>195.60333333333332</v>
      </c>
      <c r="AB288" s="7">
        <f t="shared" si="41"/>
        <v>107.49055555555556</v>
      </c>
      <c r="AC288" s="18">
        <f t="shared" si="42"/>
        <v>-9.7324567501557238E-4</v>
      </c>
    </row>
    <row r="289" spans="1:29" x14ac:dyDescent="0.25">
      <c r="A289" s="2">
        <v>41609</v>
      </c>
      <c r="B289" s="6">
        <v>175.52500000000001</v>
      </c>
      <c r="C289" s="6">
        <v>110.9</v>
      </c>
      <c r="D289" s="7">
        <f t="shared" si="38"/>
        <v>194.82361111111112</v>
      </c>
      <c r="E289" s="17">
        <f t="shared" si="39"/>
        <v>107.92888888888889</v>
      </c>
      <c r="F289" s="9">
        <f t="shared" si="37"/>
        <v>-3.9862419976937069E-3</v>
      </c>
      <c r="G289" s="9">
        <f t="shared" si="36"/>
        <v>4.077877642997052E-3</v>
      </c>
      <c r="X289" s="2">
        <v>41609</v>
      </c>
      <c r="Y289" s="6">
        <v>175.52500000000001</v>
      </c>
      <c r="Z289" s="6">
        <v>110.9</v>
      </c>
      <c r="AA289" s="7">
        <f t="shared" si="40"/>
        <v>194.82361111111112</v>
      </c>
      <c r="AB289" s="7">
        <f t="shared" si="41"/>
        <v>107.92888888888889</v>
      </c>
      <c r="AC289" s="18">
        <f t="shared" si="42"/>
        <v>-3.9862419976936557E-3</v>
      </c>
    </row>
    <row r="290" spans="1:29" x14ac:dyDescent="0.25">
      <c r="A290" s="2">
        <v>41640</v>
      </c>
      <c r="B290" s="6">
        <v>183.3</v>
      </c>
      <c r="C290" s="6">
        <v>113</v>
      </c>
      <c r="D290" s="7">
        <f t="shared" si="38"/>
        <v>194.54583333333335</v>
      </c>
      <c r="E290" s="17">
        <f t="shared" si="39"/>
        <v>108.66944444444444</v>
      </c>
      <c r="F290" s="9">
        <f t="shared" si="37"/>
        <v>-1.4257911358565023E-3</v>
      </c>
      <c r="G290" s="9">
        <f t="shared" si="36"/>
        <v>6.8615137539118631E-3</v>
      </c>
      <c r="X290" s="2">
        <v>41640</v>
      </c>
      <c r="Y290" s="6">
        <v>183.3</v>
      </c>
      <c r="Z290" s="6">
        <v>113</v>
      </c>
      <c r="AA290" s="7">
        <f t="shared" si="40"/>
        <v>194.54583333333335</v>
      </c>
      <c r="AB290" s="7">
        <f t="shared" si="41"/>
        <v>108.66944444444444</v>
      </c>
      <c r="AC290" s="18">
        <f t="shared" si="42"/>
        <v>-1.4257911358564758E-3</v>
      </c>
    </row>
    <row r="291" spans="1:29" x14ac:dyDescent="0.25">
      <c r="A291" s="2">
        <v>41671</v>
      </c>
      <c r="B291" s="6">
        <v>164.2</v>
      </c>
      <c r="C291" s="6">
        <v>113.5</v>
      </c>
      <c r="D291" s="7">
        <f t="shared" si="38"/>
        <v>193.76694444444445</v>
      </c>
      <c r="E291" s="17">
        <f t="shared" si="39"/>
        <v>109.20111111111112</v>
      </c>
      <c r="F291" s="9">
        <f t="shared" si="37"/>
        <v>-4.0036266803739062E-3</v>
      </c>
      <c r="G291" s="9">
        <f t="shared" si="36"/>
        <v>4.892512972572316E-3</v>
      </c>
      <c r="X291" s="2">
        <v>41671</v>
      </c>
      <c r="Y291" s="6">
        <v>164.2</v>
      </c>
      <c r="Z291" s="6">
        <v>113.5</v>
      </c>
      <c r="AA291" s="7">
        <f t="shared" si="40"/>
        <v>193.76694444444445</v>
      </c>
      <c r="AB291" s="7">
        <f t="shared" si="41"/>
        <v>109.20111111111112</v>
      </c>
      <c r="AC291" s="18">
        <f t="shared" si="42"/>
        <v>-4.0036266803738646E-3</v>
      </c>
    </row>
    <row r="292" spans="1:29" x14ac:dyDescent="0.25">
      <c r="A292" s="2">
        <v>41699</v>
      </c>
      <c r="B292" s="6">
        <v>171.9</v>
      </c>
      <c r="C292" s="6">
        <v>114</v>
      </c>
      <c r="D292" s="7">
        <f t="shared" si="38"/>
        <v>192.76277777777781</v>
      </c>
      <c r="E292" s="17">
        <f t="shared" si="39"/>
        <v>109.76111111111112</v>
      </c>
      <c r="F292" s="9">
        <f t="shared" si="37"/>
        <v>-5.1823424761416881E-3</v>
      </c>
      <c r="G292" s="9">
        <f t="shared" si="36"/>
        <v>5.1281529491966626E-3</v>
      </c>
      <c r="X292" s="2">
        <v>41699</v>
      </c>
      <c r="Y292" s="6">
        <v>171.9</v>
      </c>
      <c r="Z292" s="6">
        <v>114</v>
      </c>
      <c r="AA292" s="7">
        <f t="shared" si="40"/>
        <v>192.76277777777781</v>
      </c>
      <c r="AB292" s="7">
        <f t="shared" si="41"/>
        <v>109.76111111111112</v>
      </c>
      <c r="AC292" s="18">
        <f t="shared" si="42"/>
        <v>-5.1823424761417054E-3</v>
      </c>
    </row>
    <row r="293" spans="1:29" x14ac:dyDescent="0.25">
      <c r="A293" s="2">
        <v>41730</v>
      </c>
      <c r="B293" s="6">
        <v>177.77500000000001</v>
      </c>
      <c r="C293" s="6">
        <v>113.8</v>
      </c>
      <c r="D293" s="7">
        <f t="shared" si="38"/>
        <v>191.95166666666668</v>
      </c>
      <c r="E293" s="17">
        <f t="shared" si="39"/>
        <v>110.45</v>
      </c>
      <c r="F293" s="9">
        <f t="shared" si="37"/>
        <v>-4.2078202050305213E-3</v>
      </c>
      <c r="G293" s="9">
        <f t="shared" si="36"/>
        <v>6.2762565166776252E-3</v>
      </c>
      <c r="X293" s="2">
        <v>41730</v>
      </c>
      <c r="Y293" s="6">
        <v>177.77500000000001</v>
      </c>
      <c r="Z293" s="6">
        <v>113.8</v>
      </c>
      <c r="AA293" s="7">
        <f t="shared" si="40"/>
        <v>191.95166666666668</v>
      </c>
      <c r="AB293" s="7">
        <f t="shared" si="41"/>
        <v>110.45</v>
      </c>
      <c r="AC293" s="18">
        <f t="shared" si="42"/>
        <v>-4.2078202050304667E-3</v>
      </c>
    </row>
    <row r="294" spans="1:29" x14ac:dyDescent="0.25">
      <c r="A294" s="2">
        <v>41760</v>
      </c>
      <c r="B294" s="6">
        <v>180</v>
      </c>
      <c r="C294" s="6">
        <v>115.1</v>
      </c>
      <c r="D294" s="7">
        <f t="shared" si="38"/>
        <v>190.99611111111113</v>
      </c>
      <c r="E294" s="17">
        <f t="shared" si="39"/>
        <v>110.95833333333333</v>
      </c>
      <c r="F294" s="9">
        <f t="shared" si="37"/>
        <v>-4.9781050206504363E-3</v>
      </c>
      <c r="G294" s="9">
        <f t="shared" si="36"/>
        <v>4.6023841859059722E-3</v>
      </c>
      <c r="X294" s="2">
        <v>41760</v>
      </c>
      <c r="Y294" s="6">
        <v>180</v>
      </c>
      <c r="Z294" s="6">
        <v>115.1</v>
      </c>
      <c r="AA294" s="7">
        <f t="shared" si="40"/>
        <v>190.99611111111113</v>
      </c>
      <c r="AB294" s="7">
        <f t="shared" si="41"/>
        <v>110.95833333333333</v>
      </c>
      <c r="AC294" s="18">
        <f t="shared" si="42"/>
        <v>-4.9781050206504163E-3</v>
      </c>
    </row>
    <row r="295" spans="1:29" x14ac:dyDescent="0.25">
      <c r="A295" s="2">
        <v>41791</v>
      </c>
      <c r="B295" s="6">
        <v>179.42500000000001</v>
      </c>
      <c r="C295" s="6">
        <v>115.8</v>
      </c>
      <c r="D295" s="7">
        <f t="shared" si="38"/>
        <v>190.3405555555556</v>
      </c>
      <c r="E295" s="17">
        <f t="shared" si="39"/>
        <v>111.38277777777778</v>
      </c>
      <c r="F295" s="9">
        <f t="shared" si="37"/>
        <v>-3.4322979234596707E-3</v>
      </c>
      <c r="G295" s="9">
        <f t="shared" si="36"/>
        <v>3.8252597321317694E-3</v>
      </c>
      <c r="X295" s="2">
        <v>41791</v>
      </c>
      <c r="Y295" s="6">
        <v>179.42500000000001</v>
      </c>
      <c r="Z295" s="6">
        <v>115.8</v>
      </c>
      <c r="AA295" s="7">
        <f t="shared" si="40"/>
        <v>190.3405555555556</v>
      </c>
      <c r="AB295" s="7">
        <f t="shared" si="41"/>
        <v>111.38277777777778</v>
      </c>
      <c r="AC295" s="18">
        <f t="shared" si="42"/>
        <v>-3.4322979234596598E-3</v>
      </c>
    </row>
    <row r="296" spans="1:29" x14ac:dyDescent="0.25">
      <c r="A296" s="2">
        <v>41821</v>
      </c>
      <c r="B296" s="6">
        <v>171.625</v>
      </c>
      <c r="C296" s="6">
        <v>116.4</v>
      </c>
      <c r="D296" s="7">
        <f t="shared" si="38"/>
        <v>188.46833333333336</v>
      </c>
      <c r="E296" s="17">
        <f t="shared" si="39"/>
        <v>111.83777777777777</v>
      </c>
      <c r="F296" s="9">
        <f t="shared" si="37"/>
        <v>-9.8361708399856695E-3</v>
      </c>
      <c r="G296" s="9">
        <f t="shared" si="36"/>
        <v>4.0850121453046562E-3</v>
      </c>
      <c r="X296" s="2">
        <v>41821</v>
      </c>
      <c r="Y296" s="6">
        <v>171.625</v>
      </c>
      <c r="Z296" s="6">
        <v>116.4</v>
      </c>
      <c r="AA296" s="7">
        <f t="shared" si="40"/>
        <v>188.46833333333336</v>
      </c>
      <c r="AB296" s="7">
        <f t="shared" si="41"/>
        <v>111.83777777777777</v>
      </c>
      <c r="AC296" s="18">
        <f t="shared" si="42"/>
        <v>-9.8361708399857008E-3</v>
      </c>
    </row>
    <row r="297" spans="1:29" x14ac:dyDescent="0.25">
      <c r="A297" s="2">
        <v>41852</v>
      </c>
      <c r="B297" s="6">
        <v>165.92</v>
      </c>
      <c r="C297" s="6">
        <v>116.1</v>
      </c>
      <c r="D297" s="7">
        <f t="shared" si="38"/>
        <v>186.7763888888889</v>
      </c>
      <c r="E297" s="17">
        <f t="shared" si="39"/>
        <v>112.22499999999999</v>
      </c>
      <c r="F297" s="9">
        <f t="shared" si="37"/>
        <v>-8.9773407262641047E-3</v>
      </c>
      <c r="G297" s="9">
        <f t="shared" si="36"/>
        <v>3.4623561905140487E-3</v>
      </c>
      <c r="X297" s="2">
        <v>41852</v>
      </c>
      <c r="Y297" s="6">
        <v>165.92</v>
      </c>
      <c r="Z297" s="6">
        <v>116.1</v>
      </c>
      <c r="AA297" s="7">
        <f t="shared" si="40"/>
        <v>186.7763888888889</v>
      </c>
      <c r="AB297" s="7">
        <f t="shared" si="41"/>
        <v>112.22499999999999</v>
      </c>
      <c r="AC297" s="18">
        <f t="shared" si="42"/>
        <v>-8.9773407262641429E-3</v>
      </c>
    </row>
    <row r="298" spans="1:29" x14ac:dyDescent="0.25">
      <c r="A298" s="2">
        <v>41883</v>
      </c>
      <c r="B298" s="6">
        <v>167.1</v>
      </c>
      <c r="C298" s="6">
        <v>116.1</v>
      </c>
      <c r="D298" s="7">
        <f t="shared" si="38"/>
        <v>184.59083333333334</v>
      </c>
      <c r="E298" s="17">
        <f t="shared" si="39"/>
        <v>112.67444444444443</v>
      </c>
      <c r="F298" s="9">
        <f t="shared" si="37"/>
        <v>-1.1701455245800574E-2</v>
      </c>
      <c r="G298" s="9">
        <f t="shared" si="36"/>
        <v>4.0048513650652318E-3</v>
      </c>
      <c r="X298" s="2">
        <v>41883</v>
      </c>
      <c r="Y298" s="6">
        <v>167.1</v>
      </c>
      <c r="Z298" s="6">
        <v>116.1</v>
      </c>
      <c r="AA298" s="7">
        <f t="shared" si="40"/>
        <v>184.59083333333334</v>
      </c>
      <c r="AB298" s="7">
        <f t="shared" si="41"/>
        <v>112.67444444444443</v>
      </c>
      <c r="AC298" s="18">
        <f t="shared" si="42"/>
        <v>-1.1701455245800518E-2</v>
      </c>
    </row>
    <row r="299" spans="1:29" x14ac:dyDescent="0.25">
      <c r="A299" s="2">
        <v>41913</v>
      </c>
      <c r="B299" s="6">
        <v>164.48</v>
      </c>
      <c r="C299" s="6">
        <v>113.2</v>
      </c>
      <c r="D299" s="7">
        <f t="shared" si="38"/>
        <v>181.76333333333335</v>
      </c>
      <c r="E299" s="17">
        <f t="shared" si="39"/>
        <v>112.93222222222222</v>
      </c>
      <c r="F299" s="9">
        <f t="shared" si="37"/>
        <v>-1.5317662036305468E-2</v>
      </c>
      <c r="G299" s="9">
        <f t="shared" si="36"/>
        <v>2.2878105061781007E-3</v>
      </c>
      <c r="X299" s="2">
        <v>41913</v>
      </c>
      <c r="Y299" s="6">
        <v>164.48</v>
      </c>
      <c r="Z299" s="6">
        <v>113.2</v>
      </c>
      <c r="AA299" s="7">
        <f t="shared" si="40"/>
        <v>181.76333333333335</v>
      </c>
      <c r="AB299" s="7">
        <f t="shared" si="41"/>
        <v>112.93222222222222</v>
      </c>
      <c r="AC299" s="18">
        <f t="shared" si="42"/>
        <v>-1.5317662036305449E-2</v>
      </c>
    </row>
    <row r="300" spans="1:29" x14ac:dyDescent="0.25">
      <c r="A300" s="2">
        <v>41944</v>
      </c>
      <c r="B300" s="6">
        <v>171.85</v>
      </c>
      <c r="C300" s="6">
        <v>114.6</v>
      </c>
      <c r="D300" s="7">
        <f t="shared" si="38"/>
        <v>179.58388888888894</v>
      </c>
      <c r="E300" s="17">
        <f t="shared" si="39"/>
        <v>113.25055555555554</v>
      </c>
      <c r="F300" s="9">
        <f t="shared" si="37"/>
        <v>-1.1990561597192806E-2</v>
      </c>
      <c r="G300" s="9">
        <f t="shared" si="36"/>
        <v>2.8187998701283412E-3</v>
      </c>
      <c r="X300" s="2">
        <v>41944</v>
      </c>
      <c r="Y300" s="6">
        <v>171.85</v>
      </c>
      <c r="Z300" s="6">
        <v>114.6</v>
      </c>
      <c r="AA300" s="7">
        <f t="shared" si="40"/>
        <v>179.58388888888894</v>
      </c>
      <c r="AB300" s="7">
        <f t="shared" si="41"/>
        <v>113.25055555555554</v>
      </c>
      <c r="AC300" s="18">
        <f t="shared" si="42"/>
        <v>-1.1990561597192763E-2</v>
      </c>
    </row>
    <row r="301" spans="1:29" x14ac:dyDescent="0.25">
      <c r="A301" s="2">
        <v>41974</v>
      </c>
      <c r="B301" s="6">
        <v>165.82499999999999</v>
      </c>
      <c r="C301" s="6">
        <v>115.7</v>
      </c>
      <c r="D301" s="7">
        <f t="shared" si="38"/>
        <v>176.98527777777778</v>
      </c>
      <c r="E301" s="17">
        <f t="shared" si="39"/>
        <v>113.57777777777777</v>
      </c>
      <c r="F301" s="9">
        <f t="shared" si="37"/>
        <v>-1.4470179519939896E-2</v>
      </c>
      <c r="G301" s="9">
        <f t="shared" si="36"/>
        <v>2.8893652716937002E-3</v>
      </c>
      <c r="X301" s="2">
        <v>41974</v>
      </c>
      <c r="Y301" s="6">
        <v>165.82499999999999</v>
      </c>
      <c r="Z301" s="6">
        <v>115.7</v>
      </c>
      <c r="AA301" s="7">
        <f t="shared" si="40"/>
        <v>176.98527777777778</v>
      </c>
      <c r="AB301" s="7">
        <f t="shared" si="41"/>
        <v>113.57777777777777</v>
      </c>
      <c r="AC301" s="18">
        <f t="shared" si="42"/>
        <v>-1.447017951993985E-2</v>
      </c>
    </row>
    <row r="302" spans="1:29" x14ac:dyDescent="0.25">
      <c r="A302" s="2">
        <v>42005</v>
      </c>
      <c r="B302" s="6">
        <v>184.52</v>
      </c>
      <c r="C302" s="6">
        <v>117.8</v>
      </c>
      <c r="D302" s="7">
        <f t="shared" si="38"/>
        <v>176.20027777777776</v>
      </c>
      <c r="E302" s="17">
        <f t="shared" si="39"/>
        <v>113.88333333333331</v>
      </c>
      <c r="F302" s="9">
        <f t="shared" si="37"/>
        <v>-4.4353971689423677E-3</v>
      </c>
      <c r="G302" s="9">
        <f t="shared" si="36"/>
        <v>2.6902758755624756E-3</v>
      </c>
      <c r="X302" s="2">
        <v>42005</v>
      </c>
      <c r="Y302" s="6">
        <v>184.52</v>
      </c>
      <c r="Z302" s="6">
        <v>117.8</v>
      </c>
      <c r="AA302" s="7">
        <f t="shared" si="40"/>
        <v>176.20027777777776</v>
      </c>
      <c r="AB302" s="7">
        <f t="shared" si="41"/>
        <v>113.88333333333331</v>
      </c>
      <c r="AC302" s="18">
        <f t="shared" si="42"/>
        <v>-4.4353971689423165E-3</v>
      </c>
    </row>
    <row r="303" spans="1:29" x14ac:dyDescent="0.25">
      <c r="A303" s="2">
        <v>42036</v>
      </c>
      <c r="B303" s="6">
        <v>169.45</v>
      </c>
      <c r="C303" s="6">
        <v>118.6</v>
      </c>
      <c r="D303" s="7">
        <f t="shared" si="38"/>
        <v>175.18416666666664</v>
      </c>
      <c r="E303" s="17">
        <f t="shared" si="39"/>
        <v>114.27777777777777</v>
      </c>
      <c r="F303" s="9">
        <f t="shared" si="37"/>
        <v>-5.766796306601929E-3</v>
      </c>
      <c r="G303" s="9">
        <f t="shared" si="36"/>
        <v>3.4635835894434308E-3</v>
      </c>
      <c r="X303" s="2">
        <v>42036</v>
      </c>
      <c r="Y303" s="6">
        <v>169.45</v>
      </c>
      <c r="Z303" s="6">
        <v>118.6</v>
      </c>
      <c r="AA303" s="7">
        <f t="shared" si="40"/>
        <v>175.18416666666664</v>
      </c>
      <c r="AB303" s="7">
        <f t="shared" si="41"/>
        <v>114.27777777777777</v>
      </c>
      <c r="AC303" s="18">
        <f t="shared" si="42"/>
        <v>-5.7667963066018874E-3</v>
      </c>
    </row>
    <row r="304" spans="1:29" x14ac:dyDescent="0.25">
      <c r="A304" s="2">
        <v>42064</v>
      </c>
      <c r="B304" s="6">
        <v>177.75</v>
      </c>
      <c r="C304" s="6">
        <v>121.35899999999999</v>
      </c>
      <c r="D304" s="7">
        <f t="shared" si="38"/>
        <v>174.48</v>
      </c>
      <c r="E304" s="17">
        <f t="shared" si="39"/>
        <v>114.86994444444443</v>
      </c>
      <c r="F304" s="9">
        <f t="shared" si="37"/>
        <v>-4.019579395017514E-3</v>
      </c>
      <c r="G304" s="9">
        <f t="shared" si="36"/>
        <v>5.1818181818181763E-3</v>
      </c>
      <c r="X304" s="2">
        <v>42064</v>
      </c>
      <c r="Y304" s="6">
        <v>177.75</v>
      </c>
      <c r="Z304" s="6">
        <v>121.35899999999999</v>
      </c>
      <c r="AA304" s="7">
        <f t="shared" si="40"/>
        <v>174.48</v>
      </c>
      <c r="AB304" s="7">
        <f t="shared" si="41"/>
        <v>114.86994444444443</v>
      </c>
      <c r="AC304" s="18">
        <f t="shared" si="42"/>
        <v>-4.0195793950175383E-3</v>
      </c>
    </row>
    <row r="305" spans="1:29" x14ac:dyDescent="0.25">
      <c r="A305" s="2">
        <v>42095</v>
      </c>
      <c r="B305" s="6">
        <v>202.05</v>
      </c>
      <c r="C305" s="6">
        <v>122</v>
      </c>
      <c r="D305" s="7">
        <f t="shared" si="38"/>
        <v>175.5397222222222</v>
      </c>
      <c r="E305" s="17">
        <f t="shared" si="39"/>
        <v>115.45327777777776</v>
      </c>
      <c r="F305" s="9">
        <f t="shared" si="37"/>
        <v>6.0736028325436564E-3</v>
      </c>
      <c r="G305" s="9">
        <f t="shared" si="36"/>
        <v>5.0782068029593397E-3</v>
      </c>
      <c r="X305" s="2">
        <v>42095</v>
      </c>
      <c r="Y305" s="6">
        <v>202.05</v>
      </c>
      <c r="Z305" s="6">
        <v>122</v>
      </c>
      <c r="AA305" s="7">
        <f t="shared" si="40"/>
        <v>175.5397222222222</v>
      </c>
      <c r="AB305" s="7">
        <f t="shared" si="41"/>
        <v>115.45327777777776</v>
      </c>
      <c r="AC305" s="18">
        <f t="shared" si="42"/>
        <v>6.0736028325435914E-3</v>
      </c>
    </row>
    <row r="306" spans="1:29" x14ac:dyDescent="0.25">
      <c r="A306" s="2">
        <v>42125</v>
      </c>
      <c r="B306" s="6">
        <v>201.96</v>
      </c>
      <c r="C306" s="6">
        <v>122.6</v>
      </c>
      <c r="D306" s="7">
        <f t="shared" si="38"/>
        <v>176.36972222222221</v>
      </c>
      <c r="E306" s="17">
        <f t="shared" si="39"/>
        <v>116.14216666666665</v>
      </c>
      <c r="F306" s="9">
        <f t="shared" si="37"/>
        <v>4.7282745437484675E-3</v>
      </c>
      <c r="G306" s="9">
        <f t="shared" si="36"/>
        <v>5.9668196706796905E-3</v>
      </c>
      <c r="X306" s="2">
        <v>42125</v>
      </c>
      <c r="Y306" s="6">
        <v>201.96</v>
      </c>
      <c r="Z306" s="6">
        <v>122.6</v>
      </c>
      <c r="AA306" s="7">
        <f t="shared" si="40"/>
        <v>176.36972222222221</v>
      </c>
      <c r="AB306" s="7">
        <f t="shared" si="41"/>
        <v>116.14216666666665</v>
      </c>
      <c r="AC306" s="18">
        <f t="shared" si="42"/>
        <v>4.7282745437484796E-3</v>
      </c>
    </row>
    <row r="307" spans="1:29" x14ac:dyDescent="0.25">
      <c r="A307" s="2">
        <v>42156</v>
      </c>
      <c r="B307" s="6">
        <v>206.67500000000001</v>
      </c>
      <c r="C307" s="6">
        <v>122</v>
      </c>
      <c r="D307" s="7">
        <f t="shared" si="38"/>
        <v>178.10027777777776</v>
      </c>
      <c r="E307" s="17">
        <f t="shared" si="39"/>
        <v>116.75883333333331</v>
      </c>
      <c r="F307" s="9">
        <f t="shared" si="37"/>
        <v>9.8120898176337068E-3</v>
      </c>
      <c r="G307" s="9">
        <f t="shared" si="36"/>
        <v>5.3095846613273601E-3</v>
      </c>
      <c r="X307" s="2">
        <v>42156</v>
      </c>
      <c r="Y307" s="6">
        <v>206.67500000000001</v>
      </c>
      <c r="Z307" s="6">
        <v>122</v>
      </c>
      <c r="AA307" s="7">
        <f t="shared" si="40"/>
        <v>178.10027777777776</v>
      </c>
      <c r="AB307" s="7">
        <f t="shared" si="41"/>
        <v>116.75883333333331</v>
      </c>
      <c r="AC307" s="18">
        <f t="shared" si="42"/>
        <v>9.8120898176337207E-3</v>
      </c>
    </row>
    <row r="308" spans="1:29" x14ac:dyDescent="0.25">
      <c r="A308" s="2">
        <v>42186</v>
      </c>
      <c r="B308" s="6">
        <v>201.96</v>
      </c>
      <c r="C308" s="6">
        <v>125.5</v>
      </c>
      <c r="D308" s="7">
        <f t="shared" si="38"/>
        <v>179.13694444444445</v>
      </c>
      <c r="E308" s="17">
        <f t="shared" si="39"/>
        <v>117.45327777777776</v>
      </c>
      <c r="F308" s="9">
        <f t="shared" si="37"/>
        <v>5.8206909029090426E-3</v>
      </c>
      <c r="G308" s="9">
        <f t="shared" si="36"/>
        <v>5.9476822833770537E-3</v>
      </c>
      <c r="X308" s="2">
        <v>42186</v>
      </c>
      <c r="Y308" s="6">
        <v>201.96</v>
      </c>
      <c r="Z308" s="6">
        <v>125.5</v>
      </c>
      <c r="AA308" s="7">
        <f t="shared" si="40"/>
        <v>179.13694444444445</v>
      </c>
      <c r="AB308" s="7">
        <f t="shared" si="41"/>
        <v>117.45327777777776</v>
      </c>
      <c r="AC308" s="18">
        <f t="shared" si="42"/>
        <v>5.8206909029090738E-3</v>
      </c>
    </row>
    <row r="309" spans="1:29" x14ac:dyDescent="0.25">
      <c r="A309" s="2">
        <v>42217</v>
      </c>
      <c r="B309" s="6">
        <v>199.57499999999999</v>
      </c>
      <c r="C309" s="6">
        <v>126.1</v>
      </c>
      <c r="D309" s="7">
        <f t="shared" si="38"/>
        <v>181.10222222222222</v>
      </c>
      <c r="E309" s="17">
        <f t="shared" si="39"/>
        <v>118.15327777777777</v>
      </c>
      <c r="F309" s="9">
        <f t="shared" si="37"/>
        <v>1.0970812212258485E-2</v>
      </c>
      <c r="G309" s="9">
        <f t="shared" si="36"/>
        <v>5.9598166457679458E-3</v>
      </c>
      <c r="X309" s="2">
        <v>42217</v>
      </c>
      <c r="Y309" s="6">
        <v>199.57499999999999</v>
      </c>
      <c r="Z309" s="6">
        <v>126.1</v>
      </c>
      <c r="AA309" s="7">
        <f t="shared" si="40"/>
        <v>181.10222222222222</v>
      </c>
      <c r="AB309" s="7">
        <f t="shared" si="41"/>
        <v>118.15327777777777</v>
      </c>
      <c r="AC309" s="18">
        <f t="shared" si="42"/>
        <v>1.0970812212258431E-2</v>
      </c>
    </row>
    <row r="310" spans="1:29" x14ac:dyDescent="0.25">
      <c r="A310" s="2">
        <v>42248</v>
      </c>
      <c r="B310" s="6">
        <v>204.4</v>
      </c>
      <c r="C310" s="6">
        <v>126.5</v>
      </c>
      <c r="D310" s="7">
        <f t="shared" si="38"/>
        <v>182.90777777777782</v>
      </c>
      <c r="E310" s="17">
        <f t="shared" si="39"/>
        <v>118.84772222222222</v>
      </c>
      <c r="F310" s="9">
        <f t="shared" si="37"/>
        <v>9.9698144694220225E-3</v>
      </c>
      <c r="G310" s="9">
        <f t="shared" si="36"/>
        <v>5.8774877642460144E-3</v>
      </c>
      <c r="X310" s="2">
        <v>42248</v>
      </c>
      <c r="Y310" s="6">
        <v>204.4</v>
      </c>
      <c r="Z310" s="6">
        <v>126.5</v>
      </c>
      <c r="AA310" s="7">
        <f t="shared" si="40"/>
        <v>182.90777777777782</v>
      </c>
      <c r="AB310" s="7">
        <f t="shared" si="41"/>
        <v>118.84772222222222</v>
      </c>
      <c r="AC310" s="18">
        <f t="shared" si="42"/>
        <v>9.9698144694220555E-3</v>
      </c>
    </row>
    <row r="311" spans="1:29" x14ac:dyDescent="0.25">
      <c r="A311" s="2">
        <v>42278</v>
      </c>
      <c r="B311" s="6">
        <v>201.12</v>
      </c>
      <c r="C311" s="6">
        <v>128.4</v>
      </c>
      <c r="D311" s="7">
        <f t="shared" si="38"/>
        <v>184.20472222222222</v>
      </c>
      <c r="E311" s="17">
        <f t="shared" si="39"/>
        <v>119.65883333333333</v>
      </c>
      <c r="F311" s="9">
        <f t="shared" si="37"/>
        <v>7.0907014463874596E-3</v>
      </c>
      <c r="G311" s="9">
        <f t="shared" si="36"/>
        <v>6.8247930708718041E-3</v>
      </c>
      <c r="X311" s="2">
        <v>42278</v>
      </c>
      <c r="Y311" s="6">
        <v>201.12</v>
      </c>
      <c r="Z311" s="6">
        <v>128.4</v>
      </c>
      <c r="AA311" s="7">
        <f t="shared" si="40"/>
        <v>184.20472222222222</v>
      </c>
      <c r="AB311" s="7">
        <f t="shared" si="41"/>
        <v>119.65883333333333</v>
      </c>
      <c r="AC311" s="18">
        <f t="shared" si="42"/>
        <v>7.0907014463873885E-3</v>
      </c>
    </row>
    <row r="312" spans="1:29" x14ac:dyDescent="0.25">
      <c r="A312" s="2">
        <v>42309</v>
      </c>
      <c r="B312" s="6">
        <v>210.67500000000001</v>
      </c>
      <c r="C312" s="6">
        <v>127.4</v>
      </c>
      <c r="D312" s="7">
        <f t="shared" si="38"/>
        <v>185.9088888888889</v>
      </c>
      <c r="E312" s="17">
        <f t="shared" si="39"/>
        <v>120.34216666666664</v>
      </c>
      <c r="F312" s="9">
        <f t="shared" si="37"/>
        <v>9.2514819712972152E-3</v>
      </c>
      <c r="G312" s="9">
        <f t="shared" si="36"/>
        <v>5.7106802255855182E-3</v>
      </c>
      <c r="X312" s="2">
        <v>42309</v>
      </c>
      <c r="Y312" s="6">
        <v>210.67500000000001</v>
      </c>
      <c r="Z312" s="6">
        <v>127.4</v>
      </c>
      <c r="AA312" s="7">
        <f t="shared" si="40"/>
        <v>185.9088888888889</v>
      </c>
      <c r="AB312" s="7">
        <f t="shared" si="41"/>
        <v>120.34216666666664</v>
      </c>
      <c r="AC312" s="18">
        <f t="shared" si="42"/>
        <v>9.2514819712971041E-3</v>
      </c>
    </row>
    <row r="313" spans="1:29" x14ac:dyDescent="0.25">
      <c r="A313" s="2">
        <v>42339</v>
      </c>
      <c r="B313" s="6">
        <v>225.375</v>
      </c>
      <c r="C313" s="6">
        <v>124.346</v>
      </c>
      <c r="D313" s="7">
        <f t="shared" si="38"/>
        <v>188.46166666666667</v>
      </c>
      <c r="E313" s="17">
        <f t="shared" si="39"/>
        <v>120.81694444444445</v>
      </c>
      <c r="F313" s="9">
        <f t="shared" si="37"/>
        <v>1.3731337931364163E-2</v>
      </c>
      <c r="G313" s="9">
        <f t="shared" si="36"/>
        <v>3.9452320905346561E-3</v>
      </c>
      <c r="X313" s="2">
        <v>42339</v>
      </c>
      <c r="Y313" s="6">
        <v>225.375</v>
      </c>
      <c r="Z313" s="6">
        <v>124.346</v>
      </c>
      <c r="AA313" s="7">
        <f t="shared" si="40"/>
        <v>188.46166666666667</v>
      </c>
      <c r="AB313" s="7">
        <f t="shared" si="41"/>
        <v>120.81694444444445</v>
      </c>
      <c r="AC313" s="18">
        <f t="shared" si="42"/>
        <v>1.3731337931364225E-2</v>
      </c>
    </row>
    <row r="314" spans="1:29" x14ac:dyDescent="0.25">
      <c r="A314" s="2">
        <v>42370</v>
      </c>
      <c r="B314" s="6">
        <v>222.7</v>
      </c>
      <c r="C314" s="6">
        <v>123.8</v>
      </c>
      <c r="D314" s="7">
        <f t="shared" si="38"/>
        <v>191.29916666666665</v>
      </c>
      <c r="E314" s="17">
        <f t="shared" si="39"/>
        <v>121.22805555555558</v>
      </c>
      <c r="F314" s="9">
        <f t="shared" si="37"/>
        <v>1.5056112206726313E-2</v>
      </c>
      <c r="G314" s="9">
        <f t="shared" si="36"/>
        <v>3.4027603743957968E-3</v>
      </c>
      <c r="X314" s="2">
        <v>42370</v>
      </c>
      <c r="Y314" s="6">
        <v>222.7</v>
      </c>
      <c r="Z314" s="6">
        <v>123.8</v>
      </c>
      <c r="AA314" s="7">
        <f t="shared" si="40"/>
        <v>191.29916666666665</v>
      </c>
      <c r="AB314" s="7">
        <f t="shared" si="41"/>
        <v>121.22805555555558</v>
      </c>
      <c r="AC314" s="18">
        <f t="shared" si="42"/>
        <v>1.5056112206726268E-2</v>
      </c>
    </row>
    <row r="315" spans="1:29" x14ac:dyDescent="0.25">
      <c r="A315" s="2">
        <v>42401</v>
      </c>
      <c r="B315" s="6">
        <v>217.375</v>
      </c>
      <c r="C315" s="6">
        <v>123.8</v>
      </c>
      <c r="D315" s="7">
        <f t="shared" si="38"/>
        <v>194.15777777777777</v>
      </c>
      <c r="E315" s="17">
        <f t="shared" si="39"/>
        <v>121.65583333333335</v>
      </c>
      <c r="F315" s="9">
        <f t="shared" si="37"/>
        <v>1.4943144609156356E-2</v>
      </c>
      <c r="G315" s="9">
        <f t="shared" si="36"/>
        <v>3.5287027892789702E-3</v>
      </c>
      <c r="X315" s="2">
        <v>42401</v>
      </c>
      <c r="Y315" s="6">
        <v>217.375</v>
      </c>
      <c r="Z315" s="6">
        <v>123.8</v>
      </c>
      <c r="AA315" s="7">
        <f t="shared" si="40"/>
        <v>194.15777777777777</v>
      </c>
      <c r="AB315" s="7">
        <f t="shared" si="41"/>
        <v>121.65583333333335</v>
      </c>
      <c r="AC315" s="18">
        <f t="shared" si="42"/>
        <v>1.4943144609156427E-2</v>
      </c>
    </row>
    <row r="316" spans="1:29" x14ac:dyDescent="0.25">
      <c r="A316" s="2">
        <v>42430</v>
      </c>
      <c r="B316" s="6">
        <v>226.15</v>
      </c>
      <c r="C316" s="6">
        <v>123.5</v>
      </c>
      <c r="D316" s="7">
        <f t="shared" si="38"/>
        <v>197.43833333333333</v>
      </c>
      <c r="E316" s="17">
        <f t="shared" si="39"/>
        <v>122.06694444444445</v>
      </c>
      <c r="F316" s="9">
        <f t="shared" si="37"/>
        <v>1.6896338602053307E-2</v>
      </c>
      <c r="G316" s="9">
        <f t="shared" si="36"/>
        <v>3.3792963300383061E-3</v>
      </c>
      <c r="X316" s="2">
        <v>42430</v>
      </c>
      <c r="Y316" s="6">
        <v>226.15</v>
      </c>
      <c r="Z316" s="6">
        <v>123.5</v>
      </c>
      <c r="AA316" s="7">
        <f t="shared" si="40"/>
        <v>197.43833333333333</v>
      </c>
      <c r="AB316" s="7">
        <f t="shared" si="41"/>
        <v>122.06694444444445</v>
      </c>
      <c r="AC316" s="18">
        <f t="shared" si="42"/>
        <v>1.6896338602053366E-2</v>
      </c>
    </row>
    <row r="317" spans="1:29" x14ac:dyDescent="0.25">
      <c r="A317" s="2">
        <v>42461</v>
      </c>
      <c r="B317" s="6">
        <v>235.1</v>
      </c>
      <c r="C317" s="6">
        <v>122.4</v>
      </c>
      <c r="D317" s="7">
        <f t="shared" si="38"/>
        <v>201.36166666666665</v>
      </c>
      <c r="E317" s="17">
        <f t="shared" si="39"/>
        <v>122.57805555555557</v>
      </c>
      <c r="F317" s="9">
        <f t="shared" si="37"/>
        <v>1.98711834074774E-2</v>
      </c>
      <c r="G317" s="9">
        <f t="shared" si="36"/>
        <v>4.187137750005121E-3</v>
      </c>
      <c r="X317" s="2">
        <v>42461</v>
      </c>
      <c r="Y317" s="6">
        <v>235.1</v>
      </c>
      <c r="Z317" s="6">
        <v>122.4</v>
      </c>
      <c r="AA317" s="7">
        <f t="shared" si="40"/>
        <v>201.36166666666665</v>
      </c>
      <c r="AB317" s="7">
        <f t="shared" si="41"/>
        <v>122.57805555555557</v>
      </c>
      <c r="AC317" s="18">
        <f t="shared" si="42"/>
        <v>1.9871183407477361E-2</v>
      </c>
    </row>
    <row r="318" spans="1:29" x14ac:dyDescent="0.25">
      <c r="A318" s="2">
        <v>42491</v>
      </c>
      <c r="B318" s="6">
        <v>229.6</v>
      </c>
      <c r="C318" s="7">
        <v>121.4</v>
      </c>
      <c r="D318" s="7">
        <f t="shared" si="38"/>
        <v>204.57000000000002</v>
      </c>
      <c r="E318" s="17">
        <f t="shared" si="39"/>
        <v>122.95583333333336</v>
      </c>
      <c r="F318" s="9">
        <f t="shared" si="37"/>
        <v>1.5933188210268678E-2</v>
      </c>
      <c r="G318" s="9">
        <f t="shared" si="36"/>
        <v>3.0819364531897708E-3</v>
      </c>
      <c r="X318" s="2">
        <v>42491</v>
      </c>
      <c r="Y318" s="6">
        <v>229.6</v>
      </c>
      <c r="Z318" s="7">
        <v>121.4</v>
      </c>
      <c r="AA318" s="7">
        <f t="shared" si="40"/>
        <v>204.57000000000002</v>
      </c>
      <c r="AB318" s="7">
        <f t="shared" si="41"/>
        <v>122.95583333333336</v>
      </c>
      <c r="AC318" s="18">
        <f t="shared" si="42"/>
        <v>1.5933188210268612E-2</v>
      </c>
    </row>
    <row r="319" spans="1:29" x14ac:dyDescent="0.25">
      <c r="A319" s="2">
        <v>42522</v>
      </c>
      <c r="B319" s="6">
        <v>239.8</v>
      </c>
      <c r="C319" s="7">
        <v>119.8</v>
      </c>
      <c r="D319" s="7">
        <f t="shared" si="38"/>
        <v>208.67972222222224</v>
      </c>
      <c r="E319" s="17">
        <f t="shared" si="39"/>
        <v>123.18361111111113</v>
      </c>
      <c r="F319" s="9">
        <f t="shared" si="37"/>
        <v>2.0089564560894724E-2</v>
      </c>
      <c r="G319" s="9">
        <f t="shared" si="36"/>
        <v>1.8525170510639288E-3</v>
      </c>
      <c r="X319" s="2">
        <v>42522</v>
      </c>
      <c r="Y319" s="6">
        <v>239.8</v>
      </c>
      <c r="Z319" s="7">
        <v>119.8</v>
      </c>
      <c r="AA319" s="7">
        <f t="shared" si="40"/>
        <v>208.67972222222224</v>
      </c>
      <c r="AB319" s="7">
        <f t="shared" si="41"/>
        <v>123.18361111111113</v>
      </c>
      <c r="AC319" s="18">
        <f t="shared" si="42"/>
        <v>2.008956456089464E-2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MCAI versus Purchase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Chaudhary</dc:creator>
  <cp:lastModifiedBy>Lien Chen</cp:lastModifiedBy>
  <dcterms:created xsi:type="dcterms:W3CDTF">2016-08-05T14:49:12Z</dcterms:created>
  <dcterms:modified xsi:type="dcterms:W3CDTF">2016-09-09T14:47:20Z</dcterms:modified>
</cp:coreProperties>
</file>