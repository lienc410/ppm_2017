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80" windowWidth="23955" windowHeight="9660"/>
  </bookViews>
  <sheets>
    <sheet name="MCAI Indices" sheetId="4" r:id="rId1"/>
    <sheet name="raw" sheetId="2" r:id="rId2"/>
    <sheet name="Sheet1" sheetId="1" r:id="rId3"/>
    <sheet name="Sheet3" sheetId="3" r:id="rId4"/>
  </sheets>
  <calcPr calcId="145621"/>
</workbook>
</file>

<file path=xl/calcChain.xml><?xml version="1.0" encoding="utf-8"?>
<calcChain xmlns="http://schemas.openxmlformats.org/spreadsheetml/2006/main">
  <c r="F67" i="2" l="1"/>
  <c r="G68" i="2" s="1"/>
  <c r="F6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7" i="2" l="1"/>
  <c r="D67" i="2" s="1"/>
  <c r="D68" i="2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E67" i="2" l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B67" i="2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C67" i="2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</calcChain>
</file>

<file path=xl/sharedStrings.xml><?xml version="1.0" encoding="utf-8"?>
<sst xmlns="http://schemas.openxmlformats.org/spreadsheetml/2006/main" count="18" uniqueCount="10">
  <si>
    <t>Date</t>
  </si>
  <si>
    <t>MCAI</t>
  </si>
  <si>
    <t>Source: MBA</t>
  </si>
  <si>
    <t>7/31/2016</t>
  </si>
  <si>
    <t>Govt</t>
  </si>
  <si>
    <t>Conf</t>
  </si>
  <si>
    <t>Jumbo</t>
  </si>
  <si>
    <t>All</t>
  </si>
  <si>
    <t>Conv</t>
  </si>
  <si>
    <t>Old_All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</si>
</sst>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32" borderId="0" applyNumberFormat="0" applyBorder="0" applyAlignment="0" applyProtection="0"/>
    <xf numFmtId="22" fontId="19" fillId="0" borderId="0"/>
  </cellStyleXfs>
  <cellXfs count="25">
    <xf numFmtId="0" fontId="0" fillId="0" borderId="0" xfId="0"/>
    <xf numFmtId="164" fontId="0" fillId="0" borderId="0" xfId="0" applyNumberFormat="1" applyAlignment="1">
      <alignment horizontal="center"/>
    </xf>
    <xf numFmtId="14" fontId="0" fillId="0" borderId="0" xfId="0" applyNumberFormat="1" applyFill="1" applyAlignment="1">
      <alignment horizontal="center"/>
    </xf>
    <xf numFmtId="164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164" fontId="1" fillId="0" borderId="0" xfId="0" applyNumberFormat="1" applyFont="1" applyFill="1" applyAlignment="1">
      <alignment horizontal="center"/>
    </xf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14" fontId="0" fillId="0" borderId="0" xfId="0" quotePrefix="1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4" fontId="0" fillId="0" borderId="0" xfId="0" applyNumberFormat="1" applyFont="1" applyAlignment="1">
      <alignment horizontal="center"/>
    </xf>
    <xf numFmtId="164" fontId="0" fillId="0" borderId="0" xfId="0" applyNumberFormat="1" applyFont="1" applyAlignment="1">
      <alignment horizontal="center"/>
    </xf>
    <xf numFmtId="0" fontId="0" fillId="0" borderId="0" xfId="0" applyFont="1"/>
    <xf numFmtId="14" fontId="0" fillId="33" borderId="0" xfId="0" applyNumberFormat="1" applyFill="1" applyAlignment="1">
      <alignment horizontal="center"/>
    </xf>
    <xf numFmtId="164" fontId="0" fillId="33" borderId="0" xfId="0" applyNumberFormat="1" applyFill="1" applyAlignment="1">
      <alignment horizontal="center"/>
    </xf>
    <xf numFmtId="0" fontId="0" fillId="0" borderId="0" xfId="0" applyFont="1" applyAlignment="1">
      <alignment horizontal="center"/>
    </xf>
    <xf numFmtId="9" fontId="0" fillId="0" borderId="0" xfId="1" applyFont="1" applyAlignment="1">
      <alignment horizontal="center"/>
    </xf>
    <xf numFmtId="14" fontId="0" fillId="0" borderId="0" xfId="0" applyNumberFormat="1" applyFont="1" applyFill="1" applyAlignment="1">
      <alignment horizontal="center"/>
    </xf>
    <xf numFmtId="164" fontId="0" fillId="0" borderId="0" xfId="0" applyNumberFormat="1" applyFont="1" applyFill="1" applyAlignment="1">
      <alignment horizontal="center"/>
    </xf>
    <xf numFmtId="14" fontId="0" fillId="0" borderId="0" xfId="0" quotePrefix="1" applyNumberFormat="1" applyFill="1" applyAlignment="1">
      <alignment horizontal="center"/>
    </xf>
    <xf numFmtId="0" fontId="0" fillId="0" borderId="0" xfId="0" applyFill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blp_datetime" xfId="43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7"/>
  <sheetViews>
    <sheetView tabSelected="1" workbookViewId="0">
      <selection activeCell="S24" sqref="S24"/>
    </sheetView>
  </sheetViews>
  <sheetFormatPr defaultRowHeight="15" x14ac:dyDescent="0.25"/>
  <cols>
    <col min="1" max="1" width="11.7109375" style="4" customWidth="1"/>
    <col min="2" max="4" width="9.140625" style="3"/>
    <col min="5" max="5" width="9.7109375" style="3" bestFit="1" customWidth="1"/>
    <col min="6" max="6" width="9.140625" style="24"/>
  </cols>
  <sheetData>
    <row r="1" spans="1:7" s="12" customFormat="1" x14ac:dyDescent="0.25">
      <c r="A1" s="5" t="s">
        <v>0</v>
      </c>
      <c r="B1" s="6" t="s">
        <v>4</v>
      </c>
      <c r="C1" s="6" t="s">
        <v>5</v>
      </c>
      <c r="D1" s="6" t="s">
        <v>6</v>
      </c>
      <c r="E1" s="6" t="s">
        <v>8</v>
      </c>
      <c r="F1" s="6" t="s">
        <v>7</v>
      </c>
      <c r="G1" s="12" t="s">
        <v>9</v>
      </c>
    </row>
    <row r="2" spans="1:7" x14ac:dyDescent="0.25">
      <c r="A2" s="2">
        <v>38139</v>
      </c>
      <c r="B2" s="3">
        <v>641.49841269841272</v>
      </c>
      <c r="C2" s="3">
        <v>398.54285714285714</v>
      </c>
      <c r="D2" s="3">
        <v>397.74497354497362</v>
      </c>
      <c r="E2" s="3">
        <v>292.82328042328038</v>
      </c>
      <c r="F2" s="3">
        <v>377</v>
      </c>
      <c r="G2">
        <v>377</v>
      </c>
    </row>
    <row r="3" spans="1:7" x14ac:dyDescent="0.25">
      <c r="A3" s="2">
        <v>38169</v>
      </c>
      <c r="B3" s="3">
        <v>652.5587301587301</v>
      </c>
      <c r="C3" s="3">
        <v>405.41428571428571</v>
      </c>
      <c r="D3" s="3">
        <v>404.60264550264554</v>
      </c>
      <c r="E3" s="3">
        <v>297.8719576719576</v>
      </c>
      <c r="F3" s="3">
        <v>383.5</v>
      </c>
      <c r="G3">
        <v>383.5</v>
      </c>
    </row>
    <row r="4" spans="1:7" x14ac:dyDescent="0.25">
      <c r="A4" s="2">
        <v>38200</v>
      </c>
      <c r="B4" s="3">
        <v>663.61904761904759</v>
      </c>
      <c r="C4" s="3">
        <v>412.28571428571428</v>
      </c>
      <c r="D4" s="3">
        <v>411.46031746031753</v>
      </c>
      <c r="E4" s="3">
        <v>302.92063492063488</v>
      </c>
      <c r="F4" s="3">
        <v>390</v>
      </c>
      <c r="G4">
        <v>390</v>
      </c>
    </row>
    <row r="5" spans="1:7" x14ac:dyDescent="0.25">
      <c r="A5" s="2">
        <v>38231</v>
      </c>
      <c r="B5" s="3">
        <v>674.67936507936508</v>
      </c>
      <c r="C5" s="3">
        <v>419.15714285714284</v>
      </c>
      <c r="D5" s="3">
        <v>418.31798941798951</v>
      </c>
      <c r="E5" s="3">
        <v>307.96931216931216</v>
      </c>
      <c r="F5" s="3">
        <v>396.5</v>
      </c>
      <c r="G5">
        <v>396.5</v>
      </c>
    </row>
    <row r="6" spans="1:7" x14ac:dyDescent="0.25">
      <c r="A6" s="2">
        <v>38261</v>
      </c>
      <c r="B6" s="3">
        <v>685.73968253968258</v>
      </c>
      <c r="C6" s="3">
        <v>426.02857142857141</v>
      </c>
      <c r="D6" s="3">
        <v>425.17566137566143</v>
      </c>
      <c r="E6" s="3">
        <v>313.01798941798938</v>
      </c>
      <c r="F6" s="3">
        <v>403</v>
      </c>
      <c r="G6">
        <v>403</v>
      </c>
    </row>
    <row r="7" spans="1:7" x14ac:dyDescent="0.25">
      <c r="A7" s="2">
        <v>38292</v>
      </c>
      <c r="B7" s="3">
        <v>696.80000000000007</v>
      </c>
      <c r="C7" s="3">
        <v>432.90000000000003</v>
      </c>
      <c r="D7" s="3">
        <v>432.03333333333342</v>
      </c>
      <c r="E7" s="3">
        <v>318.06666666666666</v>
      </c>
      <c r="F7" s="3">
        <v>409.5</v>
      </c>
      <c r="G7">
        <v>409.5</v>
      </c>
    </row>
    <row r="8" spans="1:7" x14ac:dyDescent="0.25">
      <c r="A8" s="2">
        <v>38322</v>
      </c>
      <c r="B8" s="3">
        <v>707.86031746031756</v>
      </c>
      <c r="C8" s="3">
        <v>439.7714285714286</v>
      </c>
      <c r="D8" s="3">
        <v>438.8910052910054</v>
      </c>
      <c r="E8" s="3">
        <v>323.11534391534389</v>
      </c>
      <c r="F8" s="3">
        <v>416</v>
      </c>
      <c r="G8">
        <v>416</v>
      </c>
    </row>
    <row r="9" spans="1:7" x14ac:dyDescent="0.25">
      <c r="A9" s="2">
        <v>38353</v>
      </c>
      <c r="B9" s="3">
        <v>818.17989417989429</v>
      </c>
      <c r="C9" s="3">
        <v>508.3095238095238</v>
      </c>
      <c r="D9" s="3">
        <v>507.29188712522057</v>
      </c>
      <c r="E9" s="3">
        <v>373.47266313932977</v>
      </c>
      <c r="F9" s="3">
        <v>480.83333333333331</v>
      </c>
      <c r="G9">
        <v>480.83333333333331</v>
      </c>
    </row>
    <row r="10" spans="1:7" x14ac:dyDescent="0.25">
      <c r="A10" s="2">
        <v>38384</v>
      </c>
      <c r="B10" s="3">
        <v>928.49947089947102</v>
      </c>
      <c r="C10" s="3">
        <v>576.84761904761899</v>
      </c>
      <c r="D10" s="3">
        <v>575.69276895943574</v>
      </c>
      <c r="E10" s="3">
        <v>423.82998236331559</v>
      </c>
      <c r="F10" s="3">
        <v>545.66666666666663</v>
      </c>
      <c r="G10">
        <v>545.66666666666663</v>
      </c>
    </row>
    <row r="11" spans="1:7" x14ac:dyDescent="0.25">
      <c r="A11" s="2">
        <v>38412</v>
      </c>
      <c r="B11" s="3">
        <v>1038.8190476190478</v>
      </c>
      <c r="C11" s="3">
        <v>645.38571428571424</v>
      </c>
      <c r="D11" s="3">
        <v>644.09365079365091</v>
      </c>
      <c r="E11" s="3">
        <v>474.18730158730148</v>
      </c>
      <c r="F11" s="3">
        <v>610.5</v>
      </c>
      <c r="G11">
        <v>610.5</v>
      </c>
    </row>
    <row r="12" spans="1:7" x14ac:dyDescent="0.25">
      <c r="A12" s="2">
        <v>38443</v>
      </c>
      <c r="B12" s="3">
        <v>1149.1386243386246</v>
      </c>
      <c r="C12" s="3">
        <v>713.9238095238095</v>
      </c>
      <c r="D12" s="3">
        <v>712.49453262786608</v>
      </c>
      <c r="E12" s="3">
        <v>524.54462081128736</v>
      </c>
      <c r="F12" s="3">
        <v>675.33333333333337</v>
      </c>
      <c r="G12">
        <v>675.33333333333337</v>
      </c>
    </row>
    <row r="13" spans="1:7" x14ac:dyDescent="0.25">
      <c r="A13" s="2">
        <v>38473</v>
      </c>
      <c r="B13" s="3">
        <v>1259.4582010582014</v>
      </c>
      <c r="C13" s="3">
        <v>782.46190476190475</v>
      </c>
      <c r="D13" s="3">
        <v>780.89541446208136</v>
      </c>
      <c r="E13" s="3">
        <v>574.90194003527324</v>
      </c>
      <c r="F13" s="3">
        <v>740.16666666666674</v>
      </c>
      <c r="G13">
        <v>740.16666666666674</v>
      </c>
    </row>
    <row r="14" spans="1:7" x14ac:dyDescent="0.25">
      <c r="A14" s="2">
        <v>38504</v>
      </c>
      <c r="B14" s="3">
        <v>1369.7777777777781</v>
      </c>
      <c r="C14" s="3">
        <v>850.99999999999989</v>
      </c>
      <c r="D14" s="3">
        <v>849.29629629629653</v>
      </c>
      <c r="E14" s="3">
        <v>625.25925925925912</v>
      </c>
      <c r="F14" s="3">
        <v>805</v>
      </c>
      <c r="G14">
        <v>805</v>
      </c>
    </row>
    <row r="15" spans="1:7" x14ac:dyDescent="0.25">
      <c r="A15" s="2">
        <v>38534</v>
      </c>
      <c r="B15" s="3">
        <v>1381.9724867724869</v>
      </c>
      <c r="C15" s="3">
        <v>858.57619047619039</v>
      </c>
      <c r="D15" s="3">
        <v>856.85731922398611</v>
      </c>
      <c r="E15" s="3">
        <v>630.82574955908274</v>
      </c>
      <c r="F15" s="3">
        <v>812.16666666666663</v>
      </c>
      <c r="G15">
        <v>812.16666666666663</v>
      </c>
    </row>
    <row r="16" spans="1:7" x14ac:dyDescent="0.25">
      <c r="A16" s="2">
        <v>38565</v>
      </c>
      <c r="B16" s="3">
        <v>1394.1671957671958</v>
      </c>
      <c r="C16" s="3">
        <v>866.15238095238078</v>
      </c>
      <c r="D16" s="3">
        <v>864.41834215167569</v>
      </c>
      <c r="E16" s="3">
        <v>636.39223985890635</v>
      </c>
      <c r="F16" s="3">
        <v>819.33333333333326</v>
      </c>
      <c r="G16">
        <v>819.33333333333326</v>
      </c>
    </row>
    <row r="17" spans="1:7" x14ac:dyDescent="0.25">
      <c r="A17" s="2">
        <v>38596</v>
      </c>
      <c r="B17" s="3">
        <v>1406.3619047619047</v>
      </c>
      <c r="C17" s="3">
        <v>873.72857142857117</v>
      </c>
      <c r="D17" s="3">
        <v>871.97936507936515</v>
      </c>
      <c r="E17" s="3">
        <v>641.95873015872996</v>
      </c>
      <c r="F17" s="3">
        <v>826.49999999999989</v>
      </c>
      <c r="G17">
        <v>826.49999999999989</v>
      </c>
    </row>
    <row r="18" spans="1:7" x14ac:dyDescent="0.25">
      <c r="A18" s="2">
        <v>38626</v>
      </c>
      <c r="B18" s="3">
        <v>1418.5566137566136</v>
      </c>
      <c r="C18" s="3">
        <v>881.30476190476156</v>
      </c>
      <c r="D18" s="3">
        <v>879.54038800705462</v>
      </c>
      <c r="E18" s="3">
        <v>647.52522045855358</v>
      </c>
      <c r="F18" s="3">
        <v>833.66666666666652</v>
      </c>
      <c r="G18">
        <v>833.66666666666652</v>
      </c>
    </row>
    <row r="19" spans="1:7" x14ac:dyDescent="0.25">
      <c r="A19" s="2">
        <v>38657</v>
      </c>
      <c r="B19" s="3">
        <v>1430.7513227513225</v>
      </c>
      <c r="C19" s="3">
        <v>888.88095238095195</v>
      </c>
      <c r="D19" s="3">
        <v>887.10141093474408</v>
      </c>
      <c r="E19" s="3">
        <v>653.09171075837719</v>
      </c>
      <c r="F19" s="3">
        <v>840.83333333333314</v>
      </c>
      <c r="G19">
        <v>840.83333333333314</v>
      </c>
    </row>
    <row r="20" spans="1:7" x14ac:dyDescent="0.25">
      <c r="A20" s="2">
        <v>38687</v>
      </c>
      <c r="B20" s="3">
        <v>1442.9460317460318</v>
      </c>
      <c r="C20" s="3">
        <v>896.45714285714268</v>
      </c>
      <c r="D20" s="3">
        <v>894.66243386243389</v>
      </c>
      <c r="E20" s="3">
        <v>658.65820105820103</v>
      </c>
      <c r="F20" s="3">
        <v>848</v>
      </c>
      <c r="G20">
        <v>848</v>
      </c>
    </row>
    <row r="21" spans="1:7" x14ac:dyDescent="0.25">
      <c r="A21" s="2">
        <v>38718</v>
      </c>
      <c r="B21" s="3">
        <v>1449.4687830687833</v>
      </c>
      <c r="C21" s="3">
        <v>900.50952380952367</v>
      </c>
      <c r="D21" s="3">
        <v>898.70670194003537</v>
      </c>
      <c r="E21" s="3">
        <v>661.6356261022928</v>
      </c>
      <c r="F21" s="3">
        <v>851.83333333333337</v>
      </c>
      <c r="G21">
        <v>851.83333333333337</v>
      </c>
    </row>
    <row r="22" spans="1:7" x14ac:dyDescent="0.25">
      <c r="A22" s="2">
        <v>38749</v>
      </c>
      <c r="B22" s="3">
        <v>1455.9915343915347</v>
      </c>
      <c r="C22" s="3">
        <v>904.56190476190466</v>
      </c>
      <c r="D22" s="3">
        <v>902.75097001763675</v>
      </c>
      <c r="E22" s="3">
        <v>664.61305114638458</v>
      </c>
      <c r="F22" s="3">
        <v>855.66666666666674</v>
      </c>
      <c r="G22">
        <v>855.66666666666674</v>
      </c>
    </row>
    <row r="23" spans="1:7" x14ac:dyDescent="0.25">
      <c r="A23" s="2">
        <v>38777</v>
      </c>
      <c r="B23" s="3">
        <v>1462.5142857142862</v>
      </c>
      <c r="C23" s="3">
        <v>908.61428571428564</v>
      </c>
      <c r="D23" s="3">
        <v>906.79523809523823</v>
      </c>
      <c r="E23" s="3">
        <v>667.59047619047635</v>
      </c>
      <c r="F23" s="3">
        <v>859.50000000000011</v>
      </c>
      <c r="G23">
        <v>859.50000000000011</v>
      </c>
    </row>
    <row r="24" spans="1:7" x14ac:dyDescent="0.25">
      <c r="A24" s="2">
        <v>38808</v>
      </c>
      <c r="B24" s="3">
        <v>1469.0370370370374</v>
      </c>
      <c r="C24" s="3">
        <v>912.66666666666663</v>
      </c>
      <c r="D24" s="3">
        <v>910.83950617283961</v>
      </c>
      <c r="E24" s="3">
        <v>670.56790123456801</v>
      </c>
      <c r="F24" s="3">
        <v>863.33333333333348</v>
      </c>
      <c r="G24">
        <v>863.33333333333348</v>
      </c>
    </row>
    <row r="25" spans="1:7" x14ac:dyDescent="0.25">
      <c r="A25" s="2">
        <v>38838</v>
      </c>
      <c r="B25" s="3">
        <v>1475.5597883597889</v>
      </c>
      <c r="C25" s="3">
        <v>916.71904761904761</v>
      </c>
      <c r="D25" s="3">
        <v>914.88377425044109</v>
      </c>
      <c r="E25" s="3">
        <v>673.54532627865979</v>
      </c>
      <c r="F25" s="3">
        <v>867.16666666666686</v>
      </c>
      <c r="G25">
        <v>867.16666666666686</v>
      </c>
    </row>
    <row r="26" spans="1:7" x14ac:dyDescent="0.25">
      <c r="A26" s="2">
        <v>38869</v>
      </c>
      <c r="B26" s="3">
        <v>1482.0825396825398</v>
      </c>
      <c r="C26" s="3">
        <v>920.77142857142837</v>
      </c>
      <c r="D26" s="3">
        <v>918.92804232804235</v>
      </c>
      <c r="E26" s="3">
        <v>676.52275132275133</v>
      </c>
      <c r="F26" s="3">
        <v>871</v>
      </c>
      <c r="G26">
        <v>871</v>
      </c>
    </row>
    <row r="27" spans="1:7" x14ac:dyDescent="0.25">
      <c r="A27" s="2">
        <v>38899</v>
      </c>
      <c r="B27" s="3">
        <v>1440.9608465608467</v>
      </c>
      <c r="C27" s="3">
        <v>895.22380952380934</v>
      </c>
      <c r="D27" s="3">
        <v>893.43156966490301</v>
      </c>
      <c r="E27" s="3">
        <v>657.75202821869482</v>
      </c>
      <c r="F27" s="3">
        <v>846.83333333333337</v>
      </c>
      <c r="G27">
        <v>846.83333333333337</v>
      </c>
    </row>
    <row r="28" spans="1:7" x14ac:dyDescent="0.25">
      <c r="A28" s="2">
        <v>38930</v>
      </c>
      <c r="B28" s="3">
        <v>1399.8391534391535</v>
      </c>
      <c r="C28" s="3">
        <v>869.6761904761903</v>
      </c>
      <c r="D28" s="3">
        <v>867.93509700176367</v>
      </c>
      <c r="E28" s="3">
        <v>638.98130511463842</v>
      </c>
      <c r="F28" s="3">
        <v>822.66666666666674</v>
      </c>
      <c r="G28">
        <v>822.66666666666674</v>
      </c>
    </row>
    <row r="29" spans="1:7" x14ac:dyDescent="0.25">
      <c r="A29" s="2">
        <v>38961</v>
      </c>
      <c r="B29" s="3">
        <v>1358.7174603174606</v>
      </c>
      <c r="C29" s="3">
        <v>844.12857142857138</v>
      </c>
      <c r="D29" s="3">
        <v>842.43862433862444</v>
      </c>
      <c r="E29" s="3">
        <v>620.21058201058202</v>
      </c>
      <c r="F29" s="3">
        <v>798.50000000000011</v>
      </c>
      <c r="G29">
        <v>798.50000000000011</v>
      </c>
    </row>
    <row r="30" spans="1:7" x14ac:dyDescent="0.25">
      <c r="A30" s="2">
        <v>38991</v>
      </c>
      <c r="B30" s="3">
        <v>1317.5957671957674</v>
      </c>
      <c r="C30" s="3">
        <v>818.58095238095234</v>
      </c>
      <c r="D30" s="3">
        <v>816.94215167548509</v>
      </c>
      <c r="E30" s="3">
        <v>601.43985890652561</v>
      </c>
      <c r="F30" s="3">
        <v>774.33333333333348</v>
      </c>
      <c r="G30">
        <v>774.33333333333348</v>
      </c>
    </row>
    <row r="31" spans="1:7" x14ac:dyDescent="0.25">
      <c r="A31" s="2">
        <v>39022</v>
      </c>
      <c r="B31" s="3">
        <v>1276.4740740740742</v>
      </c>
      <c r="C31" s="3">
        <v>793.0333333333333</v>
      </c>
      <c r="D31" s="3">
        <v>791.44567901234575</v>
      </c>
      <c r="E31" s="3">
        <v>582.66913580246921</v>
      </c>
      <c r="F31" s="3">
        <v>750.16666666666686</v>
      </c>
      <c r="G31">
        <v>750.16666666666686</v>
      </c>
    </row>
    <row r="32" spans="1:7" x14ac:dyDescent="0.25">
      <c r="A32" s="2">
        <v>39052</v>
      </c>
      <c r="B32" s="3">
        <v>1235.3523809523808</v>
      </c>
      <c r="C32" s="3">
        <v>767.48571428571415</v>
      </c>
      <c r="D32" s="3">
        <v>765.94920634920629</v>
      </c>
      <c r="E32" s="3">
        <v>563.8984126984127</v>
      </c>
      <c r="F32" s="3">
        <v>726</v>
      </c>
      <c r="G32">
        <v>726</v>
      </c>
    </row>
    <row r="33" spans="1:7" x14ac:dyDescent="0.25">
      <c r="A33" s="2">
        <v>39083</v>
      </c>
      <c r="B33" s="3">
        <v>1184.8719576719577</v>
      </c>
      <c r="C33" s="3">
        <v>736.12380952380943</v>
      </c>
      <c r="D33" s="3">
        <v>734.65008818342153</v>
      </c>
      <c r="E33" s="3">
        <v>540.8557319223986</v>
      </c>
      <c r="F33" s="3">
        <v>696.33333333333337</v>
      </c>
      <c r="G33">
        <v>696.33333333333337</v>
      </c>
    </row>
    <row r="34" spans="1:7" x14ac:dyDescent="0.25">
      <c r="A34" s="2">
        <v>39114</v>
      </c>
      <c r="B34" s="3">
        <v>1134.3915343915344</v>
      </c>
      <c r="C34" s="3">
        <v>704.7619047619047</v>
      </c>
      <c r="D34" s="3">
        <v>703.35097001763666</v>
      </c>
      <c r="E34" s="3">
        <v>517.81305114638451</v>
      </c>
      <c r="F34" s="3">
        <v>666.66666666666674</v>
      </c>
      <c r="G34">
        <v>666.66666666666674</v>
      </c>
    </row>
    <row r="35" spans="1:7" x14ac:dyDescent="0.25">
      <c r="A35" s="2">
        <v>39142</v>
      </c>
      <c r="B35" s="3">
        <v>1083.9111111111113</v>
      </c>
      <c r="C35" s="3">
        <v>673.4</v>
      </c>
      <c r="D35" s="3">
        <v>672.05185185185189</v>
      </c>
      <c r="E35" s="3">
        <v>494.77037037037042</v>
      </c>
      <c r="F35" s="3">
        <v>637.00000000000011</v>
      </c>
      <c r="G35">
        <v>637.00000000000011</v>
      </c>
    </row>
    <row r="36" spans="1:7" x14ac:dyDescent="0.25">
      <c r="A36" s="2">
        <v>39173</v>
      </c>
      <c r="B36" s="3">
        <v>1033.4306878306882</v>
      </c>
      <c r="C36" s="3">
        <v>642.03809523809537</v>
      </c>
      <c r="D36" s="3">
        <v>640.75273368606713</v>
      </c>
      <c r="E36" s="3">
        <v>471.72768959435638</v>
      </c>
      <c r="F36" s="3">
        <v>607.33333333333348</v>
      </c>
      <c r="G36">
        <v>607.33333333333348</v>
      </c>
    </row>
    <row r="37" spans="1:7" x14ac:dyDescent="0.25">
      <c r="A37" s="2">
        <v>39203</v>
      </c>
      <c r="B37" s="3">
        <v>982.95026455026482</v>
      </c>
      <c r="C37" s="3">
        <v>610.67619047619064</v>
      </c>
      <c r="D37" s="3">
        <v>609.45361552028237</v>
      </c>
      <c r="E37" s="3">
        <v>448.68500881834228</v>
      </c>
      <c r="F37" s="3">
        <v>577.66666666666686</v>
      </c>
      <c r="G37">
        <v>577.66666666666686</v>
      </c>
    </row>
    <row r="38" spans="1:7" x14ac:dyDescent="0.25">
      <c r="A38" s="2">
        <v>39234</v>
      </c>
      <c r="B38" s="3">
        <v>932.46984126984114</v>
      </c>
      <c r="C38" s="3">
        <v>579.31428571428569</v>
      </c>
      <c r="D38" s="3">
        <v>578.15449735449727</v>
      </c>
      <c r="E38" s="3">
        <v>425.64232804232802</v>
      </c>
      <c r="F38" s="3">
        <v>548</v>
      </c>
      <c r="G38">
        <v>548</v>
      </c>
    </row>
    <row r="39" spans="1:7" x14ac:dyDescent="0.25">
      <c r="A39" s="2">
        <v>39264</v>
      </c>
      <c r="B39" s="3">
        <v>866.95873015872996</v>
      </c>
      <c r="C39" s="3">
        <v>538.61428571428564</v>
      </c>
      <c r="D39" s="3">
        <v>537.53597883597865</v>
      </c>
      <c r="E39" s="3">
        <v>395.73862433862428</v>
      </c>
      <c r="F39" s="3">
        <v>509.5</v>
      </c>
      <c r="G39">
        <v>509.5</v>
      </c>
    </row>
    <row r="40" spans="1:7" x14ac:dyDescent="0.25">
      <c r="A40" s="2">
        <v>39295</v>
      </c>
      <c r="B40" s="3">
        <v>801.44761904761879</v>
      </c>
      <c r="C40" s="3">
        <v>497.91428571428565</v>
      </c>
      <c r="D40" s="3">
        <v>496.9174603174601</v>
      </c>
      <c r="E40" s="3">
        <v>365.83492063492054</v>
      </c>
      <c r="F40" s="3">
        <v>471</v>
      </c>
      <c r="G40">
        <v>471</v>
      </c>
    </row>
    <row r="41" spans="1:7" x14ac:dyDescent="0.25">
      <c r="A41" s="2">
        <v>39326</v>
      </c>
      <c r="B41" s="3">
        <v>735.93650793650772</v>
      </c>
      <c r="C41" s="3">
        <v>457.21428571428567</v>
      </c>
      <c r="D41" s="3">
        <v>456.2989417989416</v>
      </c>
      <c r="E41" s="3">
        <v>335.93121693121685</v>
      </c>
      <c r="F41" s="3">
        <v>432.5</v>
      </c>
      <c r="G41">
        <v>432.5</v>
      </c>
    </row>
    <row r="42" spans="1:7" x14ac:dyDescent="0.25">
      <c r="A42" s="2">
        <v>39356</v>
      </c>
      <c r="B42" s="3">
        <v>670.42539682539666</v>
      </c>
      <c r="C42" s="3">
        <v>416.51428571428568</v>
      </c>
      <c r="D42" s="3">
        <v>415.6804232804231</v>
      </c>
      <c r="E42" s="3">
        <v>306.02751322751317</v>
      </c>
      <c r="F42" s="3">
        <v>394</v>
      </c>
      <c r="G42">
        <v>394</v>
      </c>
    </row>
    <row r="43" spans="1:7" x14ac:dyDescent="0.25">
      <c r="A43" s="2">
        <v>39387</v>
      </c>
      <c r="B43" s="3">
        <v>604.9142857142856</v>
      </c>
      <c r="C43" s="3">
        <v>375.81428571428569</v>
      </c>
      <c r="D43" s="3">
        <v>375.0619047619046</v>
      </c>
      <c r="E43" s="3">
        <v>276.12380952380948</v>
      </c>
      <c r="F43" s="3">
        <v>355.5</v>
      </c>
      <c r="G43">
        <v>355.5</v>
      </c>
    </row>
    <row r="44" spans="1:7" x14ac:dyDescent="0.25">
      <c r="A44" s="2">
        <v>39417</v>
      </c>
      <c r="B44" s="3">
        <v>539.40317460317453</v>
      </c>
      <c r="C44" s="3">
        <v>335.1142857142857</v>
      </c>
      <c r="D44" s="3">
        <v>334.4433862433861</v>
      </c>
      <c r="E44" s="3">
        <v>246.2201058201058</v>
      </c>
      <c r="F44" s="3">
        <v>317</v>
      </c>
      <c r="G44">
        <v>317</v>
      </c>
    </row>
    <row r="45" spans="1:7" x14ac:dyDescent="0.25">
      <c r="A45" s="2">
        <v>39448</v>
      </c>
      <c r="B45" s="3">
        <v>482.96719576719573</v>
      </c>
      <c r="C45" s="3">
        <v>300.05238095238093</v>
      </c>
      <c r="D45" s="3">
        <v>299.45167548500871</v>
      </c>
      <c r="E45" s="3">
        <v>220.45890652557316</v>
      </c>
      <c r="F45" s="3">
        <v>283.83333333333331</v>
      </c>
      <c r="G45">
        <v>283.83333333333331</v>
      </c>
    </row>
    <row r="46" spans="1:7" x14ac:dyDescent="0.25">
      <c r="A46" s="2">
        <v>39479</v>
      </c>
      <c r="B46" s="3">
        <v>426.53121693121693</v>
      </c>
      <c r="C46" s="3">
        <v>264.99047619047622</v>
      </c>
      <c r="D46" s="3">
        <v>264.45996472663131</v>
      </c>
      <c r="E46" s="3">
        <v>194.69770723104054</v>
      </c>
      <c r="F46" s="3">
        <v>250.66666666666666</v>
      </c>
      <c r="G46">
        <v>250.66666666666666</v>
      </c>
    </row>
    <row r="47" spans="1:7" x14ac:dyDescent="0.25">
      <c r="A47" s="2">
        <v>39508</v>
      </c>
      <c r="B47" s="3">
        <v>370.09523809523813</v>
      </c>
      <c r="C47" s="3">
        <v>229.92857142857144</v>
      </c>
      <c r="D47" s="3">
        <v>229.46825396825392</v>
      </c>
      <c r="E47" s="3">
        <v>168.93650793650792</v>
      </c>
      <c r="F47" s="3">
        <v>217.5</v>
      </c>
      <c r="G47">
        <v>217.5</v>
      </c>
    </row>
    <row r="48" spans="1:7" x14ac:dyDescent="0.25">
      <c r="A48" s="2">
        <v>39539</v>
      </c>
      <c r="B48" s="3">
        <v>313.65925925925927</v>
      </c>
      <c r="C48" s="3">
        <v>194.86666666666667</v>
      </c>
      <c r="D48" s="3">
        <v>194.4765432098765</v>
      </c>
      <c r="E48" s="3">
        <v>143.17530864197531</v>
      </c>
      <c r="F48" s="3">
        <v>184.33333333333334</v>
      </c>
      <c r="G48">
        <v>184.33333333333334</v>
      </c>
    </row>
    <row r="49" spans="1:7" x14ac:dyDescent="0.25">
      <c r="A49" s="2">
        <v>39569</v>
      </c>
      <c r="B49" s="3">
        <v>257.22328042328047</v>
      </c>
      <c r="C49" s="3">
        <v>159.80476190476193</v>
      </c>
      <c r="D49" s="3">
        <v>159.4848324514991</v>
      </c>
      <c r="E49" s="3">
        <v>117.4141093474427</v>
      </c>
      <c r="F49" s="3">
        <v>151.16666666666669</v>
      </c>
      <c r="G49">
        <v>151.16666666666669</v>
      </c>
    </row>
    <row r="50" spans="1:7" x14ac:dyDescent="0.25">
      <c r="A50" s="2">
        <v>39600</v>
      </c>
      <c r="B50" s="3">
        <v>200.78730158730161</v>
      </c>
      <c r="C50" s="3">
        <v>124.74285714285715</v>
      </c>
      <c r="D50" s="3">
        <v>124.49312169312165</v>
      </c>
      <c r="E50" s="3">
        <v>91.652910052910059</v>
      </c>
      <c r="F50" s="3">
        <v>118</v>
      </c>
      <c r="G50">
        <v>118</v>
      </c>
    </row>
    <row r="51" spans="1:7" x14ac:dyDescent="0.25">
      <c r="A51" s="2">
        <v>39630</v>
      </c>
      <c r="B51" s="3">
        <v>191.14497354497357</v>
      </c>
      <c r="C51" s="3">
        <v>118.75238095238095</v>
      </c>
      <c r="D51" s="3">
        <v>118.51463844797173</v>
      </c>
      <c r="E51" s="3">
        <v>87.251499118165782</v>
      </c>
      <c r="F51" s="3">
        <v>112.33333333333333</v>
      </c>
      <c r="G51">
        <v>112.33333333333333</v>
      </c>
    </row>
    <row r="52" spans="1:7" x14ac:dyDescent="0.25">
      <c r="A52" s="2">
        <v>39661</v>
      </c>
      <c r="B52" s="3">
        <v>181.50264550264552</v>
      </c>
      <c r="C52" s="3">
        <v>112.76190476190474</v>
      </c>
      <c r="D52" s="3">
        <v>112.53615520282182</v>
      </c>
      <c r="E52" s="3">
        <v>82.850088183421505</v>
      </c>
      <c r="F52" s="3">
        <v>106.66666666666666</v>
      </c>
      <c r="G52">
        <v>106.66666666666666</v>
      </c>
    </row>
    <row r="53" spans="1:7" x14ac:dyDescent="0.25">
      <c r="A53" s="2">
        <v>39692</v>
      </c>
      <c r="B53" s="3">
        <v>171.86031746031745</v>
      </c>
      <c r="C53" s="3">
        <v>106.77142857142854</v>
      </c>
      <c r="D53" s="3">
        <v>106.5576719576719</v>
      </c>
      <c r="E53" s="3">
        <v>78.448677248677228</v>
      </c>
      <c r="F53" s="3">
        <v>100.99999999999999</v>
      </c>
      <c r="G53">
        <v>100.99999999999999</v>
      </c>
    </row>
    <row r="54" spans="1:7" s="16" customFormat="1" x14ac:dyDescent="0.25">
      <c r="A54" s="2">
        <v>39722</v>
      </c>
      <c r="B54" s="3">
        <v>162.21798941798937</v>
      </c>
      <c r="C54" s="3">
        <v>100.78095238095234</v>
      </c>
      <c r="D54" s="3">
        <v>100.57918871252198</v>
      </c>
      <c r="E54" s="3">
        <v>74.047266313932951</v>
      </c>
      <c r="F54" s="3">
        <v>95.333333333333314</v>
      </c>
      <c r="G54">
        <v>95.333333333333314</v>
      </c>
    </row>
    <row r="55" spans="1:7" x14ac:dyDescent="0.25">
      <c r="A55" s="2">
        <v>39753</v>
      </c>
      <c r="B55" s="3">
        <v>152.57566137566133</v>
      </c>
      <c r="C55" s="3">
        <v>94.790476190476141</v>
      </c>
      <c r="D55" s="3">
        <v>94.600705467372066</v>
      </c>
      <c r="E55" s="3">
        <v>69.645855379188674</v>
      </c>
      <c r="F55" s="3">
        <v>89.666666666666643</v>
      </c>
      <c r="G55">
        <v>89.666666666666643</v>
      </c>
    </row>
    <row r="56" spans="1:7" x14ac:dyDescent="0.25">
      <c r="A56" s="2">
        <v>39783</v>
      </c>
      <c r="B56" s="3">
        <v>142.93333333333331</v>
      </c>
      <c r="C56" s="3">
        <v>88.799999999999969</v>
      </c>
      <c r="D56" s="3">
        <v>88.622222222222177</v>
      </c>
      <c r="E56" s="3">
        <v>65.244444444444426</v>
      </c>
      <c r="F56" s="3">
        <v>84</v>
      </c>
      <c r="G56">
        <v>84</v>
      </c>
    </row>
    <row r="57" spans="1:7" x14ac:dyDescent="0.25">
      <c r="A57" s="2">
        <v>39814</v>
      </c>
      <c r="B57" s="3">
        <v>155.12804232804231</v>
      </c>
      <c r="C57" s="3">
        <v>96.376190476190445</v>
      </c>
      <c r="D57" s="3">
        <v>96.18324514991177</v>
      </c>
      <c r="E57" s="3">
        <v>70.810934744268067</v>
      </c>
      <c r="F57" s="3">
        <v>91.166666666666671</v>
      </c>
      <c r="G57">
        <v>91.166666666666671</v>
      </c>
    </row>
    <row r="58" spans="1:7" x14ac:dyDescent="0.25">
      <c r="A58" s="2">
        <v>39845</v>
      </c>
      <c r="B58" s="3">
        <v>167.32275132275132</v>
      </c>
      <c r="C58" s="3">
        <v>103.95238095238092</v>
      </c>
      <c r="D58" s="3">
        <v>103.74426807760136</v>
      </c>
      <c r="E58" s="3">
        <v>76.377425044091709</v>
      </c>
      <c r="F58" s="3">
        <v>98.333333333333343</v>
      </c>
      <c r="G58">
        <v>98.333333333333343</v>
      </c>
    </row>
    <row r="59" spans="1:7" x14ac:dyDescent="0.25">
      <c r="A59" s="2">
        <v>39873</v>
      </c>
      <c r="B59" s="3">
        <v>179.51746031746032</v>
      </c>
      <c r="C59" s="3">
        <v>111.52857142857141</v>
      </c>
      <c r="D59" s="3">
        <v>111.30529100529095</v>
      </c>
      <c r="E59" s="3">
        <v>81.94391534391535</v>
      </c>
      <c r="F59" s="3">
        <v>105.50000000000001</v>
      </c>
      <c r="G59">
        <v>105.50000000000001</v>
      </c>
    </row>
    <row r="60" spans="1:7" x14ac:dyDescent="0.25">
      <c r="A60" s="2">
        <v>39904</v>
      </c>
      <c r="B60" s="3">
        <v>191.71216931216932</v>
      </c>
      <c r="C60" s="3">
        <v>119.10476190476189</v>
      </c>
      <c r="D60" s="3">
        <v>118.86631393298055</v>
      </c>
      <c r="E60" s="3">
        <v>87.510405643738991</v>
      </c>
      <c r="F60" s="3">
        <v>112.66666666666669</v>
      </c>
      <c r="G60">
        <v>112.66666666666669</v>
      </c>
    </row>
    <row r="61" spans="1:7" x14ac:dyDescent="0.25">
      <c r="A61" s="2">
        <v>39934</v>
      </c>
      <c r="B61" s="3">
        <v>203.90687830687833</v>
      </c>
      <c r="C61" s="3">
        <v>126.68095238095236</v>
      </c>
      <c r="D61" s="3">
        <v>126.42733686067014</v>
      </c>
      <c r="E61" s="3">
        <v>93.076895943562633</v>
      </c>
      <c r="F61" s="3">
        <v>119.83333333333336</v>
      </c>
      <c r="G61">
        <v>119.83333333333336</v>
      </c>
    </row>
    <row r="62" spans="1:7" x14ac:dyDescent="0.25">
      <c r="A62" s="2">
        <v>39965</v>
      </c>
      <c r="B62" s="3">
        <v>216.10158730158727</v>
      </c>
      <c r="C62" s="3">
        <v>134.25714285714281</v>
      </c>
      <c r="D62" s="3">
        <v>133.9883597883597</v>
      </c>
      <c r="E62" s="3">
        <v>98.643386243386246</v>
      </c>
      <c r="F62" s="3">
        <v>127</v>
      </c>
      <c r="G62">
        <v>127</v>
      </c>
    </row>
    <row r="63" spans="1:7" x14ac:dyDescent="0.25">
      <c r="A63" s="2">
        <v>39995</v>
      </c>
      <c r="B63" s="3">
        <v>206.74285714285713</v>
      </c>
      <c r="C63" s="3">
        <v>128.44285714285712</v>
      </c>
      <c r="D63" s="3">
        <v>128.18571428571423</v>
      </c>
      <c r="E63" s="3">
        <v>94.371428571428581</v>
      </c>
      <c r="F63" s="3">
        <v>121.5</v>
      </c>
      <c r="G63">
        <v>121.5</v>
      </c>
    </row>
    <row r="64" spans="1:7" x14ac:dyDescent="0.25">
      <c r="A64" s="2">
        <v>40026</v>
      </c>
      <c r="B64" s="3">
        <v>197.38412698412699</v>
      </c>
      <c r="C64" s="3">
        <v>122.62857142857143</v>
      </c>
      <c r="D64" s="3">
        <v>122.38306878306874</v>
      </c>
      <c r="E64" s="3">
        <v>90.099470899470916</v>
      </c>
      <c r="F64" s="3">
        <v>116</v>
      </c>
      <c r="G64">
        <v>116</v>
      </c>
    </row>
    <row r="65" spans="1:7" x14ac:dyDescent="0.25">
      <c r="A65" s="2">
        <v>40057</v>
      </c>
      <c r="B65" s="3">
        <v>188.02539682539683</v>
      </c>
      <c r="C65" s="3">
        <v>116.81428571428572</v>
      </c>
      <c r="D65" s="3">
        <v>116.58042328042323</v>
      </c>
      <c r="E65" s="3">
        <v>85.827513227513236</v>
      </c>
      <c r="F65" s="3">
        <v>110.5</v>
      </c>
      <c r="G65">
        <v>110.5</v>
      </c>
    </row>
    <row r="66" spans="1:7" x14ac:dyDescent="0.25">
      <c r="A66" s="2">
        <v>40087</v>
      </c>
      <c r="B66" s="3">
        <v>178.66666666666666</v>
      </c>
      <c r="C66" s="3">
        <v>111</v>
      </c>
      <c r="D66" s="3">
        <v>110.77777777777773</v>
      </c>
      <c r="E66" s="3">
        <v>81.555555555555557</v>
      </c>
      <c r="F66" s="3">
        <v>105</v>
      </c>
      <c r="G66">
        <v>105</v>
      </c>
    </row>
    <row r="67" spans="1:7" x14ac:dyDescent="0.25">
      <c r="A67" s="2">
        <v>40118</v>
      </c>
      <c r="B67" s="3">
        <v>169.30793650793652</v>
      </c>
      <c r="C67" s="3">
        <v>105.1857142857143</v>
      </c>
      <c r="D67" s="3">
        <v>104.97513227513224</v>
      </c>
      <c r="E67" s="3">
        <v>77.283597883597892</v>
      </c>
      <c r="F67" s="3">
        <v>99.5</v>
      </c>
      <c r="G67">
        <v>99.5</v>
      </c>
    </row>
    <row r="68" spans="1:7" x14ac:dyDescent="0.25">
      <c r="A68" s="2">
        <v>40148</v>
      </c>
      <c r="B68" s="3">
        <v>159.94920634920635</v>
      </c>
      <c r="C68" s="3">
        <v>99.371428571428581</v>
      </c>
      <c r="D68" s="3">
        <v>99.172486772486735</v>
      </c>
      <c r="E68" s="3">
        <v>73.011640211640213</v>
      </c>
      <c r="F68" s="3">
        <v>94</v>
      </c>
      <c r="G68">
        <v>94</v>
      </c>
    </row>
    <row r="69" spans="1:7" x14ac:dyDescent="0.25">
      <c r="A69" s="2">
        <v>40179</v>
      </c>
      <c r="B69" s="3">
        <v>161.08359788359789</v>
      </c>
      <c r="C69" s="3">
        <v>100.07619047619049</v>
      </c>
      <c r="D69" s="3">
        <v>99.875837742504388</v>
      </c>
      <c r="E69" s="3">
        <v>73.529453262786603</v>
      </c>
      <c r="F69" s="3">
        <v>94.666666666666671</v>
      </c>
      <c r="G69">
        <v>94.666666666666671</v>
      </c>
    </row>
    <row r="70" spans="1:7" x14ac:dyDescent="0.25">
      <c r="A70" s="2">
        <v>40210</v>
      </c>
      <c r="B70" s="3">
        <v>162.21798941798943</v>
      </c>
      <c r="C70" s="3">
        <v>100.7809523809524</v>
      </c>
      <c r="D70" s="3">
        <v>100.57918871252204</v>
      </c>
      <c r="E70" s="3">
        <v>74.047266313932994</v>
      </c>
      <c r="F70" s="3">
        <v>95.333333333333343</v>
      </c>
      <c r="G70">
        <v>95.333333333333343</v>
      </c>
    </row>
    <row r="71" spans="1:7" x14ac:dyDescent="0.25">
      <c r="A71" s="2">
        <v>40238</v>
      </c>
      <c r="B71" s="3">
        <v>163.35238095238097</v>
      </c>
      <c r="C71" s="3">
        <v>101.48571428571431</v>
      </c>
      <c r="D71" s="3">
        <v>101.28253968253969</v>
      </c>
      <c r="E71" s="3">
        <v>74.565079365079384</v>
      </c>
      <c r="F71" s="3">
        <v>96.000000000000014</v>
      </c>
      <c r="G71">
        <v>96.000000000000014</v>
      </c>
    </row>
    <row r="72" spans="1:7" x14ac:dyDescent="0.25">
      <c r="A72" s="2">
        <v>40269</v>
      </c>
      <c r="B72" s="3">
        <v>164.48677248677251</v>
      </c>
      <c r="C72" s="3">
        <v>102.19047619047622</v>
      </c>
      <c r="D72" s="3">
        <v>101.98589065255733</v>
      </c>
      <c r="E72" s="3">
        <v>75.082892416225775</v>
      </c>
      <c r="F72" s="3">
        <v>96.666666666666686</v>
      </c>
      <c r="G72">
        <v>96.666666666666686</v>
      </c>
    </row>
    <row r="73" spans="1:7" x14ac:dyDescent="0.25">
      <c r="A73" s="2">
        <v>40299</v>
      </c>
      <c r="B73" s="3">
        <v>165.62116402116405</v>
      </c>
      <c r="C73" s="3">
        <v>102.89523809523813</v>
      </c>
      <c r="D73" s="3">
        <v>102.68924162257497</v>
      </c>
      <c r="E73" s="3">
        <v>75.600705467372165</v>
      </c>
      <c r="F73" s="3">
        <v>97.333333333333357</v>
      </c>
      <c r="G73">
        <v>97.333333333333357</v>
      </c>
    </row>
    <row r="74" spans="1:7" x14ac:dyDescent="0.25">
      <c r="A74" s="2">
        <v>40330</v>
      </c>
      <c r="B74" s="3">
        <v>166.75555555555556</v>
      </c>
      <c r="C74" s="3">
        <v>103.60000000000001</v>
      </c>
      <c r="D74" s="3">
        <v>103.39259259259258</v>
      </c>
      <c r="E74" s="3">
        <v>76.118518518518528</v>
      </c>
      <c r="F74" s="3">
        <v>98</v>
      </c>
      <c r="G74">
        <v>98</v>
      </c>
    </row>
    <row r="75" spans="1:7" x14ac:dyDescent="0.25">
      <c r="A75" s="2">
        <v>40360</v>
      </c>
      <c r="B75" s="3">
        <v>172.14391534391535</v>
      </c>
      <c r="C75" s="3">
        <v>106.94761904761906</v>
      </c>
      <c r="D75" s="3">
        <v>106.73350970017636</v>
      </c>
      <c r="E75" s="3">
        <v>78.578130511463854</v>
      </c>
      <c r="F75" s="3">
        <v>101.16666666666667</v>
      </c>
      <c r="G75">
        <v>101.16666666666667</v>
      </c>
    </row>
    <row r="76" spans="1:7" x14ac:dyDescent="0.25">
      <c r="A76" s="2">
        <v>40391</v>
      </c>
      <c r="B76" s="3">
        <v>177.53227513227515</v>
      </c>
      <c r="C76" s="3">
        <v>110.2952380952381</v>
      </c>
      <c r="D76" s="3">
        <v>110.07442680776013</v>
      </c>
      <c r="E76" s="3">
        <v>81.037742504409181</v>
      </c>
      <c r="F76" s="3">
        <v>104.33333333333334</v>
      </c>
      <c r="G76">
        <v>104.33333333333334</v>
      </c>
    </row>
    <row r="77" spans="1:7" x14ac:dyDescent="0.25">
      <c r="A77" s="2">
        <v>40422</v>
      </c>
      <c r="B77" s="3">
        <v>182.92063492063494</v>
      </c>
      <c r="C77" s="3">
        <v>113.64285714285715</v>
      </c>
      <c r="D77" s="3">
        <v>113.41534391534391</v>
      </c>
      <c r="E77" s="3">
        <v>83.497354497354507</v>
      </c>
      <c r="F77" s="3">
        <v>107.50000000000001</v>
      </c>
      <c r="G77">
        <v>107.50000000000001</v>
      </c>
    </row>
    <row r="78" spans="1:7" x14ac:dyDescent="0.25">
      <c r="A78" s="2">
        <v>40452</v>
      </c>
      <c r="B78" s="3">
        <v>188.30899470899473</v>
      </c>
      <c r="C78" s="3">
        <v>116.9904761904762</v>
      </c>
      <c r="D78" s="3">
        <v>116.75626102292769</v>
      </c>
      <c r="E78" s="3">
        <v>85.956966490299834</v>
      </c>
      <c r="F78" s="3">
        <v>110.66666666666669</v>
      </c>
      <c r="G78">
        <v>110.66666666666669</v>
      </c>
    </row>
    <row r="79" spans="1:7" x14ac:dyDescent="0.25">
      <c r="A79" s="2">
        <v>40483</v>
      </c>
      <c r="B79" s="3">
        <v>193.69735449735452</v>
      </c>
      <c r="C79" s="3">
        <v>120.33809523809526</v>
      </c>
      <c r="D79" s="3">
        <v>120.09717813051148</v>
      </c>
      <c r="E79" s="3">
        <v>88.416578483245175</v>
      </c>
      <c r="F79" s="3">
        <v>113.83333333333336</v>
      </c>
      <c r="G79">
        <v>113.83333333333336</v>
      </c>
    </row>
    <row r="80" spans="1:7" x14ac:dyDescent="0.25">
      <c r="A80" s="2">
        <v>40513</v>
      </c>
      <c r="B80" s="3">
        <v>199.08571428571429</v>
      </c>
      <c r="C80" s="3">
        <v>123.68571428571428</v>
      </c>
      <c r="D80" s="3">
        <v>123.43809523809523</v>
      </c>
      <c r="E80" s="3">
        <v>90.876190476190487</v>
      </c>
      <c r="F80" s="3">
        <v>117</v>
      </c>
      <c r="G80">
        <v>117</v>
      </c>
    </row>
    <row r="81" spans="1:7" x14ac:dyDescent="0.25">
      <c r="A81" s="2">
        <v>40544</v>
      </c>
      <c r="B81" s="3">
        <v>186.32380952380953</v>
      </c>
      <c r="C81" s="3">
        <v>115.75714285714285</v>
      </c>
      <c r="D81" s="3">
        <v>115.52539682539681</v>
      </c>
      <c r="E81" s="3">
        <v>85.050793650793651</v>
      </c>
      <c r="F81" s="3">
        <v>109.5</v>
      </c>
      <c r="G81">
        <v>115.83333333333333</v>
      </c>
    </row>
    <row r="82" spans="1:7" x14ac:dyDescent="0.25">
      <c r="A82" s="2">
        <v>40575</v>
      </c>
      <c r="B82" s="3">
        <v>173.56190476190477</v>
      </c>
      <c r="C82" s="3">
        <v>107.82857142857142</v>
      </c>
      <c r="D82" s="3">
        <v>107.61269841269841</v>
      </c>
      <c r="E82" s="3">
        <v>79.225396825396828</v>
      </c>
      <c r="F82" s="3">
        <v>102</v>
      </c>
      <c r="G82">
        <v>114.66666666666666</v>
      </c>
    </row>
    <row r="83" spans="1:7" x14ac:dyDescent="0.25">
      <c r="A83" s="2">
        <v>40633</v>
      </c>
      <c r="B83" s="3">
        <v>160.80000000000001</v>
      </c>
      <c r="C83" s="3">
        <v>99.9</v>
      </c>
      <c r="D83" s="3">
        <v>99.7</v>
      </c>
      <c r="E83" s="3">
        <v>73.400000000000006</v>
      </c>
      <c r="F83" s="3">
        <v>94.5</v>
      </c>
      <c r="G83">
        <v>112.08</v>
      </c>
    </row>
    <row r="84" spans="1:7" x14ac:dyDescent="0.25">
      <c r="A84" s="2">
        <v>40663</v>
      </c>
      <c r="B84" s="3">
        <v>165</v>
      </c>
      <c r="C84" s="3">
        <v>99.2</v>
      </c>
      <c r="D84" s="3">
        <v>103</v>
      </c>
      <c r="E84" s="3">
        <v>73.7</v>
      </c>
      <c r="F84" s="3">
        <v>95.7</v>
      </c>
      <c r="G84">
        <v>107.04</v>
      </c>
    </row>
    <row r="85" spans="1:7" x14ac:dyDescent="0.25">
      <c r="A85" s="2">
        <v>40694</v>
      </c>
      <c r="B85" s="3">
        <v>158.5</v>
      </c>
      <c r="C85" s="3">
        <v>95.1</v>
      </c>
      <c r="D85" s="3">
        <v>93.3</v>
      </c>
      <c r="E85" s="3">
        <v>69.5</v>
      </c>
      <c r="F85" s="3">
        <v>91</v>
      </c>
      <c r="G85">
        <v>109.28</v>
      </c>
    </row>
    <row r="86" spans="1:7" x14ac:dyDescent="0.25">
      <c r="A86" s="2">
        <v>40724</v>
      </c>
      <c r="B86" s="3">
        <v>163.5</v>
      </c>
      <c r="C86" s="3">
        <v>95.6</v>
      </c>
      <c r="D86" s="3">
        <v>95.1</v>
      </c>
      <c r="E86" s="3">
        <v>70.2</v>
      </c>
      <c r="F86" s="3">
        <v>92.6</v>
      </c>
      <c r="G86">
        <v>110.55</v>
      </c>
    </row>
    <row r="87" spans="1:7" x14ac:dyDescent="0.25">
      <c r="A87" s="2">
        <v>40755</v>
      </c>
      <c r="B87" s="3">
        <v>161.6</v>
      </c>
      <c r="C87" s="3">
        <v>99.4</v>
      </c>
      <c r="D87" s="3">
        <v>98.3</v>
      </c>
      <c r="E87" s="3">
        <v>72.8</v>
      </c>
      <c r="F87" s="3">
        <v>94.2</v>
      </c>
      <c r="G87">
        <v>109.95</v>
      </c>
    </row>
    <row r="88" spans="1:7" x14ac:dyDescent="0.25">
      <c r="A88" s="2">
        <v>40786</v>
      </c>
      <c r="B88" s="3">
        <v>170.6</v>
      </c>
      <c r="C88" s="3">
        <v>101.1</v>
      </c>
      <c r="D88" s="3">
        <v>100.9</v>
      </c>
      <c r="E88" s="3">
        <v>74.3</v>
      </c>
      <c r="F88" s="3">
        <v>97.5</v>
      </c>
      <c r="G88">
        <v>107.75</v>
      </c>
    </row>
    <row r="89" spans="1:7" x14ac:dyDescent="0.25">
      <c r="A89" s="2">
        <v>40816</v>
      </c>
      <c r="B89" s="3">
        <v>183.4</v>
      </c>
      <c r="C89" s="3">
        <v>101.3</v>
      </c>
      <c r="D89" s="3">
        <v>101.8</v>
      </c>
      <c r="E89" s="3">
        <v>74.599999999999994</v>
      </c>
      <c r="F89" s="3">
        <v>100.8</v>
      </c>
      <c r="G89">
        <v>111.19</v>
      </c>
    </row>
    <row r="90" spans="1:7" x14ac:dyDescent="0.25">
      <c r="A90" s="2">
        <v>40847</v>
      </c>
      <c r="B90" s="3">
        <v>177</v>
      </c>
      <c r="C90" s="3">
        <v>100.8</v>
      </c>
      <c r="D90" s="3">
        <v>96.3</v>
      </c>
      <c r="E90" s="3">
        <v>73.2</v>
      </c>
      <c r="F90" s="3">
        <v>98.2</v>
      </c>
      <c r="G90">
        <v>107.1</v>
      </c>
    </row>
    <row r="91" spans="1:7" x14ac:dyDescent="0.25">
      <c r="A91" s="2">
        <v>40877</v>
      </c>
      <c r="B91" s="3">
        <v>171.9</v>
      </c>
      <c r="C91" s="3">
        <v>100</v>
      </c>
      <c r="D91" s="3">
        <v>95.5</v>
      </c>
      <c r="E91" s="3">
        <v>72.5</v>
      </c>
      <c r="F91" s="3">
        <v>96.5</v>
      </c>
      <c r="G91">
        <v>106.28</v>
      </c>
    </row>
    <row r="92" spans="1:7" x14ac:dyDescent="0.25">
      <c r="A92" s="2">
        <v>40908</v>
      </c>
      <c r="B92" s="3">
        <v>175.8</v>
      </c>
      <c r="C92" s="3">
        <v>100.1</v>
      </c>
      <c r="D92" s="3">
        <v>95.7</v>
      </c>
      <c r="E92" s="3">
        <v>72.7</v>
      </c>
      <c r="F92" s="3">
        <v>97.5</v>
      </c>
      <c r="G92">
        <v>104.92</v>
      </c>
    </row>
    <row r="93" spans="1:7" x14ac:dyDescent="0.25">
      <c r="A93" s="2">
        <v>40939</v>
      </c>
      <c r="B93" s="3">
        <v>185.7</v>
      </c>
      <c r="C93" s="3">
        <v>102.7</v>
      </c>
      <c r="D93" s="3">
        <v>98.4</v>
      </c>
      <c r="E93" s="3">
        <v>74.599999999999994</v>
      </c>
      <c r="F93" s="3">
        <v>101.3</v>
      </c>
      <c r="G93">
        <v>102.38</v>
      </c>
    </row>
    <row r="94" spans="1:7" x14ac:dyDescent="0.25">
      <c r="A94" s="2">
        <v>40968</v>
      </c>
      <c r="B94" s="3">
        <v>181.3</v>
      </c>
      <c r="C94" s="3">
        <v>97.8</v>
      </c>
      <c r="D94" s="3">
        <v>97.6</v>
      </c>
      <c r="E94" s="3">
        <v>71.8</v>
      </c>
      <c r="F94" s="3">
        <v>98.2</v>
      </c>
      <c r="G94">
        <v>99.04</v>
      </c>
    </row>
    <row r="95" spans="1:7" x14ac:dyDescent="0.25">
      <c r="A95" s="21">
        <v>40999</v>
      </c>
      <c r="B95" s="22">
        <v>183.5</v>
      </c>
      <c r="C95" s="22">
        <v>100</v>
      </c>
      <c r="D95" s="22">
        <v>100</v>
      </c>
      <c r="E95" s="22">
        <v>73.5</v>
      </c>
      <c r="F95" s="22">
        <v>100</v>
      </c>
      <c r="G95">
        <v>100</v>
      </c>
    </row>
    <row r="96" spans="1:7" x14ac:dyDescent="0.25">
      <c r="A96" s="2">
        <v>41029</v>
      </c>
      <c r="B96" s="3">
        <v>187.3</v>
      </c>
      <c r="C96" s="3">
        <v>101.2</v>
      </c>
      <c r="D96" s="3">
        <v>101.8</v>
      </c>
      <c r="E96" s="3">
        <v>74.5</v>
      </c>
      <c r="F96" s="3">
        <v>101.7</v>
      </c>
      <c r="G96">
        <v>101.71</v>
      </c>
    </row>
    <row r="97" spans="1:7" x14ac:dyDescent="0.25">
      <c r="A97" s="2">
        <v>41060</v>
      </c>
      <c r="B97" s="3">
        <v>184.3</v>
      </c>
      <c r="C97" s="3">
        <v>103.2</v>
      </c>
      <c r="D97" s="3">
        <v>102.6</v>
      </c>
      <c r="E97" s="3">
        <v>75.7</v>
      </c>
      <c r="F97" s="3">
        <v>101.9</v>
      </c>
      <c r="G97">
        <v>101.55</v>
      </c>
    </row>
    <row r="98" spans="1:7" x14ac:dyDescent="0.25">
      <c r="A98" s="2">
        <v>41090</v>
      </c>
      <c r="B98" s="3">
        <v>182.8</v>
      </c>
      <c r="C98" s="3">
        <v>103.5</v>
      </c>
      <c r="D98" s="3">
        <v>103</v>
      </c>
      <c r="E98" s="3">
        <v>76</v>
      </c>
      <c r="F98" s="3">
        <v>101.7</v>
      </c>
      <c r="G98">
        <v>103.01</v>
      </c>
    </row>
    <row r="99" spans="1:7" x14ac:dyDescent="0.25">
      <c r="A99" s="2">
        <v>41121</v>
      </c>
      <c r="B99" s="3">
        <v>171.2</v>
      </c>
      <c r="C99" s="3">
        <v>100.4</v>
      </c>
      <c r="D99" s="3">
        <v>96.9</v>
      </c>
      <c r="E99" s="3">
        <v>73.099999999999994</v>
      </c>
      <c r="F99" s="3">
        <v>96.7</v>
      </c>
      <c r="G99">
        <v>99.67</v>
      </c>
    </row>
    <row r="100" spans="1:7" x14ac:dyDescent="0.25">
      <c r="A100" s="2">
        <v>41152</v>
      </c>
      <c r="B100" s="3">
        <v>172.4</v>
      </c>
      <c r="C100" s="3">
        <v>103.1</v>
      </c>
      <c r="D100" s="3">
        <v>104.9</v>
      </c>
      <c r="E100" s="3">
        <v>76.2</v>
      </c>
      <c r="F100" s="3">
        <v>99.3</v>
      </c>
      <c r="G100">
        <v>103.93</v>
      </c>
    </row>
    <row r="101" spans="1:7" x14ac:dyDescent="0.25">
      <c r="A101" s="2">
        <v>41182</v>
      </c>
      <c r="B101" s="3">
        <v>172.7</v>
      </c>
      <c r="C101" s="3">
        <v>103.1</v>
      </c>
      <c r="D101" s="3">
        <v>104.5</v>
      </c>
      <c r="E101" s="3">
        <v>76.099999999999994</v>
      </c>
      <c r="F101" s="3">
        <v>99.4</v>
      </c>
      <c r="G101">
        <v>103.92</v>
      </c>
    </row>
    <row r="102" spans="1:7" x14ac:dyDescent="0.25">
      <c r="A102" s="2">
        <v>41213</v>
      </c>
      <c r="B102" s="3">
        <v>157.80000000000001</v>
      </c>
      <c r="C102" s="3">
        <v>83.6</v>
      </c>
      <c r="D102" s="3">
        <v>107.4</v>
      </c>
      <c r="E102" s="3">
        <v>66.5</v>
      </c>
      <c r="F102" s="3">
        <v>88.4</v>
      </c>
      <c r="G102">
        <v>101.4</v>
      </c>
    </row>
    <row r="103" spans="1:7" x14ac:dyDescent="0.25">
      <c r="A103" s="2">
        <v>41243</v>
      </c>
      <c r="B103" s="3">
        <v>184.7</v>
      </c>
      <c r="C103" s="3">
        <v>84.4</v>
      </c>
      <c r="D103" s="3">
        <v>109.3</v>
      </c>
      <c r="E103" s="3">
        <v>67.3</v>
      </c>
      <c r="F103" s="3">
        <v>95.5</v>
      </c>
      <c r="G103">
        <v>105.95</v>
      </c>
    </row>
    <row r="104" spans="1:7" x14ac:dyDescent="0.25">
      <c r="A104" s="2">
        <v>41274</v>
      </c>
      <c r="B104" s="3">
        <v>158.1</v>
      </c>
      <c r="C104" s="3">
        <v>83.3</v>
      </c>
      <c r="D104" s="3">
        <v>106.1</v>
      </c>
      <c r="E104" s="3">
        <v>66.099999999999994</v>
      </c>
      <c r="F104" s="3">
        <v>88.2</v>
      </c>
      <c r="G104">
        <v>108.16</v>
      </c>
    </row>
    <row r="105" spans="1:7" x14ac:dyDescent="0.25">
      <c r="A105" s="2">
        <v>41305</v>
      </c>
      <c r="B105" s="3">
        <v>189.5</v>
      </c>
      <c r="C105" s="3">
        <v>83.7</v>
      </c>
      <c r="D105" s="3">
        <v>107.6</v>
      </c>
      <c r="E105" s="3">
        <v>66.599999999999994</v>
      </c>
      <c r="F105" s="3">
        <v>96.2</v>
      </c>
      <c r="G105">
        <v>108.21</v>
      </c>
    </row>
    <row r="106" spans="1:7" x14ac:dyDescent="0.25">
      <c r="A106" s="2">
        <v>41333</v>
      </c>
      <c r="B106" s="3">
        <v>209.1</v>
      </c>
      <c r="C106" s="3">
        <v>86.5</v>
      </c>
      <c r="D106" s="3">
        <v>109.3</v>
      </c>
      <c r="E106" s="3">
        <v>68.400000000000006</v>
      </c>
      <c r="F106" s="3">
        <v>102.3</v>
      </c>
      <c r="G106">
        <v>109.13</v>
      </c>
    </row>
    <row r="107" spans="1:7" x14ac:dyDescent="0.25">
      <c r="A107" s="2">
        <v>41364</v>
      </c>
      <c r="B107" s="3">
        <v>211.6</v>
      </c>
      <c r="C107" s="3">
        <v>84.7</v>
      </c>
      <c r="D107" s="3">
        <v>104.6</v>
      </c>
      <c r="E107" s="3">
        <v>66.400000000000006</v>
      </c>
      <c r="F107" s="3">
        <v>101.4</v>
      </c>
      <c r="G107">
        <v>108.01</v>
      </c>
    </row>
    <row r="108" spans="1:7" x14ac:dyDescent="0.25">
      <c r="A108" s="2">
        <v>41394</v>
      </c>
      <c r="B108" s="3">
        <v>215.2</v>
      </c>
      <c r="C108" s="3">
        <v>86.8</v>
      </c>
      <c r="D108" s="3">
        <v>102.8</v>
      </c>
      <c r="E108" s="3">
        <v>67.2</v>
      </c>
      <c r="F108" s="3">
        <v>102.8</v>
      </c>
      <c r="G108">
        <v>108.56</v>
      </c>
    </row>
    <row r="109" spans="1:7" x14ac:dyDescent="0.25">
      <c r="A109" s="2">
        <v>41425</v>
      </c>
      <c r="B109" s="3">
        <v>224.3</v>
      </c>
      <c r="C109" s="3">
        <v>87.8</v>
      </c>
      <c r="D109" s="3">
        <v>105.8</v>
      </c>
      <c r="E109" s="3">
        <v>68.3</v>
      </c>
      <c r="F109" s="3">
        <v>105.9</v>
      </c>
      <c r="G109">
        <v>108.87</v>
      </c>
    </row>
    <row r="110" spans="1:7" x14ac:dyDescent="0.25">
      <c r="A110" s="2">
        <v>41455</v>
      </c>
      <c r="B110" s="3">
        <v>234.5</v>
      </c>
      <c r="C110" s="3">
        <v>90.8</v>
      </c>
      <c r="D110" s="3">
        <v>113.9</v>
      </c>
      <c r="E110" s="3">
        <v>71.599999999999994</v>
      </c>
      <c r="F110" s="3">
        <v>110.8</v>
      </c>
      <c r="G110">
        <v>109.81</v>
      </c>
    </row>
    <row r="111" spans="1:7" x14ac:dyDescent="0.25">
      <c r="A111" s="2">
        <v>41486</v>
      </c>
      <c r="B111" s="3">
        <v>252</v>
      </c>
      <c r="C111" s="3">
        <v>91.5</v>
      </c>
      <c r="D111" s="3">
        <v>115</v>
      </c>
      <c r="E111" s="3">
        <v>72.2</v>
      </c>
      <c r="F111" s="3">
        <v>115.5</v>
      </c>
      <c r="G111">
        <v>112.3</v>
      </c>
    </row>
    <row r="112" spans="1:7" x14ac:dyDescent="0.25">
      <c r="A112" s="2">
        <v>41517</v>
      </c>
      <c r="B112" s="3">
        <v>249.6</v>
      </c>
      <c r="C112" s="3">
        <v>90.9</v>
      </c>
      <c r="D112" s="3">
        <v>115.1</v>
      </c>
      <c r="E112" s="3">
        <v>71.900000000000006</v>
      </c>
      <c r="F112" s="3">
        <v>114.7</v>
      </c>
      <c r="G112">
        <v>111.5</v>
      </c>
    </row>
    <row r="113" spans="1:7" x14ac:dyDescent="0.25">
      <c r="A113" s="2">
        <v>41547</v>
      </c>
      <c r="B113" s="3">
        <v>257.89999999999998</v>
      </c>
      <c r="C113" s="3">
        <v>94.2</v>
      </c>
      <c r="D113" s="3">
        <v>115.5</v>
      </c>
      <c r="E113" s="3">
        <v>73.7</v>
      </c>
      <c r="F113" s="3">
        <v>118.1</v>
      </c>
      <c r="G113">
        <v>110.7</v>
      </c>
    </row>
    <row r="114" spans="1:7" x14ac:dyDescent="0.25">
      <c r="A114" s="2">
        <v>41578</v>
      </c>
      <c r="B114" s="3">
        <v>271.89999999999998</v>
      </c>
      <c r="C114" s="3">
        <v>97.8</v>
      </c>
      <c r="D114" s="3">
        <v>119.3</v>
      </c>
      <c r="E114" s="3">
        <v>76.400000000000006</v>
      </c>
      <c r="F114" s="3">
        <v>123.5</v>
      </c>
      <c r="G114">
        <v>111.5</v>
      </c>
    </row>
    <row r="115" spans="1:7" x14ac:dyDescent="0.25">
      <c r="A115" s="2">
        <v>41608</v>
      </c>
      <c r="B115" s="3">
        <v>271.8</v>
      </c>
      <c r="C115" s="3">
        <v>77.5</v>
      </c>
      <c r="D115" s="3">
        <v>108.1</v>
      </c>
      <c r="E115" s="3">
        <v>63.4</v>
      </c>
      <c r="F115" s="3">
        <v>113.6</v>
      </c>
      <c r="G115">
        <v>110.2</v>
      </c>
    </row>
    <row r="116" spans="1:7" x14ac:dyDescent="0.25">
      <c r="A116" s="2">
        <v>41639</v>
      </c>
      <c r="B116" s="3">
        <v>272.10000000000002</v>
      </c>
      <c r="C116" s="3">
        <v>75.2</v>
      </c>
      <c r="D116" s="3">
        <v>108.5</v>
      </c>
      <c r="E116" s="3">
        <v>62.3</v>
      </c>
      <c r="F116" s="3">
        <v>112.8</v>
      </c>
      <c r="G116">
        <v>110.9</v>
      </c>
    </row>
    <row r="117" spans="1:7" x14ac:dyDescent="0.25">
      <c r="A117" s="2">
        <v>41670</v>
      </c>
      <c r="B117" s="3">
        <v>275.7</v>
      </c>
      <c r="C117" s="3">
        <v>74.7</v>
      </c>
      <c r="D117" s="3">
        <v>108.2</v>
      </c>
      <c r="E117" s="3">
        <v>61.9</v>
      </c>
      <c r="F117" s="3">
        <v>113.4</v>
      </c>
      <c r="G117">
        <v>113</v>
      </c>
    </row>
    <row r="118" spans="1:7" x14ac:dyDescent="0.25">
      <c r="A118" s="2">
        <v>41698</v>
      </c>
      <c r="B118" s="3">
        <v>277</v>
      </c>
      <c r="C118" s="3">
        <v>75.7</v>
      </c>
      <c r="D118" s="3">
        <v>112.5</v>
      </c>
      <c r="E118" s="3">
        <v>63.4</v>
      </c>
      <c r="F118" s="3">
        <v>114.8</v>
      </c>
      <c r="G118">
        <v>113.5</v>
      </c>
    </row>
    <row r="119" spans="1:7" x14ac:dyDescent="0.25">
      <c r="A119" s="2">
        <v>41729</v>
      </c>
      <c r="B119" s="3">
        <v>293.8</v>
      </c>
      <c r="C119" s="3">
        <v>75.599999999999994</v>
      </c>
      <c r="D119" s="3">
        <v>113.9</v>
      </c>
      <c r="E119" s="3">
        <v>63.6</v>
      </c>
      <c r="F119" s="3">
        <v>119</v>
      </c>
      <c r="G119">
        <v>114</v>
      </c>
    </row>
    <row r="120" spans="1:7" x14ac:dyDescent="0.25">
      <c r="A120" s="2">
        <v>41759</v>
      </c>
      <c r="B120" s="3">
        <v>303.7</v>
      </c>
      <c r="C120" s="3">
        <v>77.5</v>
      </c>
      <c r="D120" s="3">
        <v>117.8</v>
      </c>
      <c r="E120" s="3">
        <v>65.5</v>
      </c>
      <c r="F120" s="3">
        <v>122.8</v>
      </c>
      <c r="G120">
        <v>113.8</v>
      </c>
    </row>
    <row r="121" spans="1:7" x14ac:dyDescent="0.25">
      <c r="A121" s="2">
        <v>41790</v>
      </c>
      <c r="B121" s="3">
        <v>312.3</v>
      </c>
      <c r="C121" s="3">
        <v>78.400000000000006</v>
      </c>
      <c r="D121" s="3">
        <v>123.8</v>
      </c>
      <c r="E121" s="3">
        <v>67.2</v>
      </c>
      <c r="F121" s="3">
        <v>126.2</v>
      </c>
      <c r="G121">
        <v>115.1</v>
      </c>
    </row>
    <row r="122" spans="1:7" x14ac:dyDescent="0.25">
      <c r="A122" s="2">
        <v>41820</v>
      </c>
      <c r="B122" s="3">
        <v>315.60000000000002</v>
      </c>
      <c r="C122" s="3">
        <v>79.3</v>
      </c>
      <c r="D122" s="3">
        <v>124.7</v>
      </c>
      <c r="E122" s="3">
        <v>67.900000000000006</v>
      </c>
      <c r="F122" s="3">
        <v>127.5</v>
      </c>
      <c r="G122">
        <v>115.8</v>
      </c>
    </row>
    <row r="123" spans="1:7" x14ac:dyDescent="0.25">
      <c r="A123" s="2">
        <v>41851</v>
      </c>
      <c r="B123" s="3">
        <v>322.3</v>
      </c>
      <c r="C123" s="3">
        <v>81.400000000000006</v>
      </c>
      <c r="D123" s="3">
        <v>127.7</v>
      </c>
      <c r="E123" s="3">
        <v>69.599999999999994</v>
      </c>
      <c r="F123" s="3">
        <v>130.4</v>
      </c>
      <c r="G123">
        <v>116.4</v>
      </c>
    </row>
    <row r="124" spans="1:7" x14ac:dyDescent="0.25">
      <c r="A124" s="2">
        <v>41882</v>
      </c>
      <c r="B124" s="3">
        <v>321.8</v>
      </c>
      <c r="C124" s="3">
        <v>81.5</v>
      </c>
      <c r="D124" s="3">
        <v>128.30000000000001</v>
      </c>
      <c r="E124" s="3">
        <v>69.8</v>
      </c>
      <c r="F124" s="3">
        <v>130.5</v>
      </c>
      <c r="G124">
        <v>116.1</v>
      </c>
    </row>
    <row r="125" spans="1:7" x14ac:dyDescent="0.25">
      <c r="A125" s="2">
        <v>41912</v>
      </c>
      <c r="B125" s="3">
        <v>320.60000000000002</v>
      </c>
      <c r="C125" s="3">
        <v>82.1</v>
      </c>
      <c r="D125" s="3">
        <v>127.5</v>
      </c>
      <c r="E125" s="3">
        <v>69.900000000000006</v>
      </c>
      <c r="F125" s="3">
        <v>130.30000000000001</v>
      </c>
      <c r="G125">
        <v>116.1</v>
      </c>
    </row>
    <row r="126" spans="1:7" x14ac:dyDescent="0.25">
      <c r="A126" s="2">
        <v>41943</v>
      </c>
      <c r="B126" s="3">
        <v>324</v>
      </c>
      <c r="C126" s="3">
        <v>80.599999999999994</v>
      </c>
      <c r="D126" s="3">
        <v>135</v>
      </c>
      <c r="E126" s="3">
        <v>70.7</v>
      </c>
      <c r="F126" s="3">
        <v>131.69999999999999</v>
      </c>
      <c r="G126">
        <v>113.2</v>
      </c>
    </row>
    <row r="127" spans="1:7" x14ac:dyDescent="0.25">
      <c r="A127" s="2">
        <v>41973</v>
      </c>
      <c r="B127" s="3">
        <v>330.4</v>
      </c>
      <c r="C127" s="3">
        <v>79.3</v>
      </c>
      <c r="D127" s="3">
        <v>136</v>
      </c>
      <c r="E127" s="3">
        <v>70.3</v>
      </c>
      <c r="F127" s="3">
        <v>132.9</v>
      </c>
      <c r="G127">
        <v>114.6</v>
      </c>
    </row>
    <row r="128" spans="1:7" x14ac:dyDescent="0.25">
      <c r="A128" s="2">
        <v>42004</v>
      </c>
      <c r="B128" s="3">
        <v>330.5</v>
      </c>
      <c r="C128" s="3">
        <v>81.599999999999994</v>
      </c>
      <c r="D128" s="3">
        <v>139.19999999999999</v>
      </c>
      <c r="E128" s="3">
        <v>72.099999999999994</v>
      </c>
      <c r="F128" s="3">
        <v>134.30000000000001</v>
      </c>
      <c r="G128">
        <v>115.7</v>
      </c>
    </row>
    <row r="129" spans="1:7" x14ac:dyDescent="0.25">
      <c r="A129" s="2">
        <v>42035</v>
      </c>
      <c r="B129" s="3">
        <v>330.8</v>
      </c>
      <c r="C129" s="3">
        <v>82.9</v>
      </c>
      <c r="D129" s="3">
        <v>139.6</v>
      </c>
      <c r="E129" s="3">
        <v>72.900000000000006</v>
      </c>
      <c r="F129" s="3">
        <v>135</v>
      </c>
      <c r="G129">
        <v>117.8</v>
      </c>
    </row>
    <row r="130" spans="1:7" x14ac:dyDescent="0.25">
      <c r="A130" s="2">
        <v>42063</v>
      </c>
      <c r="B130" s="3">
        <v>336.4</v>
      </c>
      <c r="C130" s="3">
        <v>83.8</v>
      </c>
      <c r="D130" s="3">
        <v>139.1</v>
      </c>
      <c r="E130" s="3">
        <v>73.3</v>
      </c>
      <c r="F130" s="3">
        <v>136.6</v>
      </c>
      <c r="G130">
        <v>118.6</v>
      </c>
    </row>
    <row r="131" spans="1:7" x14ac:dyDescent="0.25">
      <c r="A131" s="2">
        <v>42094</v>
      </c>
      <c r="B131" s="3">
        <v>349</v>
      </c>
      <c r="C131" s="3">
        <v>86.1</v>
      </c>
      <c r="D131" s="3">
        <v>141.80000000000001</v>
      </c>
      <c r="E131" s="3">
        <v>75.099999999999994</v>
      </c>
      <c r="F131" s="3">
        <v>141</v>
      </c>
      <c r="G131">
        <v>121.35899999999999</v>
      </c>
    </row>
    <row r="132" spans="1:7" x14ac:dyDescent="0.25">
      <c r="A132" s="2">
        <v>42124</v>
      </c>
      <c r="B132" s="3">
        <v>360.2</v>
      </c>
      <c r="C132" s="3">
        <v>87.7</v>
      </c>
      <c r="D132" s="3">
        <v>146.1</v>
      </c>
      <c r="E132" s="3">
        <v>76.8</v>
      </c>
      <c r="F132" s="3">
        <v>145</v>
      </c>
      <c r="G132">
        <v>122</v>
      </c>
    </row>
    <row r="133" spans="1:7" x14ac:dyDescent="0.25">
      <c r="A133" s="2">
        <v>42155</v>
      </c>
      <c r="B133" s="3">
        <v>369.9</v>
      </c>
      <c r="C133" s="3">
        <v>90.1</v>
      </c>
      <c r="D133" s="3">
        <v>150.30000000000001</v>
      </c>
      <c r="E133" s="3">
        <v>78.900000000000006</v>
      </c>
      <c r="F133" s="3">
        <v>149</v>
      </c>
      <c r="G133">
        <v>122.6</v>
      </c>
    </row>
    <row r="134" spans="1:7" x14ac:dyDescent="0.25">
      <c r="A134" s="2">
        <v>42185</v>
      </c>
      <c r="B134" s="3">
        <v>373.4</v>
      </c>
      <c r="C134" s="3">
        <v>90.7</v>
      </c>
      <c r="D134" s="3">
        <v>154.4</v>
      </c>
      <c r="E134" s="3">
        <v>80.099999999999994</v>
      </c>
      <c r="F134" s="3">
        <v>150.69999999999999</v>
      </c>
      <c r="G134">
        <v>122</v>
      </c>
    </row>
    <row r="135" spans="1:7" x14ac:dyDescent="0.25">
      <c r="A135" s="2">
        <v>42216</v>
      </c>
      <c r="B135" s="3">
        <v>384.4</v>
      </c>
      <c r="C135" s="3">
        <v>91.2</v>
      </c>
      <c r="D135" s="3">
        <v>167.8</v>
      </c>
      <c r="E135" s="3">
        <v>83.2</v>
      </c>
      <c r="F135" s="3">
        <v>155.69999999999999</v>
      </c>
      <c r="G135">
        <v>125.5</v>
      </c>
    </row>
    <row r="136" spans="1:7" x14ac:dyDescent="0.25">
      <c r="A136" s="2">
        <v>42247</v>
      </c>
      <c r="B136" s="3">
        <v>406.8</v>
      </c>
      <c r="C136" s="3">
        <v>94</v>
      </c>
      <c r="D136" s="3">
        <v>172.7</v>
      </c>
      <c r="E136" s="3">
        <v>85.7</v>
      </c>
      <c r="F136" s="3">
        <v>163</v>
      </c>
      <c r="G136">
        <v>126.1</v>
      </c>
    </row>
    <row r="137" spans="1:7" x14ac:dyDescent="0.25">
      <c r="A137" s="2">
        <v>42277</v>
      </c>
      <c r="B137" s="3">
        <v>400</v>
      </c>
      <c r="C137" s="3">
        <v>94.4</v>
      </c>
      <c r="D137" s="3">
        <v>172.5</v>
      </c>
      <c r="E137" s="3">
        <v>85.9</v>
      </c>
      <c r="F137" s="3">
        <v>161.5</v>
      </c>
      <c r="G137">
        <v>126.5</v>
      </c>
    </row>
    <row r="138" spans="1:7" x14ac:dyDescent="0.25">
      <c r="A138" s="2">
        <v>42308</v>
      </c>
      <c r="B138" s="3">
        <v>396.2</v>
      </c>
      <c r="C138" s="3">
        <v>93.5</v>
      </c>
      <c r="D138" s="3">
        <v>168.1</v>
      </c>
      <c r="E138" s="3">
        <v>84.5</v>
      </c>
      <c r="F138" s="3">
        <v>159.5</v>
      </c>
      <c r="G138">
        <v>128.4</v>
      </c>
    </row>
    <row r="139" spans="1:7" x14ac:dyDescent="0.25">
      <c r="A139" s="2">
        <v>42338</v>
      </c>
      <c r="B139" s="3">
        <v>397.6</v>
      </c>
      <c r="C139" s="3">
        <v>93.5</v>
      </c>
      <c r="D139" s="3">
        <v>169.3</v>
      </c>
      <c r="E139" s="3">
        <v>84.7</v>
      </c>
      <c r="F139" s="3">
        <v>160.1</v>
      </c>
      <c r="G139">
        <v>127.4</v>
      </c>
    </row>
    <row r="140" spans="1:7" x14ac:dyDescent="0.25">
      <c r="A140" s="2">
        <v>42369</v>
      </c>
      <c r="B140" s="3">
        <v>405.1</v>
      </c>
      <c r="C140" s="3">
        <v>93.6</v>
      </c>
      <c r="D140" s="3">
        <v>182.7</v>
      </c>
      <c r="E140" s="3">
        <v>87.6</v>
      </c>
      <c r="F140" s="3">
        <v>164</v>
      </c>
      <c r="G140">
        <v>124.346</v>
      </c>
    </row>
    <row r="141" spans="1:7" x14ac:dyDescent="0.25">
      <c r="A141" s="2">
        <v>42400</v>
      </c>
      <c r="B141" s="3">
        <v>400.1</v>
      </c>
      <c r="C141" s="3">
        <v>92.7</v>
      </c>
      <c r="D141" s="3">
        <v>184.2</v>
      </c>
      <c r="E141" s="3">
        <v>87.4</v>
      </c>
      <c r="F141" s="3">
        <v>162.69999999999999</v>
      </c>
      <c r="G141">
        <v>123.8</v>
      </c>
    </row>
    <row r="142" spans="1:7" x14ac:dyDescent="0.25">
      <c r="A142" s="2">
        <v>42429</v>
      </c>
      <c r="B142" s="3">
        <v>408.5</v>
      </c>
      <c r="C142" s="3">
        <v>92.4</v>
      </c>
      <c r="D142" s="3">
        <v>180.7</v>
      </c>
      <c r="E142" s="3">
        <v>86.5</v>
      </c>
      <c r="F142" s="3">
        <v>164</v>
      </c>
      <c r="G142">
        <v>123.8</v>
      </c>
    </row>
    <row r="143" spans="1:7" x14ac:dyDescent="0.25">
      <c r="A143" s="2">
        <v>42460</v>
      </c>
      <c r="B143" s="3">
        <v>407.7</v>
      </c>
      <c r="C143" s="3">
        <v>92.5</v>
      </c>
      <c r="D143" s="3">
        <v>187.8</v>
      </c>
      <c r="E143" s="3">
        <v>88.1</v>
      </c>
      <c r="F143" s="3">
        <v>165</v>
      </c>
      <c r="G143">
        <v>123.5</v>
      </c>
    </row>
    <row r="144" spans="1:7" x14ac:dyDescent="0.25">
      <c r="A144" s="2">
        <v>42490</v>
      </c>
      <c r="B144" s="3">
        <v>407.4</v>
      </c>
      <c r="C144" s="3">
        <v>92</v>
      </c>
      <c r="D144" s="3">
        <v>195.1</v>
      </c>
      <c r="E144" s="3">
        <v>89.4</v>
      </c>
      <c r="F144" s="3">
        <v>165.9</v>
      </c>
      <c r="G144">
        <v>122.4</v>
      </c>
    </row>
    <row r="145" spans="1:7" x14ac:dyDescent="0.25">
      <c r="A145" s="2">
        <v>42521</v>
      </c>
      <c r="B145" s="3">
        <v>400</v>
      </c>
      <c r="C145" s="3">
        <v>90.9</v>
      </c>
      <c r="D145" s="3">
        <v>195.9</v>
      </c>
      <c r="E145" s="3">
        <v>89</v>
      </c>
      <c r="F145" s="3">
        <v>163.80000000000001</v>
      </c>
      <c r="G145">
        <v>121.4</v>
      </c>
    </row>
    <row r="146" spans="1:7" x14ac:dyDescent="0.25">
      <c r="A146" s="2">
        <v>42551</v>
      </c>
      <c r="B146" s="3">
        <v>399.3</v>
      </c>
      <c r="C146" s="3">
        <v>88.6</v>
      </c>
      <c r="D146" s="3">
        <v>201.5</v>
      </c>
      <c r="E146" s="3">
        <v>89</v>
      </c>
      <c r="F146" s="3">
        <v>163.69999999999999</v>
      </c>
      <c r="G146">
        <v>119.8</v>
      </c>
    </row>
    <row r="147" spans="1:7" x14ac:dyDescent="0.25">
      <c r="A147" s="23" t="s">
        <v>3</v>
      </c>
      <c r="B147" s="3">
        <v>404.3</v>
      </c>
      <c r="C147" s="3">
        <v>88.7</v>
      </c>
      <c r="D147" s="3">
        <v>204.2</v>
      </c>
      <c r="E147" s="3">
        <v>89.6</v>
      </c>
      <c r="F147" s="3">
        <v>165.3</v>
      </c>
      <c r="G147">
        <v>119.8</v>
      </c>
    </row>
  </sheetData>
  <sortState ref="A2:G147">
    <sortCondition ref="A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7"/>
  <sheetViews>
    <sheetView workbookViewId="0">
      <selection activeCell="K43" sqref="K43"/>
    </sheetView>
  </sheetViews>
  <sheetFormatPr defaultRowHeight="15" x14ac:dyDescent="0.25"/>
  <cols>
    <col min="1" max="1" width="11.7109375" style="9" customWidth="1"/>
    <col min="2" max="4" width="9.140625" style="1"/>
    <col min="5" max="5" width="9.7109375" style="1" bestFit="1" customWidth="1"/>
    <col min="7" max="7" width="9.140625" style="9"/>
  </cols>
  <sheetData>
    <row r="1" spans="1:6" s="12" customFormat="1" x14ac:dyDescent="0.25">
      <c r="A1" s="12" t="s">
        <v>0</v>
      </c>
      <c r="B1" s="13" t="s">
        <v>4</v>
      </c>
      <c r="C1" s="13" t="s">
        <v>5</v>
      </c>
      <c r="D1" s="13" t="s">
        <v>6</v>
      </c>
      <c r="E1" s="13" t="s">
        <v>8</v>
      </c>
      <c r="F1" s="13" t="s">
        <v>7</v>
      </c>
    </row>
    <row r="2" spans="1:6" x14ac:dyDescent="0.25">
      <c r="A2" s="10" t="s">
        <v>3</v>
      </c>
      <c r="B2" s="1">
        <v>404.3</v>
      </c>
      <c r="C2" s="1">
        <v>88.7</v>
      </c>
      <c r="D2" s="1">
        <v>204.2</v>
      </c>
      <c r="E2" s="1">
        <v>89.6</v>
      </c>
      <c r="F2" s="1">
        <v>165.3</v>
      </c>
    </row>
    <row r="3" spans="1:6" x14ac:dyDescent="0.25">
      <c r="A3" s="11">
        <v>42551</v>
      </c>
      <c r="B3" s="1">
        <v>399.3</v>
      </c>
      <c r="C3" s="1">
        <v>88.6</v>
      </c>
      <c r="D3" s="1">
        <v>201.5</v>
      </c>
      <c r="E3" s="1">
        <v>89</v>
      </c>
      <c r="F3" s="1">
        <v>163.69999999999999</v>
      </c>
    </row>
    <row r="4" spans="1:6" x14ac:dyDescent="0.25">
      <c r="A4" s="11">
        <v>42521</v>
      </c>
      <c r="B4" s="1">
        <v>400</v>
      </c>
      <c r="C4" s="1">
        <v>90.9</v>
      </c>
      <c r="D4" s="1">
        <v>195.9</v>
      </c>
      <c r="E4" s="1">
        <v>89</v>
      </c>
      <c r="F4" s="1">
        <v>163.80000000000001</v>
      </c>
    </row>
    <row r="5" spans="1:6" x14ac:dyDescent="0.25">
      <c r="A5" s="11">
        <v>42490</v>
      </c>
      <c r="B5" s="1">
        <v>407.4</v>
      </c>
      <c r="C5" s="1">
        <v>92</v>
      </c>
      <c r="D5" s="1">
        <v>195.1</v>
      </c>
      <c r="E5" s="1">
        <v>89.4</v>
      </c>
      <c r="F5" s="1">
        <v>165.9</v>
      </c>
    </row>
    <row r="6" spans="1:6" x14ac:dyDescent="0.25">
      <c r="A6" s="11">
        <v>42460</v>
      </c>
      <c r="B6" s="1">
        <v>407.7</v>
      </c>
      <c r="C6" s="1">
        <v>92.5</v>
      </c>
      <c r="D6" s="1">
        <v>187.8</v>
      </c>
      <c r="E6" s="1">
        <v>88.1</v>
      </c>
      <c r="F6" s="1">
        <v>165</v>
      </c>
    </row>
    <row r="7" spans="1:6" x14ac:dyDescent="0.25">
      <c r="A7" s="11">
        <v>42429</v>
      </c>
      <c r="B7" s="1">
        <v>408.5</v>
      </c>
      <c r="C7" s="1">
        <v>92.4</v>
      </c>
      <c r="D7" s="1">
        <v>180.7</v>
      </c>
      <c r="E7" s="1">
        <v>86.5</v>
      </c>
      <c r="F7" s="1">
        <v>164</v>
      </c>
    </row>
    <row r="8" spans="1:6" x14ac:dyDescent="0.25">
      <c r="A8" s="11">
        <v>42400</v>
      </c>
      <c r="B8" s="1">
        <v>400.1</v>
      </c>
      <c r="C8" s="1">
        <v>92.7</v>
      </c>
      <c r="D8" s="1">
        <v>184.2</v>
      </c>
      <c r="E8" s="1">
        <v>87.4</v>
      </c>
      <c r="F8" s="1">
        <v>162.69999999999999</v>
      </c>
    </row>
    <row r="9" spans="1:6" x14ac:dyDescent="0.25">
      <c r="A9" s="11">
        <v>42369</v>
      </c>
      <c r="B9" s="1">
        <v>405.1</v>
      </c>
      <c r="C9" s="1">
        <v>93.6</v>
      </c>
      <c r="D9" s="1">
        <v>182.7</v>
      </c>
      <c r="E9" s="1">
        <v>87.6</v>
      </c>
      <c r="F9" s="1">
        <v>164</v>
      </c>
    </row>
    <row r="10" spans="1:6" x14ac:dyDescent="0.25">
      <c r="A10" s="11">
        <v>42338</v>
      </c>
      <c r="B10" s="1">
        <v>397.6</v>
      </c>
      <c r="C10" s="1">
        <v>93.5</v>
      </c>
      <c r="D10" s="1">
        <v>169.3</v>
      </c>
      <c r="E10" s="1">
        <v>84.7</v>
      </c>
      <c r="F10" s="1">
        <v>160.1</v>
      </c>
    </row>
    <row r="11" spans="1:6" x14ac:dyDescent="0.25">
      <c r="A11" s="11">
        <v>42308</v>
      </c>
      <c r="B11" s="1">
        <v>396.2</v>
      </c>
      <c r="C11" s="1">
        <v>93.5</v>
      </c>
      <c r="D11" s="1">
        <v>168.1</v>
      </c>
      <c r="E11" s="1">
        <v>84.5</v>
      </c>
      <c r="F11" s="1">
        <v>159.5</v>
      </c>
    </row>
    <row r="12" spans="1:6" x14ac:dyDescent="0.25">
      <c r="A12" s="11">
        <v>42277</v>
      </c>
      <c r="B12" s="1">
        <v>400</v>
      </c>
      <c r="C12" s="1">
        <v>94.4</v>
      </c>
      <c r="D12" s="1">
        <v>172.5</v>
      </c>
      <c r="E12" s="1">
        <v>85.9</v>
      </c>
      <c r="F12" s="1">
        <v>161.5</v>
      </c>
    </row>
    <row r="13" spans="1:6" x14ac:dyDescent="0.25">
      <c r="A13" s="11">
        <v>42247</v>
      </c>
      <c r="B13" s="1">
        <v>406.8</v>
      </c>
      <c r="C13" s="1">
        <v>94</v>
      </c>
      <c r="D13" s="1">
        <v>172.7</v>
      </c>
      <c r="E13" s="1">
        <v>85.7</v>
      </c>
      <c r="F13" s="1">
        <v>163</v>
      </c>
    </row>
    <row r="14" spans="1:6" x14ac:dyDescent="0.25">
      <c r="A14" s="11">
        <v>42216</v>
      </c>
      <c r="B14" s="1">
        <v>384.4</v>
      </c>
      <c r="C14" s="1">
        <v>91.2</v>
      </c>
      <c r="D14" s="1">
        <v>167.8</v>
      </c>
      <c r="E14" s="1">
        <v>83.2</v>
      </c>
      <c r="F14" s="1">
        <v>155.69999999999999</v>
      </c>
    </row>
    <row r="15" spans="1:6" x14ac:dyDescent="0.25">
      <c r="A15" s="11">
        <v>42185</v>
      </c>
      <c r="B15" s="1">
        <v>373.4</v>
      </c>
      <c r="C15" s="1">
        <v>90.7</v>
      </c>
      <c r="D15" s="1">
        <v>154.4</v>
      </c>
      <c r="E15" s="1">
        <v>80.099999999999994</v>
      </c>
      <c r="F15" s="1">
        <v>150.69999999999999</v>
      </c>
    </row>
    <row r="16" spans="1:6" x14ac:dyDescent="0.25">
      <c r="A16" s="11">
        <v>42155</v>
      </c>
      <c r="B16" s="1">
        <v>369.9</v>
      </c>
      <c r="C16" s="1">
        <v>90.1</v>
      </c>
      <c r="D16" s="1">
        <v>150.30000000000001</v>
      </c>
      <c r="E16" s="1">
        <v>78.900000000000006</v>
      </c>
      <c r="F16" s="1">
        <v>149</v>
      </c>
    </row>
    <row r="17" spans="1:6" x14ac:dyDescent="0.25">
      <c r="A17" s="11">
        <v>42124</v>
      </c>
      <c r="B17" s="1">
        <v>360.2</v>
      </c>
      <c r="C17" s="1">
        <v>87.7</v>
      </c>
      <c r="D17" s="1">
        <v>146.1</v>
      </c>
      <c r="E17" s="1">
        <v>76.8</v>
      </c>
      <c r="F17" s="1">
        <v>145</v>
      </c>
    </row>
    <row r="18" spans="1:6" x14ac:dyDescent="0.25">
      <c r="A18" s="11">
        <v>42094</v>
      </c>
      <c r="B18" s="1">
        <v>349</v>
      </c>
      <c r="C18" s="1">
        <v>86.1</v>
      </c>
      <c r="D18" s="1">
        <v>141.80000000000001</v>
      </c>
      <c r="E18" s="1">
        <v>75.099999999999994</v>
      </c>
      <c r="F18" s="1">
        <v>141</v>
      </c>
    </row>
    <row r="19" spans="1:6" x14ac:dyDescent="0.25">
      <c r="A19" s="11">
        <v>42063</v>
      </c>
      <c r="B19" s="1">
        <v>336.4</v>
      </c>
      <c r="C19" s="1">
        <v>83.8</v>
      </c>
      <c r="D19" s="1">
        <v>139.1</v>
      </c>
      <c r="E19" s="1">
        <v>73.3</v>
      </c>
      <c r="F19" s="1">
        <v>136.6</v>
      </c>
    </row>
    <row r="20" spans="1:6" x14ac:dyDescent="0.25">
      <c r="A20" s="11">
        <v>42035</v>
      </c>
      <c r="B20" s="1">
        <v>330.8</v>
      </c>
      <c r="C20" s="1">
        <v>82.9</v>
      </c>
      <c r="D20" s="1">
        <v>139.6</v>
      </c>
      <c r="E20" s="1">
        <v>72.900000000000006</v>
      </c>
      <c r="F20" s="1">
        <v>135</v>
      </c>
    </row>
    <row r="21" spans="1:6" x14ac:dyDescent="0.25">
      <c r="A21" s="11">
        <v>42004</v>
      </c>
      <c r="B21" s="1">
        <v>330.5</v>
      </c>
      <c r="C21" s="1">
        <v>81.599999999999994</v>
      </c>
      <c r="D21" s="1">
        <v>139.19999999999999</v>
      </c>
      <c r="E21" s="1">
        <v>72.099999999999994</v>
      </c>
      <c r="F21" s="1">
        <v>134.30000000000001</v>
      </c>
    </row>
    <row r="22" spans="1:6" x14ac:dyDescent="0.25">
      <c r="A22" s="11">
        <v>41973</v>
      </c>
      <c r="B22" s="1">
        <v>330.4</v>
      </c>
      <c r="C22" s="1">
        <v>79.3</v>
      </c>
      <c r="D22" s="1">
        <v>136</v>
      </c>
      <c r="E22" s="1">
        <v>70.3</v>
      </c>
      <c r="F22" s="1">
        <v>132.9</v>
      </c>
    </row>
    <row r="23" spans="1:6" x14ac:dyDescent="0.25">
      <c r="A23" s="11">
        <v>41943</v>
      </c>
      <c r="B23" s="1">
        <v>324</v>
      </c>
      <c r="C23" s="1">
        <v>80.599999999999994</v>
      </c>
      <c r="D23" s="1">
        <v>135</v>
      </c>
      <c r="E23" s="1">
        <v>70.7</v>
      </c>
      <c r="F23" s="1">
        <v>131.69999999999999</v>
      </c>
    </row>
    <row r="24" spans="1:6" x14ac:dyDescent="0.25">
      <c r="A24" s="11">
        <v>41912</v>
      </c>
      <c r="B24" s="1">
        <v>320.60000000000002</v>
      </c>
      <c r="C24" s="1">
        <v>82.1</v>
      </c>
      <c r="D24" s="1">
        <v>127.5</v>
      </c>
      <c r="E24" s="1">
        <v>69.900000000000006</v>
      </c>
      <c r="F24" s="1">
        <v>130.30000000000001</v>
      </c>
    </row>
    <row r="25" spans="1:6" x14ac:dyDescent="0.25">
      <c r="A25" s="11">
        <v>41882</v>
      </c>
      <c r="B25" s="1">
        <v>321.8</v>
      </c>
      <c r="C25" s="1">
        <v>81.5</v>
      </c>
      <c r="D25" s="1">
        <v>128.30000000000001</v>
      </c>
      <c r="E25" s="1">
        <v>69.8</v>
      </c>
      <c r="F25" s="1">
        <v>130.5</v>
      </c>
    </row>
    <row r="26" spans="1:6" x14ac:dyDescent="0.25">
      <c r="A26" s="11">
        <v>41851</v>
      </c>
      <c r="B26" s="1">
        <v>322.3</v>
      </c>
      <c r="C26" s="1">
        <v>81.400000000000006</v>
      </c>
      <c r="D26" s="1">
        <v>127.7</v>
      </c>
      <c r="E26" s="1">
        <v>69.599999999999994</v>
      </c>
      <c r="F26" s="1">
        <v>130.4</v>
      </c>
    </row>
    <row r="27" spans="1:6" x14ac:dyDescent="0.25">
      <c r="A27" s="11">
        <v>41820</v>
      </c>
      <c r="B27" s="1">
        <v>315.60000000000002</v>
      </c>
      <c r="C27" s="1">
        <v>79.3</v>
      </c>
      <c r="D27" s="1">
        <v>124.7</v>
      </c>
      <c r="E27" s="1">
        <v>67.900000000000006</v>
      </c>
      <c r="F27" s="1">
        <v>127.5</v>
      </c>
    </row>
    <row r="28" spans="1:6" x14ac:dyDescent="0.25">
      <c r="A28" s="11">
        <v>41790</v>
      </c>
      <c r="B28" s="1">
        <v>312.3</v>
      </c>
      <c r="C28" s="1">
        <v>78.400000000000006</v>
      </c>
      <c r="D28" s="1">
        <v>123.8</v>
      </c>
      <c r="E28" s="1">
        <v>67.2</v>
      </c>
      <c r="F28" s="1">
        <v>126.2</v>
      </c>
    </row>
    <row r="29" spans="1:6" x14ac:dyDescent="0.25">
      <c r="A29" s="11">
        <v>41759</v>
      </c>
      <c r="B29" s="1">
        <v>303.7</v>
      </c>
      <c r="C29" s="1">
        <v>77.5</v>
      </c>
      <c r="D29" s="1">
        <v>117.8</v>
      </c>
      <c r="E29" s="1">
        <v>65.5</v>
      </c>
      <c r="F29" s="1">
        <v>122.8</v>
      </c>
    </row>
    <row r="30" spans="1:6" x14ac:dyDescent="0.25">
      <c r="A30" s="11">
        <v>41729</v>
      </c>
      <c r="B30" s="1">
        <v>293.8</v>
      </c>
      <c r="C30" s="1">
        <v>75.599999999999994</v>
      </c>
      <c r="D30" s="1">
        <v>113.9</v>
      </c>
      <c r="E30" s="1">
        <v>63.6</v>
      </c>
      <c r="F30" s="1">
        <v>119</v>
      </c>
    </row>
    <row r="31" spans="1:6" x14ac:dyDescent="0.25">
      <c r="A31" s="11">
        <v>41698</v>
      </c>
      <c r="B31" s="1">
        <v>277</v>
      </c>
      <c r="C31" s="1">
        <v>75.7</v>
      </c>
      <c r="D31" s="1">
        <v>112.5</v>
      </c>
      <c r="E31" s="1">
        <v>63.4</v>
      </c>
      <c r="F31" s="1">
        <v>114.8</v>
      </c>
    </row>
    <row r="32" spans="1:6" x14ac:dyDescent="0.25">
      <c r="A32" s="11">
        <v>41670</v>
      </c>
      <c r="B32" s="1">
        <v>275.7</v>
      </c>
      <c r="C32" s="1">
        <v>74.7</v>
      </c>
      <c r="D32" s="1">
        <v>108.2</v>
      </c>
      <c r="E32" s="1">
        <v>61.9</v>
      </c>
      <c r="F32" s="1">
        <v>113.4</v>
      </c>
    </row>
    <row r="33" spans="1:6" x14ac:dyDescent="0.25">
      <c r="A33" s="11">
        <v>41639</v>
      </c>
      <c r="B33" s="1">
        <v>272.10000000000002</v>
      </c>
      <c r="C33" s="1">
        <v>75.2</v>
      </c>
      <c r="D33" s="1">
        <v>108.5</v>
      </c>
      <c r="E33" s="1">
        <v>62.3</v>
      </c>
      <c r="F33" s="1">
        <v>112.8</v>
      </c>
    </row>
    <row r="34" spans="1:6" x14ac:dyDescent="0.25">
      <c r="A34" s="11">
        <v>41608</v>
      </c>
      <c r="B34" s="1">
        <v>271.8</v>
      </c>
      <c r="C34" s="1">
        <v>77.5</v>
      </c>
      <c r="D34" s="1">
        <v>108.1</v>
      </c>
      <c r="E34" s="1">
        <v>63.4</v>
      </c>
      <c r="F34" s="1">
        <v>113.6</v>
      </c>
    </row>
    <row r="35" spans="1:6" x14ac:dyDescent="0.25">
      <c r="A35" s="11">
        <v>41578</v>
      </c>
      <c r="B35" s="1">
        <v>271.89999999999998</v>
      </c>
      <c r="C35" s="1">
        <v>97.8</v>
      </c>
      <c r="D35" s="1">
        <v>119.3</v>
      </c>
      <c r="E35" s="1">
        <v>76.400000000000006</v>
      </c>
      <c r="F35" s="1">
        <v>123.5</v>
      </c>
    </row>
    <row r="36" spans="1:6" x14ac:dyDescent="0.25">
      <c r="A36" s="11">
        <v>41547</v>
      </c>
      <c r="B36" s="1">
        <v>257.89999999999998</v>
      </c>
      <c r="C36" s="1">
        <v>94.2</v>
      </c>
      <c r="D36" s="1">
        <v>115.5</v>
      </c>
      <c r="E36" s="1">
        <v>73.7</v>
      </c>
      <c r="F36" s="1">
        <v>118.1</v>
      </c>
    </row>
    <row r="37" spans="1:6" x14ac:dyDescent="0.25">
      <c r="A37" s="11">
        <v>41517</v>
      </c>
      <c r="B37" s="1">
        <v>249.6</v>
      </c>
      <c r="C37" s="1">
        <v>90.9</v>
      </c>
      <c r="D37" s="1">
        <v>115.1</v>
      </c>
      <c r="E37" s="1">
        <v>71.900000000000006</v>
      </c>
      <c r="F37" s="1">
        <v>114.7</v>
      </c>
    </row>
    <row r="38" spans="1:6" x14ac:dyDescent="0.25">
      <c r="A38" s="11">
        <v>41486</v>
      </c>
      <c r="B38" s="1">
        <v>252</v>
      </c>
      <c r="C38" s="1">
        <v>91.5</v>
      </c>
      <c r="D38" s="1">
        <v>115</v>
      </c>
      <c r="E38" s="1">
        <v>72.2</v>
      </c>
      <c r="F38" s="1">
        <v>115.5</v>
      </c>
    </row>
    <row r="39" spans="1:6" x14ac:dyDescent="0.25">
      <c r="A39" s="11">
        <v>41455</v>
      </c>
      <c r="B39" s="1">
        <v>234.5</v>
      </c>
      <c r="C39" s="1">
        <v>90.8</v>
      </c>
      <c r="D39" s="1">
        <v>113.9</v>
      </c>
      <c r="E39" s="1">
        <v>71.599999999999994</v>
      </c>
      <c r="F39" s="1">
        <v>110.8</v>
      </c>
    </row>
    <row r="40" spans="1:6" x14ac:dyDescent="0.25">
      <c r="A40" s="11">
        <v>41425</v>
      </c>
      <c r="B40" s="1">
        <v>224.3</v>
      </c>
      <c r="C40" s="1">
        <v>87.8</v>
      </c>
      <c r="D40" s="1">
        <v>105.8</v>
      </c>
      <c r="E40" s="1">
        <v>68.3</v>
      </c>
      <c r="F40" s="1">
        <v>105.9</v>
      </c>
    </row>
    <row r="41" spans="1:6" x14ac:dyDescent="0.25">
      <c r="A41" s="11">
        <v>41394</v>
      </c>
      <c r="B41" s="1">
        <v>215.2</v>
      </c>
      <c r="C41" s="1">
        <v>86.8</v>
      </c>
      <c r="D41" s="1">
        <v>102.8</v>
      </c>
      <c r="E41" s="1">
        <v>67.2</v>
      </c>
      <c r="F41" s="1">
        <v>102.8</v>
      </c>
    </row>
    <row r="42" spans="1:6" x14ac:dyDescent="0.25">
      <c r="A42" s="11">
        <v>41364</v>
      </c>
      <c r="B42" s="1">
        <v>211.6</v>
      </c>
      <c r="C42" s="1">
        <v>84.7</v>
      </c>
      <c r="D42" s="1">
        <v>104.6</v>
      </c>
      <c r="E42" s="1">
        <v>66.400000000000006</v>
      </c>
      <c r="F42" s="1">
        <v>101.4</v>
      </c>
    </row>
    <row r="43" spans="1:6" x14ac:dyDescent="0.25">
      <c r="A43" s="11">
        <v>41333</v>
      </c>
      <c r="B43" s="1">
        <v>209.1</v>
      </c>
      <c r="C43" s="1">
        <v>86.5</v>
      </c>
      <c r="D43" s="1">
        <v>109.3</v>
      </c>
      <c r="E43" s="1">
        <v>68.400000000000006</v>
      </c>
      <c r="F43" s="1">
        <v>102.3</v>
      </c>
    </row>
    <row r="44" spans="1:6" x14ac:dyDescent="0.25">
      <c r="A44" s="11">
        <v>41305</v>
      </c>
      <c r="B44" s="1">
        <v>189.5</v>
      </c>
      <c r="C44" s="1">
        <v>83.7</v>
      </c>
      <c r="D44" s="1">
        <v>107.6</v>
      </c>
      <c r="E44" s="1">
        <v>66.599999999999994</v>
      </c>
      <c r="F44" s="1">
        <v>96.2</v>
      </c>
    </row>
    <row r="45" spans="1:6" x14ac:dyDescent="0.25">
      <c r="A45" s="11">
        <v>41274</v>
      </c>
      <c r="B45" s="1">
        <v>158.1</v>
      </c>
      <c r="C45" s="1">
        <v>83.3</v>
      </c>
      <c r="D45" s="1">
        <v>106.1</v>
      </c>
      <c r="E45" s="1">
        <v>66.099999999999994</v>
      </c>
      <c r="F45" s="1">
        <v>88.2</v>
      </c>
    </row>
    <row r="46" spans="1:6" x14ac:dyDescent="0.25">
      <c r="A46" s="11">
        <v>41243</v>
      </c>
      <c r="B46" s="1">
        <v>184.7</v>
      </c>
      <c r="C46" s="1">
        <v>84.4</v>
      </c>
      <c r="D46" s="1">
        <v>109.3</v>
      </c>
      <c r="E46" s="1">
        <v>67.3</v>
      </c>
      <c r="F46" s="1">
        <v>95.5</v>
      </c>
    </row>
    <row r="47" spans="1:6" x14ac:dyDescent="0.25">
      <c r="A47" s="11">
        <v>41213</v>
      </c>
      <c r="B47" s="1">
        <v>157.80000000000001</v>
      </c>
      <c r="C47" s="1">
        <v>83.6</v>
      </c>
      <c r="D47" s="1">
        <v>107.4</v>
      </c>
      <c r="E47" s="1">
        <v>66.5</v>
      </c>
      <c r="F47" s="1">
        <v>88.4</v>
      </c>
    </row>
    <row r="48" spans="1:6" x14ac:dyDescent="0.25">
      <c r="A48" s="11">
        <v>41182</v>
      </c>
      <c r="B48" s="1">
        <v>172.7</v>
      </c>
      <c r="C48" s="1">
        <v>103.1</v>
      </c>
      <c r="D48" s="1">
        <v>104.5</v>
      </c>
      <c r="E48" s="1">
        <v>76.099999999999994</v>
      </c>
      <c r="F48" s="1">
        <v>99.4</v>
      </c>
    </row>
    <row r="49" spans="1:7" x14ac:dyDescent="0.25">
      <c r="A49" s="11">
        <v>41152</v>
      </c>
      <c r="B49" s="1">
        <v>172.4</v>
      </c>
      <c r="C49" s="1">
        <v>103.1</v>
      </c>
      <c r="D49" s="1">
        <v>104.9</v>
      </c>
      <c r="E49" s="1">
        <v>76.2</v>
      </c>
      <c r="F49" s="1">
        <v>99.3</v>
      </c>
    </row>
    <row r="50" spans="1:7" x14ac:dyDescent="0.25">
      <c r="A50" s="11">
        <v>41121</v>
      </c>
      <c r="B50" s="1">
        <v>171.2</v>
      </c>
      <c r="C50" s="1">
        <v>100.4</v>
      </c>
      <c r="D50" s="1">
        <v>96.9</v>
      </c>
      <c r="E50" s="1">
        <v>73.099999999999994</v>
      </c>
      <c r="F50" s="1">
        <v>96.7</v>
      </c>
    </row>
    <row r="51" spans="1:7" x14ac:dyDescent="0.25">
      <c r="A51" s="11">
        <v>41090</v>
      </c>
      <c r="B51" s="1">
        <v>182.8</v>
      </c>
      <c r="C51" s="1">
        <v>103.5</v>
      </c>
      <c r="D51" s="1">
        <v>103</v>
      </c>
      <c r="E51" s="1">
        <v>76</v>
      </c>
      <c r="F51" s="1">
        <v>101.7</v>
      </c>
    </row>
    <row r="52" spans="1:7" x14ac:dyDescent="0.25">
      <c r="A52" s="11">
        <v>41060</v>
      </c>
      <c r="B52" s="1">
        <v>184.3</v>
      </c>
      <c r="C52" s="1">
        <v>103.2</v>
      </c>
      <c r="D52" s="1">
        <v>102.6</v>
      </c>
      <c r="E52" s="1">
        <v>75.7</v>
      </c>
      <c r="F52" s="1">
        <v>101.9</v>
      </c>
    </row>
    <row r="53" spans="1:7" x14ac:dyDescent="0.25">
      <c r="A53" s="11">
        <v>41029</v>
      </c>
      <c r="B53" s="1">
        <v>187.3</v>
      </c>
      <c r="C53" s="1">
        <v>101.2</v>
      </c>
      <c r="D53" s="1">
        <v>101.8</v>
      </c>
      <c r="E53" s="1">
        <v>74.5</v>
      </c>
      <c r="F53" s="1">
        <v>101.7</v>
      </c>
    </row>
    <row r="54" spans="1:7" s="16" customFormat="1" x14ac:dyDescent="0.25">
      <c r="A54" s="14">
        <v>40999</v>
      </c>
      <c r="B54" s="15">
        <v>183.5</v>
      </c>
      <c r="C54" s="15">
        <v>100</v>
      </c>
      <c r="D54" s="15">
        <v>100</v>
      </c>
      <c r="E54" s="15">
        <v>73.5</v>
      </c>
      <c r="F54" s="15">
        <v>100</v>
      </c>
      <c r="G54" s="19"/>
    </row>
    <row r="55" spans="1:7" x14ac:dyDescent="0.25">
      <c r="A55" s="11">
        <v>40968</v>
      </c>
      <c r="B55" s="1">
        <v>181.3</v>
      </c>
      <c r="C55" s="1">
        <v>97.8</v>
      </c>
      <c r="D55" s="1">
        <v>97.6</v>
      </c>
      <c r="E55" s="1">
        <v>71.8</v>
      </c>
      <c r="F55" s="1">
        <v>98.2</v>
      </c>
    </row>
    <row r="56" spans="1:7" x14ac:dyDescent="0.25">
      <c r="A56" s="11">
        <v>40939</v>
      </c>
      <c r="B56" s="1">
        <v>185.7</v>
      </c>
      <c r="C56" s="1">
        <v>102.7</v>
      </c>
      <c r="D56" s="1">
        <v>98.4</v>
      </c>
      <c r="E56" s="1">
        <v>74.599999999999994</v>
      </c>
      <c r="F56" s="1">
        <v>101.3</v>
      </c>
    </row>
    <row r="57" spans="1:7" x14ac:dyDescent="0.25">
      <c r="A57" s="11">
        <v>40908</v>
      </c>
      <c r="B57" s="1">
        <v>175.8</v>
      </c>
      <c r="C57" s="1">
        <v>100.1</v>
      </c>
      <c r="D57" s="1">
        <v>95.7</v>
      </c>
      <c r="E57" s="1">
        <v>72.7</v>
      </c>
      <c r="F57" s="1">
        <v>97.5</v>
      </c>
    </row>
    <row r="58" spans="1:7" x14ac:dyDescent="0.25">
      <c r="A58" s="11">
        <v>40877</v>
      </c>
      <c r="B58" s="1">
        <v>171.9</v>
      </c>
      <c r="C58" s="1">
        <v>100</v>
      </c>
      <c r="D58" s="1">
        <v>95.5</v>
      </c>
      <c r="E58" s="1">
        <v>72.5</v>
      </c>
      <c r="F58" s="1">
        <v>96.5</v>
      </c>
    </row>
    <row r="59" spans="1:7" x14ac:dyDescent="0.25">
      <c r="A59" s="11">
        <v>40847</v>
      </c>
      <c r="B59" s="1">
        <v>177</v>
      </c>
      <c r="C59" s="1">
        <v>100.8</v>
      </c>
      <c r="D59" s="1">
        <v>96.3</v>
      </c>
      <c r="E59" s="1">
        <v>73.2</v>
      </c>
      <c r="F59" s="1">
        <v>98.2</v>
      </c>
    </row>
    <row r="60" spans="1:7" x14ac:dyDescent="0.25">
      <c r="A60" s="11">
        <v>40816</v>
      </c>
      <c r="B60" s="1">
        <v>183.4</v>
      </c>
      <c r="C60" s="1">
        <v>101.3</v>
      </c>
      <c r="D60" s="1">
        <v>101.8</v>
      </c>
      <c r="E60" s="1">
        <v>74.599999999999994</v>
      </c>
      <c r="F60" s="1">
        <v>100.8</v>
      </c>
    </row>
    <row r="61" spans="1:7" x14ac:dyDescent="0.25">
      <c r="A61" s="11">
        <v>40786</v>
      </c>
      <c r="B61" s="1">
        <v>170.6</v>
      </c>
      <c r="C61" s="1">
        <v>101.1</v>
      </c>
      <c r="D61" s="1">
        <v>100.9</v>
      </c>
      <c r="E61" s="1">
        <v>74.3</v>
      </c>
      <c r="F61" s="1">
        <v>97.5</v>
      </c>
    </row>
    <row r="62" spans="1:7" x14ac:dyDescent="0.25">
      <c r="A62" s="11">
        <v>40755</v>
      </c>
      <c r="B62" s="1">
        <v>161.6</v>
      </c>
      <c r="C62" s="1">
        <v>99.4</v>
      </c>
      <c r="D62" s="1">
        <v>98.3</v>
      </c>
      <c r="E62" s="1">
        <v>72.8</v>
      </c>
      <c r="F62" s="1">
        <v>94.2</v>
      </c>
    </row>
    <row r="63" spans="1:7" x14ac:dyDescent="0.25">
      <c r="A63" s="11">
        <v>40724</v>
      </c>
      <c r="B63" s="1">
        <v>163.5</v>
      </c>
      <c r="C63" s="1">
        <v>95.6</v>
      </c>
      <c r="D63" s="1">
        <v>95.1</v>
      </c>
      <c r="E63" s="1">
        <v>70.2</v>
      </c>
      <c r="F63" s="1">
        <v>92.6</v>
      </c>
    </row>
    <row r="64" spans="1:7" x14ac:dyDescent="0.25">
      <c r="A64" s="11">
        <v>40694</v>
      </c>
      <c r="B64" s="1">
        <v>158.5</v>
      </c>
      <c r="C64" s="1">
        <v>95.1</v>
      </c>
      <c r="D64" s="1">
        <v>93.3</v>
      </c>
      <c r="E64" s="1">
        <v>69.5</v>
      </c>
      <c r="F64" s="1">
        <v>91</v>
      </c>
    </row>
    <row r="65" spans="1:7" x14ac:dyDescent="0.25">
      <c r="A65" s="11">
        <v>40663</v>
      </c>
      <c r="B65" s="1">
        <v>165</v>
      </c>
      <c r="C65" s="1">
        <v>99.2</v>
      </c>
      <c r="D65" s="1">
        <v>103</v>
      </c>
      <c r="E65" s="1">
        <v>73.7</v>
      </c>
      <c r="F65" s="1">
        <v>95.7</v>
      </c>
    </row>
    <row r="66" spans="1:7" x14ac:dyDescent="0.25">
      <c r="A66" s="11">
        <v>40633</v>
      </c>
      <c r="B66" s="1">
        <v>160.80000000000001</v>
      </c>
      <c r="C66" s="1">
        <v>99.9</v>
      </c>
      <c r="D66" s="1">
        <v>99.7</v>
      </c>
      <c r="E66" s="1">
        <v>73.400000000000006</v>
      </c>
      <c r="F66" s="1">
        <v>94.5</v>
      </c>
    </row>
    <row r="67" spans="1:7" x14ac:dyDescent="0.25">
      <c r="A67" s="17">
        <v>40575</v>
      </c>
      <c r="B67" s="18">
        <f t="shared" ref="B67:B98" si="0">B66*(G67+1)</f>
        <v>173.56190476190477</v>
      </c>
      <c r="C67" s="18">
        <f t="shared" ref="C67:C98" si="1">C66*(G67+1)</f>
        <v>107.82857142857142</v>
      </c>
      <c r="D67" s="18">
        <f t="shared" ref="D67:D98" si="2">D66*(G67+1)</f>
        <v>107.61269841269841</v>
      </c>
      <c r="E67" s="18">
        <f t="shared" ref="E67:E98" si="3">E66*(G67+1)</f>
        <v>79.225396825396828</v>
      </c>
      <c r="F67" s="18">
        <f>109.5-7.5</f>
        <v>102</v>
      </c>
      <c r="G67" s="20">
        <f t="shared" ref="G67:G98" si="4">F67/F66-1</f>
        <v>7.9365079365079305E-2</v>
      </c>
    </row>
    <row r="68" spans="1:7" x14ac:dyDescent="0.25">
      <c r="A68" s="17">
        <v>40544</v>
      </c>
      <c r="B68" s="18">
        <f t="shared" si="0"/>
        <v>186.32380952380953</v>
      </c>
      <c r="C68" s="18">
        <f t="shared" si="1"/>
        <v>115.75714285714285</v>
      </c>
      <c r="D68" s="18">
        <f t="shared" si="2"/>
        <v>115.52539682539681</v>
      </c>
      <c r="E68" s="18">
        <f t="shared" si="3"/>
        <v>85.050793650793651</v>
      </c>
      <c r="F68" s="18">
        <f>117-7.5</f>
        <v>109.5</v>
      </c>
      <c r="G68" s="20">
        <f t="shared" si="4"/>
        <v>7.3529411764705843E-2</v>
      </c>
    </row>
    <row r="69" spans="1:7" x14ac:dyDescent="0.25">
      <c r="A69" s="17">
        <v>40513</v>
      </c>
      <c r="B69" s="18">
        <f t="shared" si="0"/>
        <v>199.08571428571429</v>
      </c>
      <c r="C69" s="18">
        <f t="shared" si="1"/>
        <v>123.68571428571428</v>
      </c>
      <c r="D69" s="18">
        <f t="shared" si="2"/>
        <v>123.43809523809523</v>
      </c>
      <c r="E69" s="18">
        <f t="shared" si="3"/>
        <v>90.876190476190487</v>
      </c>
      <c r="F69" s="18">
        <v>117</v>
      </c>
      <c r="G69" s="20">
        <f t="shared" si="4"/>
        <v>6.8493150684931559E-2</v>
      </c>
    </row>
    <row r="70" spans="1:7" x14ac:dyDescent="0.25">
      <c r="A70" s="17">
        <v>40483</v>
      </c>
      <c r="B70" s="18">
        <f t="shared" si="0"/>
        <v>193.69735449735452</v>
      </c>
      <c r="C70" s="18">
        <f t="shared" si="1"/>
        <v>120.33809523809526</v>
      </c>
      <c r="D70" s="18">
        <f t="shared" si="2"/>
        <v>120.09717813051148</v>
      </c>
      <c r="E70" s="18">
        <f t="shared" si="3"/>
        <v>88.416578483245175</v>
      </c>
      <c r="F70" s="18">
        <v>113.83333333333336</v>
      </c>
      <c r="G70" s="20">
        <f t="shared" si="4"/>
        <v>-2.7065527065526895E-2</v>
      </c>
    </row>
    <row r="71" spans="1:7" x14ac:dyDescent="0.25">
      <c r="A71" s="17">
        <v>40452</v>
      </c>
      <c r="B71" s="18">
        <f t="shared" si="0"/>
        <v>188.30899470899473</v>
      </c>
      <c r="C71" s="18">
        <f t="shared" si="1"/>
        <v>116.9904761904762</v>
      </c>
      <c r="D71" s="18">
        <f t="shared" si="2"/>
        <v>116.75626102292769</v>
      </c>
      <c r="E71" s="18">
        <f t="shared" si="3"/>
        <v>85.956966490299834</v>
      </c>
      <c r="F71" s="18">
        <v>110.66666666666669</v>
      </c>
      <c r="G71" s="20">
        <f t="shared" si="4"/>
        <v>-2.7818448023426146E-2</v>
      </c>
    </row>
    <row r="72" spans="1:7" x14ac:dyDescent="0.25">
      <c r="A72" s="17">
        <v>40422</v>
      </c>
      <c r="B72" s="18">
        <f t="shared" si="0"/>
        <v>182.92063492063494</v>
      </c>
      <c r="C72" s="18">
        <f t="shared" si="1"/>
        <v>113.64285714285715</v>
      </c>
      <c r="D72" s="18">
        <f t="shared" si="2"/>
        <v>113.41534391534391</v>
      </c>
      <c r="E72" s="18">
        <f t="shared" si="3"/>
        <v>83.497354497354507</v>
      </c>
      <c r="F72" s="18">
        <v>107.50000000000001</v>
      </c>
      <c r="G72" s="20">
        <f t="shared" si="4"/>
        <v>-2.8614457831325324E-2</v>
      </c>
    </row>
    <row r="73" spans="1:7" x14ac:dyDescent="0.25">
      <c r="A73" s="17">
        <v>40391</v>
      </c>
      <c r="B73" s="18">
        <f t="shared" si="0"/>
        <v>177.53227513227515</v>
      </c>
      <c r="C73" s="18">
        <f t="shared" si="1"/>
        <v>110.2952380952381</v>
      </c>
      <c r="D73" s="18">
        <f t="shared" si="2"/>
        <v>110.07442680776013</v>
      </c>
      <c r="E73" s="18">
        <f t="shared" si="3"/>
        <v>81.037742504409181</v>
      </c>
      <c r="F73" s="18">
        <v>104.33333333333334</v>
      </c>
      <c r="G73" s="20">
        <f t="shared" si="4"/>
        <v>-2.9457364341085257E-2</v>
      </c>
    </row>
    <row r="74" spans="1:7" x14ac:dyDescent="0.25">
      <c r="A74" s="17">
        <v>40360</v>
      </c>
      <c r="B74" s="18">
        <f t="shared" si="0"/>
        <v>172.14391534391535</v>
      </c>
      <c r="C74" s="18">
        <f t="shared" si="1"/>
        <v>106.94761904761906</v>
      </c>
      <c r="D74" s="18">
        <f t="shared" si="2"/>
        <v>106.73350970017636</v>
      </c>
      <c r="E74" s="18">
        <f t="shared" si="3"/>
        <v>78.578130511463854</v>
      </c>
      <c r="F74" s="18">
        <v>101.16666666666667</v>
      </c>
      <c r="G74" s="20">
        <f t="shared" si="4"/>
        <v>-3.0351437699680517E-2</v>
      </c>
    </row>
    <row r="75" spans="1:7" x14ac:dyDescent="0.25">
      <c r="A75" s="17">
        <v>40330</v>
      </c>
      <c r="B75" s="18">
        <f t="shared" si="0"/>
        <v>166.75555555555556</v>
      </c>
      <c r="C75" s="18">
        <f t="shared" si="1"/>
        <v>103.60000000000001</v>
      </c>
      <c r="D75" s="18">
        <f t="shared" si="2"/>
        <v>103.39259259259258</v>
      </c>
      <c r="E75" s="18">
        <f t="shared" si="3"/>
        <v>76.118518518518528</v>
      </c>
      <c r="F75" s="18">
        <v>98</v>
      </c>
      <c r="G75" s="20">
        <f t="shared" si="4"/>
        <v>-3.1301482701812211E-2</v>
      </c>
    </row>
    <row r="76" spans="1:7" x14ac:dyDescent="0.25">
      <c r="A76" s="17">
        <v>40299</v>
      </c>
      <c r="B76" s="18">
        <f t="shared" si="0"/>
        <v>165.62116402116405</v>
      </c>
      <c r="C76" s="18">
        <f t="shared" si="1"/>
        <v>102.89523809523813</v>
      </c>
      <c r="D76" s="18">
        <f t="shared" si="2"/>
        <v>102.68924162257497</v>
      </c>
      <c r="E76" s="18">
        <f t="shared" si="3"/>
        <v>75.600705467372165</v>
      </c>
      <c r="F76" s="18">
        <v>97.333333333333357</v>
      </c>
      <c r="G76" s="20">
        <f t="shared" si="4"/>
        <v>-6.8027210884351597E-3</v>
      </c>
    </row>
    <row r="77" spans="1:7" x14ac:dyDescent="0.25">
      <c r="A77" s="17">
        <v>40269</v>
      </c>
      <c r="B77" s="18">
        <f t="shared" si="0"/>
        <v>164.48677248677251</v>
      </c>
      <c r="C77" s="18">
        <f t="shared" si="1"/>
        <v>102.19047619047622</v>
      </c>
      <c r="D77" s="18">
        <f t="shared" si="2"/>
        <v>101.98589065255733</v>
      </c>
      <c r="E77" s="18">
        <f t="shared" si="3"/>
        <v>75.082892416225775</v>
      </c>
      <c r="F77" s="18">
        <v>96.666666666666686</v>
      </c>
      <c r="G77" s="20">
        <f t="shared" si="4"/>
        <v>-6.8493150684931781E-3</v>
      </c>
    </row>
    <row r="78" spans="1:7" x14ac:dyDescent="0.25">
      <c r="A78" s="17">
        <v>40238</v>
      </c>
      <c r="B78" s="18">
        <f t="shared" si="0"/>
        <v>163.35238095238097</v>
      </c>
      <c r="C78" s="18">
        <f t="shared" si="1"/>
        <v>101.48571428571431</v>
      </c>
      <c r="D78" s="18">
        <f t="shared" si="2"/>
        <v>101.28253968253969</v>
      </c>
      <c r="E78" s="18">
        <f t="shared" si="3"/>
        <v>74.565079365079384</v>
      </c>
      <c r="F78" s="18">
        <v>96.000000000000014</v>
      </c>
      <c r="G78" s="20">
        <f t="shared" si="4"/>
        <v>-6.8965517241379448E-3</v>
      </c>
    </row>
    <row r="79" spans="1:7" x14ac:dyDescent="0.25">
      <c r="A79" s="17">
        <v>40210</v>
      </c>
      <c r="B79" s="18">
        <f t="shared" si="0"/>
        <v>162.21798941798943</v>
      </c>
      <c r="C79" s="18">
        <f t="shared" si="1"/>
        <v>100.7809523809524</v>
      </c>
      <c r="D79" s="18">
        <f t="shared" si="2"/>
        <v>100.57918871252204</v>
      </c>
      <c r="E79" s="18">
        <f t="shared" si="3"/>
        <v>74.047266313932994</v>
      </c>
      <c r="F79" s="18">
        <v>95.333333333333343</v>
      </c>
      <c r="G79" s="20">
        <f t="shared" si="4"/>
        <v>-6.9444444444445308E-3</v>
      </c>
    </row>
    <row r="80" spans="1:7" x14ac:dyDescent="0.25">
      <c r="A80" s="17">
        <v>40179</v>
      </c>
      <c r="B80" s="18">
        <f t="shared" si="0"/>
        <v>161.08359788359789</v>
      </c>
      <c r="C80" s="18">
        <f t="shared" si="1"/>
        <v>100.07619047619049</v>
      </c>
      <c r="D80" s="18">
        <f t="shared" si="2"/>
        <v>99.875837742504388</v>
      </c>
      <c r="E80" s="18">
        <f t="shared" si="3"/>
        <v>73.529453262786603</v>
      </c>
      <c r="F80" s="18">
        <v>94.666666666666671</v>
      </c>
      <c r="G80" s="20">
        <f t="shared" si="4"/>
        <v>-6.9930069930070893E-3</v>
      </c>
    </row>
    <row r="81" spans="1:7" x14ac:dyDescent="0.25">
      <c r="A81" s="17">
        <v>40148</v>
      </c>
      <c r="B81" s="18">
        <f t="shared" si="0"/>
        <v>159.94920634920635</v>
      </c>
      <c r="C81" s="18">
        <f t="shared" si="1"/>
        <v>99.371428571428581</v>
      </c>
      <c r="D81" s="18">
        <f t="shared" si="2"/>
        <v>99.172486772486735</v>
      </c>
      <c r="E81" s="18">
        <f t="shared" si="3"/>
        <v>73.011640211640213</v>
      </c>
      <c r="F81" s="18">
        <v>94</v>
      </c>
      <c r="G81" s="20">
        <f t="shared" si="4"/>
        <v>-7.0422535211268622E-3</v>
      </c>
    </row>
    <row r="82" spans="1:7" x14ac:dyDescent="0.25">
      <c r="A82" s="17">
        <v>40118</v>
      </c>
      <c r="B82" s="18">
        <f t="shared" si="0"/>
        <v>169.30793650793652</v>
      </c>
      <c r="C82" s="18">
        <f t="shared" si="1"/>
        <v>105.1857142857143</v>
      </c>
      <c r="D82" s="18">
        <f t="shared" si="2"/>
        <v>104.97513227513224</v>
      </c>
      <c r="E82" s="18">
        <f t="shared" si="3"/>
        <v>77.283597883597892</v>
      </c>
      <c r="F82" s="18">
        <v>99.5</v>
      </c>
      <c r="G82" s="20">
        <f t="shared" si="4"/>
        <v>5.8510638297872397E-2</v>
      </c>
    </row>
    <row r="83" spans="1:7" x14ac:dyDescent="0.25">
      <c r="A83" s="17">
        <v>40087</v>
      </c>
      <c r="B83" s="18">
        <f t="shared" si="0"/>
        <v>178.66666666666666</v>
      </c>
      <c r="C83" s="18">
        <f t="shared" si="1"/>
        <v>111</v>
      </c>
      <c r="D83" s="18">
        <f t="shared" si="2"/>
        <v>110.77777777777773</v>
      </c>
      <c r="E83" s="18">
        <f t="shared" si="3"/>
        <v>81.555555555555557</v>
      </c>
      <c r="F83" s="18">
        <v>105</v>
      </c>
      <c r="G83" s="20">
        <f t="shared" si="4"/>
        <v>5.5276381909547645E-2</v>
      </c>
    </row>
    <row r="84" spans="1:7" x14ac:dyDescent="0.25">
      <c r="A84" s="17">
        <v>40057</v>
      </c>
      <c r="B84" s="18">
        <f t="shared" si="0"/>
        <v>188.02539682539683</v>
      </c>
      <c r="C84" s="18">
        <f t="shared" si="1"/>
        <v>116.81428571428572</v>
      </c>
      <c r="D84" s="18">
        <f t="shared" si="2"/>
        <v>116.58042328042323</v>
      </c>
      <c r="E84" s="18">
        <f t="shared" si="3"/>
        <v>85.827513227513236</v>
      </c>
      <c r="F84" s="18">
        <v>110.5</v>
      </c>
      <c r="G84" s="20">
        <f t="shared" si="4"/>
        <v>5.2380952380952417E-2</v>
      </c>
    </row>
    <row r="85" spans="1:7" x14ac:dyDescent="0.25">
      <c r="A85" s="17">
        <v>40026</v>
      </c>
      <c r="B85" s="18">
        <f t="shared" si="0"/>
        <v>197.38412698412699</v>
      </c>
      <c r="C85" s="18">
        <f t="shared" si="1"/>
        <v>122.62857142857143</v>
      </c>
      <c r="D85" s="18">
        <f t="shared" si="2"/>
        <v>122.38306878306874</v>
      </c>
      <c r="E85" s="18">
        <f t="shared" si="3"/>
        <v>90.099470899470916</v>
      </c>
      <c r="F85" s="18">
        <v>116</v>
      </c>
      <c r="G85" s="20">
        <f t="shared" si="4"/>
        <v>4.9773755656108642E-2</v>
      </c>
    </row>
    <row r="86" spans="1:7" x14ac:dyDescent="0.25">
      <c r="A86" s="17">
        <v>39995</v>
      </c>
      <c r="B86" s="18">
        <f t="shared" si="0"/>
        <v>206.74285714285713</v>
      </c>
      <c r="C86" s="18">
        <f t="shared" si="1"/>
        <v>128.44285714285712</v>
      </c>
      <c r="D86" s="18">
        <f t="shared" si="2"/>
        <v>128.18571428571423</v>
      </c>
      <c r="E86" s="18">
        <f t="shared" si="3"/>
        <v>94.371428571428581</v>
      </c>
      <c r="F86" s="18">
        <v>121.5</v>
      </c>
      <c r="G86" s="20">
        <f t="shared" si="4"/>
        <v>4.7413793103448176E-2</v>
      </c>
    </row>
    <row r="87" spans="1:7" x14ac:dyDescent="0.25">
      <c r="A87" s="17">
        <v>39965</v>
      </c>
      <c r="B87" s="18">
        <f t="shared" si="0"/>
        <v>216.10158730158727</v>
      </c>
      <c r="C87" s="18">
        <f t="shared" si="1"/>
        <v>134.25714285714281</v>
      </c>
      <c r="D87" s="18">
        <f t="shared" si="2"/>
        <v>133.9883597883597</v>
      </c>
      <c r="E87" s="18">
        <f t="shared" si="3"/>
        <v>98.643386243386246</v>
      </c>
      <c r="F87" s="18">
        <v>127</v>
      </c>
      <c r="G87" s="20">
        <f t="shared" si="4"/>
        <v>4.5267489711934061E-2</v>
      </c>
    </row>
    <row r="88" spans="1:7" x14ac:dyDescent="0.25">
      <c r="A88" s="17">
        <v>39934</v>
      </c>
      <c r="B88" s="18">
        <f t="shared" si="0"/>
        <v>203.90687830687833</v>
      </c>
      <c r="C88" s="18">
        <f t="shared" si="1"/>
        <v>126.68095238095236</v>
      </c>
      <c r="D88" s="18">
        <f t="shared" si="2"/>
        <v>126.42733686067014</v>
      </c>
      <c r="E88" s="18">
        <f t="shared" si="3"/>
        <v>93.076895943562633</v>
      </c>
      <c r="F88" s="18">
        <v>119.83333333333336</v>
      </c>
      <c r="G88" s="20">
        <f t="shared" si="4"/>
        <v>-5.6430446194225548E-2</v>
      </c>
    </row>
    <row r="89" spans="1:7" x14ac:dyDescent="0.25">
      <c r="A89" s="17">
        <v>39904</v>
      </c>
      <c r="B89" s="18">
        <f t="shared" si="0"/>
        <v>191.71216931216932</v>
      </c>
      <c r="C89" s="18">
        <f t="shared" si="1"/>
        <v>119.10476190476189</v>
      </c>
      <c r="D89" s="18">
        <f t="shared" si="2"/>
        <v>118.86631393298055</v>
      </c>
      <c r="E89" s="18">
        <f t="shared" si="3"/>
        <v>87.510405643738991</v>
      </c>
      <c r="F89" s="18">
        <v>112.66666666666669</v>
      </c>
      <c r="G89" s="20">
        <f t="shared" si="4"/>
        <v>-5.9805285118219809E-2</v>
      </c>
    </row>
    <row r="90" spans="1:7" x14ac:dyDescent="0.25">
      <c r="A90" s="17">
        <v>39873</v>
      </c>
      <c r="B90" s="18">
        <f t="shared" si="0"/>
        <v>179.51746031746032</v>
      </c>
      <c r="C90" s="18">
        <f t="shared" si="1"/>
        <v>111.52857142857141</v>
      </c>
      <c r="D90" s="18">
        <f t="shared" si="2"/>
        <v>111.30529100529095</v>
      </c>
      <c r="E90" s="18">
        <f t="shared" si="3"/>
        <v>81.94391534391535</v>
      </c>
      <c r="F90" s="18">
        <v>105.50000000000001</v>
      </c>
      <c r="G90" s="20">
        <f t="shared" si="4"/>
        <v>-6.3609467455621349E-2</v>
      </c>
    </row>
    <row r="91" spans="1:7" x14ac:dyDescent="0.25">
      <c r="A91" s="17">
        <v>39845</v>
      </c>
      <c r="B91" s="18">
        <f t="shared" si="0"/>
        <v>167.32275132275132</v>
      </c>
      <c r="C91" s="18">
        <f t="shared" si="1"/>
        <v>103.95238095238092</v>
      </c>
      <c r="D91" s="18">
        <f t="shared" si="2"/>
        <v>103.74426807760136</v>
      </c>
      <c r="E91" s="18">
        <f t="shared" si="3"/>
        <v>76.377425044091709</v>
      </c>
      <c r="F91" s="18">
        <v>98.333333333333343</v>
      </c>
      <c r="G91" s="20">
        <f t="shared" si="4"/>
        <v>-6.7930489731437671E-2</v>
      </c>
    </row>
    <row r="92" spans="1:7" x14ac:dyDescent="0.25">
      <c r="A92" s="17">
        <v>39814</v>
      </c>
      <c r="B92" s="18">
        <f t="shared" si="0"/>
        <v>155.12804232804231</v>
      </c>
      <c r="C92" s="18">
        <f t="shared" si="1"/>
        <v>96.376190476190445</v>
      </c>
      <c r="D92" s="18">
        <f t="shared" si="2"/>
        <v>96.18324514991177</v>
      </c>
      <c r="E92" s="18">
        <f t="shared" si="3"/>
        <v>70.810934744268067</v>
      </c>
      <c r="F92" s="18">
        <v>91.166666666666671</v>
      </c>
      <c r="G92" s="20">
        <f t="shared" si="4"/>
        <v>-7.2881355932203462E-2</v>
      </c>
    </row>
    <row r="93" spans="1:7" x14ac:dyDescent="0.25">
      <c r="A93" s="17">
        <v>39783</v>
      </c>
      <c r="B93" s="18">
        <f t="shared" si="0"/>
        <v>142.93333333333331</v>
      </c>
      <c r="C93" s="18">
        <f t="shared" si="1"/>
        <v>88.799999999999969</v>
      </c>
      <c r="D93" s="18">
        <f t="shared" si="2"/>
        <v>88.622222222222177</v>
      </c>
      <c r="E93" s="18">
        <f t="shared" si="3"/>
        <v>65.244444444444426</v>
      </c>
      <c r="F93" s="18">
        <v>84</v>
      </c>
      <c r="G93" s="20">
        <f t="shared" si="4"/>
        <v>-7.8610603290676484E-2</v>
      </c>
    </row>
    <row r="94" spans="1:7" x14ac:dyDescent="0.25">
      <c r="A94" s="17">
        <v>39753</v>
      </c>
      <c r="B94" s="18">
        <f t="shared" si="0"/>
        <v>152.57566137566133</v>
      </c>
      <c r="C94" s="18">
        <f t="shared" si="1"/>
        <v>94.790476190476141</v>
      </c>
      <c r="D94" s="18">
        <f t="shared" si="2"/>
        <v>94.600705467372066</v>
      </c>
      <c r="E94" s="18">
        <f t="shared" si="3"/>
        <v>69.645855379188674</v>
      </c>
      <c r="F94" s="18">
        <v>89.666666666666643</v>
      </c>
      <c r="G94" s="20">
        <f t="shared" si="4"/>
        <v>6.7460317460317221E-2</v>
      </c>
    </row>
    <row r="95" spans="1:7" x14ac:dyDescent="0.25">
      <c r="A95" s="17">
        <v>39722</v>
      </c>
      <c r="B95" s="18">
        <f t="shared" si="0"/>
        <v>162.21798941798937</v>
      </c>
      <c r="C95" s="18">
        <f t="shared" si="1"/>
        <v>100.78095238095234</v>
      </c>
      <c r="D95" s="18">
        <f t="shared" si="2"/>
        <v>100.57918871252198</v>
      </c>
      <c r="E95" s="18">
        <f t="shared" si="3"/>
        <v>74.047266313932951</v>
      </c>
      <c r="F95" s="18">
        <v>95.333333333333314</v>
      </c>
      <c r="G95" s="20">
        <f t="shared" si="4"/>
        <v>6.3197026022304925E-2</v>
      </c>
    </row>
    <row r="96" spans="1:7" x14ac:dyDescent="0.25">
      <c r="A96" s="17">
        <v>39692</v>
      </c>
      <c r="B96" s="18">
        <f t="shared" si="0"/>
        <v>171.86031746031745</v>
      </c>
      <c r="C96" s="18">
        <f t="shared" si="1"/>
        <v>106.77142857142854</v>
      </c>
      <c r="D96" s="18">
        <f t="shared" si="2"/>
        <v>106.5576719576719</v>
      </c>
      <c r="E96" s="18">
        <f t="shared" si="3"/>
        <v>78.448677248677228</v>
      </c>
      <c r="F96" s="18">
        <v>100.99999999999999</v>
      </c>
      <c r="G96" s="20">
        <f t="shared" si="4"/>
        <v>5.9440559440559593E-2</v>
      </c>
    </row>
    <row r="97" spans="1:7" x14ac:dyDescent="0.25">
      <c r="A97" s="17">
        <v>39661</v>
      </c>
      <c r="B97" s="18">
        <f t="shared" si="0"/>
        <v>181.50264550264552</v>
      </c>
      <c r="C97" s="18">
        <f t="shared" si="1"/>
        <v>112.76190476190474</v>
      </c>
      <c r="D97" s="18">
        <f t="shared" si="2"/>
        <v>112.53615520282182</v>
      </c>
      <c r="E97" s="18">
        <f t="shared" si="3"/>
        <v>82.850088183421505</v>
      </c>
      <c r="F97" s="18">
        <v>106.66666666666666</v>
      </c>
      <c r="G97" s="20">
        <f t="shared" si="4"/>
        <v>5.6105610561056229E-2</v>
      </c>
    </row>
    <row r="98" spans="1:7" x14ac:dyDescent="0.25">
      <c r="A98" s="17">
        <v>39630</v>
      </c>
      <c r="B98" s="18">
        <f t="shared" si="0"/>
        <v>191.14497354497357</v>
      </c>
      <c r="C98" s="18">
        <f t="shared" si="1"/>
        <v>118.75238095238095</v>
      </c>
      <c r="D98" s="18">
        <f t="shared" si="2"/>
        <v>118.51463844797173</v>
      </c>
      <c r="E98" s="18">
        <f t="shared" si="3"/>
        <v>87.251499118165782</v>
      </c>
      <c r="F98" s="18">
        <v>112.33333333333333</v>
      </c>
      <c r="G98" s="20">
        <f t="shared" si="4"/>
        <v>5.3125000000000089E-2</v>
      </c>
    </row>
    <row r="99" spans="1:7" x14ac:dyDescent="0.25">
      <c r="A99" s="17">
        <v>39600</v>
      </c>
      <c r="B99" s="18">
        <f t="shared" ref="B99:B130" si="5">B98*(G99+1)</f>
        <v>200.78730158730161</v>
      </c>
      <c r="C99" s="18">
        <f t="shared" ref="C99:C130" si="6">C98*(G99+1)</f>
        <v>124.74285714285715</v>
      </c>
      <c r="D99" s="18">
        <f t="shared" ref="D99:D130" si="7">D98*(G99+1)</f>
        <v>124.49312169312165</v>
      </c>
      <c r="E99" s="18">
        <f t="shared" ref="E99:E130" si="8">E98*(G99+1)</f>
        <v>91.652910052910059</v>
      </c>
      <c r="F99" s="18">
        <v>118</v>
      </c>
      <c r="G99" s="20">
        <f t="shared" ref="G99:G130" si="9">F99/F98-1</f>
        <v>5.0445103857566842E-2</v>
      </c>
    </row>
    <row r="100" spans="1:7" x14ac:dyDescent="0.25">
      <c r="A100" s="17">
        <v>39569</v>
      </c>
      <c r="B100" s="18">
        <f t="shared" si="5"/>
        <v>257.22328042328047</v>
      </c>
      <c r="C100" s="18">
        <f t="shared" si="6"/>
        <v>159.80476190476193</v>
      </c>
      <c r="D100" s="18">
        <f t="shared" si="7"/>
        <v>159.4848324514991</v>
      </c>
      <c r="E100" s="18">
        <f t="shared" si="8"/>
        <v>117.4141093474427</v>
      </c>
      <c r="F100" s="18">
        <v>151.16666666666669</v>
      </c>
      <c r="G100" s="20">
        <f t="shared" si="9"/>
        <v>0.28107344632768383</v>
      </c>
    </row>
    <row r="101" spans="1:7" x14ac:dyDescent="0.25">
      <c r="A101" s="17">
        <v>39539</v>
      </c>
      <c r="B101" s="18">
        <f t="shared" si="5"/>
        <v>313.65925925925927</v>
      </c>
      <c r="C101" s="18">
        <f t="shared" si="6"/>
        <v>194.86666666666667</v>
      </c>
      <c r="D101" s="18">
        <f t="shared" si="7"/>
        <v>194.4765432098765</v>
      </c>
      <c r="E101" s="18">
        <f t="shared" si="8"/>
        <v>143.17530864197531</v>
      </c>
      <c r="F101" s="18">
        <v>184.33333333333334</v>
      </c>
      <c r="G101" s="20">
        <f t="shared" si="9"/>
        <v>0.21940463065049598</v>
      </c>
    </row>
    <row r="102" spans="1:7" x14ac:dyDescent="0.25">
      <c r="A102" s="17">
        <v>39508</v>
      </c>
      <c r="B102" s="18">
        <f t="shared" si="5"/>
        <v>370.09523809523813</v>
      </c>
      <c r="C102" s="18">
        <f t="shared" si="6"/>
        <v>229.92857142857144</v>
      </c>
      <c r="D102" s="18">
        <f t="shared" si="7"/>
        <v>229.46825396825392</v>
      </c>
      <c r="E102" s="18">
        <f t="shared" si="8"/>
        <v>168.93650793650792</v>
      </c>
      <c r="F102" s="18">
        <v>217.5</v>
      </c>
      <c r="G102" s="20">
        <f t="shared" si="9"/>
        <v>0.17992766726943943</v>
      </c>
    </row>
    <row r="103" spans="1:7" x14ac:dyDescent="0.25">
      <c r="A103" s="17">
        <v>39479</v>
      </c>
      <c r="B103" s="18">
        <f t="shared" si="5"/>
        <v>426.53121693121693</v>
      </c>
      <c r="C103" s="18">
        <f t="shared" si="6"/>
        <v>264.99047619047622</v>
      </c>
      <c r="D103" s="18">
        <f t="shared" si="7"/>
        <v>264.45996472663131</v>
      </c>
      <c r="E103" s="18">
        <f t="shared" si="8"/>
        <v>194.69770723104054</v>
      </c>
      <c r="F103" s="18">
        <v>250.66666666666666</v>
      </c>
      <c r="G103" s="20">
        <f t="shared" si="9"/>
        <v>0.15249042145593861</v>
      </c>
    </row>
    <row r="104" spans="1:7" x14ac:dyDescent="0.25">
      <c r="A104" s="17">
        <v>39448</v>
      </c>
      <c r="B104" s="18">
        <f t="shared" si="5"/>
        <v>482.96719576719573</v>
      </c>
      <c r="C104" s="18">
        <f t="shared" si="6"/>
        <v>300.05238095238093</v>
      </c>
      <c r="D104" s="18">
        <f t="shared" si="7"/>
        <v>299.45167548500871</v>
      </c>
      <c r="E104" s="18">
        <f t="shared" si="8"/>
        <v>220.45890652557316</v>
      </c>
      <c r="F104" s="18">
        <v>283.83333333333331</v>
      </c>
      <c r="G104" s="20">
        <f t="shared" si="9"/>
        <v>0.13231382978723394</v>
      </c>
    </row>
    <row r="105" spans="1:7" x14ac:dyDescent="0.25">
      <c r="A105" s="17">
        <v>39417</v>
      </c>
      <c r="B105" s="18">
        <f t="shared" si="5"/>
        <v>539.40317460317453</v>
      </c>
      <c r="C105" s="18">
        <f t="shared" si="6"/>
        <v>335.1142857142857</v>
      </c>
      <c r="D105" s="18">
        <f t="shared" si="7"/>
        <v>334.4433862433861</v>
      </c>
      <c r="E105" s="18">
        <f t="shared" si="8"/>
        <v>246.2201058201058</v>
      </c>
      <c r="F105" s="18">
        <v>317</v>
      </c>
      <c r="G105" s="20">
        <f t="shared" si="9"/>
        <v>0.11685261303581918</v>
      </c>
    </row>
    <row r="106" spans="1:7" x14ac:dyDescent="0.25">
      <c r="A106" s="17">
        <v>39387</v>
      </c>
      <c r="B106" s="18">
        <f t="shared" si="5"/>
        <v>604.9142857142856</v>
      </c>
      <c r="C106" s="18">
        <f t="shared" si="6"/>
        <v>375.81428571428569</v>
      </c>
      <c r="D106" s="18">
        <f t="shared" si="7"/>
        <v>375.0619047619046</v>
      </c>
      <c r="E106" s="18">
        <f t="shared" si="8"/>
        <v>276.12380952380948</v>
      </c>
      <c r="F106" s="18">
        <v>355.5</v>
      </c>
      <c r="G106" s="20">
        <f t="shared" si="9"/>
        <v>0.12145110410094628</v>
      </c>
    </row>
    <row r="107" spans="1:7" x14ac:dyDescent="0.25">
      <c r="A107" s="17">
        <v>39356</v>
      </c>
      <c r="B107" s="18">
        <f t="shared" si="5"/>
        <v>670.42539682539666</v>
      </c>
      <c r="C107" s="18">
        <f t="shared" si="6"/>
        <v>416.51428571428568</v>
      </c>
      <c r="D107" s="18">
        <f t="shared" si="7"/>
        <v>415.6804232804231</v>
      </c>
      <c r="E107" s="18">
        <f t="shared" si="8"/>
        <v>306.02751322751317</v>
      </c>
      <c r="F107" s="18">
        <v>394</v>
      </c>
      <c r="G107" s="20">
        <f t="shared" si="9"/>
        <v>0.10829817158931077</v>
      </c>
    </row>
    <row r="108" spans="1:7" x14ac:dyDescent="0.25">
      <c r="A108" s="17">
        <v>39326</v>
      </c>
      <c r="B108" s="18">
        <f t="shared" si="5"/>
        <v>735.93650793650772</v>
      </c>
      <c r="C108" s="18">
        <f t="shared" si="6"/>
        <v>457.21428571428567</v>
      </c>
      <c r="D108" s="18">
        <f t="shared" si="7"/>
        <v>456.2989417989416</v>
      </c>
      <c r="E108" s="18">
        <f t="shared" si="8"/>
        <v>335.93121693121685</v>
      </c>
      <c r="F108" s="18">
        <v>432.5</v>
      </c>
      <c r="G108" s="20">
        <f t="shared" si="9"/>
        <v>9.7715736040609125E-2</v>
      </c>
    </row>
    <row r="109" spans="1:7" x14ac:dyDescent="0.25">
      <c r="A109" s="17">
        <v>39295</v>
      </c>
      <c r="B109" s="18">
        <f t="shared" si="5"/>
        <v>801.44761904761879</v>
      </c>
      <c r="C109" s="18">
        <f t="shared" si="6"/>
        <v>497.91428571428565</v>
      </c>
      <c r="D109" s="18">
        <f t="shared" si="7"/>
        <v>496.9174603174601</v>
      </c>
      <c r="E109" s="18">
        <f t="shared" si="8"/>
        <v>365.83492063492054</v>
      </c>
      <c r="F109" s="18">
        <v>471</v>
      </c>
      <c r="G109" s="20">
        <f t="shared" si="9"/>
        <v>8.9017341040462439E-2</v>
      </c>
    </row>
    <row r="110" spans="1:7" x14ac:dyDescent="0.25">
      <c r="A110" s="17">
        <v>39264</v>
      </c>
      <c r="B110" s="18">
        <f t="shared" si="5"/>
        <v>866.95873015872996</v>
      </c>
      <c r="C110" s="18">
        <f t="shared" si="6"/>
        <v>538.61428571428564</v>
      </c>
      <c r="D110" s="18">
        <f t="shared" si="7"/>
        <v>537.53597883597865</v>
      </c>
      <c r="E110" s="18">
        <f t="shared" si="8"/>
        <v>395.73862433862428</v>
      </c>
      <c r="F110" s="18">
        <v>509.5</v>
      </c>
      <c r="G110" s="20">
        <f t="shared" si="9"/>
        <v>8.1740976645435337E-2</v>
      </c>
    </row>
    <row r="111" spans="1:7" x14ac:dyDescent="0.25">
      <c r="A111" s="17">
        <v>39234</v>
      </c>
      <c r="B111" s="18">
        <f t="shared" si="5"/>
        <v>932.46984126984114</v>
      </c>
      <c r="C111" s="18">
        <f t="shared" si="6"/>
        <v>579.31428571428569</v>
      </c>
      <c r="D111" s="18">
        <f t="shared" si="7"/>
        <v>578.15449735449727</v>
      </c>
      <c r="E111" s="18">
        <f t="shared" si="8"/>
        <v>425.64232804232802</v>
      </c>
      <c r="F111" s="18">
        <v>548</v>
      </c>
      <c r="G111" s="20">
        <f t="shared" si="9"/>
        <v>7.5564278704612464E-2</v>
      </c>
    </row>
    <row r="112" spans="1:7" x14ac:dyDescent="0.25">
      <c r="A112" s="17">
        <v>39203</v>
      </c>
      <c r="B112" s="18">
        <f t="shared" si="5"/>
        <v>982.95026455026482</v>
      </c>
      <c r="C112" s="18">
        <f t="shared" si="6"/>
        <v>610.67619047619064</v>
      </c>
      <c r="D112" s="18">
        <f t="shared" si="7"/>
        <v>609.45361552028237</v>
      </c>
      <c r="E112" s="18">
        <f t="shared" si="8"/>
        <v>448.68500881834228</v>
      </c>
      <c r="F112" s="18">
        <v>577.66666666666686</v>
      </c>
      <c r="G112" s="20">
        <f t="shared" si="9"/>
        <v>5.4136253041362936E-2</v>
      </c>
    </row>
    <row r="113" spans="1:7" x14ac:dyDescent="0.25">
      <c r="A113" s="17">
        <v>39173</v>
      </c>
      <c r="B113" s="18">
        <f t="shared" si="5"/>
        <v>1033.4306878306882</v>
      </c>
      <c r="C113" s="18">
        <f t="shared" si="6"/>
        <v>642.03809523809537</v>
      </c>
      <c r="D113" s="18">
        <f t="shared" si="7"/>
        <v>640.75273368606713</v>
      </c>
      <c r="E113" s="18">
        <f t="shared" si="8"/>
        <v>471.72768959435638</v>
      </c>
      <c r="F113" s="18">
        <v>607.33333333333348</v>
      </c>
      <c r="G113" s="20">
        <f t="shared" si="9"/>
        <v>5.135603000577027E-2</v>
      </c>
    </row>
    <row r="114" spans="1:7" x14ac:dyDescent="0.25">
      <c r="A114" s="17">
        <v>39142</v>
      </c>
      <c r="B114" s="18">
        <f t="shared" si="5"/>
        <v>1083.9111111111113</v>
      </c>
      <c r="C114" s="18">
        <f t="shared" si="6"/>
        <v>673.4</v>
      </c>
      <c r="D114" s="18">
        <f t="shared" si="7"/>
        <v>672.05185185185189</v>
      </c>
      <c r="E114" s="18">
        <f t="shared" si="8"/>
        <v>494.77037037037042</v>
      </c>
      <c r="F114" s="18">
        <v>637.00000000000011</v>
      </c>
      <c r="G114" s="20">
        <f t="shared" si="9"/>
        <v>4.8847420417123866E-2</v>
      </c>
    </row>
    <row r="115" spans="1:7" x14ac:dyDescent="0.25">
      <c r="A115" s="17">
        <v>39114</v>
      </c>
      <c r="B115" s="18">
        <f t="shared" si="5"/>
        <v>1134.3915343915344</v>
      </c>
      <c r="C115" s="18">
        <f t="shared" si="6"/>
        <v>704.7619047619047</v>
      </c>
      <c r="D115" s="18">
        <f t="shared" si="7"/>
        <v>703.35097001763666</v>
      </c>
      <c r="E115" s="18">
        <f t="shared" si="8"/>
        <v>517.81305114638451</v>
      </c>
      <c r="F115" s="18">
        <v>666.66666666666674</v>
      </c>
      <c r="G115" s="20">
        <f t="shared" si="9"/>
        <v>4.6572475143903613E-2</v>
      </c>
    </row>
    <row r="116" spans="1:7" x14ac:dyDescent="0.25">
      <c r="A116" s="17">
        <v>39083</v>
      </c>
      <c r="B116" s="18">
        <f t="shared" si="5"/>
        <v>1184.8719576719577</v>
      </c>
      <c r="C116" s="18">
        <f t="shared" si="6"/>
        <v>736.12380952380943</v>
      </c>
      <c r="D116" s="18">
        <f t="shared" si="7"/>
        <v>734.65008818342153</v>
      </c>
      <c r="E116" s="18">
        <f t="shared" si="8"/>
        <v>540.8557319223986</v>
      </c>
      <c r="F116" s="18">
        <v>696.33333333333337</v>
      </c>
      <c r="G116" s="20">
        <f t="shared" si="9"/>
        <v>4.4499999999999984E-2</v>
      </c>
    </row>
    <row r="117" spans="1:7" x14ac:dyDescent="0.25">
      <c r="A117" s="17">
        <v>39052</v>
      </c>
      <c r="B117" s="18">
        <f t="shared" si="5"/>
        <v>1235.3523809523808</v>
      </c>
      <c r="C117" s="18">
        <f t="shared" si="6"/>
        <v>767.48571428571415</v>
      </c>
      <c r="D117" s="18">
        <f t="shared" si="7"/>
        <v>765.94920634920629</v>
      </c>
      <c r="E117" s="18">
        <f t="shared" si="8"/>
        <v>563.8984126984127</v>
      </c>
      <c r="F117" s="18">
        <v>726</v>
      </c>
      <c r="G117" s="20">
        <f t="shared" si="9"/>
        <v>4.2604116802297698E-2</v>
      </c>
    </row>
    <row r="118" spans="1:7" x14ac:dyDescent="0.25">
      <c r="A118" s="17">
        <v>39022</v>
      </c>
      <c r="B118" s="18">
        <f t="shared" si="5"/>
        <v>1276.4740740740742</v>
      </c>
      <c r="C118" s="18">
        <f t="shared" si="6"/>
        <v>793.0333333333333</v>
      </c>
      <c r="D118" s="18">
        <f t="shared" si="7"/>
        <v>791.44567901234575</v>
      </c>
      <c r="E118" s="18">
        <f t="shared" si="8"/>
        <v>582.66913580246921</v>
      </c>
      <c r="F118" s="18">
        <v>750.16666666666686</v>
      </c>
      <c r="G118" s="20">
        <f t="shared" si="9"/>
        <v>3.3287419651056194E-2</v>
      </c>
    </row>
    <row r="119" spans="1:7" x14ac:dyDescent="0.25">
      <c r="A119" s="17">
        <v>38991</v>
      </c>
      <c r="B119" s="18">
        <f t="shared" si="5"/>
        <v>1317.5957671957674</v>
      </c>
      <c r="C119" s="18">
        <f t="shared" si="6"/>
        <v>818.58095238095234</v>
      </c>
      <c r="D119" s="18">
        <f t="shared" si="7"/>
        <v>816.94215167548509</v>
      </c>
      <c r="E119" s="18">
        <f t="shared" si="8"/>
        <v>601.43985890652561</v>
      </c>
      <c r="F119" s="18">
        <v>774.33333333333348</v>
      </c>
      <c r="G119" s="20">
        <f t="shared" si="9"/>
        <v>3.2215063319262383E-2</v>
      </c>
    </row>
    <row r="120" spans="1:7" x14ac:dyDescent="0.25">
      <c r="A120" s="17">
        <v>38961</v>
      </c>
      <c r="B120" s="18">
        <f t="shared" si="5"/>
        <v>1358.7174603174606</v>
      </c>
      <c r="C120" s="18">
        <f t="shared" si="6"/>
        <v>844.12857142857138</v>
      </c>
      <c r="D120" s="18">
        <f t="shared" si="7"/>
        <v>842.43862433862444</v>
      </c>
      <c r="E120" s="18">
        <f t="shared" si="8"/>
        <v>620.21058201058202</v>
      </c>
      <c r="F120" s="18">
        <v>798.50000000000011</v>
      </c>
      <c r="G120" s="20">
        <f t="shared" si="9"/>
        <v>3.1209642703400764E-2</v>
      </c>
    </row>
    <row r="121" spans="1:7" x14ac:dyDescent="0.25">
      <c r="A121" s="17">
        <v>38930</v>
      </c>
      <c r="B121" s="18">
        <f t="shared" si="5"/>
        <v>1399.8391534391535</v>
      </c>
      <c r="C121" s="18">
        <f t="shared" si="6"/>
        <v>869.6761904761903</v>
      </c>
      <c r="D121" s="18">
        <f t="shared" si="7"/>
        <v>867.93509700176367</v>
      </c>
      <c r="E121" s="18">
        <f t="shared" si="8"/>
        <v>638.98130511463842</v>
      </c>
      <c r="F121" s="18">
        <v>822.66666666666674</v>
      </c>
      <c r="G121" s="20">
        <f t="shared" si="9"/>
        <v>3.0265080359006324E-2</v>
      </c>
    </row>
    <row r="122" spans="1:7" x14ac:dyDescent="0.25">
      <c r="A122" s="17">
        <v>38899</v>
      </c>
      <c r="B122" s="18">
        <f t="shared" si="5"/>
        <v>1440.9608465608467</v>
      </c>
      <c r="C122" s="18">
        <f t="shared" si="6"/>
        <v>895.22380952380934</v>
      </c>
      <c r="D122" s="18">
        <f t="shared" si="7"/>
        <v>893.43156966490301</v>
      </c>
      <c r="E122" s="18">
        <f t="shared" si="8"/>
        <v>657.75202821869482</v>
      </c>
      <c r="F122" s="18">
        <v>846.83333333333337</v>
      </c>
      <c r="G122" s="20">
        <f t="shared" si="9"/>
        <v>2.9376012965964371E-2</v>
      </c>
    </row>
    <row r="123" spans="1:7" x14ac:dyDescent="0.25">
      <c r="A123" s="17">
        <v>38869</v>
      </c>
      <c r="B123" s="18">
        <f t="shared" si="5"/>
        <v>1482.0825396825398</v>
      </c>
      <c r="C123" s="18">
        <f t="shared" si="6"/>
        <v>920.77142857142837</v>
      </c>
      <c r="D123" s="18">
        <f t="shared" si="7"/>
        <v>918.92804232804235</v>
      </c>
      <c r="E123" s="18">
        <f t="shared" si="8"/>
        <v>676.52275132275133</v>
      </c>
      <c r="F123" s="18">
        <v>871</v>
      </c>
      <c r="G123" s="20">
        <f t="shared" si="9"/>
        <v>2.8537689431214375E-2</v>
      </c>
    </row>
    <row r="124" spans="1:7" x14ac:dyDescent="0.25">
      <c r="A124" s="17">
        <v>38838</v>
      </c>
      <c r="B124" s="18">
        <f t="shared" si="5"/>
        <v>1475.5597883597889</v>
      </c>
      <c r="C124" s="18">
        <f t="shared" si="6"/>
        <v>916.71904761904761</v>
      </c>
      <c r="D124" s="18">
        <f t="shared" si="7"/>
        <v>914.88377425044109</v>
      </c>
      <c r="E124" s="18">
        <f t="shared" si="8"/>
        <v>673.54532627865979</v>
      </c>
      <c r="F124" s="18">
        <v>867.16666666666686</v>
      </c>
      <c r="G124" s="20">
        <f t="shared" si="9"/>
        <v>-4.4010715652504917E-3</v>
      </c>
    </row>
    <row r="125" spans="1:7" x14ac:dyDescent="0.25">
      <c r="A125" s="17">
        <v>38808</v>
      </c>
      <c r="B125" s="18">
        <f t="shared" si="5"/>
        <v>1469.0370370370374</v>
      </c>
      <c r="C125" s="18">
        <f t="shared" si="6"/>
        <v>912.66666666666663</v>
      </c>
      <c r="D125" s="18">
        <f t="shared" si="7"/>
        <v>910.83950617283961</v>
      </c>
      <c r="E125" s="18">
        <f t="shared" si="8"/>
        <v>670.56790123456801</v>
      </c>
      <c r="F125" s="18">
        <v>863.33333333333348</v>
      </c>
      <c r="G125" s="20">
        <f t="shared" si="9"/>
        <v>-4.4205266192581805E-3</v>
      </c>
    </row>
    <row r="126" spans="1:7" x14ac:dyDescent="0.25">
      <c r="A126" s="17">
        <v>38777</v>
      </c>
      <c r="B126" s="18">
        <f t="shared" si="5"/>
        <v>1462.5142857142862</v>
      </c>
      <c r="C126" s="18">
        <f t="shared" si="6"/>
        <v>908.61428571428564</v>
      </c>
      <c r="D126" s="18">
        <f t="shared" si="7"/>
        <v>906.79523809523823</v>
      </c>
      <c r="E126" s="18">
        <f t="shared" si="8"/>
        <v>667.59047619047635</v>
      </c>
      <c r="F126" s="18">
        <v>859.50000000000011</v>
      </c>
      <c r="G126" s="20">
        <f t="shared" si="9"/>
        <v>-4.4401544401544424E-3</v>
      </c>
    </row>
    <row r="127" spans="1:7" x14ac:dyDescent="0.25">
      <c r="A127" s="17">
        <v>38749</v>
      </c>
      <c r="B127" s="18">
        <f t="shared" si="5"/>
        <v>1455.9915343915347</v>
      </c>
      <c r="C127" s="18">
        <f t="shared" si="6"/>
        <v>904.56190476190466</v>
      </c>
      <c r="D127" s="18">
        <f t="shared" si="7"/>
        <v>902.75097001763675</v>
      </c>
      <c r="E127" s="18">
        <f t="shared" si="8"/>
        <v>664.61305114638458</v>
      </c>
      <c r="F127" s="18">
        <v>855.66666666666674</v>
      </c>
      <c r="G127" s="20">
        <f t="shared" si="9"/>
        <v>-4.4599573395385228E-3</v>
      </c>
    </row>
    <row r="128" spans="1:7" x14ac:dyDescent="0.25">
      <c r="A128" s="17">
        <v>38718</v>
      </c>
      <c r="B128" s="18">
        <f t="shared" si="5"/>
        <v>1449.4687830687833</v>
      </c>
      <c r="C128" s="18">
        <f t="shared" si="6"/>
        <v>900.50952380952367</v>
      </c>
      <c r="D128" s="18">
        <f t="shared" si="7"/>
        <v>898.70670194003537</v>
      </c>
      <c r="E128" s="18">
        <f t="shared" si="8"/>
        <v>661.6356261022928</v>
      </c>
      <c r="F128" s="18">
        <v>851.83333333333337</v>
      </c>
      <c r="G128" s="20">
        <f t="shared" si="9"/>
        <v>-4.4799376704324212E-3</v>
      </c>
    </row>
    <row r="129" spans="1:7" x14ac:dyDescent="0.25">
      <c r="A129" s="17">
        <v>38687</v>
      </c>
      <c r="B129" s="18">
        <f t="shared" si="5"/>
        <v>1442.9460317460318</v>
      </c>
      <c r="C129" s="18">
        <f t="shared" si="6"/>
        <v>896.45714285714268</v>
      </c>
      <c r="D129" s="18">
        <f t="shared" si="7"/>
        <v>894.66243386243389</v>
      </c>
      <c r="E129" s="18">
        <f t="shared" si="8"/>
        <v>658.65820105820103</v>
      </c>
      <c r="F129" s="18">
        <v>848</v>
      </c>
      <c r="G129" s="20">
        <f t="shared" si="9"/>
        <v>-4.5000978282137005E-3</v>
      </c>
    </row>
    <row r="130" spans="1:7" x14ac:dyDescent="0.25">
      <c r="A130" s="17">
        <v>38657</v>
      </c>
      <c r="B130" s="18">
        <f t="shared" si="5"/>
        <v>1430.7513227513225</v>
      </c>
      <c r="C130" s="18">
        <f t="shared" si="6"/>
        <v>888.88095238095195</v>
      </c>
      <c r="D130" s="18">
        <f t="shared" si="7"/>
        <v>887.10141093474408</v>
      </c>
      <c r="E130" s="18">
        <f t="shared" si="8"/>
        <v>653.09171075837719</v>
      </c>
      <c r="F130" s="18">
        <v>840.83333333333314</v>
      </c>
      <c r="G130" s="20">
        <f t="shared" si="9"/>
        <v>-8.451257861635475E-3</v>
      </c>
    </row>
    <row r="131" spans="1:7" x14ac:dyDescent="0.25">
      <c r="A131" s="17">
        <v>38626</v>
      </c>
      <c r="B131" s="18">
        <f t="shared" ref="B131:B147" si="10">B130*(G131+1)</f>
        <v>1418.5566137566136</v>
      </c>
      <c r="C131" s="18">
        <f t="shared" ref="C131:C147" si="11">C130*(G131+1)</f>
        <v>881.30476190476156</v>
      </c>
      <c r="D131" s="18">
        <f t="shared" ref="D131:D147" si="12">D130*(G131+1)</f>
        <v>879.54038800705462</v>
      </c>
      <c r="E131" s="18">
        <f t="shared" ref="E131:E147" si="13">E130*(G131+1)</f>
        <v>647.52522045855358</v>
      </c>
      <c r="F131" s="18">
        <v>833.66666666666652</v>
      </c>
      <c r="G131" s="20">
        <f t="shared" ref="G131:G162" si="14">F131/F130-1</f>
        <v>-8.5232903865212206E-3</v>
      </c>
    </row>
    <row r="132" spans="1:7" x14ac:dyDescent="0.25">
      <c r="A132" s="17">
        <v>38596</v>
      </c>
      <c r="B132" s="18">
        <f t="shared" si="10"/>
        <v>1406.3619047619047</v>
      </c>
      <c r="C132" s="18">
        <f t="shared" si="11"/>
        <v>873.72857142857117</v>
      </c>
      <c r="D132" s="18">
        <f t="shared" si="12"/>
        <v>871.97936507936515</v>
      </c>
      <c r="E132" s="18">
        <f t="shared" si="13"/>
        <v>641.95873015872996</v>
      </c>
      <c r="F132" s="18">
        <v>826.49999999999989</v>
      </c>
      <c r="G132" s="20">
        <f t="shared" si="14"/>
        <v>-8.5965613754497294E-3</v>
      </c>
    </row>
    <row r="133" spans="1:7" x14ac:dyDescent="0.25">
      <c r="A133" s="17">
        <v>38565</v>
      </c>
      <c r="B133" s="18">
        <f t="shared" si="10"/>
        <v>1394.1671957671958</v>
      </c>
      <c r="C133" s="18">
        <f t="shared" si="11"/>
        <v>866.15238095238078</v>
      </c>
      <c r="D133" s="18">
        <f t="shared" si="12"/>
        <v>864.41834215167569</v>
      </c>
      <c r="E133" s="18">
        <f t="shared" si="13"/>
        <v>636.39223985890635</v>
      </c>
      <c r="F133" s="18">
        <v>819.33333333333326</v>
      </c>
      <c r="G133" s="20">
        <f t="shared" si="14"/>
        <v>-8.6711030449686533E-3</v>
      </c>
    </row>
    <row r="134" spans="1:7" x14ac:dyDescent="0.25">
      <c r="A134" s="17">
        <v>38534</v>
      </c>
      <c r="B134" s="18">
        <f t="shared" si="10"/>
        <v>1381.9724867724869</v>
      </c>
      <c r="C134" s="18">
        <f t="shared" si="11"/>
        <v>858.57619047619039</v>
      </c>
      <c r="D134" s="18">
        <f t="shared" si="12"/>
        <v>856.85731922398611</v>
      </c>
      <c r="E134" s="18">
        <f t="shared" si="13"/>
        <v>630.82574955908274</v>
      </c>
      <c r="F134" s="18">
        <v>812.16666666666663</v>
      </c>
      <c r="G134" s="20">
        <f t="shared" si="14"/>
        <v>-8.7469487388119882E-3</v>
      </c>
    </row>
    <row r="135" spans="1:7" x14ac:dyDescent="0.25">
      <c r="A135" s="17">
        <v>38504</v>
      </c>
      <c r="B135" s="18">
        <f t="shared" si="10"/>
        <v>1369.7777777777781</v>
      </c>
      <c r="C135" s="18">
        <f t="shared" si="11"/>
        <v>850.99999999999989</v>
      </c>
      <c r="D135" s="18">
        <f t="shared" si="12"/>
        <v>849.29629629629653</v>
      </c>
      <c r="E135" s="18">
        <f t="shared" si="13"/>
        <v>625.25925925925912</v>
      </c>
      <c r="F135" s="18">
        <v>805</v>
      </c>
      <c r="G135" s="20">
        <f t="shared" si="14"/>
        <v>-8.8241329776318489E-3</v>
      </c>
    </row>
    <row r="136" spans="1:7" x14ac:dyDescent="0.25">
      <c r="A136" s="17">
        <v>38473</v>
      </c>
      <c r="B136" s="18">
        <f t="shared" si="10"/>
        <v>1259.4582010582014</v>
      </c>
      <c r="C136" s="18">
        <f t="shared" si="11"/>
        <v>782.46190476190475</v>
      </c>
      <c r="D136" s="18">
        <f t="shared" si="12"/>
        <v>780.89541446208136</v>
      </c>
      <c r="E136" s="18">
        <f t="shared" si="13"/>
        <v>574.90194003527324</v>
      </c>
      <c r="F136" s="18">
        <v>740.16666666666674</v>
      </c>
      <c r="G136" s="20">
        <f t="shared" si="14"/>
        <v>-8.0538302277432638E-2</v>
      </c>
    </row>
    <row r="137" spans="1:7" x14ac:dyDescent="0.25">
      <c r="A137" s="17">
        <v>38443</v>
      </c>
      <c r="B137" s="18">
        <f t="shared" si="10"/>
        <v>1149.1386243386246</v>
      </c>
      <c r="C137" s="18">
        <f t="shared" si="11"/>
        <v>713.9238095238095</v>
      </c>
      <c r="D137" s="18">
        <f t="shared" si="12"/>
        <v>712.49453262786608</v>
      </c>
      <c r="E137" s="18">
        <f t="shared" si="13"/>
        <v>524.54462081128736</v>
      </c>
      <c r="F137" s="18">
        <v>675.33333333333337</v>
      </c>
      <c r="G137" s="20">
        <f t="shared" si="14"/>
        <v>-8.7592884485476308E-2</v>
      </c>
    </row>
    <row r="138" spans="1:7" x14ac:dyDescent="0.25">
      <c r="A138" s="17">
        <v>38412</v>
      </c>
      <c r="B138" s="18">
        <f t="shared" si="10"/>
        <v>1038.8190476190478</v>
      </c>
      <c r="C138" s="18">
        <f t="shared" si="11"/>
        <v>645.38571428571424</v>
      </c>
      <c r="D138" s="18">
        <f t="shared" si="12"/>
        <v>644.09365079365091</v>
      </c>
      <c r="E138" s="18">
        <f t="shared" si="13"/>
        <v>474.18730158730148</v>
      </c>
      <c r="F138" s="18">
        <v>610.5</v>
      </c>
      <c r="G138" s="20">
        <f t="shared" si="14"/>
        <v>-9.6001974333662421E-2</v>
      </c>
    </row>
    <row r="139" spans="1:7" x14ac:dyDescent="0.25">
      <c r="A139" s="17">
        <v>38384</v>
      </c>
      <c r="B139" s="18">
        <f t="shared" si="10"/>
        <v>928.49947089947102</v>
      </c>
      <c r="C139" s="18">
        <f t="shared" si="11"/>
        <v>576.84761904761899</v>
      </c>
      <c r="D139" s="18">
        <f t="shared" si="12"/>
        <v>575.69276895943574</v>
      </c>
      <c r="E139" s="18">
        <f t="shared" si="13"/>
        <v>423.82998236331559</v>
      </c>
      <c r="F139" s="18">
        <v>545.66666666666663</v>
      </c>
      <c r="G139" s="20">
        <f t="shared" si="14"/>
        <v>-0.10619710619710621</v>
      </c>
    </row>
    <row r="140" spans="1:7" x14ac:dyDescent="0.25">
      <c r="A140" s="17">
        <v>38353</v>
      </c>
      <c r="B140" s="18">
        <f t="shared" si="10"/>
        <v>818.17989417989429</v>
      </c>
      <c r="C140" s="18">
        <f t="shared" si="11"/>
        <v>508.3095238095238</v>
      </c>
      <c r="D140" s="18">
        <f t="shared" si="12"/>
        <v>507.29188712522057</v>
      </c>
      <c r="E140" s="18">
        <f t="shared" si="13"/>
        <v>373.47266313932977</v>
      </c>
      <c r="F140" s="18">
        <v>480.83333333333331</v>
      </c>
      <c r="G140" s="20">
        <f t="shared" si="14"/>
        <v>-0.11881490531459982</v>
      </c>
    </row>
    <row r="141" spans="1:7" x14ac:dyDescent="0.25">
      <c r="A141" s="17">
        <v>38322</v>
      </c>
      <c r="B141" s="18">
        <f t="shared" si="10"/>
        <v>707.86031746031756</v>
      </c>
      <c r="C141" s="18">
        <f t="shared" si="11"/>
        <v>439.7714285714286</v>
      </c>
      <c r="D141" s="18">
        <f t="shared" si="12"/>
        <v>438.8910052910054</v>
      </c>
      <c r="E141" s="18">
        <f t="shared" si="13"/>
        <v>323.11534391534389</v>
      </c>
      <c r="F141" s="18">
        <v>416</v>
      </c>
      <c r="G141" s="20">
        <f t="shared" si="14"/>
        <v>-0.1348353552859618</v>
      </c>
    </row>
    <row r="142" spans="1:7" x14ac:dyDescent="0.25">
      <c r="A142" s="17">
        <v>38292</v>
      </c>
      <c r="B142" s="18">
        <f t="shared" si="10"/>
        <v>696.80000000000007</v>
      </c>
      <c r="C142" s="18">
        <f t="shared" si="11"/>
        <v>432.90000000000003</v>
      </c>
      <c r="D142" s="18">
        <f t="shared" si="12"/>
        <v>432.03333333333342</v>
      </c>
      <c r="E142" s="18">
        <f t="shared" si="13"/>
        <v>318.06666666666666</v>
      </c>
      <c r="F142" s="18">
        <v>409.5</v>
      </c>
      <c r="G142" s="20">
        <f t="shared" si="14"/>
        <v>-1.5625E-2</v>
      </c>
    </row>
    <row r="143" spans="1:7" x14ac:dyDescent="0.25">
      <c r="A143" s="17">
        <v>38261</v>
      </c>
      <c r="B143" s="18">
        <f t="shared" si="10"/>
        <v>685.73968253968258</v>
      </c>
      <c r="C143" s="18">
        <f t="shared" si="11"/>
        <v>426.02857142857141</v>
      </c>
      <c r="D143" s="18">
        <f t="shared" si="12"/>
        <v>425.17566137566143</v>
      </c>
      <c r="E143" s="18">
        <f t="shared" si="13"/>
        <v>313.01798941798938</v>
      </c>
      <c r="F143" s="18">
        <v>403</v>
      </c>
      <c r="G143" s="20">
        <f t="shared" si="14"/>
        <v>-1.5873015873015928E-2</v>
      </c>
    </row>
    <row r="144" spans="1:7" x14ac:dyDescent="0.25">
      <c r="A144" s="17">
        <v>38231</v>
      </c>
      <c r="B144" s="18">
        <f t="shared" si="10"/>
        <v>674.67936507936508</v>
      </c>
      <c r="C144" s="18">
        <f t="shared" si="11"/>
        <v>419.15714285714284</v>
      </c>
      <c r="D144" s="18">
        <f t="shared" si="12"/>
        <v>418.31798941798951</v>
      </c>
      <c r="E144" s="18">
        <f t="shared" si="13"/>
        <v>307.96931216931216</v>
      </c>
      <c r="F144" s="18">
        <v>396.5</v>
      </c>
      <c r="G144" s="20">
        <f t="shared" si="14"/>
        <v>-1.6129032258064502E-2</v>
      </c>
    </row>
    <row r="145" spans="1:7" x14ac:dyDescent="0.25">
      <c r="A145" s="17">
        <v>38200</v>
      </c>
      <c r="B145" s="18">
        <f t="shared" si="10"/>
        <v>663.61904761904759</v>
      </c>
      <c r="C145" s="18">
        <f t="shared" si="11"/>
        <v>412.28571428571428</v>
      </c>
      <c r="D145" s="18">
        <f t="shared" si="12"/>
        <v>411.46031746031753</v>
      </c>
      <c r="E145" s="18">
        <f t="shared" si="13"/>
        <v>302.92063492063488</v>
      </c>
      <c r="F145" s="18">
        <v>390</v>
      </c>
      <c r="G145" s="20">
        <f t="shared" si="14"/>
        <v>-1.6393442622950838E-2</v>
      </c>
    </row>
    <row r="146" spans="1:7" x14ac:dyDescent="0.25">
      <c r="A146" s="17">
        <v>38169</v>
      </c>
      <c r="B146" s="18">
        <f t="shared" si="10"/>
        <v>652.5587301587301</v>
      </c>
      <c r="C146" s="18">
        <f t="shared" si="11"/>
        <v>405.41428571428571</v>
      </c>
      <c r="D146" s="18">
        <f t="shared" si="12"/>
        <v>404.60264550264554</v>
      </c>
      <c r="E146" s="18">
        <f t="shared" si="13"/>
        <v>297.8719576719576</v>
      </c>
      <c r="F146" s="18">
        <v>383.5</v>
      </c>
      <c r="G146" s="20">
        <f t="shared" si="14"/>
        <v>-1.6666666666666718E-2</v>
      </c>
    </row>
    <row r="147" spans="1:7" x14ac:dyDescent="0.25">
      <c r="A147" s="17">
        <v>38139</v>
      </c>
      <c r="B147" s="18">
        <f t="shared" si="10"/>
        <v>641.49841269841272</v>
      </c>
      <c r="C147" s="18">
        <f t="shared" si="11"/>
        <v>398.54285714285714</v>
      </c>
      <c r="D147" s="18">
        <f t="shared" si="12"/>
        <v>397.74497354497362</v>
      </c>
      <c r="E147" s="18">
        <f t="shared" si="13"/>
        <v>292.82328042328038</v>
      </c>
      <c r="F147" s="18">
        <v>377</v>
      </c>
      <c r="G147" s="20">
        <f t="shared" si="14"/>
        <v>-1.6949152542372836E-2</v>
      </c>
    </row>
  </sheetData>
  <sortState ref="A2:G147">
    <sortCondition descending="1" ref="A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44"/>
  <sheetViews>
    <sheetView topLeftCell="A100" workbookViewId="0">
      <selection activeCell="B64" sqref="B64:C144"/>
    </sheetView>
  </sheetViews>
  <sheetFormatPr defaultRowHeight="15" x14ac:dyDescent="0.25"/>
  <cols>
    <col min="2" max="2" width="10.85546875" style="4" customWidth="1"/>
    <col min="3" max="3" width="9.140625" style="3"/>
    <col min="5" max="5" width="12.28515625" customWidth="1"/>
  </cols>
  <sheetData>
    <row r="1" spans="2:5" x14ac:dyDescent="0.25">
      <c r="B1" s="5" t="s">
        <v>0</v>
      </c>
      <c r="C1" s="6" t="s">
        <v>1</v>
      </c>
      <c r="E1" s="8" t="s">
        <v>2</v>
      </c>
    </row>
    <row r="2" spans="2:5" x14ac:dyDescent="0.25">
      <c r="B2" s="2">
        <v>42461</v>
      </c>
      <c r="C2" s="1">
        <v>122.4</v>
      </c>
    </row>
    <row r="3" spans="2:5" x14ac:dyDescent="0.25">
      <c r="B3" s="2">
        <v>42430</v>
      </c>
      <c r="C3" s="1">
        <v>123.5</v>
      </c>
    </row>
    <row r="4" spans="2:5" x14ac:dyDescent="0.25">
      <c r="B4" s="2">
        <v>42401</v>
      </c>
      <c r="C4" s="1">
        <v>123.8</v>
      </c>
    </row>
    <row r="5" spans="2:5" x14ac:dyDescent="0.25">
      <c r="B5" s="2">
        <v>42370</v>
      </c>
      <c r="C5" s="1">
        <v>123.8</v>
      </c>
    </row>
    <row r="6" spans="2:5" x14ac:dyDescent="0.25">
      <c r="B6" s="2">
        <v>42339</v>
      </c>
      <c r="C6" s="1">
        <v>124.346</v>
      </c>
    </row>
    <row r="7" spans="2:5" x14ac:dyDescent="0.25">
      <c r="B7" s="2">
        <v>42309</v>
      </c>
      <c r="C7" s="1">
        <v>127.4</v>
      </c>
    </row>
    <row r="8" spans="2:5" x14ac:dyDescent="0.25">
      <c r="B8" s="2">
        <v>42278</v>
      </c>
      <c r="C8" s="1">
        <v>128.4</v>
      </c>
    </row>
    <row r="9" spans="2:5" x14ac:dyDescent="0.25">
      <c r="B9" s="2">
        <v>42248</v>
      </c>
      <c r="C9" s="1">
        <v>126.5</v>
      </c>
    </row>
    <row r="10" spans="2:5" x14ac:dyDescent="0.25">
      <c r="B10" s="2">
        <v>42217</v>
      </c>
      <c r="C10" s="1">
        <v>126.1</v>
      </c>
    </row>
    <row r="11" spans="2:5" x14ac:dyDescent="0.25">
      <c r="B11" s="2">
        <v>42186</v>
      </c>
      <c r="C11" s="1">
        <v>125.5</v>
      </c>
    </row>
    <row r="12" spans="2:5" x14ac:dyDescent="0.25">
      <c r="B12" s="2">
        <v>42156</v>
      </c>
      <c r="C12" s="1">
        <v>122</v>
      </c>
    </row>
    <row r="13" spans="2:5" x14ac:dyDescent="0.25">
      <c r="B13" s="2">
        <v>42125</v>
      </c>
      <c r="C13" s="1">
        <v>122.6</v>
      </c>
    </row>
    <row r="14" spans="2:5" x14ac:dyDescent="0.25">
      <c r="B14" s="2">
        <v>42095</v>
      </c>
      <c r="C14" s="1">
        <v>122</v>
      </c>
    </row>
    <row r="15" spans="2:5" x14ac:dyDescent="0.25">
      <c r="B15" s="2">
        <v>42064</v>
      </c>
      <c r="C15" s="1">
        <v>121.35899999999999</v>
      </c>
    </row>
    <row r="16" spans="2:5" x14ac:dyDescent="0.25">
      <c r="B16" s="2">
        <v>42036</v>
      </c>
      <c r="C16" s="1">
        <v>118.6</v>
      </c>
    </row>
    <row r="17" spans="2:3" x14ac:dyDescent="0.25">
      <c r="B17" s="2">
        <v>42005</v>
      </c>
      <c r="C17" s="1">
        <v>117.8</v>
      </c>
    </row>
    <row r="18" spans="2:3" x14ac:dyDescent="0.25">
      <c r="B18" s="2">
        <v>41974</v>
      </c>
      <c r="C18" s="1">
        <v>115.7</v>
      </c>
    </row>
    <row r="19" spans="2:3" x14ac:dyDescent="0.25">
      <c r="B19" s="2">
        <v>41944</v>
      </c>
      <c r="C19" s="1">
        <v>114.6</v>
      </c>
    </row>
    <row r="20" spans="2:3" x14ac:dyDescent="0.25">
      <c r="B20" s="2">
        <v>41913</v>
      </c>
      <c r="C20" s="1">
        <v>113.2</v>
      </c>
    </row>
    <row r="21" spans="2:3" x14ac:dyDescent="0.25">
      <c r="B21" s="2">
        <v>41883</v>
      </c>
      <c r="C21" s="1">
        <v>116.1</v>
      </c>
    </row>
    <row r="22" spans="2:3" x14ac:dyDescent="0.25">
      <c r="B22" s="2">
        <v>41852</v>
      </c>
      <c r="C22" s="1">
        <v>116.1</v>
      </c>
    </row>
    <row r="23" spans="2:3" x14ac:dyDescent="0.25">
      <c r="B23" s="2">
        <v>41821</v>
      </c>
      <c r="C23" s="1">
        <v>116.4</v>
      </c>
    </row>
    <row r="24" spans="2:3" x14ac:dyDescent="0.25">
      <c r="B24" s="2">
        <v>41791</v>
      </c>
      <c r="C24" s="1">
        <v>115.8</v>
      </c>
    </row>
    <row r="25" spans="2:3" x14ac:dyDescent="0.25">
      <c r="B25" s="2">
        <v>41760</v>
      </c>
      <c r="C25" s="1">
        <v>115.1</v>
      </c>
    </row>
    <row r="26" spans="2:3" x14ac:dyDescent="0.25">
      <c r="B26" s="2">
        <v>41730</v>
      </c>
      <c r="C26" s="1">
        <v>113.8</v>
      </c>
    </row>
    <row r="27" spans="2:3" x14ac:dyDescent="0.25">
      <c r="B27" s="2">
        <v>41699</v>
      </c>
      <c r="C27" s="1">
        <v>114</v>
      </c>
    </row>
    <row r="28" spans="2:3" x14ac:dyDescent="0.25">
      <c r="B28" s="2">
        <v>41671</v>
      </c>
      <c r="C28" s="1">
        <v>113.5</v>
      </c>
    </row>
    <row r="29" spans="2:3" x14ac:dyDescent="0.25">
      <c r="B29" s="2">
        <v>41640</v>
      </c>
      <c r="C29" s="1">
        <v>113</v>
      </c>
    </row>
    <row r="30" spans="2:3" x14ac:dyDescent="0.25">
      <c r="B30" s="2">
        <v>41609</v>
      </c>
      <c r="C30" s="1">
        <v>110.9</v>
      </c>
    </row>
    <row r="31" spans="2:3" x14ac:dyDescent="0.25">
      <c r="B31" s="2">
        <v>41579</v>
      </c>
      <c r="C31" s="1">
        <v>110.2</v>
      </c>
    </row>
    <row r="32" spans="2:3" x14ac:dyDescent="0.25">
      <c r="B32" s="2">
        <v>41548</v>
      </c>
      <c r="C32" s="1">
        <v>111.5</v>
      </c>
    </row>
    <row r="33" spans="2:3" x14ac:dyDescent="0.25">
      <c r="B33" s="2">
        <v>41518</v>
      </c>
      <c r="C33" s="1">
        <v>110.7</v>
      </c>
    </row>
    <row r="34" spans="2:3" x14ac:dyDescent="0.25">
      <c r="B34" s="2">
        <v>41487</v>
      </c>
      <c r="C34" s="1">
        <v>111.5</v>
      </c>
    </row>
    <row r="35" spans="2:3" x14ac:dyDescent="0.25">
      <c r="B35" s="2">
        <v>41456</v>
      </c>
      <c r="C35" s="1">
        <v>112.3</v>
      </c>
    </row>
    <row r="36" spans="2:3" x14ac:dyDescent="0.25">
      <c r="B36" s="2">
        <v>41426</v>
      </c>
      <c r="C36" s="1">
        <v>109.81</v>
      </c>
    </row>
    <row r="37" spans="2:3" x14ac:dyDescent="0.25">
      <c r="B37" s="2">
        <v>41395</v>
      </c>
      <c r="C37" s="1">
        <v>108.87</v>
      </c>
    </row>
    <row r="38" spans="2:3" x14ac:dyDescent="0.25">
      <c r="B38" s="2">
        <v>41365</v>
      </c>
      <c r="C38" s="1">
        <v>108.56</v>
      </c>
    </row>
    <row r="39" spans="2:3" x14ac:dyDescent="0.25">
      <c r="B39" s="2">
        <v>41334</v>
      </c>
      <c r="C39" s="1">
        <v>108.01</v>
      </c>
    </row>
    <row r="40" spans="2:3" x14ac:dyDescent="0.25">
      <c r="B40" s="2">
        <v>41306</v>
      </c>
      <c r="C40" s="1">
        <v>109.13</v>
      </c>
    </row>
    <row r="41" spans="2:3" x14ac:dyDescent="0.25">
      <c r="B41" s="2">
        <v>41275</v>
      </c>
      <c r="C41" s="1">
        <v>108.21</v>
      </c>
    </row>
    <row r="42" spans="2:3" x14ac:dyDescent="0.25">
      <c r="B42" s="2">
        <v>41244</v>
      </c>
      <c r="C42" s="1">
        <v>108.16</v>
      </c>
    </row>
    <row r="43" spans="2:3" x14ac:dyDescent="0.25">
      <c r="B43" s="2">
        <v>41214</v>
      </c>
      <c r="C43" s="1">
        <v>105.95</v>
      </c>
    </row>
    <row r="44" spans="2:3" x14ac:dyDescent="0.25">
      <c r="B44" s="2">
        <v>41183</v>
      </c>
      <c r="C44" s="1">
        <v>101.4</v>
      </c>
    </row>
    <row r="45" spans="2:3" x14ac:dyDescent="0.25">
      <c r="B45" s="2">
        <v>41153</v>
      </c>
      <c r="C45" s="1">
        <v>103.92</v>
      </c>
    </row>
    <row r="46" spans="2:3" x14ac:dyDescent="0.25">
      <c r="B46" s="2">
        <v>41122</v>
      </c>
      <c r="C46" s="1">
        <v>103.93</v>
      </c>
    </row>
    <row r="47" spans="2:3" x14ac:dyDescent="0.25">
      <c r="B47" s="2">
        <v>41091</v>
      </c>
      <c r="C47" s="1">
        <v>99.67</v>
      </c>
    </row>
    <row r="48" spans="2:3" x14ac:dyDescent="0.25">
      <c r="B48" s="2">
        <v>41061</v>
      </c>
      <c r="C48" s="1">
        <v>103.01</v>
      </c>
    </row>
    <row r="49" spans="2:3" x14ac:dyDescent="0.25">
      <c r="B49" s="2">
        <v>41030</v>
      </c>
      <c r="C49" s="1">
        <v>101.55</v>
      </c>
    </row>
    <row r="50" spans="2:3" x14ac:dyDescent="0.25">
      <c r="B50" s="2">
        <v>41000</v>
      </c>
      <c r="C50" s="1">
        <v>101.71</v>
      </c>
    </row>
    <row r="51" spans="2:3" x14ac:dyDescent="0.25">
      <c r="B51" s="2">
        <v>40969</v>
      </c>
      <c r="C51" s="1">
        <v>100</v>
      </c>
    </row>
    <row r="52" spans="2:3" x14ac:dyDescent="0.25">
      <c r="B52" s="2">
        <v>40940</v>
      </c>
      <c r="C52" s="1">
        <v>99.04</v>
      </c>
    </row>
    <row r="53" spans="2:3" x14ac:dyDescent="0.25">
      <c r="B53" s="2">
        <v>40909</v>
      </c>
      <c r="C53" s="1">
        <v>102.38</v>
      </c>
    </row>
    <row r="54" spans="2:3" x14ac:dyDescent="0.25">
      <c r="B54" s="2">
        <v>40878</v>
      </c>
      <c r="C54" s="1">
        <v>104.92</v>
      </c>
    </row>
    <row r="55" spans="2:3" x14ac:dyDescent="0.25">
      <c r="B55" s="2">
        <v>40848</v>
      </c>
      <c r="C55" s="1">
        <v>106.28</v>
      </c>
    </row>
    <row r="56" spans="2:3" x14ac:dyDescent="0.25">
      <c r="B56" s="2">
        <v>40817</v>
      </c>
      <c r="C56" s="1">
        <v>107.1</v>
      </c>
    </row>
    <row r="57" spans="2:3" x14ac:dyDescent="0.25">
      <c r="B57" s="2">
        <v>40787</v>
      </c>
      <c r="C57" s="1">
        <v>111.19</v>
      </c>
    </row>
    <row r="58" spans="2:3" x14ac:dyDescent="0.25">
      <c r="B58" s="2">
        <v>40756</v>
      </c>
      <c r="C58" s="1">
        <v>107.75</v>
      </c>
    </row>
    <row r="59" spans="2:3" x14ac:dyDescent="0.25">
      <c r="B59" s="2">
        <v>40725</v>
      </c>
      <c r="C59" s="1">
        <v>109.95</v>
      </c>
    </row>
    <row r="60" spans="2:3" x14ac:dyDescent="0.25">
      <c r="B60" s="2">
        <v>40695</v>
      </c>
      <c r="C60" s="1">
        <v>110.55</v>
      </c>
    </row>
    <row r="61" spans="2:3" x14ac:dyDescent="0.25">
      <c r="B61" s="2">
        <v>40664</v>
      </c>
      <c r="C61" s="1">
        <v>109.28</v>
      </c>
    </row>
    <row r="62" spans="2:3" x14ac:dyDescent="0.25">
      <c r="B62" s="2">
        <v>40634</v>
      </c>
      <c r="C62" s="1">
        <v>107.04</v>
      </c>
    </row>
    <row r="63" spans="2:3" x14ac:dyDescent="0.25">
      <c r="B63" s="2">
        <v>40603</v>
      </c>
      <c r="C63" s="1">
        <v>112.08</v>
      </c>
    </row>
    <row r="64" spans="2:3" x14ac:dyDescent="0.25">
      <c r="B64" s="2">
        <v>40575</v>
      </c>
      <c r="C64" s="1">
        <v>114.66666666666666</v>
      </c>
    </row>
    <row r="65" spans="2:3" x14ac:dyDescent="0.25">
      <c r="B65" s="2">
        <v>40544</v>
      </c>
      <c r="C65" s="1">
        <v>115.83333333333333</v>
      </c>
    </row>
    <row r="66" spans="2:3" x14ac:dyDescent="0.25">
      <c r="B66" s="2">
        <v>40513</v>
      </c>
      <c r="C66" s="1">
        <v>117</v>
      </c>
    </row>
    <row r="67" spans="2:3" x14ac:dyDescent="0.25">
      <c r="B67" s="2">
        <v>40483</v>
      </c>
      <c r="C67" s="1">
        <v>113.83333333333336</v>
      </c>
    </row>
    <row r="68" spans="2:3" x14ac:dyDescent="0.25">
      <c r="B68" s="2">
        <v>40452</v>
      </c>
      <c r="C68" s="1">
        <v>110.66666666666669</v>
      </c>
    </row>
    <row r="69" spans="2:3" x14ac:dyDescent="0.25">
      <c r="B69" s="2">
        <v>40422</v>
      </c>
      <c r="C69" s="1">
        <v>107.50000000000001</v>
      </c>
    </row>
    <row r="70" spans="2:3" x14ac:dyDescent="0.25">
      <c r="B70" s="2">
        <v>40391</v>
      </c>
      <c r="C70" s="1">
        <v>104.33333333333334</v>
      </c>
    </row>
    <row r="71" spans="2:3" x14ac:dyDescent="0.25">
      <c r="B71" s="2">
        <v>40360</v>
      </c>
      <c r="C71" s="1">
        <v>101.16666666666667</v>
      </c>
    </row>
    <row r="72" spans="2:3" x14ac:dyDescent="0.25">
      <c r="B72" s="2">
        <v>40330</v>
      </c>
      <c r="C72" s="1">
        <v>98</v>
      </c>
    </row>
    <row r="73" spans="2:3" x14ac:dyDescent="0.25">
      <c r="B73" s="2">
        <v>40299</v>
      </c>
      <c r="C73" s="1">
        <v>97.333333333333357</v>
      </c>
    </row>
    <row r="74" spans="2:3" x14ac:dyDescent="0.25">
      <c r="B74" s="2">
        <v>40269</v>
      </c>
      <c r="C74" s="1">
        <v>96.666666666666686</v>
      </c>
    </row>
    <row r="75" spans="2:3" x14ac:dyDescent="0.25">
      <c r="B75" s="2">
        <v>40238</v>
      </c>
      <c r="C75" s="1">
        <v>96.000000000000014</v>
      </c>
    </row>
    <row r="76" spans="2:3" x14ac:dyDescent="0.25">
      <c r="B76" s="2">
        <v>40210</v>
      </c>
      <c r="C76" s="1">
        <v>95.333333333333343</v>
      </c>
    </row>
    <row r="77" spans="2:3" x14ac:dyDescent="0.25">
      <c r="B77" s="2">
        <v>40179</v>
      </c>
      <c r="C77" s="1">
        <v>94.666666666666671</v>
      </c>
    </row>
    <row r="78" spans="2:3" x14ac:dyDescent="0.25">
      <c r="B78" s="2">
        <v>40148</v>
      </c>
      <c r="C78" s="1">
        <v>94</v>
      </c>
    </row>
    <row r="79" spans="2:3" x14ac:dyDescent="0.25">
      <c r="B79" s="2">
        <v>40118</v>
      </c>
      <c r="C79" s="1">
        <v>99.5</v>
      </c>
    </row>
    <row r="80" spans="2:3" x14ac:dyDescent="0.25">
      <c r="B80" s="2">
        <v>40087</v>
      </c>
      <c r="C80" s="1">
        <v>105</v>
      </c>
    </row>
    <row r="81" spans="2:5" x14ac:dyDescent="0.25">
      <c r="B81" s="2">
        <v>40057</v>
      </c>
      <c r="C81" s="1">
        <v>110.5</v>
      </c>
    </row>
    <row r="82" spans="2:5" x14ac:dyDescent="0.25">
      <c r="B82" s="2">
        <v>40026</v>
      </c>
      <c r="C82" s="1">
        <v>116</v>
      </c>
    </row>
    <row r="83" spans="2:5" x14ac:dyDescent="0.25">
      <c r="B83" s="2">
        <v>39995</v>
      </c>
      <c r="C83" s="1">
        <v>121.5</v>
      </c>
      <c r="E83" s="7"/>
    </row>
    <row r="84" spans="2:5" x14ac:dyDescent="0.25">
      <c r="B84" s="2">
        <v>39965</v>
      </c>
      <c r="C84" s="1">
        <v>127</v>
      </c>
      <c r="E84" s="7"/>
    </row>
    <row r="85" spans="2:5" x14ac:dyDescent="0.25">
      <c r="B85" s="2">
        <v>39934</v>
      </c>
      <c r="C85" s="1">
        <v>119.83333333333336</v>
      </c>
      <c r="E85" s="7"/>
    </row>
    <row r="86" spans="2:5" x14ac:dyDescent="0.25">
      <c r="B86" s="2">
        <v>39904</v>
      </c>
      <c r="C86" s="1">
        <v>112.66666666666669</v>
      </c>
      <c r="E86" s="7"/>
    </row>
    <row r="87" spans="2:5" x14ac:dyDescent="0.25">
      <c r="B87" s="2">
        <v>39873</v>
      </c>
      <c r="C87" s="1">
        <v>105.50000000000001</v>
      </c>
      <c r="E87" s="7"/>
    </row>
    <row r="88" spans="2:5" x14ac:dyDescent="0.25">
      <c r="B88" s="2">
        <v>39845</v>
      </c>
      <c r="C88" s="1">
        <v>98.333333333333343</v>
      </c>
      <c r="E88" s="7"/>
    </row>
    <row r="89" spans="2:5" x14ac:dyDescent="0.25">
      <c r="B89" s="2">
        <v>39814</v>
      </c>
      <c r="C89" s="1">
        <v>91.166666666666671</v>
      </c>
      <c r="E89" s="7"/>
    </row>
    <row r="90" spans="2:5" x14ac:dyDescent="0.25">
      <c r="B90" s="2">
        <v>39783</v>
      </c>
      <c r="C90" s="1">
        <v>84</v>
      </c>
      <c r="E90" s="7"/>
    </row>
    <row r="91" spans="2:5" x14ac:dyDescent="0.25">
      <c r="B91" s="2">
        <v>39753</v>
      </c>
      <c r="C91" s="1">
        <v>89.666666666666643</v>
      </c>
      <c r="E91" s="7"/>
    </row>
    <row r="92" spans="2:5" x14ac:dyDescent="0.25">
      <c r="B92" s="2">
        <v>39722</v>
      </c>
      <c r="C92" s="1">
        <v>95.333333333333314</v>
      </c>
      <c r="E92" s="7"/>
    </row>
    <row r="93" spans="2:5" x14ac:dyDescent="0.25">
      <c r="B93" s="2">
        <v>39692</v>
      </c>
      <c r="C93" s="1">
        <v>100.99999999999999</v>
      </c>
      <c r="E93" s="7"/>
    </row>
    <row r="94" spans="2:5" x14ac:dyDescent="0.25">
      <c r="B94" s="2">
        <v>39661</v>
      </c>
      <c r="C94" s="1">
        <v>106.66666666666666</v>
      </c>
      <c r="E94" s="7"/>
    </row>
    <row r="95" spans="2:5" x14ac:dyDescent="0.25">
      <c r="B95" s="2">
        <v>39630</v>
      </c>
      <c r="C95" s="1">
        <v>112.33333333333333</v>
      </c>
      <c r="E95" s="7"/>
    </row>
    <row r="96" spans="2:5" x14ac:dyDescent="0.25">
      <c r="B96" s="2">
        <v>39600</v>
      </c>
      <c r="C96" s="1">
        <v>118</v>
      </c>
      <c r="E96" s="7"/>
    </row>
    <row r="97" spans="2:5" x14ac:dyDescent="0.25">
      <c r="B97" s="2">
        <v>39569</v>
      </c>
      <c r="C97" s="1">
        <v>151.16666666666669</v>
      </c>
      <c r="E97" s="7"/>
    </row>
    <row r="98" spans="2:5" x14ac:dyDescent="0.25">
      <c r="B98" s="2">
        <v>39539</v>
      </c>
      <c r="C98" s="1">
        <v>184.33333333333334</v>
      </c>
      <c r="E98" s="7"/>
    </row>
    <row r="99" spans="2:5" x14ac:dyDescent="0.25">
      <c r="B99" s="2">
        <v>39508</v>
      </c>
      <c r="C99" s="1">
        <v>217.5</v>
      </c>
      <c r="E99" s="7"/>
    </row>
    <row r="100" spans="2:5" x14ac:dyDescent="0.25">
      <c r="B100" s="2">
        <v>39479</v>
      </c>
      <c r="C100" s="1">
        <v>250.66666666666666</v>
      </c>
      <c r="E100" s="7"/>
    </row>
    <row r="101" spans="2:5" x14ac:dyDescent="0.25">
      <c r="B101" s="2">
        <v>39448</v>
      </c>
      <c r="C101" s="1">
        <v>283.83333333333331</v>
      </c>
      <c r="E101" s="7"/>
    </row>
    <row r="102" spans="2:5" x14ac:dyDescent="0.25">
      <c r="B102" s="2">
        <v>39417</v>
      </c>
      <c r="C102" s="1">
        <v>317</v>
      </c>
      <c r="E102" s="7"/>
    </row>
    <row r="103" spans="2:5" x14ac:dyDescent="0.25">
      <c r="B103" s="2">
        <v>39387</v>
      </c>
      <c r="C103" s="1">
        <v>355.5</v>
      </c>
      <c r="E103" s="7"/>
    </row>
    <row r="104" spans="2:5" x14ac:dyDescent="0.25">
      <c r="B104" s="2">
        <v>39356</v>
      </c>
      <c r="C104" s="1">
        <v>394</v>
      </c>
      <c r="E104" s="7"/>
    </row>
    <row r="105" spans="2:5" x14ac:dyDescent="0.25">
      <c r="B105" s="2">
        <v>39326</v>
      </c>
      <c r="C105" s="1">
        <v>432.5</v>
      </c>
      <c r="E105" s="7"/>
    </row>
    <row r="106" spans="2:5" x14ac:dyDescent="0.25">
      <c r="B106" s="2">
        <v>39295</v>
      </c>
      <c r="C106" s="1">
        <v>471</v>
      </c>
      <c r="E106" s="7"/>
    </row>
    <row r="107" spans="2:5" x14ac:dyDescent="0.25">
      <c r="B107" s="2">
        <v>39264</v>
      </c>
      <c r="C107" s="1">
        <v>509.5</v>
      </c>
      <c r="E107" s="7"/>
    </row>
    <row r="108" spans="2:5" x14ac:dyDescent="0.25">
      <c r="B108" s="2">
        <v>39234</v>
      </c>
      <c r="C108" s="1">
        <v>548</v>
      </c>
      <c r="E108" s="7"/>
    </row>
    <row r="109" spans="2:5" x14ac:dyDescent="0.25">
      <c r="B109" s="2">
        <v>39203</v>
      </c>
      <c r="C109" s="1">
        <v>577.66666666666686</v>
      </c>
      <c r="E109" s="7"/>
    </row>
    <row r="110" spans="2:5" x14ac:dyDescent="0.25">
      <c r="B110" s="2">
        <v>39173</v>
      </c>
      <c r="C110" s="1">
        <v>607.33333333333348</v>
      </c>
      <c r="E110" s="7"/>
    </row>
    <row r="111" spans="2:5" x14ac:dyDescent="0.25">
      <c r="B111" s="2">
        <v>39142</v>
      </c>
      <c r="C111" s="1">
        <v>637.00000000000011</v>
      </c>
      <c r="E111" s="7"/>
    </row>
    <row r="112" spans="2:5" x14ac:dyDescent="0.25">
      <c r="B112" s="2">
        <v>39114</v>
      </c>
      <c r="C112" s="1">
        <v>666.66666666666674</v>
      </c>
      <c r="E112" s="7"/>
    </row>
    <row r="113" spans="2:5" x14ac:dyDescent="0.25">
      <c r="B113" s="2">
        <v>39083</v>
      </c>
      <c r="C113" s="1">
        <v>696.33333333333337</v>
      </c>
      <c r="E113" s="7"/>
    </row>
    <row r="114" spans="2:5" x14ac:dyDescent="0.25">
      <c r="B114" s="2">
        <v>39052</v>
      </c>
      <c r="C114" s="1">
        <v>726</v>
      </c>
      <c r="E114" s="7"/>
    </row>
    <row r="115" spans="2:5" x14ac:dyDescent="0.25">
      <c r="B115" s="2">
        <v>39022</v>
      </c>
      <c r="C115" s="1">
        <v>750.16666666666686</v>
      </c>
      <c r="E115" s="7"/>
    </row>
    <row r="116" spans="2:5" x14ac:dyDescent="0.25">
      <c r="B116" s="2">
        <v>38991</v>
      </c>
      <c r="C116" s="1">
        <v>774.33333333333348</v>
      </c>
      <c r="E116" s="7"/>
    </row>
    <row r="117" spans="2:5" x14ac:dyDescent="0.25">
      <c r="B117" s="2">
        <v>38961</v>
      </c>
      <c r="C117" s="1">
        <v>798.50000000000011</v>
      </c>
      <c r="E117" s="7"/>
    </row>
    <row r="118" spans="2:5" x14ac:dyDescent="0.25">
      <c r="B118" s="2">
        <v>38930</v>
      </c>
      <c r="C118" s="1">
        <v>822.66666666666674</v>
      </c>
      <c r="E118" s="7"/>
    </row>
    <row r="119" spans="2:5" x14ac:dyDescent="0.25">
      <c r="B119" s="2">
        <v>38899</v>
      </c>
      <c r="C119" s="1">
        <v>846.83333333333337</v>
      </c>
      <c r="E119" s="7"/>
    </row>
    <row r="120" spans="2:5" x14ac:dyDescent="0.25">
      <c r="B120" s="2">
        <v>38869</v>
      </c>
      <c r="C120" s="1">
        <v>871</v>
      </c>
      <c r="E120" s="7"/>
    </row>
    <row r="121" spans="2:5" x14ac:dyDescent="0.25">
      <c r="B121" s="2">
        <v>38838</v>
      </c>
      <c r="C121" s="1">
        <v>867.16666666666686</v>
      </c>
      <c r="E121" s="7"/>
    </row>
    <row r="122" spans="2:5" x14ac:dyDescent="0.25">
      <c r="B122" s="2">
        <v>38808</v>
      </c>
      <c r="C122" s="1">
        <v>863.33333333333348</v>
      </c>
      <c r="E122" s="7"/>
    </row>
    <row r="123" spans="2:5" x14ac:dyDescent="0.25">
      <c r="B123" s="2">
        <v>38777</v>
      </c>
      <c r="C123" s="1">
        <v>859.50000000000011</v>
      </c>
      <c r="E123" s="7"/>
    </row>
    <row r="124" spans="2:5" x14ac:dyDescent="0.25">
      <c r="B124" s="2">
        <v>38749</v>
      </c>
      <c r="C124" s="1">
        <v>855.66666666666674</v>
      </c>
      <c r="E124" s="7"/>
    </row>
    <row r="125" spans="2:5" x14ac:dyDescent="0.25">
      <c r="B125" s="2">
        <v>38718</v>
      </c>
      <c r="C125" s="1">
        <v>851.83333333333337</v>
      </c>
      <c r="E125" s="7"/>
    </row>
    <row r="126" spans="2:5" x14ac:dyDescent="0.25">
      <c r="B126" s="2">
        <v>38687</v>
      </c>
      <c r="C126" s="1">
        <v>848</v>
      </c>
      <c r="E126" s="7"/>
    </row>
    <row r="127" spans="2:5" x14ac:dyDescent="0.25">
      <c r="B127" s="2">
        <v>38657</v>
      </c>
      <c r="C127" s="1">
        <v>840.83333333333314</v>
      </c>
      <c r="E127" s="7"/>
    </row>
    <row r="128" spans="2:5" x14ac:dyDescent="0.25">
      <c r="B128" s="2">
        <v>38626</v>
      </c>
      <c r="C128" s="1">
        <v>833.66666666666652</v>
      </c>
      <c r="E128" s="7"/>
    </row>
    <row r="129" spans="2:5" x14ac:dyDescent="0.25">
      <c r="B129" s="2">
        <v>38596</v>
      </c>
      <c r="C129" s="1">
        <v>826.49999999999989</v>
      </c>
      <c r="E129" s="7"/>
    </row>
    <row r="130" spans="2:5" x14ac:dyDescent="0.25">
      <c r="B130" s="2">
        <v>38565</v>
      </c>
      <c r="C130" s="1">
        <v>819.33333333333326</v>
      </c>
      <c r="E130" s="7"/>
    </row>
    <row r="131" spans="2:5" x14ac:dyDescent="0.25">
      <c r="B131" s="2">
        <v>38534</v>
      </c>
      <c r="C131" s="1">
        <v>812.16666666666663</v>
      </c>
      <c r="E131" s="7"/>
    </row>
    <row r="132" spans="2:5" x14ac:dyDescent="0.25">
      <c r="B132" s="2">
        <v>38504</v>
      </c>
      <c r="C132" s="1">
        <v>805</v>
      </c>
      <c r="E132" s="7"/>
    </row>
    <row r="133" spans="2:5" x14ac:dyDescent="0.25">
      <c r="B133" s="2">
        <v>38473</v>
      </c>
      <c r="C133" s="1">
        <v>740.16666666666674</v>
      </c>
      <c r="E133" s="7"/>
    </row>
    <row r="134" spans="2:5" x14ac:dyDescent="0.25">
      <c r="B134" s="2">
        <v>38443</v>
      </c>
      <c r="C134" s="1">
        <v>675.33333333333337</v>
      </c>
      <c r="E134" s="7"/>
    </row>
    <row r="135" spans="2:5" x14ac:dyDescent="0.25">
      <c r="B135" s="2">
        <v>38412</v>
      </c>
      <c r="C135" s="1">
        <v>610.5</v>
      </c>
      <c r="E135" s="7"/>
    </row>
    <row r="136" spans="2:5" x14ac:dyDescent="0.25">
      <c r="B136" s="2">
        <v>38384</v>
      </c>
      <c r="C136" s="1">
        <v>545.66666666666663</v>
      </c>
      <c r="E136" s="7"/>
    </row>
    <row r="137" spans="2:5" x14ac:dyDescent="0.25">
      <c r="B137" s="2">
        <v>38353</v>
      </c>
      <c r="C137" s="1">
        <v>480.83333333333331</v>
      </c>
      <c r="E137" s="7"/>
    </row>
    <row r="138" spans="2:5" x14ac:dyDescent="0.25">
      <c r="B138" s="2">
        <v>38322</v>
      </c>
      <c r="C138" s="1">
        <v>416</v>
      </c>
      <c r="E138" s="7"/>
    </row>
    <row r="139" spans="2:5" x14ac:dyDescent="0.25">
      <c r="B139" s="2">
        <v>38292</v>
      </c>
      <c r="C139" s="1">
        <v>409.5</v>
      </c>
      <c r="E139" s="7"/>
    </row>
    <row r="140" spans="2:5" x14ac:dyDescent="0.25">
      <c r="B140" s="2">
        <v>38261</v>
      </c>
      <c r="C140" s="1">
        <v>403</v>
      </c>
      <c r="E140" s="7"/>
    </row>
    <row r="141" spans="2:5" x14ac:dyDescent="0.25">
      <c r="B141" s="2">
        <v>38231</v>
      </c>
      <c r="C141" s="1">
        <v>396.5</v>
      </c>
      <c r="E141" s="7"/>
    </row>
    <row r="142" spans="2:5" x14ac:dyDescent="0.25">
      <c r="B142" s="2">
        <v>38200</v>
      </c>
      <c r="C142" s="1">
        <v>390</v>
      </c>
      <c r="E142" s="7"/>
    </row>
    <row r="143" spans="2:5" x14ac:dyDescent="0.25">
      <c r="B143" s="2">
        <v>38169</v>
      </c>
      <c r="C143" s="1">
        <v>383.5</v>
      </c>
      <c r="E143" s="7"/>
    </row>
    <row r="144" spans="2:5" x14ac:dyDescent="0.25">
      <c r="B144" s="2">
        <v>38139</v>
      </c>
      <c r="C144" s="1">
        <v>377</v>
      </c>
      <c r="E144" s="7"/>
    </row>
  </sheetData>
  <sortState ref="B2:C144">
    <sortCondition descending="1" ref="B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MCAI Indices</vt:lpstr>
      <vt:lpstr>raw</vt:lpstr>
      <vt:lpstr>Sheet1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 Chaudhary</dc:creator>
  <cp:lastModifiedBy>Lien Chen</cp:lastModifiedBy>
  <dcterms:created xsi:type="dcterms:W3CDTF">2016-05-20T17:30:31Z</dcterms:created>
  <dcterms:modified xsi:type="dcterms:W3CDTF">2016-09-07T19:08:10Z</dcterms:modified>
</cp:coreProperties>
</file>