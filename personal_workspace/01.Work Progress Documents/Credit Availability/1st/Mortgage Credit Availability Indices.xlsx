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0" yWindow="60" windowWidth="37395" windowHeight="20490" activeTab="7"/>
  </bookViews>
  <sheets>
    <sheet name="Result" sheetId="1" r:id="rId1"/>
    <sheet name="HPA2Yr" sheetId="5" r:id="rId2"/>
    <sheet name="MBA CA Index" sheetId="3" r:id="rId3"/>
    <sheet name="Purchase Index" sheetId="2" r:id="rId4"/>
    <sheet name="Hosing Inventory" sheetId="6" r:id="rId5"/>
    <sheet name="Cello" sheetId="4" r:id="rId6"/>
    <sheet name="Tracking Diff" sheetId="7" r:id="rId7"/>
    <sheet name="Regression" sheetId="8" r:id="rId8"/>
  </sheets>
  <externalReferences>
    <externalReference r:id="rId9"/>
  </externalReferences>
  <calcPr calcId="145621"/>
  <pivotCaches>
    <pivotCache cacheId="2" r:id="rId10"/>
  </pivotCaches>
</workbook>
</file>

<file path=xl/calcChain.xml><?xml version="1.0" encoding="utf-8"?>
<calcChain xmlns="http://schemas.openxmlformats.org/spreadsheetml/2006/main">
  <c r="AD174" i="8" l="1"/>
  <c r="AD175" i="8"/>
  <c r="AD176" i="8"/>
  <c r="AD177" i="8"/>
  <c r="AD178" i="8"/>
  <c r="AD179" i="8"/>
  <c r="AD180" i="8"/>
  <c r="AD181" i="8"/>
  <c r="AD182" i="8"/>
  <c r="AD183" i="8"/>
  <c r="AD184" i="8"/>
  <c r="AD185" i="8"/>
  <c r="AD186" i="8"/>
  <c r="AD187" i="8"/>
  <c r="AD188" i="8"/>
  <c r="AD189" i="8"/>
  <c r="AD190" i="8"/>
  <c r="AD191" i="8"/>
  <c r="AD28" i="8"/>
  <c r="AD36" i="8"/>
  <c r="AD60" i="8"/>
  <c r="AD67" i="8"/>
  <c r="AD68" i="8"/>
  <c r="AD92" i="8"/>
  <c r="AD100" i="8"/>
  <c r="AD124" i="8"/>
  <c r="AD131" i="8"/>
  <c r="AD132" i="8"/>
  <c r="AD156" i="8"/>
  <c r="AD164" i="8"/>
  <c r="AC25" i="8"/>
  <c r="AC26" i="8"/>
  <c r="AC27" i="8"/>
  <c r="AC28" i="8"/>
  <c r="AC29" i="8"/>
  <c r="AC30" i="8"/>
  <c r="AC31" i="8"/>
  <c r="AC32" i="8"/>
  <c r="AC33" i="8"/>
  <c r="AC34" i="8"/>
  <c r="AC35" i="8"/>
  <c r="AC36" i="8"/>
  <c r="AC37" i="8"/>
  <c r="AC38" i="8"/>
  <c r="AC39" i="8"/>
  <c r="AC40" i="8"/>
  <c r="AC41" i="8"/>
  <c r="AC42" i="8"/>
  <c r="AC43" i="8"/>
  <c r="AC44" i="8"/>
  <c r="AC45" i="8"/>
  <c r="AC46" i="8"/>
  <c r="AC47" i="8"/>
  <c r="AC48" i="8"/>
  <c r="AC49" i="8"/>
  <c r="AC50" i="8"/>
  <c r="AC51" i="8"/>
  <c r="AC52" i="8"/>
  <c r="AC53" i="8"/>
  <c r="AC54" i="8"/>
  <c r="AC55" i="8"/>
  <c r="AC56" i="8"/>
  <c r="AC57" i="8"/>
  <c r="AC58" i="8"/>
  <c r="AC59" i="8"/>
  <c r="AC60" i="8"/>
  <c r="AC61" i="8"/>
  <c r="AC62" i="8"/>
  <c r="AC63" i="8"/>
  <c r="AC64" i="8"/>
  <c r="AC65" i="8"/>
  <c r="AC66" i="8"/>
  <c r="AC67" i="8"/>
  <c r="AC68" i="8"/>
  <c r="AC69" i="8"/>
  <c r="AC70" i="8"/>
  <c r="AC71" i="8"/>
  <c r="AC72" i="8"/>
  <c r="AC73" i="8"/>
  <c r="AC74" i="8"/>
  <c r="AC75" i="8"/>
  <c r="AC76" i="8"/>
  <c r="AC77" i="8"/>
  <c r="AC78" i="8"/>
  <c r="AC79" i="8"/>
  <c r="AC80" i="8"/>
  <c r="AC81" i="8"/>
  <c r="AC82" i="8"/>
  <c r="AC83" i="8"/>
  <c r="AC84" i="8"/>
  <c r="AC85" i="8"/>
  <c r="AC86" i="8"/>
  <c r="AC87" i="8"/>
  <c r="AC88" i="8"/>
  <c r="AC89" i="8"/>
  <c r="AC90" i="8"/>
  <c r="AC91" i="8"/>
  <c r="AC92" i="8"/>
  <c r="AC93" i="8"/>
  <c r="AC94" i="8"/>
  <c r="AC95" i="8"/>
  <c r="AC96" i="8"/>
  <c r="AC97" i="8"/>
  <c r="AC98" i="8"/>
  <c r="AC99" i="8"/>
  <c r="AC100" i="8"/>
  <c r="AC101" i="8"/>
  <c r="AC102" i="8"/>
  <c r="AC103" i="8"/>
  <c r="AC104" i="8"/>
  <c r="AC105" i="8"/>
  <c r="AC106" i="8"/>
  <c r="AC107" i="8"/>
  <c r="AC108" i="8"/>
  <c r="AC109" i="8"/>
  <c r="AC110" i="8"/>
  <c r="AC111" i="8"/>
  <c r="AC112" i="8"/>
  <c r="AC113" i="8"/>
  <c r="AC114" i="8"/>
  <c r="AC115" i="8"/>
  <c r="AC116" i="8"/>
  <c r="AC117" i="8"/>
  <c r="AC118" i="8"/>
  <c r="AC119" i="8"/>
  <c r="AC120" i="8"/>
  <c r="AC121" i="8"/>
  <c r="AC122" i="8"/>
  <c r="AC123" i="8"/>
  <c r="AC124" i="8"/>
  <c r="AC125" i="8"/>
  <c r="AC126" i="8"/>
  <c r="AC127" i="8"/>
  <c r="AC128" i="8"/>
  <c r="AC129" i="8"/>
  <c r="AC130" i="8"/>
  <c r="AC131" i="8"/>
  <c r="AC132" i="8"/>
  <c r="AC133" i="8"/>
  <c r="AC134" i="8"/>
  <c r="AC135" i="8"/>
  <c r="AC136" i="8"/>
  <c r="AC137" i="8"/>
  <c r="AC138" i="8"/>
  <c r="AC139" i="8"/>
  <c r="AC140" i="8"/>
  <c r="AC141" i="8"/>
  <c r="AC142" i="8"/>
  <c r="AC143" i="8"/>
  <c r="AC144" i="8"/>
  <c r="AC145" i="8"/>
  <c r="AC146" i="8"/>
  <c r="AC147" i="8"/>
  <c r="AC148" i="8"/>
  <c r="AC149" i="8"/>
  <c r="AC150" i="8"/>
  <c r="AC151" i="8"/>
  <c r="AC152" i="8"/>
  <c r="AC153" i="8"/>
  <c r="AC154" i="8"/>
  <c r="AC155" i="8"/>
  <c r="AC156" i="8"/>
  <c r="AC157" i="8"/>
  <c r="AC158" i="8"/>
  <c r="AC159" i="8"/>
  <c r="AC160" i="8"/>
  <c r="AC161" i="8"/>
  <c r="AC162" i="8"/>
  <c r="AC163" i="8"/>
  <c r="AC164" i="8"/>
  <c r="AC165" i="8"/>
  <c r="AC166" i="8"/>
  <c r="AC167" i="8"/>
  <c r="AC168" i="8"/>
  <c r="AC169" i="8"/>
  <c r="AC170" i="8"/>
  <c r="AC171" i="8"/>
  <c r="AC172" i="8"/>
  <c r="AC173" i="8"/>
  <c r="AC174" i="8"/>
  <c r="AC175" i="8"/>
  <c r="AC176" i="8"/>
  <c r="AC177" i="8"/>
  <c r="AC178" i="8"/>
  <c r="AC179" i="8"/>
  <c r="AC180" i="8"/>
  <c r="AC181" i="8"/>
  <c r="AC182" i="8"/>
  <c r="AC183" i="8"/>
  <c r="AC184" i="8"/>
  <c r="AC185" i="8"/>
  <c r="AC186" i="8"/>
  <c r="AC187" i="8"/>
  <c r="AC188" i="8"/>
  <c r="AC189" i="8"/>
  <c r="AC190" i="8"/>
  <c r="AC191" i="8"/>
  <c r="AC192" i="8"/>
  <c r="AC193" i="8"/>
  <c r="AC194" i="8"/>
  <c r="AC195" i="8"/>
  <c r="AC196" i="8"/>
  <c r="AC197" i="8"/>
  <c r="AC198" i="8"/>
  <c r="AC199" i="8"/>
  <c r="AC200" i="8"/>
  <c r="AC201" i="8"/>
  <c r="AC202" i="8"/>
  <c r="AC203" i="8"/>
  <c r="AC204" i="8"/>
  <c r="AC205" i="8"/>
  <c r="AC206" i="8"/>
  <c r="AC207" i="8"/>
  <c r="AC208" i="8"/>
  <c r="AC209" i="8"/>
  <c r="AC210" i="8"/>
  <c r="AC211" i="8"/>
  <c r="AC212" i="8"/>
  <c r="AC213" i="8"/>
  <c r="AC214" i="8"/>
  <c r="AC215" i="8"/>
  <c r="AC216" i="8"/>
  <c r="AC217" i="8"/>
  <c r="AC218" i="8"/>
  <c r="AC219" i="8"/>
  <c r="AC220" i="8"/>
  <c r="AC221" i="8"/>
  <c r="AC222" i="8"/>
  <c r="AC223" i="8"/>
  <c r="AC224" i="8"/>
  <c r="AC225" i="8"/>
  <c r="AC226" i="8"/>
  <c r="AC227" i="8"/>
  <c r="AC228" i="8"/>
  <c r="AC229" i="8"/>
  <c r="AC230" i="8"/>
  <c r="AC231" i="8"/>
  <c r="AC232" i="8"/>
  <c r="AC233" i="8"/>
  <c r="AC234" i="8"/>
  <c r="AC235" i="8"/>
  <c r="AC236" i="8"/>
  <c r="AC237" i="8"/>
  <c r="AC238" i="8"/>
  <c r="AC239" i="8"/>
  <c r="AC240" i="8"/>
  <c r="AC241" i="8"/>
  <c r="AC242" i="8"/>
  <c r="AC243" i="8"/>
  <c r="AC244" i="8"/>
  <c r="AC245" i="8"/>
  <c r="AC246" i="8"/>
  <c r="AC247" i="8"/>
  <c r="AC248" i="8"/>
  <c r="AC249" i="8"/>
  <c r="AC250" i="8"/>
  <c r="AC251" i="8"/>
  <c r="AC252" i="8"/>
  <c r="AC253" i="8"/>
  <c r="AC254" i="8"/>
  <c r="AC255" i="8"/>
  <c r="AC256" i="8"/>
  <c r="AC257" i="8"/>
  <c r="AC258" i="8"/>
  <c r="AC259" i="8"/>
  <c r="AC260" i="8"/>
  <c r="AC261" i="8"/>
  <c r="AC262" i="8"/>
  <c r="AC263" i="8"/>
  <c r="AC264" i="8"/>
  <c r="AC265" i="8"/>
  <c r="AC266" i="8"/>
  <c r="AC267" i="8"/>
  <c r="AC268" i="8"/>
  <c r="AC269" i="8"/>
  <c r="AC270" i="8"/>
  <c r="AC271" i="8"/>
  <c r="AC272" i="8"/>
  <c r="AC273" i="8"/>
  <c r="AC274" i="8"/>
  <c r="AC275" i="8"/>
  <c r="AC276" i="8"/>
  <c r="AC277" i="8"/>
  <c r="AC278" i="8"/>
  <c r="AC279" i="8"/>
  <c r="AC280" i="8"/>
  <c r="AC281" i="8"/>
  <c r="AC282" i="8"/>
  <c r="AC283" i="8"/>
  <c r="AC284" i="8"/>
  <c r="AC285" i="8"/>
  <c r="AC286" i="8"/>
  <c r="AC287" i="8"/>
  <c r="AC288" i="8"/>
  <c r="AC289" i="8"/>
  <c r="AC290" i="8"/>
  <c r="AC291" i="8"/>
  <c r="AC292" i="8"/>
  <c r="AC293" i="8"/>
  <c r="AC294" i="8"/>
  <c r="AC295" i="8"/>
  <c r="AC296" i="8"/>
  <c r="AC297" i="8"/>
  <c r="AC298" i="8"/>
  <c r="AC299" i="8"/>
  <c r="AC300" i="8"/>
  <c r="AC301" i="8"/>
  <c r="AC302" i="8"/>
  <c r="AC303" i="8"/>
  <c r="AC304" i="8"/>
  <c r="AC305" i="8"/>
  <c r="AC306" i="8"/>
  <c r="AC307" i="8"/>
  <c r="AC308" i="8"/>
  <c r="AC309" i="8"/>
  <c r="AC310" i="8"/>
  <c r="AC311" i="8"/>
  <c r="AC312" i="8"/>
  <c r="AC313" i="8"/>
  <c r="AC314" i="8"/>
  <c r="AC315" i="8"/>
  <c r="AC316" i="8"/>
  <c r="AC317" i="8"/>
  <c r="AC318" i="8"/>
  <c r="AC319" i="8"/>
  <c r="AC21" i="8"/>
  <c r="AC22" i="8"/>
  <c r="AC23" i="8"/>
  <c r="AC24" i="8"/>
  <c r="AC20" i="8"/>
  <c r="AC2" i="8"/>
  <c r="AC3" i="8"/>
  <c r="AC4" i="8"/>
  <c r="AC5" i="8"/>
  <c r="AC6" i="8"/>
  <c r="AC7" i="8"/>
  <c r="AC8" i="8"/>
  <c r="AC9" i="8"/>
  <c r="AC10" i="8"/>
  <c r="AC11" i="8"/>
  <c r="AC12" i="8"/>
  <c r="AC13" i="8"/>
  <c r="AC14" i="8"/>
  <c r="AC15" i="8"/>
  <c r="AC16" i="8"/>
  <c r="AC17" i="8"/>
  <c r="AC18" i="8"/>
  <c r="AC19" i="8"/>
  <c r="E4" i="8"/>
  <c r="E8" i="8"/>
  <c r="E11" i="8"/>
  <c r="E22" i="8"/>
  <c r="E23" i="8"/>
  <c r="E25" i="8"/>
  <c r="E30" i="8"/>
  <c r="E32" i="8"/>
  <c r="E33" i="8"/>
  <c r="E40" i="8"/>
  <c r="E44" i="8"/>
  <c r="E47" i="8"/>
  <c r="E54" i="8"/>
  <c r="E57" i="8"/>
  <c r="E62" i="8"/>
  <c r="E64" i="8"/>
  <c r="E65" i="8"/>
  <c r="E68" i="8"/>
  <c r="E72" i="8"/>
  <c r="E75" i="8"/>
  <c r="E86" i="8"/>
  <c r="E87" i="8"/>
  <c r="E89" i="8"/>
  <c r="E94" i="8"/>
  <c r="E96" i="8"/>
  <c r="E97" i="8"/>
  <c r="E104" i="8"/>
  <c r="E108" i="8"/>
  <c r="E111" i="8"/>
  <c r="E118" i="8"/>
  <c r="E121" i="8"/>
  <c r="E126" i="8"/>
  <c r="E129" i="8"/>
  <c r="E132" i="8"/>
  <c r="E139" i="8"/>
  <c r="E151" i="8"/>
  <c r="E153" i="8"/>
  <c r="E161" i="8"/>
  <c r="E172" i="8"/>
  <c r="E175" i="8"/>
  <c r="E185" i="8"/>
  <c r="E193" i="8"/>
  <c r="E195" i="8"/>
  <c r="E201" i="8"/>
  <c r="E211" i="8"/>
  <c r="E217" i="8"/>
  <c r="E219" i="8"/>
  <c r="E226" i="8"/>
  <c r="E241" i="8"/>
  <c r="E250" i="8"/>
  <c r="E257" i="8"/>
  <c r="E265" i="8"/>
  <c r="E266" i="8"/>
  <c r="E268" i="8"/>
  <c r="E274" i="8"/>
  <c r="E281" i="8"/>
  <c r="E284" i="8"/>
  <c r="E287" i="8"/>
  <c r="E292" i="8"/>
  <c r="E303" i="8"/>
  <c r="E305" i="8"/>
  <c r="E311" i="8"/>
  <c r="D3" i="8"/>
  <c r="D4" i="8"/>
  <c r="D5" i="8"/>
  <c r="D6" i="8"/>
  <c r="D7" i="8"/>
  <c r="D8" i="8"/>
  <c r="D9" i="8"/>
  <c r="E9" i="8" s="1"/>
  <c r="D10" i="8"/>
  <c r="D11" i="8"/>
  <c r="D12" i="8"/>
  <c r="D13" i="8"/>
  <c r="D14" i="8"/>
  <c r="D15" i="8"/>
  <c r="D16" i="8"/>
  <c r="D17" i="8"/>
  <c r="D18" i="8"/>
  <c r="D19" i="8"/>
  <c r="E19" i="8" s="1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E41" i="8" s="1"/>
  <c r="D42" i="8"/>
  <c r="D43" i="8"/>
  <c r="E43" i="8" s="1"/>
  <c r="D44" i="8"/>
  <c r="D45" i="8"/>
  <c r="D46" i="8"/>
  <c r="D47" i="8"/>
  <c r="D48" i="8"/>
  <c r="D49" i="8"/>
  <c r="D50" i="8"/>
  <c r="D51" i="8"/>
  <c r="E51" i="8" s="1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E83" i="8" s="1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E107" i="8" s="1"/>
  <c r="D108" i="8"/>
  <c r="D109" i="8"/>
  <c r="D110" i="8"/>
  <c r="D111" i="8"/>
  <c r="D112" i="8"/>
  <c r="D113" i="8"/>
  <c r="D114" i="8"/>
  <c r="D115" i="8"/>
  <c r="E115" i="8" s="1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E147" i="8" s="1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2" i="8"/>
  <c r="C3" i="8"/>
  <c r="AD20" i="8" s="1"/>
  <c r="C4" i="8"/>
  <c r="AD21" i="8" s="1"/>
  <c r="C5" i="8"/>
  <c r="C6" i="8"/>
  <c r="AD23" i="8" s="1"/>
  <c r="C7" i="8"/>
  <c r="C8" i="8"/>
  <c r="AD25" i="8" s="1"/>
  <c r="C9" i="8"/>
  <c r="AD26" i="8" s="1"/>
  <c r="C10" i="8"/>
  <c r="C11" i="8"/>
  <c r="C12" i="8"/>
  <c r="AD29" i="8" s="1"/>
  <c r="C13" i="8"/>
  <c r="C14" i="8"/>
  <c r="AD31" i="8" s="1"/>
  <c r="C15" i="8"/>
  <c r="AD32" i="8" s="1"/>
  <c r="C16" i="8"/>
  <c r="AD33" i="8" s="1"/>
  <c r="C17" i="8"/>
  <c r="AD34" i="8" s="1"/>
  <c r="C18" i="8"/>
  <c r="C19" i="8"/>
  <c r="C20" i="8"/>
  <c r="C21" i="8"/>
  <c r="C22" i="8"/>
  <c r="AD39" i="8" s="1"/>
  <c r="C23" i="8"/>
  <c r="AD40" i="8" s="1"/>
  <c r="C24" i="8"/>
  <c r="AD41" i="8" s="1"/>
  <c r="C25" i="8"/>
  <c r="AD42" i="8" s="1"/>
  <c r="C26" i="8"/>
  <c r="C27" i="8"/>
  <c r="AD44" i="8" s="1"/>
  <c r="C28" i="8"/>
  <c r="C29" i="8"/>
  <c r="E29" i="8" s="1"/>
  <c r="C30" i="8"/>
  <c r="AD47" i="8" s="1"/>
  <c r="C31" i="8"/>
  <c r="C32" i="8"/>
  <c r="AD49" i="8" s="1"/>
  <c r="C33" i="8"/>
  <c r="AD50" i="8" s="1"/>
  <c r="C34" i="8"/>
  <c r="C35" i="8"/>
  <c r="C36" i="8"/>
  <c r="AD53" i="8" s="1"/>
  <c r="C37" i="8"/>
  <c r="C38" i="8"/>
  <c r="AD55" i="8" s="1"/>
  <c r="C39" i="8"/>
  <c r="C40" i="8"/>
  <c r="AD57" i="8" s="1"/>
  <c r="C41" i="8"/>
  <c r="AD58" i="8" s="1"/>
  <c r="C42" i="8"/>
  <c r="C43" i="8"/>
  <c r="C44" i="8"/>
  <c r="AD61" i="8" s="1"/>
  <c r="C45" i="8"/>
  <c r="C46" i="8"/>
  <c r="AD63" i="8" s="1"/>
  <c r="C47" i="8"/>
  <c r="AD64" i="8" s="1"/>
  <c r="C48" i="8"/>
  <c r="AD65" i="8" s="1"/>
  <c r="C49" i="8"/>
  <c r="AD66" i="8" s="1"/>
  <c r="C50" i="8"/>
  <c r="C51" i="8"/>
  <c r="C52" i="8"/>
  <c r="C53" i="8"/>
  <c r="C54" i="8"/>
  <c r="AD71" i="8" s="1"/>
  <c r="C55" i="8"/>
  <c r="AD72" i="8" s="1"/>
  <c r="C56" i="8"/>
  <c r="AD73" i="8" s="1"/>
  <c r="C57" i="8"/>
  <c r="AD74" i="8" s="1"/>
  <c r="C58" i="8"/>
  <c r="C59" i="8"/>
  <c r="AD76" i="8" s="1"/>
  <c r="C60" i="8"/>
  <c r="C61" i="8"/>
  <c r="E61" i="8" s="1"/>
  <c r="C62" i="8"/>
  <c r="AD79" i="8" s="1"/>
  <c r="C63" i="8"/>
  <c r="C64" i="8"/>
  <c r="AD81" i="8" s="1"/>
  <c r="C65" i="8"/>
  <c r="AD82" i="8" s="1"/>
  <c r="C66" i="8"/>
  <c r="C67" i="8"/>
  <c r="C68" i="8"/>
  <c r="AD85" i="8" s="1"/>
  <c r="C69" i="8"/>
  <c r="C70" i="8"/>
  <c r="AD87" i="8" s="1"/>
  <c r="C71" i="8"/>
  <c r="C72" i="8"/>
  <c r="AD89" i="8" s="1"/>
  <c r="C73" i="8"/>
  <c r="AD90" i="8" s="1"/>
  <c r="C74" i="8"/>
  <c r="C75" i="8"/>
  <c r="C76" i="8"/>
  <c r="AD93" i="8" s="1"/>
  <c r="C77" i="8"/>
  <c r="C78" i="8"/>
  <c r="AD95" i="8" s="1"/>
  <c r="C79" i="8"/>
  <c r="AD96" i="8" s="1"/>
  <c r="C80" i="8"/>
  <c r="AD97" i="8" s="1"/>
  <c r="C81" i="8"/>
  <c r="AD98" i="8" s="1"/>
  <c r="C82" i="8"/>
  <c r="E82" i="8" s="1"/>
  <c r="C83" i="8"/>
  <c r="C84" i="8"/>
  <c r="C85" i="8"/>
  <c r="C86" i="8"/>
  <c r="AD103" i="8" s="1"/>
  <c r="C87" i="8"/>
  <c r="AD104" i="8" s="1"/>
  <c r="C88" i="8"/>
  <c r="AD105" i="8" s="1"/>
  <c r="C89" i="8"/>
  <c r="AD106" i="8" s="1"/>
  <c r="C90" i="8"/>
  <c r="C91" i="8"/>
  <c r="AD108" i="8" s="1"/>
  <c r="C92" i="8"/>
  <c r="C93" i="8"/>
  <c r="E93" i="8" s="1"/>
  <c r="C94" i="8"/>
  <c r="AD111" i="8" s="1"/>
  <c r="C95" i="8"/>
  <c r="C96" i="8"/>
  <c r="AD113" i="8" s="1"/>
  <c r="C97" i="8"/>
  <c r="AD114" i="8" s="1"/>
  <c r="C98" i="8"/>
  <c r="C99" i="8"/>
  <c r="C100" i="8"/>
  <c r="AD117" i="8" s="1"/>
  <c r="C101" i="8"/>
  <c r="C102" i="8"/>
  <c r="AD119" i="8" s="1"/>
  <c r="C103" i="8"/>
  <c r="C104" i="8"/>
  <c r="AD121" i="8" s="1"/>
  <c r="C105" i="8"/>
  <c r="AD122" i="8" s="1"/>
  <c r="C106" i="8"/>
  <c r="C107" i="8"/>
  <c r="C108" i="8"/>
  <c r="AD125" i="8" s="1"/>
  <c r="C109" i="8"/>
  <c r="C110" i="8"/>
  <c r="AD127" i="8" s="1"/>
  <c r="C111" i="8"/>
  <c r="AD128" i="8" s="1"/>
  <c r="C112" i="8"/>
  <c r="C113" i="8"/>
  <c r="AD130" i="8" s="1"/>
  <c r="C114" i="8"/>
  <c r="E114" i="8" s="1"/>
  <c r="C115" i="8"/>
  <c r="C116" i="8"/>
  <c r="C117" i="8"/>
  <c r="C118" i="8"/>
  <c r="AD135" i="8" s="1"/>
  <c r="C119" i="8"/>
  <c r="AD136" i="8" s="1"/>
  <c r="C120" i="8"/>
  <c r="C121" i="8"/>
  <c r="AD138" i="8" s="1"/>
  <c r="C122" i="8"/>
  <c r="C123" i="8"/>
  <c r="AD140" i="8" s="1"/>
  <c r="C124" i="8"/>
  <c r="C125" i="8"/>
  <c r="E125" i="8" s="1"/>
  <c r="C126" i="8"/>
  <c r="AD143" i="8" s="1"/>
  <c r="C127" i="8"/>
  <c r="C128" i="8"/>
  <c r="AD145" i="8" s="1"/>
  <c r="C129" i="8"/>
  <c r="AD146" i="8" s="1"/>
  <c r="C130" i="8"/>
  <c r="C131" i="8"/>
  <c r="C132" i="8"/>
  <c r="AD149" i="8" s="1"/>
  <c r="C133" i="8"/>
  <c r="C134" i="8"/>
  <c r="AD151" i="8" s="1"/>
  <c r="C135" i="8"/>
  <c r="C136" i="8"/>
  <c r="AD153" i="8" s="1"/>
  <c r="C137" i="8"/>
  <c r="AD154" i="8" s="1"/>
  <c r="C138" i="8"/>
  <c r="C139" i="8"/>
  <c r="C140" i="8"/>
  <c r="AD157" i="8" s="1"/>
  <c r="C141" i="8"/>
  <c r="C142" i="8"/>
  <c r="AD159" i="8" s="1"/>
  <c r="C143" i="8"/>
  <c r="AD160" i="8" s="1"/>
  <c r="C144" i="8"/>
  <c r="C145" i="8"/>
  <c r="AD162" i="8" s="1"/>
  <c r="C146" i="8"/>
  <c r="E146" i="8" s="1"/>
  <c r="C147" i="8"/>
  <c r="C148" i="8"/>
  <c r="C149" i="8"/>
  <c r="C150" i="8"/>
  <c r="C151" i="8"/>
  <c r="AD168" i="8" s="1"/>
  <c r="C152" i="8"/>
  <c r="C153" i="8"/>
  <c r="AD170" i="8" s="1"/>
  <c r="C154" i="8"/>
  <c r="C155" i="8"/>
  <c r="C156" i="8"/>
  <c r="C157" i="8"/>
  <c r="E157" i="8" s="1"/>
  <c r="C158" i="8"/>
  <c r="E158" i="8" s="1"/>
  <c r="C159" i="8"/>
  <c r="E159" i="8" s="1"/>
  <c r="C160" i="8"/>
  <c r="E160" i="8" s="1"/>
  <c r="C161" i="8"/>
  <c r="C162" i="8"/>
  <c r="E162" i="8" s="1"/>
  <c r="C163" i="8"/>
  <c r="C164" i="8"/>
  <c r="E164" i="8" s="1"/>
  <c r="C165" i="8"/>
  <c r="E165" i="8" s="1"/>
  <c r="C166" i="8"/>
  <c r="E166" i="8" s="1"/>
  <c r="C167" i="8"/>
  <c r="E167" i="8" s="1"/>
  <c r="C168" i="8"/>
  <c r="E168" i="8" s="1"/>
  <c r="C169" i="8"/>
  <c r="E169" i="8" s="1"/>
  <c r="C170" i="8"/>
  <c r="E170" i="8" s="1"/>
  <c r="C171" i="8"/>
  <c r="E171" i="8" s="1"/>
  <c r="C172" i="8"/>
  <c r="C173" i="8"/>
  <c r="E173" i="8" s="1"/>
  <c r="C174" i="8"/>
  <c r="C175" i="8"/>
  <c r="C176" i="8"/>
  <c r="E176" i="8" s="1"/>
  <c r="C177" i="8"/>
  <c r="C178" i="8"/>
  <c r="C179" i="8"/>
  <c r="C180" i="8"/>
  <c r="C181" i="8"/>
  <c r="C182" i="8"/>
  <c r="C183" i="8"/>
  <c r="E183" i="8" s="1"/>
  <c r="C184" i="8"/>
  <c r="C185" i="8"/>
  <c r="C186" i="8"/>
  <c r="C187" i="8"/>
  <c r="C188" i="8"/>
  <c r="C189" i="8"/>
  <c r="C190" i="8"/>
  <c r="C191" i="8"/>
  <c r="C192" i="8"/>
  <c r="E192" i="8" s="1"/>
  <c r="C193" i="8"/>
  <c r="C194" i="8"/>
  <c r="C195" i="8"/>
  <c r="C196" i="8"/>
  <c r="C197" i="8"/>
  <c r="E197" i="8" s="1"/>
  <c r="C198" i="8"/>
  <c r="C199" i="8"/>
  <c r="C200" i="8"/>
  <c r="C201" i="8"/>
  <c r="C202" i="8"/>
  <c r="C203" i="8"/>
  <c r="C204" i="8"/>
  <c r="C205" i="8"/>
  <c r="C206" i="8"/>
  <c r="C207" i="8"/>
  <c r="C208" i="8"/>
  <c r="AD225" i="8" s="1"/>
  <c r="C209" i="8"/>
  <c r="E209" i="8" s="1"/>
  <c r="C210" i="8"/>
  <c r="E210" i="8" s="1"/>
  <c r="C211" i="8"/>
  <c r="C212" i="8"/>
  <c r="C213" i="8"/>
  <c r="C214" i="8"/>
  <c r="AD231" i="8" s="1"/>
  <c r="C215" i="8"/>
  <c r="C216" i="8"/>
  <c r="C217" i="8"/>
  <c r="C218" i="8"/>
  <c r="C219" i="8"/>
  <c r="C220" i="8"/>
  <c r="C221" i="8"/>
  <c r="C222" i="8"/>
  <c r="C223" i="8"/>
  <c r="E223" i="8" s="1"/>
  <c r="C224" i="8"/>
  <c r="C225" i="8"/>
  <c r="C226" i="8"/>
  <c r="C227" i="8"/>
  <c r="C228" i="8"/>
  <c r="C229" i="8"/>
  <c r="E229" i="8" s="1"/>
  <c r="C230" i="8"/>
  <c r="C231" i="8"/>
  <c r="C232" i="8"/>
  <c r="E232" i="8" s="1"/>
  <c r="C233" i="8"/>
  <c r="C234" i="8"/>
  <c r="C235" i="8"/>
  <c r="C236" i="8"/>
  <c r="C237" i="8"/>
  <c r="C238" i="8"/>
  <c r="C239" i="8"/>
  <c r="E239" i="8" s="1"/>
  <c r="C240" i="8"/>
  <c r="C241" i="8"/>
  <c r="C242" i="8"/>
  <c r="C243" i="8"/>
  <c r="C244" i="8"/>
  <c r="C245" i="8"/>
  <c r="C246" i="8"/>
  <c r="C247" i="8"/>
  <c r="E247" i="8" s="1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E261" i="8" s="1"/>
  <c r="C262" i="8"/>
  <c r="C263" i="8"/>
  <c r="E263" i="8" s="1"/>
  <c r="C264" i="8"/>
  <c r="C265" i="8"/>
  <c r="C266" i="8"/>
  <c r="C267" i="8"/>
  <c r="C268" i="8"/>
  <c r="C269" i="8"/>
  <c r="C270" i="8"/>
  <c r="C271" i="8"/>
  <c r="C272" i="8"/>
  <c r="C273" i="8"/>
  <c r="E273" i="8" s="1"/>
  <c r="C274" i="8"/>
  <c r="C275" i="8"/>
  <c r="C276" i="8"/>
  <c r="C277" i="8"/>
  <c r="C278" i="8"/>
  <c r="C279" i="8"/>
  <c r="C280" i="8"/>
  <c r="C281" i="8"/>
  <c r="C282" i="8"/>
  <c r="C283" i="8"/>
  <c r="E283" i="8" s="1"/>
  <c r="C284" i="8"/>
  <c r="C285" i="8"/>
  <c r="C286" i="8"/>
  <c r="C287" i="8"/>
  <c r="C288" i="8"/>
  <c r="C289" i="8"/>
  <c r="C290" i="8"/>
  <c r="C291" i="8"/>
  <c r="C292" i="8"/>
  <c r="C293" i="8"/>
  <c r="E293" i="8" s="1"/>
  <c r="C294" i="8"/>
  <c r="C295" i="8"/>
  <c r="C296" i="8"/>
  <c r="C297" i="8"/>
  <c r="C298" i="8"/>
  <c r="C299" i="8"/>
  <c r="E299" i="8" s="1"/>
  <c r="C300" i="8"/>
  <c r="C301" i="8"/>
  <c r="C302" i="8"/>
  <c r="C303" i="8"/>
  <c r="C304" i="8"/>
  <c r="E304" i="8" s="1"/>
  <c r="C305" i="8"/>
  <c r="C306" i="8"/>
  <c r="E306" i="8" s="1"/>
  <c r="C307" i="8"/>
  <c r="E307" i="8" s="1"/>
  <c r="C308" i="8"/>
  <c r="E308" i="8" s="1"/>
  <c r="C309" i="8"/>
  <c r="E309" i="8" s="1"/>
  <c r="C310" i="8"/>
  <c r="E310" i="8" s="1"/>
  <c r="C311" i="8"/>
  <c r="C312" i="8"/>
  <c r="E312" i="8" s="1"/>
  <c r="C313" i="8"/>
  <c r="E313" i="8" s="1"/>
  <c r="C314" i="8"/>
  <c r="E314" i="8" s="1"/>
  <c r="C315" i="8"/>
  <c r="E315" i="8" s="1"/>
  <c r="C316" i="8"/>
  <c r="E316" i="8" s="1"/>
  <c r="C317" i="8"/>
  <c r="E317" i="8" s="1"/>
  <c r="C318" i="8"/>
  <c r="E318" i="8" s="1"/>
  <c r="C319" i="8"/>
  <c r="E319" i="8" s="1"/>
  <c r="C2" i="8"/>
  <c r="AD13" i="8" l="1"/>
  <c r="AD5" i="8"/>
  <c r="AD2" i="8"/>
  <c r="AD11" i="8"/>
  <c r="AD3" i="8"/>
  <c r="AD18" i="8"/>
  <c r="AD10" i="8"/>
  <c r="AD16" i="8"/>
  <c r="AD8" i="8"/>
  <c r="AD12" i="8"/>
  <c r="AD9" i="8"/>
  <c r="AD7" i="8"/>
  <c r="AD17" i="8"/>
  <c r="AD15" i="8"/>
  <c r="AD14" i="8"/>
  <c r="AD4" i="8"/>
  <c r="AD19" i="8"/>
  <c r="AD6" i="8"/>
  <c r="E2" i="8"/>
  <c r="E288" i="8"/>
  <c r="AD305" i="8"/>
  <c r="AD273" i="8"/>
  <c r="E256" i="8"/>
  <c r="F273" i="8" s="1"/>
  <c r="AD319" i="8"/>
  <c r="E302" i="8"/>
  <c r="F319" i="8" s="1"/>
  <c r="AD295" i="8"/>
  <c r="E278" i="8"/>
  <c r="F295" i="8" s="1"/>
  <c r="AD263" i="8"/>
  <c r="E246" i="8"/>
  <c r="AD255" i="8"/>
  <c r="E238" i="8"/>
  <c r="AD223" i="8"/>
  <c r="E206" i="8"/>
  <c r="E198" i="8"/>
  <c r="AD215" i="8"/>
  <c r="E190" i="8"/>
  <c r="AD207" i="8"/>
  <c r="AD199" i="8"/>
  <c r="E182" i="8"/>
  <c r="AD167" i="8"/>
  <c r="E150" i="8"/>
  <c r="F291" i="8"/>
  <c r="AD289" i="8"/>
  <c r="E272" i="8"/>
  <c r="AD265" i="8"/>
  <c r="E248" i="8"/>
  <c r="F264" i="8" s="1"/>
  <c r="E294" i="8"/>
  <c r="AD311" i="8"/>
  <c r="E262" i="8"/>
  <c r="AD279" i="8"/>
  <c r="E230" i="8"/>
  <c r="AD247" i="8"/>
  <c r="AD297" i="8"/>
  <c r="E280" i="8"/>
  <c r="E240" i="8"/>
  <c r="AD257" i="8"/>
  <c r="E286" i="8"/>
  <c r="AD303" i="8"/>
  <c r="E254" i="8"/>
  <c r="AD271" i="8"/>
  <c r="E222" i="8"/>
  <c r="AD239" i="8"/>
  <c r="E174" i="8"/>
  <c r="F188" i="8" s="1"/>
  <c r="AE188" i="8" s="1"/>
  <c r="E214" i="8"/>
  <c r="F231" i="8" s="1"/>
  <c r="AD313" i="8"/>
  <c r="E296" i="8"/>
  <c r="AD281" i="8"/>
  <c r="E264" i="8"/>
  <c r="AD249" i="8"/>
  <c r="AD287" i="8"/>
  <c r="E270" i="8"/>
  <c r="AD318" i="8"/>
  <c r="E301" i="8"/>
  <c r="F318" i="8" s="1"/>
  <c r="E277" i="8"/>
  <c r="AD294" i="8"/>
  <c r="AD270" i="8"/>
  <c r="E253" i="8"/>
  <c r="AD222" i="8"/>
  <c r="E205" i="8"/>
  <c r="AD206" i="8"/>
  <c r="E189" i="8"/>
  <c r="F182" i="8"/>
  <c r="AE182" i="8" s="1"/>
  <c r="E141" i="8"/>
  <c r="AD158" i="8"/>
  <c r="AD134" i="8"/>
  <c r="E117" i="8"/>
  <c r="AD86" i="8"/>
  <c r="E69" i="8"/>
  <c r="AD22" i="8"/>
  <c r="E5" i="8"/>
  <c r="AD317" i="8"/>
  <c r="E300" i="8"/>
  <c r="F316" i="8" s="1"/>
  <c r="AD309" i="8"/>
  <c r="AD301" i="8"/>
  <c r="AD293" i="8"/>
  <c r="E276" i="8"/>
  <c r="AD285" i="8"/>
  <c r="AD277" i="8"/>
  <c r="E260" i="8"/>
  <c r="AD269" i="8"/>
  <c r="E252" i="8"/>
  <c r="AD261" i="8"/>
  <c r="AD253" i="8"/>
  <c r="E236" i="8"/>
  <c r="AD245" i="8"/>
  <c r="AD237" i="8"/>
  <c r="AD229" i="8"/>
  <c r="E212" i="8"/>
  <c r="F227" i="8" s="1"/>
  <c r="AD221" i="8"/>
  <c r="AD213" i="8"/>
  <c r="E196" i="8"/>
  <c r="AD205" i="8"/>
  <c r="E188" i="8"/>
  <c r="AD197" i="8"/>
  <c r="E180" i="8"/>
  <c r="AD173" i="8"/>
  <c r="E156" i="8"/>
  <c r="AD165" i="8"/>
  <c r="E148" i="8"/>
  <c r="AD141" i="8"/>
  <c r="E124" i="8"/>
  <c r="AD133" i="8"/>
  <c r="E116" i="8"/>
  <c r="AD109" i="8"/>
  <c r="E92" i="8"/>
  <c r="AD101" i="8"/>
  <c r="E84" i="8"/>
  <c r="AD77" i="8"/>
  <c r="E60" i="8"/>
  <c r="AD69" i="8"/>
  <c r="E52" i="8"/>
  <c r="AD45" i="8"/>
  <c r="E28" i="8"/>
  <c r="AD37" i="8"/>
  <c r="E20" i="8"/>
  <c r="E228" i="8"/>
  <c r="E128" i="8"/>
  <c r="AD302" i="8"/>
  <c r="E285" i="8"/>
  <c r="AD254" i="8"/>
  <c r="E237" i="8"/>
  <c r="E213" i="8"/>
  <c r="AD230" i="8"/>
  <c r="AD166" i="8"/>
  <c r="E149" i="8"/>
  <c r="AD118" i="8"/>
  <c r="E101" i="8"/>
  <c r="E77" i="8"/>
  <c r="F94" i="8" s="1"/>
  <c r="AE94" i="8" s="1"/>
  <c r="AD94" i="8"/>
  <c r="AD70" i="8"/>
  <c r="E53" i="8"/>
  <c r="E45" i="8"/>
  <c r="AD62" i="8"/>
  <c r="AD38" i="8"/>
  <c r="E21" i="8"/>
  <c r="F228" i="8"/>
  <c r="AD278" i="8"/>
  <c r="AD214" i="8"/>
  <c r="AD308" i="8"/>
  <c r="E291" i="8"/>
  <c r="AD292" i="8"/>
  <c r="AD276" i="8"/>
  <c r="AD260" i="8"/>
  <c r="E243" i="8"/>
  <c r="AD244" i="8"/>
  <c r="E227" i="8"/>
  <c r="AD228" i="8"/>
  <c r="AD212" i="8"/>
  <c r="AD204" i="8"/>
  <c r="E187" i="8"/>
  <c r="AD196" i="8"/>
  <c r="E163" i="8"/>
  <c r="F180" i="8" s="1"/>
  <c r="AE180" i="8" s="1"/>
  <c r="E131" i="8"/>
  <c r="E99" i="8"/>
  <c r="E67" i="8"/>
  <c r="E35" i="8"/>
  <c r="F243" i="8"/>
  <c r="AD193" i="8"/>
  <c r="AD110" i="8"/>
  <c r="AD46" i="8"/>
  <c r="AD307" i="8"/>
  <c r="AD291" i="8"/>
  <c r="AD275" i="8"/>
  <c r="E258" i="8"/>
  <c r="F274" i="8" s="1"/>
  <c r="AD259" i="8"/>
  <c r="E242" i="8"/>
  <c r="AD243" i="8"/>
  <c r="AD227" i="8"/>
  <c r="AD211" i="8"/>
  <c r="E194" i="8"/>
  <c r="AD195" i="8"/>
  <c r="E178" i="8"/>
  <c r="F179" i="8"/>
  <c r="AE179" i="8" s="1"/>
  <c r="E130" i="8"/>
  <c r="AD147" i="8"/>
  <c r="AD123" i="8"/>
  <c r="E106" i="8"/>
  <c r="F123" i="8" s="1"/>
  <c r="AE123" i="8" s="1"/>
  <c r="E98" i="8"/>
  <c r="AD115" i="8"/>
  <c r="AD107" i="8"/>
  <c r="E90" i="8"/>
  <c r="AD91" i="8"/>
  <c r="E74" i="8"/>
  <c r="E66" i="8"/>
  <c r="F83" i="8" s="1"/>
  <c r="AE83" i="8" s="1"/>
  <c r="AD83" i="8"/>
  <c r="AD75" i="8"/>
  <c r="E58" i="8"/>
  <c r="E50" i="8"/>
  <c r="AD59" i="8"/>
  <c r="E42" i="8"/>
  <c r="E34" i="8"/>
  <c r="AD51" i="8"/>
  <c r="AD43" i="8"/>
  <c r="E26" i="8"/>
  <c r="E18" i="8"/>
  <c r="AD27" i="8"/>
  <c r="E10" i="8"/>
  <c r="F26" i="8" s="1"/>
  <c r="AE26" i="8" s="1"/>
  <c r="E259" i="8"/>
  <c r="E204" i="8"/>
  <c r="F218" i="8" s="1"/>
  <c r="E143" i="8"/>
  <c r="E100" i="8"/>
  <c r="E79" i="8"/>
  <c r="E36" i="8"/>
  <c r="E15" i="8"/>
  <c r="AD286" i="8"/>
  <c r="E269" i="8"/>
  <c r="F285" i="8" s="1"/>
  <c r="E245" i="8"/>
  <c r="AD262" i="8"/>
  <c r="AD238" i="8"/>
  <c r="E221" i="8"/>
  <c r="E181" i="8"/>
  <c r="AD198" i="8"/>
  <c r="AD150" i="8"/>
  <c r="E133" i="8"/>
  <c r="F149" i="8" s="1"/>
  <c r="AE149" i="8" s="1"/>
  <c r="E109" i="8"/>
  <c r="AD126" i="8"/>
  <c r="AD102" i="8"/>
  <c r="E85" i="8"/>
  <c r="AD54" i="8"/>
  <c r="E37" i="8"/>
  <c r="E13" i="8"/>
  <c r="AD30" i="8"/>
  <c r="AD316" i="8"/>
  <c r="AD300" i="8"/>
  <c r="AD284" i="8"/>
  <c r="E267" i="8"/>
  <c r="F282" i="8" s="1"/>
  <c r="AD268" i="8"/>
  <c r="E251" i="8"/>
  <c r="AD252" i="8"/>
  <c r="AD236" i="8"/>
  <c r="AD220" i="8"/>
  <c r="E203" i="8"/>
  <c r="AD172" i="8"/>
  <c r="E155" i="8"/>
  <c r="E244" i="8"/>
  <c r="F261" i="8" s="1"/>
  <c r="E208" i="8"/>
  <c r="AD315" i="8"/>
  <c r="E298" i="8"/>
  <c r="AD299" i="8"/>
  <c r="E282" i="8"/>
  <c r="AD283" i="8"/>
  <c r="AD267" i="8"/>
  <c r="AD251" i="8"/>
  <c r="E234" i="8"/>
  <c r="AD235" i="8"/>
  <c r="E218" i="8"/>
  <c r="AD219" i="8"/>
  <c r="AD203" i="8"/>
  <c r="E186" i="8"/>
  <c r="F203" i="8" s="1"/>
  <c r="AD171" i="8"/>
  <c r="E154" i="8"/>
  <c r="F171" i="8" s="1"/>
  <c r="AE171" i="8" s="1"/>
  <c r="AD155" i="8"/>
  <c r="E138" i="8"/>
  <c r="AD139" i="8"/>
  <c r="E122" i="8"/>
  <c r="AD314" i="8"/>
  <c r="E297" i="8"/>
  <c r="F314" i="8" s="1"/>
  <c r="E275" i="8"/>
  <c r="E220" i="8"/>
  <c r="E202" i="8"/>
  <c r="F178" i="8"/>
  <c r="AE178" i="8" s="1"/>
  <c r="E140" i="8"/>
  <c r="F157" i="8" s="1"/>
  <c r="AE157" i="8" s="1"/>
  <c r="E119" i="8"/>
  <c r="F131" i="8" s="1"/>
  <c r="AE131" i="8" s="1"/>
  <c r="E76" i="8"/>
  <c r="E55" i="8"/>
  <c r="E12" i="8"/>
  <c r="AD310" i="8"/>
  <c r="AD246" i="8"/>
  <c r="AD163" i="8"/>
  <c r="AD99" i="8"/>
  <c r="AD35" i="8"/>
  <c r="E224" i="8"/>
  <c r="F240" i="8" s="1"/>
  <c r="AD241" i="8"/>
  <c r="AD233" i="8"/>
  <c r="E216" i="8"/>
  <c r="AD217" i="8"/>
  <c r="E200" i="8"/>
  <c r="AD209" i="8"/>
  <c r="AD201" i="8"/>
  <c r="E184" i="8"/>
  <c r="F200" i="8" s="1"/>
  <c r="AD169" i="8"/>
  <c r="E152" i="8"/>
  <c r="AD161" i="8"/>
  <c r="E144" i="8"/>
  <c r="F161" i="8" s="1"/>
  <c r="AE161" i="8" s="1"/>
  <c r="AD137" i="8"/>
  <c r="E120" i="8"/>
  <c r="AD129" i="8"/>
  <c r="E112" i="8"/>
  <c r="F128" i="8" s="1"/>
  <c r="AE128" i="8" s="1"/>
  <c r="F135" i="8"/>
  <c r="AE135" i="8" s="1"/>
  <c r="AD312" i="8"/>
  <c r="E295" i="8"/>
  <c r="AD304" i="8"/>
  <c r="AD296" i="8"/>
  <c r="E279" i="8"/>
  <c r="AD288" i="8"/>
  <c r="E271" i="8"/>
  <c r="AD280" i="8"/>
  <c r="AD272" i="8"/>
  <c r="E255" i="8"/>
  <c r="AD264" i="8"/>
  <c r="AD256" i="8"/>
  <c r="AD248" i="8"/>
  <c r="E231" i="8"/>
  <c r="AD240" i="8"/>
  <c r="AD232" i="8"/>
  <c r="E215" i="8"/>
  <c r="AD224" i="8"/>
  <c r="E207" i="8"/>
  <c r="F224" i="8" s="1"/>
  <c r="AD216" i="8"/>
  <c r="AD208" i="8"/>
  <c r="E191" i="8"/>
  <c r="AD200" i="8"/>
  <c r="AD192" i="8"/>
  <c r="F176" i="8"/>
  <c r="AE176" i="8" s="1"/>
  <c r="AD152" i="8"/>
  <c r="E135" i="8"/>
  <c r="AD144" i="8"/>
  <c r="E127" i="8"/>
  <c r="AD120" i="8"/>
  <c r="E103" i="8"/>
  <c r="AD112" i="8"/>
  <c r="E95" i="8"/>
  <c r="AD88" i="8"/>
  <c r="E71" i="8"/>
  <c r="AD80" i="8"/>
  <c r="E63" i="8"/>
  <c r="AD56" i="8"/>
  <c r="E39" i="8"/>
  <c r="AD48" i="8"/>
  <c r="E31" i="8"/>
  <c r="AD24" i="8"/>
  <c r="E7" i="8"/>
  <c r="E290" i="8"/>
  <c r="F304" i="8" s="1"/>
  <c r="E235" i="8"/>
  <c r="E199" i="8"/>
  <c r="E179" i="8"/>
  <c r="E136" i="8"/>
  <c r="AD142" i="8"/>
  <c r="AD78" i="8"/>
  <c r="E137" i="8"/>
  <c r="E105" i="8"/>
  <c r="F122" i="8" s="1"/>
  <c r="AE122" i="8" s="1"/>
  <c r="E73" i="8"/>
  <c r="AD306" i="8"/>
  <c r="AD298" i="8"/>
  <c r="AD290" i="8"/>
  <c r="AD282" i="8"/>
  <c r="AD274" i="8"/>
  <c r="AD266" i="8"/>
  <c r="AD258" i="8"/>
  <c r="AD250" i="8"/>
  <c r="AD242" i="8"/>
  <c r="AD234" i="8"/>
  <c r="AD226" i="8"/>
  <c r="AD218" i="8"/>
  <c r="AD210" i="8"/>
  <c r="AD202" i="8"/>
  <c r="AD194" i="8"/>
  <c r="E289" i="8"/>
  <c r="E225" i="8"/>
  <c r="E177" i="8"/>
  <c r="E145" i="8"/>
  <c r="E113" i="8"/>
  <c r="F125" i="8" s="1"/>
  <c r="AE125" i="8" s="1"/>
  <c r="E81" i="8"/>
  <c r="E49" i="8"/>
  <c r="E17" i="8"/>
  <c r="F34" i="8" s="1"/>
  <c r="AE34" i="8" s="1"/>
  <c r="AD148" i="8"/>
  <c r="AD116" i="8"/>
  <c r="AD84" i="8"/>
  <c r="AD52" i="8"/>
  <c r="E233" i="8"/>
  <c r="E134" i="8"/>
  <c r="E123" i="8"/>
  <c r="E102" i="8"/>
  <c r="F119" i="8" s="1"/>
  <c r="AE119" i="8" s="1"/>
  <c r="E91" i="8"/>
  <c r="E80" i="8"/>
  <c r="F97" i="8" s="1"/>
  <c r="AE97" i="8" s="1"/>
  <c r="E70" i="8"/>
  <c r="E59" i="8"/>
  <c r="E48" i="8"/>
  <c r="F64" i="8" s="1"/>
  <c r="AE64" i="8" s="1"/>
  <c r="E38" i="8"/>
  <c r="E27" i="8"/>
  <c r="F44" i="8" s="1"/>
  <c r="AE44" i="8" s="1"/>
  <c r="E16" i="8"/>
  <c r="F33" i="8" s="1"/>
  <c r="AE33" i="8" s="1"/>
  <c r="E6" i="8"/>
  <c r="E249" i="8"/>
  <c r="E142" i="8"/>
  <c r="E110" i="8"/>
  <c r="E88" i="8"/>
  <c r="E78" i="8"/>
  <c r="E56" i="8"/>
  <c r="E46" i="8"/>
  <c r="F63" i="8" s="1"/>
  <c r="AE63" i="8" s="1"/>
  <c r="E24" i="8"/>
  <c r="F39" i="8" s="1"/>
  <c r="AE39" i="8" s="1"/>
  <c r="E14" i="8"/>
  <c r="F28" i="8" s="1"/>
  <c r="AE28" i="8" s="1"/>
  <c r="E3" i="8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3" i="1"/>
  <c r="B4" i="1"/>
  <c r="C4" i="1"/>
  <c r="E4" i="1"/>
  <c r="B5" i="1"/>
  <c r="H7" i="1"/>
  <c r="C5" i="1"/>
  <c r="E5" i="1"/>
  <c r="B6" i="1"/>
  <c r="C6" i="1"/>
  <c r="E6" i="1"/>
  <c r="B7" i="1"/>
  <c r="C7" i="1"/>
  <c r="E7" i="1"/>
  <c r="B8" i="1"/>
  <c r="C8" i="1"/>
  <c r="E8" i="1"/>
  <c r="B9" i="1"/>
  <c r="C9" i="1"/>
  <c r="E9" i="1"/>
  <c r="B10" i="1"/>
  <c r="C10" i="1"/>
  <c r="E10" i="1"/>
  <c r="B11" i="1"/>
  <c r="C11" i="1"/>
  <c r="E11" i="1"/>
  <c r="B12" i="1"/>
  <c r="C12" i="1"/>
  <c r="E12" i="1"/>
  <c r="B13" i="1"/>
  <c r="C13" i="1"/>
  <c r="E13" i="1"/>
  <c r="B14" i="1"/>
  <c r="C14" i="1"/>
  <c r="E14" i="1"/>
  <c r="B15" i="1"/>
  <c r="C15" i="1"/>
  <c r="E15" i="1"/>
  <c r="B16" i="1"/>
  <c r="C16" i="1"/>
  <c r="E16" i="1"/>
  <c r="B17" i="1"/>
  <c r="C17" i="1"/>
  <c r="E17" i="1"/>
  <c r="B18" i="1"/>
  <c r="C18" i="1"/>
  <c r="E18" i="1"/>
  <c r="B19" i="1"/>
  <c r="C19" i="1"/>
  <c r="E19" i="1"/>
  <c r="B20" i="1"/>
  <c r="C20" i="1"/>
  <c r="E20" i="1"/>
  <c r="B21" i="1"/>
  <c r="C21" i="1"/>
  <c r="E21" i="1"/>
  <c r="B22" i="1"/>
  <c r="C22" i="1"/>
  <c r="E22" i="1"/>
  <c r="B23" i="1"/>
  <c r="C23" i="1"/>
  <c r="E23" i="1"/>
  <c r="B24" i="1"/>
  <c r="C24" i="1"/>
  <c r="E24" i="1"/>
  <c r="B25" i="1"/>
  <c r="C25" i="1"/>
  <c r="E25" i="1"/>
  <c r="B26" i="1"/>
  <c r="C26" i="1"/>
  <c r="E26" i="1"/>
  <c r="B27" i="1"/>
  <c r="C27" i="1"/>
  <c r="E27" i="1"/>
  <c r="B28" i="1"/>
  <c r="C28" i="1"/>
  <c r="E28" i="1"/>
  <c r="B29" i="1"/>
  <c r="C29" i="1"/>
  <c r="E29" i="1"/>
  <c r="B30" i="1"/>
  <c r="C30" i="1"/>
  <c r="E30" i="1"/>
  <c r="B31" i="1"/>
  <c r="C31" i="1"/>
  <c r="E31" i="1"/>
  <c r="B32" i="1"/>
  <c r="C32" i="1"/>
  <c r="E32" i="1"/>
  <c r="B33" i="1"/>
  <c r="C33" i="1"/>
  <c r="E33" i="1"/>
  <c r="B34" i="1"/>
  <c r="C34" i="1"/>
  <c r="E34" i="1"/>
  <c r="B35" i="1"/>
  <c r="C35" i="1"/>
  <c r="E35" i="1"/>
  <c r="B36" i="1"/>
  <c r="C36" i="1"/>
  <c r="E36" i="1"/>
  <c r="B37" i="1"/>
  <c r="C37" i="1"/>
  <c r="E37" i="1"/>
  <c r="B38" i="1"/>
  <c r="C38" i="1"/>
  <c r="E38" i="1"/>
  <c r="B39" i="1"/>
  <c r="C39" i="1"/>
  <c r="E39" i="1"/>
  <c r="B40" i="1"/>
  <c r="C40" i="1"/>
  <c r="E40" i="1"/>
  <c r="B41" i="1"/>
  <c r="C41" i="1"/>
  <c r="E41" i="1"/>
  <c r="B42" i="1"/>
  <c r="C42" i="1"/>
  <c r="E42" i="1"/>
  <c r="B43" i="1"/>
  <c r="C43" i="1"/>
  <c r="E43" i="1"/>
  <c r="B44" i="1"/>
  <c r="C44" i="1"/>
  <c r="E44" i="1"/>
  <c r="B45" i="1"/>
  <c r="C45" i="1"/>
  <c r="E45" i="1"/>
  <c r="B46" i="1"/>
  <c r="C46" i="1"/>
  <c r="E46" i="1"/>
  <c r="B47" i="1"/>
  <c r="C47" i="1"/>
  <c r="E47" i="1"/>
  <c r="B48" i="1"/>
  <c r="C48" i="1"/>
  <c r="E48" i="1"/>
  <c r="B49" i="1"/>
  <c r="C49" i="1"/>
  <c r="E49" i="1"/>
  <c r="B50" i="1"/>
  <c r="C50" i="1"/>
  <c r="E50" i="1"/>
  <c r="B51" i="1"/>
  <c r="C51" i="1"/>
  <c r="E51" i="1"/>
  <c r="B52" i="1"/>
  <c r="C52" i="1"/>
  <c r="E52" i="1"/>
  <c r="B53" i="1"/>
  <c r="C53" i="1"/>
  <c r="E53" i="1"/>
  <c r="B54" i="1"/>
  <c r="C54" i="1"/>
  <c r="E54" i="1"/>
  <c r="B55" i="1"/>
  <c r="C55" i="1"/>
  <c r="E55" i="1"/>
  <c r="B56" i="1"/>
  <c r="C56" i="1"/>
  <c r="E56" i="1"/>
  <c r="B57" i="1"/>
  <c r="C57" i="1"/>
  <c r="E57" i="1"/>
  <c r="B58" i="1"/>
  <c r="C58" i="1"/>
  <c r="E58" i="1"/>
  <c r="B59" i="1"/>
  <c r="C59" i="1"/>
  <c r="E59" i="1"/>
  <c r="B60" i="1"/>
  <c r="C60" i="1"/>
  <c r="E60" i="1"/>
  <c r="B61" i="1"/>
  <c r="C61" i="1"/>
  <c r="E61" i="1"/>
  <c r="B62" i="1"/>
  <c r="C62" i="1"/>
  <c r="E62" i="1"/>
  <c r="B63" i="1"/>
  <c r="C63" i="1"/>
  <c r="E63" i="1"/>
  <c r="B64" i="1"/>
  <c r="C64" i="1"/>
  <c r="E64" i="1"/>
  <c r="B65" i="1"/>
  <c r="C65" i="1"/>
  <c r="E65" i="1"/>
  <c r="B66" i="1"/>
  <c r="C66" i="1"/>
  <c r="E66" i="1"/>
  <c r="B67" i="1"/>
  <c r="C67" i="1"/>
  <c r="E67" i="1"/>
  <c r="B68" i="1"/>
  <c r="C68" i="1"/>
  <c r="E68" i="1"/>
  <c r="B69" i="1"/>
  <c r="C69" i="1"/>
  <c r="E69" i="1"/>
  <c r="B70" i="1"/>
  <c r="C70" i="1"/>
  <c r="E70" i="1"/>
  <c r="B71" i="1"/>
  <c r="C71" i="1"/>
  <c r="E71" i="1"/>
  <c r="B72" i="1"/>
  <c r="C72" i="1"/>
  <c r="E72" i="1"/>
  <c r="B73" i="1"/>
  <c r="C73" i="1"/>
  <c r="E73" i="1"/>
  <c r="B74" i="1"/>
  <c r="C74" i="1"/>
  <c r="E74" i="1"/>
  <c r="B75" i="1"/>
  <c r="C75" i="1"/>
  <c r="E75" i="1"/>
  <c r="B76" i="1"/>
  <c r="C76" i="1"/>
  <c r="E76" i="1"/>
  <c r="B77" i="1"/>
  <c r="C77" i="1"/>
  <c r="E77" i="1"/>
  <c r="B78" i="1"/>
  <c r="C78" i="1"/>
  <c r="E78" i="1"/>
  <c r="B79" i="1"/>
  <c r="C79" i="1"/>
  <c r="E79" i="1"/>
  <c r="B80" i="1"/>
  <c r="C80" i="1"/>
  <c r="E80" i="1"/>
  <c r="B81" i="1"/>
  <c r="C81" i="1"/>
  <c r="E81" i="1"/>
  <c r="B82" i="1"/>
  <c r="C82" i="1"/>
  <c r="E82" i="1"/>
  <c r="B83" i="1"/>
  <c r="C83" i="1"/>
  <c r="E83" i="1"/>
  <c r="B84" i="1"/>
  <c r="C84" i="1"/>
  <c r="E84" i="1"/>
  <c r="B85" i="1"/>
  <c r="C85" i="1"/>
  <c r="E85" i="1"/>
  <c r="B86" i="1"/>
  <c r="C86" i="1"/>
  <c r="E86" i="1"/>
  <c r="B87" i="1"/>
  <c r="C87" i="1"/>
  <c r="E87" i="1"/>
  <c r="B88" i="1"/>
  <c r="C88" i="1"/>
  <c r="E88" i="1"/>
  <c r="B89" i="1"/>
  <c r="C89" i="1"/>
  <c r="E89" i="1"/>
  <c r="B90" i="1"/>
  <c r="C90" i="1"/>
  <c r="E90" i="1"/>
  <c r="B91" i="1"/>
  <c r="C91" i="1"/>
  <c r="E91" i="1"/>
  <c r="B92" i="1"/>
  <c r="C92" i="1"/>
  <c r="E92" i="1"/>
  <c r="B93" i="1"/>
  <c r="C93" i="1"/>
  <c r="E93" i="1"/>
  <c r="B94" i="1"/>
  <c r="C94" i="1"/>
  <c r="E94" i="1"/>
  <c r="B95" i="1"/>
  <c r="C95" i="1"/>
  <c r="E95" i="1"/>
  <c r="B96" i="1"/>
  <c r="C96" i="1"/>
  <c r="E96" i="1"/>
  <c r="B97" i="1"/>
  <c r="C97" i="1"/>
  <c r="E97" i="1"/>
  <c r="B98" i="1"/>
  <c r="C98" i="1"/>
  <c r="E98" i="1"/>
  <c r="B99" i="1"/>
  <c r="C99" i="1"/>
  <c r="E99" i="1"/>
  <c r="B100" i="1"/>
  <c r="C100" i="1"/>
  <c r="E100" i="1"/>
  <c r="B101" i="1"/>
  <c r="C101" i="1"/>
  <c r="E101" i="1"/>
  <c r="B102" i="1"/>
  <c r="C102" i="1"/>
  <c r="E102" i="1"/>
  <c r="B103" i="1"/>
  <c r="C103" i="1"/>
  <c r="E103" i="1"/>
  <c r="B104" i="1"/>
  <c r="C104" i="1"/>
  <c r="E104" i="1"/>
  <c r="B105" i="1"/>
  <c r="C105" i="1"/>
  <c r="E105" i="1"/>
  <c r="B106" i="1"/>
  <c r="C106" i="1"/>
  <c r="E106" i="1"/>
  <c r="B107" i="1"/>
  <c r="C107" i="1"/>
  <c r="E107" i="1"/>
  <c r="B108" i="1"/>
  <c r="C108" i="1"/>
  <c r="E108" i="1"/>
  <c r="B109" i="1"/>
  <c r="C109" i="1"/>
  <c r="E109" i="1"/>
  <c r="B110" i="1"/>
  <c r="C110" i="1"/>
  <c r="E110" i="1"/>
  <c r="B111" i="1"/>
  <c r="C111" i="1"/>
  <c r="E111" i="1"/>
  <c r="B112" i="1"/>
  <c r="C112" i="1"/>
  <c r="E112" i="1"/>
  <c r="B113" i="1"/>
  <c r="C113" i="1"/>
  <c r="E113" i="1"/>
  <c r="B114" i="1"/>
  <c r="C114" i="1"/>
  <c r="E114" i="1"/>
  <c r="B115" i="1"/>
  <c r="C115" i="1"/>
  <c r="E115" i="1"/>
  <c r="B116" i="1"/>
  <c r="C116" i="1"/>
  <c r="E116" i="1"/>
  <c r="B117" i="1"/>
  <c r="C117" i="1"/>
  <c r="E117" i="1"/>
  <c r="B118" i="1"/>
  <c r="C118" i="1"/>
  <c r="E118" i="1"/>
  <c r="B119" i="1"/>
  <c r="C119" i="1"/>
  <c r="E119" i="1"/>
  <c r="B120" i="1"/>
  <c r="C120" i="1"/>
  <c r="E120" i="1"/>
  <c r="B121" i="1"/>
  <c r="C121" i="1"/>
  <c r="E121" i="1"/>
  <c r="B122" i="1"/>
  <c r="C122" i="1"/>
  <c r="E122" i="1"/>
  <c r="B123" i="1"/>
  <c r="C123" i="1"/>
  <c r="E123" i="1"/>
  <c r="B124" i="1"/>
  <c r="C124" i="1"/>
  <c r="E124" i="1"/>
  <c r="B125" i="1"/>
  <c r="C125" i="1"/>
  <c r="E125" i="1"/>
  <c r="B126" i="1"/>
  <c r="C126" i="1"/>
  <c r="E126" i="1"/>
  <c r="B127" i="1"/>
  <c r="C127" i="1"/>
  <c r="E127" i="1"/>
  <c r="B128" i="1"/>
  <c r="C128" i="1"/>
  <c r="E128" i="1"/>
  <c r="B129" i="1"/>
  <c r="C129" i="1"/>
  <c r="E129" i="1"/>
  <c r="B130" i="1"/>
  <c r="C130" i="1"/>
  <c r="E130" i="1"/>
  <c r="B131" i="1"/>
  <c r="C131" i="1"/>
  <c r="E131" i="1"/>
  <c r="B132" i="1"/>
  <c r="C132" i="1"/>
  <c r="E132" i="1"/>
  <c r="B133" i="1"/>
  <c r="C133" i="1"/>
  <c r="E133" i="1"/>
  <c r="B134" i="1"/>
  <c r="C134" i="1"/>
  <c r="E134" i="1"/>
  <c r="B135" i="1"/>
  <c r="C135" i="1"/>
  <c r="E135" i="1"/>
  <c r="B136" i="1"/>
  <c r="C136" i="1"/>
  <c r="E136" i="1"/>
  <c r="B137" i="1"/>
  <c r="C137" i="1"/>
  <c r="E137" i="1"/>
  <c r="B138" i="1"/>
  <c r="C138" i="1"/>
  <c r="E138" i="1"/>
  <c r="B139" i="1"/>
  <c r="C139" i="1"/>
  <c r="E139" i="1"/>
  <c r="K6" i="1"/>
  <c r="B140" i="1"/>
  <c r="C140" i="1"/>
  <c r="E140" i="1"/>
  <c r="B141" i="1"/>
  <c r="C141" i="1"/>
  <c r="E141" i="1"/>
  <c r="B142" i="1"/>
  <c r="C142" i="1"/>
  <c r="E142" i="1"/>
  <c r="B143" i="1"/>
  <c r="C143" i="1"/>
  <c r="E143" i="1"/>
  <c r="B144" i="1"/>
  <c r="C144" i="1"/>
  <c r="E144" i="1"/>
  <c r="B145" i="1"/>
  <c r="C145" i="1"/>
  <c r="E145" i="1"/>
  <c r="B146" i="1"/>
  <c r="C146" i="1"/>
  <c r="E146" i="1"/>
  <c r="B147" i="1"/>
  <c r="C147" i="1"/>
  <c r="E147" i="1"/>
  <c r="B148" i="1"/>
  <c r="C148" i="1"/>
  <c r="E148" i="1"/>
  <c r="B149" i="1"/>
  <c r="C149" i="1"/>
  <c r="E149" i="1"/>
  <c r="B150" i="1"/>
  <c r="C150" i="1"/>
  <c r="E150" i="1"/>
  <c r="B151" i="1"/>
  <c r="C151" i="1"/>
  <c r="E151" i="1"/>
  <c r="B152" i="1"/>
  <c r="C152" i="1"/>
  <c r="E152" i="1"/>
  <c r="B153" i="1"/>
  <c r="C153" i="1"/>
  <c r="E153" i="1"/>
  <c r="B154" i="1"/>
  <c r="C154" i="1"/>
  <c r="E154" i="1"/>
  <c r="B155" i="1"/>
  <c r="C155" i="1"/>
  <c r="E155" i="1"/>
  <c r="B156" i="1"/>
  <c r="C156" i="1"/>
  <c r="E156" i="1"/>
  <c r="B157" i="1"/>
  <c r="C157" i="1"/>
  <c r="E157" i="1"/>
  <c r="B158" i="1"/>
  <c r="C158" i="1"/>
  <c r="E158" i="1"/>
  <c r="B159" i="1"/>
  <c r="C159" i="1"/>
  <c r="E159" i="1"/>
  <c r="B160" i="1"/>
  <c r="C160" i="1"/>
  <c r="E160" i="1"/>
  <c r="B161" i="1"/>
  <c r="C161" i="1"/>
  <c r="E161" i="1"/>
  <c r="B162" i="1"/>
  <c r="C162" i="1"/>
  <c r="E162" i="1"/>
  <c r="B163" i="1"/>
  <c r="C163" i="1"/>
  <c r="E163" i="1"/>
  <c r="B164" i="1"/>
  <c r="C164" i="1"/>
  <c r="E164" i="1"/>
  <c r="B165" i="1"/>
  <c r="C165" i="1"/>
  <c r="E165" i="1"/>
  <c r="B166" i="1"/>
  <c r="C166" i="1"/>
  <c r="E166" i="1"/>
  <c r="B167" i="1"/>
  <c r="C167" i="1"/>
  <c r="E167" i="1"/>
  <c r="B168" i="1"/>
  <c r="C168" i="1"/>
  <c r="E168" i="1"/>
  <c r="B169" i="1"/>
  <c r="C169" i="1"/>
  <c r="E169" i="1"/>
  <c r="B170" i="1"/>
  <c r="C170" i="1"/>
  <c r="E170" i="1"/>
  <c r="B171" i="1"/>
  <c r="C171" i="1"/>
  <c r="E171" i="1"/>
  <c r="B172" i="1"/>
  <c r="C172" i="1"/>
  <c r="E172" i="1"/>
  <c r="B173" i="1"/>
  <c r="C173" i="1"/>
  <c r="E173" i="1"/>
  <c r="B174" i="1"/>
  <c r="C174" i="1"/>
  <c r="E174" i="1"/>
  <c r="B175" i="1"/>
  <c r="C175" i="1"/>
  <c r="E175" i="1"/>
  <c r="B176" i="1"/>
  <c r="C176" i="1"/>
  <c r="E176" i="1"/>
  <c r="B177" i="1"/>
  <c r="C177" i="1"/>
  <c r="E177" i="1"/>
  <c r="B178" i="1"/>
  <c r="C178" i="1"/>
  <c r="E178" i="1"/>
  <c r="B179" i="1"/>
  <c r="C179" i="1"/>
  <c r="E179" i="1"/>
  <c r="B180" i="1"/>
  <c r="C180" i="1"/>
  <c r="E180" i="1"/>
  <c r="B181" i="1"/>
  <c r="C181" i="1"/>
  <c r="E181" i="1"/>
  <c r="B182" i="1"/>
  <c r="C182" i="1"/>
  <c r="E182" i="1"/>
  <c r="B183" i="1"/>
  <c r="C183" i="1"/>
  <c r="E183" i="1"/>
  <c r="B184" i="1"/>
  <c r="C184" i="1"/>
  <c r="E184" i="1"/>
  <c r="B185" i="1"/>
  <c r="C185" i="1"/>
  <c r="E185" i="1"/>
  <c r="B186" i="1"/>
  <c r="C186" i="1"/>
  <c r="E186" i="1"/>
  <c r="B187" i="1"/>
  <c r="C187" i="1"/>
  <c r="E187" i="1"/>
  <c r="B188" i="1"/>
  <c r="C188" i="1"/>
  <c r="E188" i="1"/>
  <c r="B189" i="1"/>
  <c r="C189" i="1"/>
  <c r="E189" i="1"/>
  <c r="B190" i="1"/>
  <c r="C190" i="1"/>
  <c r="E190" i="1"/>
  <c r="B191" i="1"/>
  <c r="C191" i="1"/>
  <c r="E191" i="1"/>
  <c r="B192" i="1"/>
  <c r="C192" i="1"/>
  <c r="E192" i="1"/>
  <c r="B193" i="1"/>
  <c r="C193" i="1"/>
  <c r="E193" i="1"/>
  <c r="B194" i="1"/>
  <c r="C194" i="1"/>
  <c r="E194" i="1"/>
  <c r="B195" i="1"/>
  <c r="C195" i="1"/>
  <c r="E195" i="1"/>
  <c r="B196" i="1"/>
  <c r="C196" i="1"/>
  <c r="E196" i="1"/>
  <c r="B197" i="1"/>
  <c r="C197" i="1"/>
  <c r="E197" i="1"/>
  <c r="B198" i="1"/>
  <c r="C198" i="1"/>
  <c r="E198" i="1"/>
  <c r="B199" i="1"/>
  <c r="C199" i="1"/>
  <c r="E199" i="1"/>
  <c r="B200" i="1"/>
  <c r="C200" i="1"/>
  <c r="E200" i="1"/>
  <c r="B201" i="1"/>
  <c r="C201" i="1"/>
  <c r="E201" i="1"/>
  <c r="B202" i="1"/>
  <c r="C202" i="1"/>
  <c r="E202" i="1"/>
  <c r="B203" i="1"/>
  <c r="C203" i="1"/>
  <c r="E203" i="1"/>
  <c r="B204" i="1"/>
  <c r="C204" i="1"/>
  <c r="E204" i="1"/>
  <c r="B205" i="1"/>
  <c r="C205" i="1"/>
  <c r="E205" i="1"/>
  <c r="B206" i="1"/>
  <c r="C206" i="1"/>
  <c r="E206" i="1"/>
  <c r="B207" i="1"/>
  <c r="C207" i="1"/>
  <c r="E207" i="1"/>
  <c r="B208" i="1"/>
  <c r="C208" i="1"/>
  <c r="E208" i="1"/>
  <c r="B209" i="1"/>
  <c r="C209" i="1"/>
  <c r="E209" i="1"/>
  <c r="B210" i="1"/>
  <c r="C210" i="1"/>
  <c r="E210" i="1"/>
  <c r="B211" i="1"/>
  <c r="C211" i="1"/>
  <c r="E211" i="1"/>
  <c r="B212" i="1"/>
  <c r="C212" i="1"/>
  <c r="E212" i="1"/>
  <c r="B213" i="1"/>
  <c r="C213" i="1"/>
  <c r="E213" i="1"/>
  <c r="B214" i="1"/>
  <c r="C214" i="1"/>
  <c r="E214" i="1"/>
  <c r="B215" i="1"/>
  <c r="C215" i="1"/>
  <c r="E215" i="1"/>
  <c r="B216" i="1"/>
  <c r="C216" i="1"/>
  <c r="E216" i="1"/>
  <c r="B217" i="1"/>
  <c r="C217" i="1"/>
  <c r="E217" i="1"/>
  <c r="B218" i="1"/>
  <c r="C218" i="1"/>
  <c r="E218" i="1"/>
  <c r="B219" i="1"/>
  <c r="C219" i="1"/>
  <c r="E219" i="1"/>
  <c r="B220" i="1"/>
  <c r="C220" i="1"/>
  <c r="E220" i="1"/>
  <c r="B221" i="1"/>
  <c r="C221" i="1"/>
  <c r="E221" i="1"/>
  <c r="B222" i="1"/>
  <c r="C222" i="1"/>
  <c r="E222" i="1"/>
  <c r="B223" i="1"/>
  <c r="C223" i="1"/>
  <c r="E223" i="1"/>
  <c r="B224" i="1"/>
  <c r="C224" i="1"/>
  <c r="E224" i="1"/>
  <c r="B225" i="1"/>
  <c r="C225" i="1"/>
  <c r="E225" i="1"/>
  <c r="B226" i="1"/>
  <c r="C226" i="1"/>
  <c r="E226" i="1"/>
  <c r="B227" i="1"/>
  <c r="C227" i="1"/>
  <c r="E227" i="1"/>
  <c r="B228" i="1"/>
  <c r="C228" i="1"/>
  <c r="E228" i="1"/>
  <c r="B229" i="1"/>
  <c r="C229" i="1"/>
  <c r="E229" i="1"/>
  <c r="B230" i="1"/>
  <c r="C230" i="1"/>
  <c r="E230" i="1"/>
  <c r="B231" i="1"/>
  <c r="C231" i="1"/>
  <c r="E231" i="1"/>
  <c r="B232" i="1"/>
  <c r="C232" i="1"/>
  <c r="E232" i="1"/>
  <c r="B233" i="1"/>
  <c r="C233" i="1"/>
  <c r="E233" i="1"/>
  <c r="B234" i="1"/>
  <c r="C234" i="1"/>
  <c r="E234" i="1"/>
  <c r="B235" i="1"/>
  <c r="C235" i="1"/>
  <c r="E235" i="1"/>
  <c r="B236" i="1"/>
  <c r="C236" i="1"/>
  <c r="E236" i="1"/>
  <c r="B237" i="1"/>
  <c r="C237" i="1"/>
  <c r="E237" i="1"/>
  <c r="B238" i="1"/>
  <c r="C238" i="1"/>
  <c r="E238" i="1"/>
  <c r="B239" i="1"/>
  <c r="C239" i="1"/>
  <c r="E239" i="1"/>
  <c r="B240" i="1"/>
  <c r="C240" i="1"/>
  <c r="E240" i="1"/>
  <c r="B241" i="1"/>
  <c r="C241" i="1"/>
  <c r="E241" i="1"/>
  <c r="B242" i="1"/>
  <c r="C242" i="1"/>
  <c r="E242" i="1"/>
  <c r="B243" i="1"/>
  <c r="C243" i="1"/>
  <c r="E243" i="1"/>
  <c r="B244" i="1"/>
  <c r="C244" i="1"/>
  <c r="E244" i="1"/>
  <c r="B245" i="1"/>
  <c r="C245" i="1"/>
  <c r="E245" i="1"/>
  <c r="B246" i="1"/>
  <c r="C246" i="1"/>
  <c r="E246" i="1"/>
  <c r="B247" i="1"/>
  <c r="C247" i="1"/>
  <c r="E247" i="1"/>
  <c r="B248" i="1"/>
  <c r="C248" i="1"/>
  <c r="E248" i="1"/>
  <c r="B249" i="1"/>
  <c r="C249" i="1"/>
  <c r="E249" i="1"/>
  <c r="B250" i="1"/>
  <c r="C250" i="1"/>
  <c r="E250" i="1"/>
  <c r="B251" i="1"/>
  <c r="C251" i="1"/>
  <c r="E251" i="1"/>
  <c r="B252" i="1"/>
  <c r="C252" i="1"/>
  <c r="E252" i="1"/>
  <c r="B253" i="1"/>
  <c r="C253" i="1"/>
  <c r="E253" i="1"/>
  <c r="B254" i="1"/>
  <c r="C254" i="1"/>
  <c r="E254" i="1"/>
  <c r="B255" i="1"/>
  <c r="C255" i="1"/>
  <c r="E255" i="1"/>
  <c r="B256" i="1"/>
  <c r="C256" i="1"/>
  <c r="E256" i="1"/>
  <c r="B257" i="1"/>
  <c r="C257" i="1"/>
  <c r="E257" i="1"/>
  <c r="B258" i="1"/>
  <c r="C258" i="1"/>
  <c r="E258" i="1"/>
  <c r="B259" i="1"/>
  <c r="C259" i="1"/>
  <c r="E259" i="1"/>
  <c r="B260" i="1"/>
  <c r="C260" i="1"/>
  <c r="E260" i="1"/>
  <c r="B261" i="1"/>
  <c r="C261" i="1"/>
  <c r="E261" i="1"/>
  <c r="B262" i="1"/>
  <c r="C262" i="1"/>
  <c r="E262" i="1"/>
  <c r="B263" i="1"/>
  <c r="C263" i="1"/>
  <c r="E263" i="1"/>
  <c r="B264" i="1"/>
  <c r="C264" i="1"/>
  <c r="E264" i="1"/>
  <c r="B265" i="1"/>
  <c r="C265" i="1"/>
  <c r="E265" i="1"/>
  <c r="B266" i="1"/>
  <c r="C266" i="1"/>
  <c r="E266" i="1"/>
  <c r="B267" i="1"/>
  <c r="C267" i="1"/>
  <c r="E267" i="1"/>
  <c r="B268" i="1"/>
  <c r="C268" i="1"/>
  <c r="E268" i="1"/>
  <c r="B269" i="1"/>
  <c r="C269" i="1"/>
  <c r="E269" i="1"/>
  <c r="B270" i="1"/>
  <c r="C270" i="1"/>
  <c r="E270" i="1"/>
  <c r="B271" i="1"/>
  <c r="C271" i="1"/>
  <c r="E271" i="1"/>
  <c r="B272" i="1"/>
  <c r="C272" i="1"/>
  <c r="E272" i="1"/>
  <c r="B3" i="1"/>
  <c r="E3" i="1"/>
  <c r="C3" i="1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2" i="2"/>
  <c r="F2" i="4"/>
  <c r="F3" i="4"/>
  <c r="F4" i="4"/>
  <c r="F5" i="4"/>
  <c r="F6" i="4"/>
  <c r="F7" i="4"/>
  <c r="E2" i="4"/>
  <c r="E3" i="4"/>
  <c r="E4" i="4"/>
  <c r="E5" i="4"/>
  <c r="E6" i="4"/>
  <c r="E7" i="4"/>
  <c r="E8" i="4"/>
  <c r="E9" i="4"/>
  <c r="E10" i="4"/>
  <c r="E11" i="4"/>
  <c r="E12" i="4"/>
  <c r="E13" i="4"/>
  <c r="D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6" i="4"/>
  <c r="E26" i="4"/>
  <c r="F26" i="4"/>
  <c r="D27" i="4"/>
  <c r="E27" i="4"/>
  <c r="F27" i="4"/>
  <c r="D28" i="4"/>
  <c r="E28" i="4"/>
  <c r="F28" i="4"/>
  <c r="D29" i="4"/>
  <c r="E29" i="4"/>
  <c r="F29" i="4"/>
  <c r="D30" i="4"/>
  <c r="E30" i="4"/>
  <c r="F30" i="4"/>
  <c r="D31" i="4"/>
  <c r="E31" i="4"/>
  <c r="F31" i="4"/>
  <c r="D32" i="4"/>
  <c r="E32" i="4"/>
  <c r="F32" i="4"/>
  <c r="D33" i="4"/>
  <c r="E33" i="4"/>
  <c r="F33" i="4"/>
  <c r="D34" i="4"/>
  <c r="E34" i="4"/>
  <c r="F34" i="4"/>
  <c r="D35" i="4"/>
  <c r="E35" i="4"/>
  <c r="F35" i="4"/>
  <c r="D36" i="4"/>
  <c r="E36" i="4"/>
  <c r="F36" i="4"/>
  <c r="D37" i="4"/>
  <c r="E37" i="4"/>
  <c r="F37" i="4"/>
  <c r="D38" i="4"/>
  <c r="E38" i="4"/>
  <c r="F38" i="4"/>
  <c r="D39" i="4"/>
  <c r="E39" i="4"/>
  <c r="F39" i="4"/>
  <c r="D40" i="4"/>
  <c r="E40" i="4"/>
  <c r="F40" i="4"/>
  <c r="D41" i="4"/>
  <c r="E41" i="4"/>
  <c r="F41" i="4"/>
  <c r="D42" i="4"/>
  <c r="E42" i="4"/>
  <c r="F42" i="4"/>
  <c r="D43" i="4"/>
  <c r="E43" i="4"/>
  <c r="F43" i="4"/>
  <c r="D44" i="4"/>
  <c r="E44" i="4"/>
  <c r="F44" i="4"/>
  <c r="D45" i="4"/>
  <c r="E45" i="4"/>
  <c r="F45" i="4"/>
  <c r="D46" i="4"/>
  <c r="E46" i="4"/>
  <c r="F46" i="4"/>
  <c r="D47" i="4"/>
  <c r="E47" i="4"/>
  <c r="F47" i="4"/>
  <c r="D48" i="4"/>
  <c r="E48" i="4"/>
  <c r="F48" i="4"/>
  <c r="D49" i="4"/>
  <c r="E49" i="4"/>
  <c r="F49" i="4"/>
  <c r="D50" i="4"/>
  <c r="E50" i="4"/>
  <c r="F50" i="4"/>
  <c r="D51" i="4"/>
  <c r="E51" i="4"/>
  <c r="F51" i="4"/>
  <c r="D52" i="4"/>
  <c r="E52" i="4"/>
  <c r="F52" i="4"/>
  <c r="D53" i="4"/>
  <c r="E53" i="4"/>
  <c r="F53" i="4"/>
  <c r="D54" i="4"/>
  <c r="E54" i="4"/>
  <c r="F54" i="4"/>
  <c r="D55" i="4"/>
  <c r="E55" i="4"/>
  <c r="F55" i="4"/>
  <c r="D56" i="4"/>
  <c r="E56" i="4"/>
  <c r="F56" i="4"/>
  <c r="D57" i="4"/>
  <c r="E57" i="4"/>
  <c r="F57" i="4"/>
  <c r="D58" i="4"/>
  <c r="E58" i="4"/>
  <c r="F58" i="4"/>
  <c r="D59" i="4"/>
  <c r="E59" i="4"/>
  <c r="F59" i="4"/>
  <c r="D60" i="4"/>
  <c r="E60" i="4"/>
  <c r="F60" i="4"/>
  <c r="D61" i="4"/>
  <c r="E61" i="4"/>
  <c r="F61" i="4"/>
  <c r="D62" i="4"/>
  <c r="E62" i="4"/>
  <c r="F62" i="4"/>
  <c r="D63" i="4"/>
  <c r="E63" i="4"/>
  <c r="F63" i="4"/>
  <c r="D64" i="4"/>
  <c r="E64" i="4"/>
  <c r="F64" i="4"/>
  <c r="D65" i="4"/>
  <c r="E65" i="4"/>
  <c r="F65" i="4"/>
  <c r="D66" i="4"/>
  <c r="E66" i="4"/>
  <c r="F66" i="4"/>
  <c r="D67" i="4"/>
  <c r="E67" i="4"/>
  <c r="F67" i="4"/>
  <c r="D68" i="4"/>
  <c r="E68" i="4"/>
  <c r="F68" i="4"/>
  <c r="D69" i="4"/>
  <c r="E69" i="4"/>
  <c r="F69" i="4"/>
  <c r="D70" i="4"/>
  <c r="E70" i="4"/>
  <c r="F70" i="4"/>
  <c r="D71" i="4"/>
  <c r="E71" i="4"/>
  <c r="F71" i="4"/>
  <c r="D72" i="4"/>
  <c r="E72" i="4"/>
  <c r="F72" i="4"/>
  <c r="D73" i="4"/>
  <c r="E73" i="4"/>
  <c r="F73" i="4"/>
  <c r="D74" i="4"/>
  <c r="E74" i="4"/>
  <c r="F74" i="4"/>
  <c r="D75" i="4"/>
  <c r="E75" i="4"/>
  <c r="F75" i="4"/>
  <c r="D76" i="4"/>
  <c r="E76" i="4"/>
  <c r="F76" i="4"/>
  <c r="D77" i="4"/>
  <c r="E77" i="4"/>
  <c r="F77" i="4"/>
  <c r="D78" i="4"/>
  <c r="E78" i="4"/>
  <c r="F78" i="4"/>
  <c r="D79" i="4"/>
  <c r="E79" i="4"/>
  <c r="F79" i="4"/>
  <c r="D80" i="4"/>
  <c r="E80" i="4"/>
  <c r="F80" i="4"/>
  <c r="D81" i="4"/>
  <c r="E81" i="4"/>
  <c r="F81" i="4"/>
  <c r="D82" i="4"/>
  <c r="E82" i="4"/>
  <c r="F82" i="4"/>
  <c r="D83" i="4"/>
  <c r="E83" i="4"/>
  <c r="F83" i="4"/>
  <c r="D84" i="4"/>
  <c r="E84" i="4"/>
  <c r="F84" i="4"/>
  <c r="D85" i="4"/>
  <c r="E85" i="4"/>
  <c r="F85" i="4"/>
  <c r="D86" i="4"/>
  <c r="E86" i="4"/>
  <c r="F86" i="4"/>
  <c r="D87" i="4"/>
  <c r="E87" i="4"/>
  <c r="F87" i="4"/>
  <c r="D88" i="4"/>
  <c r="E88" i="4"/>
  <c r="F88" i="4"/>
  <c r="D89" i="4"/>
  <c r="E89" i="4"/>
  <c r="F89" i="4"/>
  <c r="D90" i="4"/>
  <c r="E90" i="4"/>
  <c r="F90" i="4"/>
  <c r="D91" i="4"/>
  <c r="E91" i="4"/>
  <c r="F91" i="4"/>
  <c r="D92" i="4"/>
  <c r="E92" i="4"/>
  <c r="F92" i="4"/>
  <c r="D93" i="4"/>
  <c r="E93" i="4"/>
  <c r="F93" i="4"/>
  <c r="D94" i="4"/>
  <c r="E94" i="4"/>
  <c r="F94" i="4"/>
  <c r="D95" i="4"/>
  <c r="E95" i="4"/>
  <c r="F95" i="4"/>
  <c r="D96" i="4"/>
  <c r="E96" i="4"/>
  <c r="F96" i="4"/>
  <c r="D97" i="4"/>
  <c r="E97" i="4"/>
  <c r="F97" i="4"/>
  <c r="D98" i="4"/>
  <c r="E98" i="4"/>
  <c r="F98" i="4"/>
  <c r="D99" i="4"/>
  <c r="E99" i="4"/>
  <c r="F99" i="4"/>
  <c r="D100" i="4"/>
  <c r="E100" i="4"/>
  <c r="F100" i="4"/>
  <c r="D101" i="4"/>
  <c r="E101" i="4"/>
  <c r="F101" i="4"/>
  <c r="D102" i="4"/>
  <c r="E102" i="4"/>
  <c r="F102" i="4"/>
  <c r="D103" i="4"/>
  <c r="E103" i="4"/>
  <c r="F103" i="4"/>
  <c r="D104" i="4"/>
  <c r="E104" i="4"/>
  <c r="F104" i="4"/>
  <c r="D105" i="4"/>
  <c r="E105" i="4"/>
  <c r="F105" i="4"/>
  <c r="D106" i="4"/>
  <c r="E106" i="4"/>
  <c r="F106" i="4"/>
  <c r="D107" i="4"/>
  <c r="E107" i="4"/>
  <c r="F107" i="4"/>
  <c r="D108" i="4"/>
  <c r="E108" i="4"/>
  <c r="F108" i="4"/>
  <c r="D109" i="4"/>
  <c r="E109" i="4"/>
  <c r="F109" i="4"/>
  <c r="D110" i="4"/>
  <c r="E110" i="4"/>
  <c r="F110" i="4"/>
  <c r="D111" i="4"/>
  <c r="E111" i="4"/>
  <c r="F111" i="4"/>
  <c r="D112" i="4"/>
  <c r="E112" i="4"/>
  <c r="F112" i="4"/>
  <c r="D113" i="4"/>
  <c r="E113" i="4"/>
  <c r="F113" i="4"/>
  <c r="D114" i="4"/>
  <c r="E114" i="4"/>
  <c r="F114" i="4"/>
  <c r="D115" i="4"/>
  <c r="E115" i="4"/>
  <c r="F115" i="4"/>
  <c r="D116" i="4"/>
  <c r="E116" i="4"/>
  <c r="F116" i="4"/>
  <c r="D117" i="4"/>
  <c r="E117" i="4"/>
  <c r="F117" i="4"/>
  <c r="D118" i="4"/>
  <c r="E118" i="4"/>
  <c r="F118" i="4"/>
  <c r="D119" i="4"/>
  <c r="E119" i="4"/>
  <c r="F119" i="4"/>
  <c r="D120" i="4"/>
  <c r="E120" i="4"/>
  <c r="F120" i="4"/>
  <c r="D121" i="4"/>
  <c r="E121" i="4"/>
  <c r="F121" i="4"/>
  <c r="D122" i="4"/>
  <c r="E122" i="4"/>
  <c r="F122" i="4"/>
  <c r="D123" i="4"/>
  <c r="E123" i="4"/>
  <c r="F123" i="4"/>
  <c r="D124" i="4"/>
  <c r="E124" i="4"/>
  <c r="F124" i="4"/>
  <c r="D125" i="4"/>
  <c r="E125" i="4"/>
  <c r="F125" i="4"/>
  <c r="D126" i="4"/>
  <c r="E126" i="4"/>
  <c r="F126" i="4"/>
  <c r="D127" i="4"/>
  <c r="E127" i="4"/>
  <c r="F127" i="4"/>
  <c r="D128" i="4"/>
  <c r="E128" i="4"/>
  <c r="F128" i="4"/>
  <c r="D129" i="4"/>
  <c r="E129" i="4"/>
  <c r="F129" i="4"/>
  <c r="D130" i="4"/>
  <c r="E130" i="4"/>
  <c r="F130" i="4"/>
  <c r="D131" i="4"/>
  <c r="E131" i="4"/>
  <c r="F131" i="4"/>
  <c r="D132" i="4"/>
  <c r="E132" i="4"/>
  <c r="F132" i="4"/>
  <c r="D133" i="4"/>
  <c r="E133" i="4"/>
  <c r="F133" i="4"/>
  <c r="D134" i="4"/>
  <c r="E134" i="4"/>
  <c r="F134" i="4"/>
  <c r="D135" i="4"/>
  <c r="E135" i="4"/>
  <c r="F135" i="4"/>
  <c r="D136" i="4"/>
  <c r="E136" i="4"/>
  <c r="F136" i="4"/>
  <c r="D137" i="4"/>
  <c r="E137" i="4"/>
  <c r="F137" i="4"/>
  <c r="D138" i="4"/>
  <c r="E138" i="4"/>
  <c r="F138" i="4"/>
  <c r="D139" i="4"/>
  <c r="E139" i="4"/>
  <c r="F139" i="4"/>
  <c r="D140" i="4"/>
  <c r="E140" i="4"/>
  <c r="F140" i="4"/>
  <c r="D141" i="4"/>
  <c r="E141" i="4"/>
  <c r="F141" i="4"/>
  <c r="D142" i="4"/>
  <c r="E142" i="4"/>
  <c r="F142" i="4"/>
  <c r="D143" i="4"/>
  <c r="E143" i="4"/>
  <c r="F143" i="4"/>
  <c r="D144" i="4"/>
  <c r="E144" i="4"/>
  <c r="F144" i="4"/>
  <c r="D145" i="4"/>
  <c r="E145" i="4"/>
  <c r="F145" i="4"/>
  <c r="D146" i="4"/>
  <c r="E146" i="4"/>
  <c r="F146" i="4"/>
  <c r="D147" i="4"/>
  <c r="E147" i="4"/>
  <c r="F147" i="4"/>
  <c r="D148" i="4"/>
  <c r="E148" i="4"/>
  <c r="F148" i="4"/>
  <c r="D149" i="4"/>
  <c r="E149" i="4"/>
  <c r="F149" i="4"/>
  <c r="D150" i="4"/>
  <c r="E150" i="4"/>
  <c r="F150" i="4"/>
  <c r="D151" i="4"/>
  <c r="E151" i="4"/>
  <c r="F151" i="4"/>
  <c r="D152" i="4"/>
  <c r="E152" i="4"/>
  <c r="F152" i="4"/>
  <c r="D153" i="4"/>
  <c r="E153" i="4"/>
  <c r="F153" i="4"/>
  <c r="D154" i="4"/>
  <c r="E154" i="4"/>
  <c r="F154" i="4"/>
  <c r="F8" i="4"/>
  <c r="F9" i="4"/>
  <c r="F10" i="4"/>
  <c r="F11" i="4"/>
  <c r="F12" i="4"/>
  <c r="F13" i="4"/>
  <c r="E14" i="4"/>
  <c r="F14" i="4"/>
  <c r="E15" i="4"/>
  <c r="F15" i="4"/>
  <c r="E16" i="4"/>
  <c r="F16" i="4"/>
  <c r="E17" i="4"/>
  <c r="F17" i="4"/>
  <c r="E18" i="4"/>
  <c r="F18" i="4"/>
  <c r="E19" i="4"/>
  <c r="F19" i="4"/>
  <c r="D20" i="4"/>
  <c r="E20" i="4"/>
  <c r="F20" i="4"/>
  <c r="D21" i="4"/>
  <c r="E21" i="4"/>
  <c r="F21" i="4"/>
  <c r="D22" i="4"/>
  <c r="E22" i="4"/>
  <c r="F22" i="4"/>
  <c r="D23" i="4"/>
  <c r="E23" i="4"/>
  <c r="F23" i="4"/>
  <c r="D24" i="4"/>
  <c r="E24" i="4"/>
  <c r="F24" i="4"/>
  <c r="F25" i="4"/>
  <c r="E25" i="4"/>
  <c r="D25" i="4"/>
  <c r="S115" i="2"/>
  <c r="S116" i="2"/>
  <c r="R116" i="2"/>
  <c r="R120" i="2"/>
  <c r="T183" i="2"/>
  <c r="T215" i="2"/>
  <c r="T311" i="2"/>
  <c r="E2" i="3"/>
  <c r="E3" i="3"/>
  <c r="E4" i="3"/>
  <c r="E5" i="3"/>
  <c r="E6" i="3"/>
  <c r="E7" i="3"/>
  <c r="E8" i="3"/>
  <c r="E9" i="3"/>
  <c r="E10" i="3"/>
  <c r="E11" i="3"/>
  <c r="E12" i="3"/>
  <c r="D2" i="3"/>
  <c r="D3" i="3"/>
  <c r="D4" i="3"/>
  <c r="D5" i="3"/>
  <c r="D6" i="3"/>
  <c r="D7" i="3"/>
  <c r="D8" i="3"/>
  <c r="D9" i="3"/>
  <c r="D10" i="3"/>
  <c r="D11" i="3"/>
  <c r="D12" i="3"/>
  <c r="D13" i="3"/>
  <c r="F2" i="3"/>
  <c r="F3" i="3"/>
  <c r="F4" i="3"/>
  <c r="F5" i="3"/>
  <c r="F6" i="3"/>
  <c r="F7" i="3"/>
  <c r="D14" i="3"/>
  <c r="D15" i="3"/>
  <c r="D16" i="3"/>
  <c r="D17" i="3"/>
  <c r="D18" i="3"/>
  <c r="F8" i="3"/>
  <c r="F9" i="3"/>
  <c r="F10" i="3"/>
  <c r="F11" i="3"/>
  <c r="F12" i="3"/>
  <c r="E13" i="3"/>
  <c r="F13" i="3"/>
  <c r="E14" i="3"/>
  <c r="F14" i="3"/>
  <c r="E15" i="3"/>
  <c r="F15" i="3"/>
  <c r="E16" i="3"/>
  <c r="F16" i="3"/>
  <c r="E17" i="3"/>
  <c r="F17" i="3"/>
  <c r="E18" i="3"/>
  <c r="F18" i="3"/>
  <c r="D19" i="3"/>
  <c r="E19" i="3"/>
  <c r="F19" i="3"/>
  <c r="D20" i="3"/>
  <c r="E20" i="3"/>
  <c r="F20" i="3"/>
  <c r="D21" i="3"/>
  <c r="E21" i="3"/>
  <c r="F21" i="3"/>
  <c r="D22" i="3"/>
  <c r="E22" i="3"/>
  <c r="F22" i="3"/>
  <c r="D23" i="3"/>
  <c r="E23" i="3"/>
  <c r="F23" i="3"/>
  <c r="D24" i="3"/>
  <c r="E24" i="3"/>
  <c r="F24" i="3"/>
  <c r="D25" i="3"/>
  <c r="E25" i="3"/>
  <c r="F25" i="3"/>
  <c r="D27" i="3"/>
  <c r="E27" i="3"/>
  <c r="F27" i="3"/>
  <c r="D28" i="3"/>
  <c r="E28" i="3"/>
  <c r="F28" i="3"/>
  <c r="D29" i="3"/>
  <c r="E29" i="3"/>
  <c r="F29" i="3"/>
  <c r="D30" i="3"/>
  <c r="E30" i="3"/>
  <c r="F30" i="3"/>
  <c r="D31" i="3"/>
  <c r="E31" i="3"/>
  <c r="F31" i="3"/>
  <c r="D32" i="3"/>
  <c r="E32" i="3"/>
  <c r="F32" i="3"/>
  <c r="D33" i="3"/>
  <c r="E33" i="3"/>
  <c r="F33" i="3"/>
  <c r="D34" i="3"/>
  <c r="E34" i="3"/>
  <c r="F34" i="3"/>
  <c r="D35" i="3"/>
  <c r="E35" i="3"/>
  <c r="F35" i="3"/>
  <c r="D36" i="3"/>
  <c r="E36" i="3"/>
  <c r="F36" i="3"/>
  <c r="D37" i="3"/>
  <c r="E37" i="3"/>
  <c r="F37" i="3"/>
  <c r="D38" i="3"/>
  <c r="E38" i="3"/>
  <c r="F38" i="3"/>
  <c r="D39" i="3"/>
  <c r="E39" i="3"/>
  <c r="F39" i="3"/>
  <c r="D40" i="3"/>
  <c r="E40" i="3"/>
  <c r="F40" i="3"/>
  <c r="D41" i="3"/>
  <c r="E41" i="3"/>
  <c r="F41" i="3"/>
  <c r="D42" i="3"/>
  <c r="E42" i="3"/>
  <c r="F42" i="3"/>
  <c r="D43" i="3"/>
  <c r="E43" i="3"/>
  <c r="F43" i="3"/>
  <c r="D44" i="3"/>
  <c r="E44" i="3"/>
  <c r="F44" i="3"/>
  <c r="D45" i="3"/>
  <c r="E45" i="3"/>
  <c r="F45" i="3"/>
  <c r="D46" i="3"/>
  <c r="E46" i="3"/>
  <c r="F46" i="3"/>
  <c r="D47" i="3"/>
  <c r="E47" i="3"/>
  <c r="F47" i="3"/>
  <c r="D48" i="3"/>
  <c r="E48" i="3"/>
  <c r="F48" i="3"/>
  <c r="D49" i="3"/>
  <c r="E49" i="3"/>
  <c r="F49" i="3"/>
  <c r="D50" i="3"/>
  <c r="E50" i="3"/>
  <c r="F50" i="3"/>
  <c r="D51" i="3"/>
  <c r="E51" i="3"/>
  <c r="F51" i="3"/>
  <c r="D52" i="3"/>
  <c r="E52" i="3"/>
  <c r="F52" i="3"/>
  <c r="D53" i="3"/>
  <c r="E53" i="3"/>
  <c r="F53" i="3"/>
  <c r="D54" i="3"/>
  <c r="E54" i="3"/>
  <c r="F54" i="3"/>
  <c r="D55" i="3"/>
  <c r="E55" i="3"/>
  <c r="F55" i="3"/>
  <c r="D56" i="3"/>
  <c r="E56" i="3"/>
  <c r="F56" i="3"/>
  <c r="D57" i="3"/>
  <c r="E57" i="3"/>
  <c r="F57" i="3"/>
  <c r="D58" i="3"/>
  <c r="E58" i="3"/>
  <c r="F58" i="3"/>
  <c r="D59" i="3"/>
  <c r="E59" i="3"/>
  <c r="F59" i="3"/>
  <c r="D60" i="3"/>
  <c r="E60" i="3"/>
  <c r="F60" i="3"/>
  <c r="D61" i="3"/>
  <c r="E61" i="3"/>
  <c r="F61" i="3"/>
  <c r="D62" i="3"/>
  <c r="E62" i="3"/>
  <c r="F62" i="3"/>
  <c r="D63" i="3"/>
  <c r="E63" i="3"/>
  <c r="F63" i="3"/>
  <c r="D64" i="3"/>
  <c r="E64" i="3"/>
  <c r="F64" i="3"/>
  <c r="D65" i="3"/>
  <c r="E65" i="3"/>
  <c r="F65" i="3"/>
  <c r="D66" i="3"/>
  <c r="E66" i="3"/>
  <c r="F66" i="3"/>
  <c r="D67" i="3"/>
  <c r="E67" i="3"/>
  <c r="F67" i="3"/>
  <c r="D68" i="3"/>
  <c r="E68" i="3"/>
  <c r="F68" i="3"/>
  <c r="D69" i="3"/>
  <c r="E69" i="3"/>
  <c r="F69" i="3"/>
  <c r="D70" i="3"/>
  <c r="E70" i="3"/>
  <c r="F70" i="3"/>
  <c r="D71" i="3"/>
  <c r="E71" i="3"/>
  <c r="F71" i="3"/>
  <c r="D72" i="3"/>
  <c r="E72" i="3"/>
  <c r="F72" i="3"/>
  <c r="D73" i="3"/>
  <c r="E73" i="3"/>
  <c r="F73" i="3"/>
  <c r="D74" i="3"/>
  <c r="E74" i="3"/>
  <c r="F74" i="3"/>
  <c r="D75" i="3"/>
  <c r="E75" i="3"/>
  <c r="F75" i="3"/>
  <c r="D76" i="3"/>
  <c r="E76" i="3"/>
  <c r="F76" i="3"/>
  <c r="D77" i="3"/>
  <c r="E77" i="3"/>
  <c r="F77" i="3"/>
  <c r="D78" i="3"/>
  <c r="E78" i="3"/>
  <c r="F78" i="3"/>
  <c r="D79" i="3"/>
  <c r="E79" i="3"/>
  <c r="F79" i="3"/>
  <c r="D80" i="3"/>
  <c r="E80" i="3"/>
  <c r="F80" i="3"/>
  <c r="D81" i="3"/>
  <c r="E81" i="3"/>
  <c r="F81" i="3"/>
  <c r="D82" i="3"/>
  <c r="E82" i="3"/>
  <c r="F82" i="3"/>
  <c r="D83" i="3"/>
  <c r="E83" i="3"/>
  <c r="F83" i="3"/>
  <c r="D84" i="3"/>
  <c r="E84" i="3"/>
  <c r="F84" i="3"/>
  <c r="D85" i="3"/>
  <c r="E85" i="3"/>
  <c r="F85" i="3"/>
  <c r="D86" i="3"/>
  <c r="E86" i="3"/>
  <c r="F86" i="3"/>
  <c r="D87" i="3"/>
  <c r="E87" i="3"/>
  <c r="F87" i="3"/>
  <c r="D88" i="3"/>
  <c r="E88" i="3"/>
  <c r="F88" i="3"/>
  <c r="D89" i="3"/>
  <c r="E89" i="3"/>
  <c r="F89" i="3"/>
  <c r="D90" i="3"/>
  <c r="E90" i="3"/>
  <c r="F90" i="3"/>
  <c r="D91" i="3"/>
  <c r="E91" i="3"/>
  <c r="F91" i="3"/>
  <c r="D92" i="3"/>
  <c r="E92" i="3"/>
  <c r="F92" i="3"/>
  <c r="D93" i="3"/>
  <c r="E93" i="3"/>
  <c r="F93" i="3"/>
  <c r="D94" i="3"/>
  <c r="E94" i="3"/>
  <c r="F94" i="3"/>
  <c r="D95" i="3"/>
  <c r="E95" i="3"/>
  <c r="F95" i="3"/>
  <c r="D96" i="3"/>
  <c r="E96" i="3"/>
  <c r="F96" i="3"/>
  <c r="D97" i="3"/>
  <c r="E97" i="3"/>
  <c r="F97" i="3"/>
  <c r="D98" i="3"/>
  <c r="E98" i="3"/>
  <c r="F98" i="3"/>
  <c r="D99" i="3"/>
  <c r="E99" i="3"/>
  <c r="F99" i="3"/>
  <c r="D100" i="3"/>
  <c r="E100" i="3"/>
  <c r="F100" i="3"/>
  <c r="D101" i="3"/>
  <c r="E101" i="3"/>
  <c r="F101" i="3"/>
  <c r="D102" i="3"/>
  <c r="E102" i="3"/>
  <c r="F102" i="3"/>
  <c r="D103" i="3"/>
  <c r="E103" i="3"/>
  <c r="F103" i="3"/>
  <c r="D104" i="3"/>
  <c r="E104" i="3"/>
  <c r="F104" i="3"/>
  <c r="D105" i="3"/>
  <c r="E105" i="3"/>
  <c r="F105" i="3"/>
  <c r="D106" i="3"/>
  <c r="E106" i="3"/>
  <c r="F106" i="3"/>
  <c r="D107" i="3"/>
  <c r="E107" i="3"/>
  <c r="F107" i="3"/>
  <c r="D108" i="3"/>
  <c r="E108" i="3"/>
  <c r="F108" i="3"/>
  <c r="D109" i="3"/>
  <c r="E109" i="3"/>
  <c r="F109" i="3"/>
  <c r="D110" i="3"/>
  <c r="E110" i="3"/>
  <c r="F110" i="3"/>
  <c r="D111" i="3"/>
  <c r="E111" i="3"/>
  <c r="F111" i="3"/>
  <c r="D112" i="3"/>
  <c r="E112" i="3"/>
  <c r="F112" i="3"/>
  <c r="D113" i="3"/>
  <c r="E113" i="3"/>
  <c r="F113" i="3"/>
  <c r="D114" i="3"/>
  <c r="E114" i="3"/>
  <c r="F114" i="3"/>
  <c r="D115" i="3"/>
  <c r="E115" i="3"/>
  <c r="F115" i="3"/>
  <c r="D116" i="3"/>
  <c r="E116" i="3"/>
  <c r="F116" i="3"/>
  <c r="D117" i="3"/>
  <c r="E117" i="3"/>
  <c r="F117" i="3"/>
  <c r="D118" i="3"/>
  <c r="E118" i="3"/>
  <c r="F118" i="3"/>
  <c r="D119" i="3"/>
  <c r="E119" i="3"/>
  <c r="F119" i="3"/>
  <c r="D120" i="3"/>
  <c r="E120" i="3"/>
  <c r="F120" i="3"/>
  <c r="D121" i="3"/>
  <c r="E121" i="3"/>
  <c r="F121" i="3"/>
  <c r="D122" i="3"/>
  <c r="E122" i="3"/>
  <c r="F122" i="3"/>
  <c r="D123" i="3"/>
  <c r="E123" i="3"/>
  <c r="F123" i="3"/>
  <c r="D124" i="3"/>
  <c r="E124" i="3"/>
  <c r="F124" i="3"/>
  <c r="D125" i="3"/>
  <c r="E125" i="3"/>
  <c r="F125" i="3"/>
  <c r="D126" i="3"/>
  <c r="E126" i="3"/>
  <c r="F126" i="3"/>
  <c r="D127" i="3"/>
  <c r="E127" i="3"/>
  <c r="F127" i="3"/>
  <c r="D128" i="3"/>
  <c r="E128" i="3"/>
  <c r="F128" i="3"/>
  <c r="D129" i="3"/>
  <c r="E129" i="3"/>
  <c r="F129" i="3"/>
  <c r="D130" i="3"/>
  <c r="E130" i="3"/>
  <c r="F130" i="3"/>
  <c r="D131" i="3"/>
  <c r="E131" i="3"/>
  <c r="F131" i="3"/>
  <c r="D132" i="3"/>
  <c r="E132" i="3"/>
  <c r="F132" i="3"/>
  <c r="D133" i="3"/>
  <c r="E133" i="3"/>
  <c r="F133" i="3"/>
  <c r="D134" i="3"/>
  <c r="E134" i="3"/>
  <c r="F134" i="3"/>
  <c r="D135" i="3"/>
  <c r="E135" i="3"/>
  <c r="F135" i="3"/>
  <c r="D136" i="3"/>
  <c r="E136" i="3"/>
  <c r="F136" i="3"/>
  <c r="D137" i="3"/>
  <c r="E137" i="3"/>
  <c r="F137" i="3"/>
  <c r="D138" i="3"/>
  <c r="E138" i="3"/>
  <c r="F138" i="3"/>
  <c r="D139" i="3"/>
  <c r="E139" i="3"/>
  <c r="F139" i="3"/>
  <c r="D140" i="3"/>
  <c r="E140" i="3"/>
  <c r="F140" i="3"/>
  <c r="D141" i="3"/>
  <c r="E141" i="3"/>
  <c r="F141" i="3"/>
  <c r="D142" i="3"/>
  <c r="E142" i="3"/>
  <c r="F142" i="3"/>
  <c r="D143" i="3"/>
  <c r="E143" i="3"/>
  <c r="F143" i="3"/>
  <c r="D144" i="3"/>
  <c r="E144" i="3"/>
  <c r="F144" i="3"/>
  <c r="F26" i="3"/>
  <c r="E26" i="3"/>
  <c r="D26" i="3"/>
  <c r="D3" i="7"/>
  <c r="D4" i="7"/>
  <c r="R8" i="1"/>
  <c r="D5" i="7"/>
  <c r="D6" i="7"/>
  <c r="D7" i="7"/>
  <c r="D8" i="7"/>
  <c r="D9" i="7"/>
  <c r="R13" i="1"/>
  <c r="D10" i="7"/>
  <c r="R14" i="1"/>
  <c r="D11" i="7"/>
  <c r="D12" i="7"/>
  <c r="R16" i="1"/>
  <c r="D13" i="7"/>
  <c r="D14" i="7"/>
  <c r="D15" i="7"/>
  <c r="D16" i="7"/>
  <c r="D17" i="7"/>
  <c r="R21" i="1"/>
  <c r="D18" i="7"/>
  <c r="R22" i="1"/>
  <c r="D19" i="7"/>
  <c r="D20" i="7"/>
  <c r="R24" i="1"/>
  <c r="D21" i="7"/>
  <c r="D22" i="7"/>
  <c r="D23" i="7"/>
  <c r="D24" i="7"/>
  <c r="D25" i="7"/>
  <c r="R29" i="1"/>
  <c r="D26" i="7"/>
  <c r="R30" i="1"/>
  <c r="D27" i="7"/>
  <c r="D28" i="7"/>
  <c r="R32" i="1"/>
  <c r="D29" i="7"/>
  <c r="D30" i="7"/>
  <c r="D31" i="7"/>
  <c r="D32" i="7"/>
  <c r="D33" i="7"/>
  <c r="R37" i="1"/>
  <c r="D34" i="7"/>
  <c r="R40" i="1"/>
  <c r="D35" i="7"/>
  <c r="D36" i="7"/>
  <c r="R42" i="1"/>
  <c r="D37" i="7"/>
  <c r="D38" i="7"/>
  <c r="D39" i="7"/>
  <c r="R45" i="1"/>
  <c r="D40" i="7"/>
  <c r="D41" i="7"/>
  <c r="R47" i="1"/>
  <c r="D42" i="7"/>
  <c r="R48" i="1"/>
  <c r="D43" i="7"/>
  <c r="D44" i="7"/>
  <c r="R50" i="1"/>
  <c r="D45" i="7"/>
  <c r="D46" i="7"/>
  <c r="D47" i="7"/>
  <c r="R53" i="1"/>
  <c r="D48" i="7"/>
  <c r="D49" i="7"/>
  <c r="R55" i="1"/>
  <c r="D50" i="7"/>
  <c r="R56" i="1"/>
  <c r="D51" i="7"/>
  <c r="D52" i="7"/>
  <c r="R58" i="1"/>
  <c r="D53" i="7"/>
  <c r="D54" i="7"/>
  <c r="D55" i="7"/>
  <c r="R61" i="1"/>
  <c r="D56" i="7"/>
  <c r="D57" i="7"/>
  <c r="R63" i="1"/>
  <c r="D58" i="7"/>
  <c r="R64" i="1"/>
  <c r="D59" i="7"/>
  <c r="D60" i="7"/>
  <c r="R66" i="1"/>
  <c r="D61" i="7"/>
  <c r="D62" i="7"/>
  <c r="D63" i="7"/>
  <c r="R69" i="1"/>
  <c r="D64" i="7"/>
  <c r="D65" i="7"/>
  <c r="R71" i="1"/>
  <c r="D66" i="7"/>
  <c r="R72" i="1"/>
  <c r="D67" i="7"/>
  <c r="D68" i="7"/>
  <c r="R74" i="1"/>
  <c r="D69" i="7"/>
  <c r="D70" i="7"/>
  <c r="D71" i="7"/>
  <c r="R77" i="1"/>
  <c r="D72" i="7"/>
  <c r="D73" i="7"/>
  <c r="R79" i="1"/>
  <c r="D74" i="7"/>
  <c r="R80" i="1"/>
  <c r="D75" i="7"/>
  <c r="D76" i="7"/>
  <c r="R82" i="1"/>
  <c r="D77" i="7"/>
  <c r="D78" i="7"/>
  <c r="D79" i="7"/>
  <c r="R85" i="1"/>
  <c r="D80" i="7"/>
  <c r="D81" i="7"/>
  <c r="R87" i="1"/>
  <c r="D82" i="7"/>
  <c r="R88" i="1"/>
  <c r="D83" i="7"/>
  <c r="D84" i="7"/>
  <c r="R90" i="1"/>
  <c r="D85" i="7"/>
  <c r="D86" i="7"/>
  <c r="D87" i="7"/>
  <c r="R93" i="1"/>
  <c r="D88" i="7"/>
  <c r="D89" i="7"/>
  <c r="R95" i="1"/>
  <c r="D90" i="7"/>
  <c r="R96" i="1"/>
  <c r="D91" i="7"/>
  <c r="D92" i="7"/>
  <c r="R98" i="1"/>
  <c r="D93" i="7"/>
  <c r="D94" i="7"/>
  <c r="D95" i="7"/>
  <c r="R101" i="1"/>
  <c r="D96" i="7"/>
  <c r="D97" i="7"/>
  <c r="R103" i="1"/>
  <c r="D98" i="7"/>
  <c r="R104" i="1"/>
  <c r="D99" i="7"/>
  <c r="D100" i="7"/>
  <c r="R106" i="1"/>
  <c r="D101" i="7"/>
  <c r="D102" i="7"/>
  <c r="D103" i="7"/>
  <c r="R109" i="1"/>
  <c r="D104" i="7"/>
  <c r="D105" i="7"/>
  <c r="R111" i="1"/>
  <c r="D106" i="7"/>
  <c r="R112" i="1"/>
  <c r="D107" i="7"/>
  <c r="D108" i="7"/>
  <c r="R114" i="1"/>
  <c r="D109" i="7"/>
  <c r="D110" i="7"/>
  <c r="D111" i="7"/>
  <c r="R117" i="1"/>
  <c r="D112" i="7"/>
  <c r="D113" i="7"/>
  <c r="R119" i="1"/>
  <c r="D114" i="7"/>
  <c r="R120" i="1"/>
  <c r="D115" i="7"/>
  <c r="D116" i="7"/>
  <c r="R122" i="1"/>
  <c r="D117" i="7"/>
  <c r="D118" i="7"/>
  <c r="D119" i="7"/>
  <c r="R125" i="1"/>
  <c r="D120" i="7"/>
  <c r="D121" i="7"/>
  <c r="R127" i="1"/>
  <c r="D122" i="7"/>
  <c r="R128" i="1"/>
  <c r="D123" i="7"/>
  <c r="D124" i="7"/>
  <c r="R130" i="1"/>
  <c r="D125" i="7"/>
  <c r="D126" i="7"/>
  <c r="D127" i="7"/>
  <c r="R133" i="1"/>
  <c r="D128" i="7"/>
  <c r="D129" i="7"/>
  <c r="R135" i="1"/>
  <c r="D130" i="7"/>
  <c r="R136" i="1"/>
  <c r="D131" i="7"/>
  <c r="D132" i="7"/>
  <c r="R138" i="1"/>
  <c r="D133" i="7"/>
  <c r="D134" i="7"/>
  <c r="D135" i="7"/>
  <c r="R141" i="1"/>
  <c r="D136" i="7"/>
  <c r="D137" i="7"/>
  <c r="R143" i="1"/>
  <c r="D138" i="7"/>
  <c r="R144" i="1"/>
  <c r="D139" i="7"/>
  <c r="D140" i="7"/>
  <c r="R146" i="1"/>
  <c r="D141" i="7"/>
  <c r="D142" i="7"/>
  <c r="D143" i="7"/>
  <c r="R149" i="1"/>
  <c r="D144" i="7"/>
  <c r="D145" i="7"/>
  <c r="R151" i="1"/>
  <c r="D146" i="7"/>
  <c r="R152" i="1"/>
  <c r="D147" i="7"/>
  <c r="D148" i="7"/>
  <c r="R154" i="1"/>
  <c r="D149" i="7"/>
  <c r="D150" i="7"/>
  <c r="D151" i="7"/>
  <c r="R157" i="1"/>
  <c r="D152" i="7"/>
  <c r="D153" i="7"/>
  <c r="R159" i="1"/>
  <c r="D154" i="7"/>
  <c r="R160" i="1"/>
  <c r="D155" i="7"/>
  <c r="D156" i="7"/>
  <c r="R162" i="1"/>
  <c r="D157" i="7"/>
  <c r="D158" i="7"/>
  <c r="D159" i="7"/>
  <c r="R165" i="1"/>
  <c r="D160" i="7"/>
  <c r="D161" i="7"/>
  <c r="R167" i="1"/>
  <c r="D162" i="7"/>
  <c r="R168" i="1"/>
  <c r="D163" i="7"/>
  <c r="D164" i="7"/>
  <c r="R170" i="1"/>
  <c r="D165" i="7"/>
  <c r="D166" i="7"/>
  <c r="D167" i="7"/>
  <c r="R173" i="1"/>
  <c r="D168" i="7"/>
  <c r="D169" i="7"/>
  <c r="R175" i="1"/>
  <c r="D170" i="7"/>
  <c r="R176" i="1"/>
  <c r="D171" i="7"/>
  <c r="D172" i="7"/>
  <c r="R178" i="1"/>
  <c r="D173" i="7"/>
  <c r="D174" i="7"/>
  <c r="D175" i="7"/>
  <c r="R181" i="1"/>
  <c r="D176" i="7"/>
  <c r="D177" i="7"/>
  <c r="R183" i="1"/>
  <c r="D178" i="7"/>
  <c r="R184" i="1"/>
  <c r="D179" i="7"/>
  <c r="D180" i="7"/>
  <c r="R186" i="1"/>
  <c r="D181" i="7"/>
  <c r="D182" i="7"/>
  <c r="D183" i="7"/>
  <c r="R189" i="1"/>
  <c r="D184" i="7"/>
  <c r="D185" i="7"/>
  <c r="R191" i="1"/>
  <c r="D186" i="7"/>
  <c r="R192" i="1"/>
  <c r="D187" i="7"/>
  <c r="D188" i="7"/>
  <c r="R194" i="1"/>
  <c r="D189" i="7"/>
  <c r="D190" i="7"/>
  <c r="D191" i="7"/>
  <c r="R197" i="1"/>
  <c r="D192" i="7"/>
  <c r="D193" i="7"/>
  <c r="R199" i="1"/>
  <c r="D194" i="7"/>
  <c r="R200" i="1"/>
  <c r="D195" i="7"/>
  <c r="D196" i="7"/>
  <c r="R202" i="1"/>
  <c r="D197" i="7"/>
  <c r="D198" i="7"/>
  <c r="D199" i="7"/>
  <c r="R205" i="1"/>
  <c r="D200" i="7"/>
  <c r="D201" i="7"/>
  <c r="R207" i="1"/>
  <c r="D202" i="7"/>
  <c r="R208" i="1"/>
  <c r="D203" i="7"/>
  <c r="D204" i="7"/>
  <c r="R210" i="1"/>
  <c r="D205" i="7"/>
  <c r="D206" i="7"/>
  <c r="D207" i="7"/>
  <c r="R213" i="1"/>
  <c r="D208" i="7"/>
  <c r="D209" i="7"/>
  <c r="R215" i="1"/>
  <c r="D210" i="7"/>
  <c r="R216" i="1"/>
  <c r="D211" i="7"/>
  <c r="D212" i="7"/>
  <c r="R218" i="1"/>
  <c r="D213" i="7"/>
  <c r="D214" i="7"/>
  <c r="D215" i="7"/>
  <c r="R221" i="1"/>
  <c r="D216" i="7"/>
  <c r="D217" i="7"/>
  <c r="R223" i="1"/>
  <c r="D218" i="7"/>
  <c r="R224" i="1"/>
  <c r="D219" i="7"/>
  <c r="D220" i="7"/>
  <c r="R226" i="1"/>
  <c r="D221" i="7"/>
  <c r="D222" i="7"/>
  <c r="D223" i="7"/>
  <c r="R229" i="1"/>
  <c r="D224" i="7"/>
  <c r="D225" i="7"/>
  <c r="R231" i="1"/>
  <c r="D226" i="7"/>
  <c r="R232" i="1"/>
  <c r="D227" i="7"/>
  <c r="D228" i="7"/>
  <c r="R234" i="1"/>
  <c r="D229" i="7"/>
  <c r="D230" i="7"/>
  <c r="D231" i="7"/>
  <c r="R237" i="1"/>
  <c r="D232" i="7"/>
  <c r="D233" i="7"/>
  <c r="R239" i="1"/>
  <c r="D234" i="7"/>
  <c r="R240" i="1"/>
  <c r="D235" i="7"/>
  <c r="D236" i="7"/>
  <c r="R242" i="1"/>
  <c r="D237" i="7"/>
  <c r="D238" i="7"/>
  <c r="D239" i="7"/>
  <c r="R245" i="1"/>
  <c r="D240" i="7"/>
  <c r="D241" i="7"/>
  <c r="R247" i="1"/>
  <c r="D242" i="7"/>
  <c r="R248" i="1"/>
  <c r="D243" i="7"/>
  <c r="D244" i="7"/>
  <c r="R250" i="1"/>
  <c r="D245" i="7"/>
  <c r="D246" i="7"/>
  <c r="D247" i="7"/>
  <c r="R253" i="1"/>
  <c r="D248" i="7"/>
  <c r="D249" i="7"/>
  <c r="R255" i="1"/>
  <c r="D250" i="7"/>
  <c r="R256" i="1"/>
  <c r="D251" i="7"/>
  <c r="D252" i="7"/>
  <c r="R258" i="1"/>
  <c r="D253" i="7"/>
  <c r="D254" i="7"/>
  <c r="D255" i="7"/>
  <c r="R261" i="1"/>
  <c r="D256" i="7"/>
  <c r="D257" i="7"/>
  <c r="R263" i="1"/>
  <c r="D258" i="7"/>
  <c r="R264" i="1"/>
  <c r="D259" i="7"/>
  <c r="D260" i="7"/>
  <c r="R266" i="1"/>
  <c r="D261" i="7"/>
  <c r="D262" i="7"/>
  <c r="D263" i="7"/>
  <c r="R269" i="1"/>
  <c r="D264" i="7"/>
  <c r="D265" i="7"/>
  <c r="R271" i="1"/>
  <c r="D2" i="7"/>
  <c r="C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R4" i="1"/>
  <c r="R5" i="1"/>
  <c r="R6" i="1"/>
  <c r="R7" i="1"/>
  <c r="R9" i="1"/>
  <c r="R10" i="1"/>
  <c r="R11" i="1"/>
  <c r="R12" i="1"/>
  <c r="R15" i="1"/>
  <c r="R17" i="1"/>
  <c r="R18" i="1"/>
  <c r="R19" i="1"/>
  <c r="R20" i="1"/>
  <c r="R23" i="1"/>
  <c r="R25" i="1"/>
  <c r="R26" i="1"/>
  <c r="R27" i="1"/>
  <c r="R28" i="1"/>
  <c r="R31" i="1"/>
  <c r="R33" i="1"/>
  <c r="R34" i="1"/>
  <c r="R35" i="1"/>
  <c r="R36" i="1"/>
  <c r="R38" i="1"/>
  <c r="R39" i="1"/>
  <c r="R41" i="1"/>
  <c r="R43" i="1"/>
  <c r="R44" i="1"/>
  <c r="R46" i="1"/>
  <c r="R49" i="1"/>
  <c r="R51" i="1"/>
  <c r="R52" i="1"/>
  <c r="R54" i="1"/>
  <c r="R57" i="1"/>
  <c r="R59" i="1"/>
  <c r="R60" i="1"/>
  <c r="R62" i="1"/>
  <c r="R65" i="1"/>
  <c r="R67" i="1"/>
  <c r="R68" i="1"/>
  <c r="R70" i="1"/>
  <c r="R73" i="1"/>
  <c r="R75" i="1"/>
  <c r="R76" i="1"/>
  <c r="R78" i="1"/>
  <c r="R81" i="1"/>
  <c r="R83" i="1"/>
  <c r="R84" i="1"/>
  <c r="R86" i="1"/>
  <c r="R89" i="1"/>
  <c r="R91" i="1"/>
  <c r="R92" i="1"/>
  <c r="R94" i="1"/>
  <c r="R97" i="1"/>
  <c r="R99" i="1"/>
  <c r="R100" i="1"/>
  <c r="R102" i="1"/>
  <c r="R105" i="1"/>
  <c r="R107" i="1"/>
  <c r="R108" i="1"/>
  <c r="R110" i="1"/>
  <c r="R113" i="1"/>
  <c r="R115" i="1"/>
  <c r="R116" i="1"/>
  <c r="R118" i="1"/>
  <c r="R121" i="1"/>
  <c r="R123" i="1"/>
  <c r="R124" i="1"/>
  <c r="R126" i="1"/>
  <c r="R129" i="1"/>
  <c r="R131" i="1"/>
  <c r="R132" i="1"/>
  <c r="R134" i="1"/>
  <c r="R137" i="1"/>
  <c r="R139" i="1"/>
  <c r="R140" i="1"/>
  <c r="R142" i="1"/>
  <c r="R145" i="1"/>
  <c r="R147" i="1"/>
  <c r="R148" i="1"/>
  <c r="R150" i="1"/>
  <c r="R153" i="1"/>
  <c r="R155" i="1"/>
  <c r="R156" i="1"/>
  <c r="R158" i="1"/>
  <c r="R161" i="1"/>
  <c r="R163" i="1"/>
  <c r="R164" i="1"/>
  <c r="R166" i="1"/>
  <c r="R169" i="1"/>
  <c r="R171" i="1"/>
  <c r="R172" i="1"/>
  <c r="R174" i="1"/>
  <c r="R177" i="1"/>
  <c r="R179" i="1"/>
  <c r="R180" i="1"/>
  <c r="R182" i="1"/>
  <c r="R185" i="1"/>
  <c r="R187" i="1"/>
  <c r="R188" i="1"/>
  <c r="R190" i="1"/>
  <c r="R193" i="1"/>
  <c r="R195" i="1"/>
  <c r="R196" i="1"/>
  <c r="R198" i="1"/>
  <c r="R201" i="1"/>
  <c r="R203" i="1"/>
  <c r="R204" i="1"/>
  <c r="R206" i="1"/>
  <c r="R209" i="1"/>
  <c r="R211" i="1"/>
  <c r="R212" i="1"/>
  <c r="R214" i="1"/>
  <c r="R217" i="1"/>
  <c r="R219" i="1"/>
  <c r="R220" i="1"/>
  <c r="R222" i="1"/>
  <c r="R225" i="1"/>
  <c r="R227" i="1"/>
  <c r="R228" i="1"/>
  <c r="R230" i="1"/>
  <c r="R233" i="1"/>
  <c r="R235" i="1"/>
  <c r="R236" i="1"/>
  <c r="R238" i="1"/>
  <c r="R241" i="1"/>
  <c r="R243" i="1"/>
  <c r="R244" i="1"/>
  <c r="R246" i="1"/>
  <c r="R249" i="1"/>
  <c r="R251" i="1"/>
  <c r="R252" i="1"/>
  <c r="R254" i="1"/>
  <c r="R257" i="1"/>
  <c r="R259" i="1"/>
  <c r="R260" i="1"/>
  <c r="R262" i="1"/>
  <c r="R265" i="1"/>
  <c r="R267" i="1"/>
  <c r="R268" i="1"/>
  <c r="R270" i="1"/>
  <c r="R272" i="1"/>
  <c r="R3" i="1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25" i="4"/>
  <c r="I7" i="1"/>
  <c r="C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P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Q115" i="2"/>
  <c r="P93" i="2"/>
  <c r="Q116" i="2"/>
  <c r="P94" i="2"/>
  <c r="P95" i="2"/>
  <c r="Q118" i="2"/>
  <c r="P96" i="2"/>
  <c r="Q119" i="2"/>
  <c r="P97" i="2"/>
  <c r="Q120" i="2"/>
  <c r="P98" i="2"/>
  <c r="Q121" i="2"/>
  <c r="P99" i="2"/>
  <c r="Q122" i="2"/>
  <c r="P100" i="2"/>
  <c r="R117" i="2"/>
  <c r="P101" i="2"/>
  <c r="R118" i="2"/>
  <c r="Q124" i="2"/>
  <c r="P102" i="2"/>
  <c r="R119" i="2"/>
  <c r="P103" i="2"/>
  <c r="Q126" i="2"/>
  <c r="P104" i="2"/>
  <c r="R121" i="2"/>
  <c r="Q127" i="2"/>
  <c r="P105" i="2"/>
  <c r="P106" i="2"/>
  <c r="P107" i="2"/>
  <c r="P108" i="2"/>
  <c r="S119" i="2"/>
  <c r="Q131" i="2"/>
  <c r="P109" i="2"/>
  <c r="Q132" i="2"/>
  <c r="P110" i="2"/>
  <c r="S121" i="2"/>
  <c r="P111" i="2"/>
  <c r="P112" i="2"/>
  <c r="P113" i="2"/>
  <c r="P114" i="2"/>
  <c r="P115" i="2"/>
  <c r="P116" i="2"/>
  <c r="P117" i="2"/>
  <c r="Q117" i="2"/>
  <c r="P118" i="2"/>
  <c r="P119" i="2"/>
  <c r="S127" i="2"/>
  <c r="P120" i="2"/>
  <c r="P121" i="2"/>
  <c r="P122" i="2"/>
  <c r="P123" i="2"/>
  <c r="P124" i="2"/>
  <c r="P125" i="2"/>
  <c r="Q125" i="2"/>
  <c r="P126" i="2"/>
  <c r="P127" i="2"/>
  <c r="P128" i="2"/>
  <c r="P129" i="2"/>
  <c r="Q129" i="2"/>
  <c r="P130" i="2"/>
  <c r="P131" i="2"/>
  <c r="P132" i="2"/>
  <c r="Q143" i="2"/>
  <c r="D209" i="6"/>
  <c r="D210" i="6"/>
  <c r="D206" i="6"/>
  <c r="P314" i="2"/>
  <c r="D207" i="6"/>
  <c r="D208" i="6"/>
  <c r="B206" i="6"/>
  <c r="B207" i="6"/>
  <c r="B208" i="6"/>
  <c r="B209" i="6"/>
  <c r="B210" i="6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T150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Q182" i="2"/>
  <c r="P162" i="2"/>
  <c r="P163" i="2"/>
  <c r="P164" i="2"/>
  <c r="P165" i="2"/>
  <c r="P166" i="2"/>
  <c r="P167" i="2"/>
  <c r="P168" i="2"/>
  <c r="P169" i="2"/>
  <c r="P170" i="2"/>
  <c r="T175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S195" i="2"/>
  <c r="P186" i="2"/>
  <c r="P187" i="2"/>
  <c r="P188" i="2"/>
  <c r="P189" i="2"/>
  <c r="P190" i="2"/>
  <c r="P191" i="2"/>
  <c r="P192" i="2"/>
  <c r="P193" i="2"/>
  <c r="Q213" i="2"/>
  <c r="P194" i="2"/>
  <c r="P195" i="2"/>
  <c r="P196" i="2"/>
  <c r="P197" i="2"/>
  <c r="P198" i="2"/>
  <c r="P199" i="2"/>
  <c r="P200" i="2"/>
  <c r="P201" i="2"/>
  <c r="Q222" i="2"/>
  <c r="P202" i="2"/>
  <c r="P203" i="2"/>
  <c r="P204" i="2"/>
  <c r="P205" i="2"/>
  <c r="T208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Q234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Q269" i="2"/>
  <c r="P250" i="2"/>
  <c r="P251" i="2"/>
  <c r="P252" i="2"/>
  <c r="P253" i="2"/>
  <c r="P254" i="2"/>
  <c r="P255" i="2"/>
  <c r="P256" i="2"/>
  <c r="P257" i="2"/>
  <c r="R271" i="2"/>
  <c r="P258" i="2"/>
  <c r="P259" i="2"/>
  <c r="P260" i="2"/>
  <c r="P261" i="2"/>
  <c r="P262" i="2"/>
  <c r="P263" i="2"/>
  <c r="P264" i="2"/>
  <c r="P265" i="2"/>
  <c r="Q283" i="2"/>
  <c r="P266" i="2"/>
  <c r="P267" i="2"/>
  <c r="P268" i="2"/>
  <c r="P269" i="2"/>
  <c r="P270" i="2"/>
  <c r="P271" i="2"/>
  <c r="P272" i="2"/>
  <c r="P273" i="2"/>
  <c r="Q290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Q306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T318" i="2"/>
  <c r="P319" i="2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" i="6"/>
  <c r="D3" i="6"/>
  <c r="D11" i="6"/>
  <c r="D19" i="6"/>
  <c r="D27" i="6"/>
  <c r="D35" i="6"/>
  <c r="D43" i="6"/>
  <c r="D51" i="6"/>
  <c r="D59" i="6"/>
  <c r="D67" i="6"/>
  <c r="D75" i="6"/>
  <c r="D83" i="6"/>
  <c r="D91" i="6"/>
  <c r="D99" i="6"/>
  <c r="D107" i="6"/>
  <c r="D115" i="6"/>
  <c r="D123" i="6"/>
  <c r="D131" i="6"/>
  <c r="D139" i="6"/>
  <c r="D147" i="6"/>
  <c r="D155" i="6"/>
  <c r="D163" i="6"/>
  <c r="D171" i="6"/>
  <c r="D179" i="6"/>
  <c r="D187" i="6"/>
  <c r="D195" i="6"/>
  <c r="D203" i="6"/>
  <c r="C205" i="6"/>
  <c r="D205" i="6"/>
  <c r="C204" i="6"/>
  <c r="D204" i="6"/>
  <c r="C203" i="6"/>
  <c r="C202" i="6"/>
  <c r="D202" i="6"/>
  <c r="C201" i="6"/>
  <c r="D201" i="6"/>
  <c r="C200" i="6"/>
  <c r="C199" i="6"/>
  <c r="D199" i="6"/>
  <c r="C198" i="6"/>
  <c r="D198" i="6"/>
  <c r="C197" i="6"/>
  <c r="D197" i="6"/>
  <c r="C196" i="6"/>
  <c r="D196" i="6"/>
  <c r="C195" i="6"/>
  <c r="C194" i="6"/>
  <c r="D194" i="6"/>
  <c r="C193" i="6"/>
  <c r="D193" i="6"/>
  <c r="C192" i="6"/>
  <c r="C191" i="6"/>
  <c r="D191" i="6"/>
  <c r="C190" i="6"/>
  <c r="D190" i="6"/>
  <c r="C189" i="6"/>
  <c r="D189" i="6"/>
  <c r="C188" i="6"/>
  <c r="D188" i="6"/>
  <c r="C187" i="6"/>
  <c r="C186" i="6"/>
  <c r="D186" i="6"/>
  <c r="C185" i="6"/>
  <c r="D185" i="6"/>
  <c r="C184" i="6"/>
  <c r="C183" i="6"/>
  <c r="D183" i="6"/>
  <c r="C182" i="6"/>
  <c r="D182" i="6"/>
  <c r="C181" i="6"/>
  <c r="D181" i="6"/>
  <c r="C180" i="6"/>
  <c r="D180" i="6"/>
  <c r="C179" i="6"/>
  <c r="C178" i="6"/>
  <c r="D178" i="6"/>
  <c r="C177" i="6"/>
  <c r="D177" i="6"/>
  <c r="C176" i="6"/>
  <c r="C175" i="6"/>
  <c r="D175" i="6"/>
  <c r="C174" i="6"/>
  <c r="D174" i="6"/>
  <c r="C173" i="6"/>
  <c r="D173" i="6"/>
  <c r="C172" i="6"/>
  <c r="D172" i="6"/>
  <c r="C171" i="6"/>
  <c r="C170" i="6"/>
  <c r="D170" i="6"/>
  <c r="C169" i="6"/>
  <c r="D169" i="6"/>
  <c r="C168" i="6"/>
  <c r="C167" i="6"/>
  <c r="D167" i="6"/>
  <c r="C166" i="6"/>
  <c r="D166" i="6"/>
  <c r="C165" i="6"/>
  <c r="D165" i="6"/>
  <c r="C164" i="6"/>
  <c r="D164" i="6"/>
  <c r="C163" i="6"/>
  <c r="C162" i="6"/>
  <c r="D162" i="6"/>
  <c r="C161" i="6"/>
  <c r="D161" i="6"/>
  <c r="C160" i="6"/>
  <c r="C159" i="6"/>
  <c r="D159" i="6"/>
  <c r="C158" i="6"/>
  <c r="D158" i="6"/>
  <c r="C157" i="6"/>
  <c r="D157" i="6"/>
  <c r="C156" i="6"/>
  <c r="D156" i="6"/>
  <c r="C155" i="6"/>
  <c r="C154" i="6"/>
  <c r="D154" i="6"/>
  <c r="C153" i="6"/>
  <c r="D153" i="6"/>
  <c r="C152" i="6"/>
  <c r="C151" i="6"/>
  <c r="D151" i="6"/>
  <c r="C150" i="6"/>
  <c r="D150" i="6"/>
  <c r="C149" i="6"/>
  <c r="D149" i="6"/>
  <c r="C148" i="6"/>
  <c r="D148" i="6"/>
  <c r="C147" i="6"/>
  <c r="C146" i="6"/>
  <c r="D146" i="6"/>
  <c r="C145" i="6"/>
  <c r="D145" i="6"/>
  <c r="C144" i="6"/>
  <c r="C143" i="6"/>
  <c r="D143" i="6"/>
  <c r="C142" i="6"/>
  <c r="D142" i="6"/>
  <c r="C141" i="6"/>
  <c r="D141" i="6"/>
  <c r="C140" i="6"/>
  <c r="D140" i="6"/>
  <c r="C139" i="6"/>
  <c r="C138" i="6"/>
  <c r="D138" i="6"/>
  <c r="C137" i="6"/>
  <c r="D137" i="6"/>
  <c r="C136" i="6"/>
  <c r="C135" i="6"/>
  <c r="D135" i="6"/>
  <c r="C134" i="6"/>
  <c r="D134" i="6"/>
  <c r="C133" i="6"/>
  <c r="D133" i="6"/>
  <c r="C132" i="6"/>
  <c r="D132" i="6"/>
  <c r="C131" i="6"/>
  <c r="C130" i="6"/>
  <c r="D130" i="6"/>
  <c r="C129" i="6"/>
  <c r="D129" i="6"/>
  <c r="C128" i="6"/>
  <c r="C127" i="6"/>
  <c r="D127" i="6"/>
  <c r="C126" i="6"/>
  <c r="D126" i="6"/>
  <c r="C125" i="6"/>
  <c r="D125" i="6"/>
  <c r="C124" i="6"/>
  <c r="D124" i="6"/>
  <c r="C123" i="6"/>
  <c r="C122" i="6"/>
  <c r="D122" i="6"/>
  <c r="C121" i="6"/>
  <c r="D121" i="6"/>
  <c r="C120" i="6"/>
  <c r="C119" i="6"/>
  <c r="D119" i="6"/>
  <c r="C118" i="6"/>
  <c r="D118" i="6"/>
  <c r="C117" i="6"/>
  <c r="D117" i="6"/>
  <c r="C116" i="6"/>
  <c r="D116" i="6"/>
  <c r="C115" i="6"/>
  <c r="C114" i="6"/>
  <c r="D114" i="6"/>
  <c r="C113" i="6"/>
  <c r="D113" i="6"/>
  <c r="C112" i="6"/>
  <c r="C111" i="6"/>
  <c r="D111" i="6"/>
  <c r="C110" i="6"/>
  <c r="D110" i="6"/>
  <c r="C109" i="6"/>
  <c r="D109" i="6"/>
  <c r="C108" i="6"/>
  <c r="D108" i="6"/>
  <c r="C107" i="6"/>
  <c r="C106" i="6"/>
  <c r="D106" i="6"/>
  <c r="C105" i="6"/>
  <c r="D105" i="6"/>
  <c r="C104" i="6"/>
  <c r="C103" i="6"/>
  <c r="D103" i="6"/>
  <c r="C102" i="6"/>
  <c r="D102" i="6"/>
  <c r="C101" i="6"/>
  <c r="D101" i="6"/>
  <c r="C100" i="6"/>
  <c r="D100" i="6"/>
  <c r="C99" i="6"/>
  <c r="C98" i="6"/>
  <c r="D98" i="6"/>
  <c r="C97" i="6"/>
  <c r="D97" i="6"/>
  <c r="C96" i="6"/>
  <c r="C95" i="6"/>
  <c r="D95" i="6"/>
  <c r="C94" i="6"/>
  <c r="D94" i="6"/>
  <c r="C93" i="6"/>
  <c r="D93" i="6"/>
  <c r="C92" i="6"/>
  <c r="D92" i="6"/>
  <c r="C91" i="6"/>
  <c r="C90" i="6"/>
  <c r="D90" i="6"/>
  <c r="C89" i="6"/>
  <c r="D89" i="6"/>
  <c r="C88" i="6"/>
  <c r="C87" i="6"/>
  <c r="D87" i="6"/>
  <c r="C86" i="6"/>
  <c r="D86" i="6"/>
  <c r="C85" i="6"/>
  <c r="D85" i="6"/>
  <c r="C84" i="6"/>
  <c r="D84" i="6"/>
  <c r="C83" i="6"/>
  <c r="C82" i="6"/>
  <c r="D82" i="6"/>
  <c r="C81" i="6"/>
  <c r="D81" i="6"/>
  <c r="C80" i="6"/>
  <c r="C79" i="6"/>
  <c r="D79" i="6"/>
  <c r="C78" i="6"/>
  <c r="D78" i="6"/>
  <c r="C77" i="6"/>
  <c r="D77" i="6"/>
  <c r="C76" i="6"/>
  <c r="D76" i="6"/>
  <c r="C75" i="6"/>
  <c r="C74" i="6"/>
  <c r="D74" i="6"/>
  <c r="C73" i="6"/>
  <c r="D73" i="6"/>
  <c r="C72" i="6"/>
  <c r="C71" i="6"/>
  <c r="D71" i="6"/>
  <c r="C70" i="6"/>
  <c r="D70" i="6"/>
  <c r="C69" i="6"/>
  <c r="D69" i="6"/>
  <c r="C68" i="6"/>
  <c r="D68" i="6"/>
  <c r="C67" i="6"/>
  <c r="C66" i="6"/>
  <c r="D66" i="6"/>
  <c r="C65" i="6"/>
  <c r="D65" i="6"/>
  <c r="C64" i="6"/>
  <c r="C63" i="6"/>
  <c r="D63" i="6"/>
  <c r="C62" i="6"/>
  <c r="D62" i="6"/>
  <c r="C61" i="6"/>
  <c r="D61" i="6"/>
  <c r="C60" i="6"/>
  <c r="D60" i="6"/>
  <c r="C59" i="6"/>
  <c r="C58" i="6"/>
  <c r="D58" i="6"/>
  <c r="C57" i="6"/>
  <c r="D57" i="6"/>
  <c r="C56" i="6"/>
  <c r="C55" i="6"/>
  <c r="D55" i="6"/>
  <c r="C54" i="6"/>
  <c r="D54" i="6"/>
  <c r="C53" i="6"/>
  <c r="D53" i="6"/>
  <c r="C52" i="6"/>
  <c r="D52" i="6"/>
  <c r="C51" i="6"/>
  <c r="C50" i="6"/>
  <c r="D50" i="6"/>
  <c r="C49" i="6"/>
  <c r="D49" i="6"/>
  <c r="C48" i="6"/>
  <c r="C47" i="6"/>
  <c r="D47" i="6"/>
  <c r="C46" i="6"/>
  <c r="D46" i="6"/>
  <c r="C45" i="6"/>
  <c r="D45" i="6"/>
  <c r="C44" i="6"/>
  <c r="D44" i="6"/>
  <c r="C43" i="6"/>
  <c r="C42" i="6"/>
  <c r="D42" i="6"/>
  <c r="C41" i="6"/>
  <c r="D41" i="6"/>
  <c r="C40" i="6"/>
  <c r="C39" i="6"/>
  <c r="D39" i="6"/>
  <c r="C38" i="6"/>
  <c r="D38" i="6"/>
  <c r="C37" i="6"/>
  <c r="D37" i="6"/>
  <c r="C36" i="6"/>
  <c r="D36" i="6"/>
  <c r="C35" i="6"/>
  <c r="C34" i="6"/>
  <c r="D34" i="6"/>
  <c r="C33" i="6"/>
  <c r="D33" i="6"/>
  <c r="C32" i="6"/>
  <c r="C31" i="6"/>
  <c r="D31" i="6"/>
  <c r="C30" i="6"/>
  <c r="D30" i="6"/>
  <c r="C29" i="6"/>
  <c r="D29" i="6"/>
  <c r="C28" i="6"/>
  <c r="D28" i="6"/>
  <c r="C27" i="6"/>
  <c r="C26" i="6"/>
  <c r="D26" i="6"/>
  <c r="C25" i="6"/>
  <c r="D25" i="6"/>
  <c r="C24" i="6"/>
  <c r="C23" i="6"/>
  <c r="D23" i="6"/>
  <c r="C22" i="6"/>
  <c r="D22" i="6"/>
  <c r="C21" i="6"/>
  <c r="D21" i="6"/>
  <c r="C20" i="6"/>
  <c r="D20" i="6"/>
  <c r="C19" i="6"/>
  <c r="C18" i="6"/>
  <c r="D18" i="6"/>
  <c r="C17" i="6"/>
  <c r="D17" i="6"/>
  <c r="C16" i="6"/>
  <c r="C15" i="6"/>
  <c r="D15" i="6"/>
  <c r="C14" i="6"/>
  <c r="D14" i="6"/>
  <c r="C13" i="6"/>
  <c r="D13" i="6"/>
  <c r="C12" i="6"/>
  <c r="D12" i="6"/>
  <c r="C11" i="6"/>
  <c r="C10" i="6"/>
  <c r="D10" i="6"/>
  <c r="C9" i="6"/>
  <c r="D9" i="6"/>
  <c r="C8" i="6"/>
  <c r="C7" i="6"/>
  <c r="D7" i="6"/>
  <c r="C6" i="6"/>
  <c r="D6" i="6"/>
  <c r="C5" i="6"/>
  <c r="D5" i="6"/>
  <c r="C4" i="6"/>
  <c r="D4" i="6"/>
  <c r="C3" i="6"/>
  <c r="C2" i="6"/>
  <c r="D8" i="6"/>
  <c r="Q177" i="2"/>
  <c r="Q217" i="2"/>
  <c r="Q150" i="2"/>
  <c r="P317" i="2"/>
  <c r="P318" i="2"/>
  <c r="P316" i="2"/>
  <c r="Q190" i="2"/>
  <c r="P315" i="2"/>
  <c r="D184" i="6"/>
  <c r="D152" i="6"/>
  <c r="D104" i="6"/>
  <c r="D48" i="6"/>
  <c r="D176" i="6"/>
  <c r="D144" i="6"/>
  <c r="D120" i="6"/>
  <c r="D96" i="6"/>
  <c r="D80" i="6"/>
  <c r="D64" i="6"/>
  <c r="D32" i="6"/>
  <c r="D16" i="6"/>
  <c r="D200" i="6"/>
  <c r="D168" i="6"/>
  <c r="D128" i="6"/>
  <c r="D56" i="6"/>
  <c r="D2" i="6"/>
  <c r="D192" i="6"/>
  <c r="D160" i="6"/>
  <c r="D136" i="6"/>
  <c r="D112" i="6"/>
  <c r="D88" i="6"/>
  <c r="D72" i="6"/>
  <c r="D40" i="6"/>
  <c r="D24" i="6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2" i="2"/>
  <c r="I6" i="1"/>
  <c r="O40" i="1"/>
  <c r="O131" i="1"/>
  <c r="O75" i="1"/>
  <c r="O241" i="1"/>
  <c r="O31" i="1"/>
  <c r="O183" i="1"/>
  <c r="O184" i="1"/>
  <c r="O49" i="1"/>
  <c r="O161" i="1"/>
  <c r="O163" i="1"/>
  <c r="O103" i="1"/>
  <c r="O256" i="1"/>
  <c r="O113" i="1"/>
  <c r="O271" i="1"/>
  <c r="O33" i="1"/>
  <c r="O41" i="1"/>
  <c r="O191" i="1"/>
  <c r="O56" i="1"/>
  <c r="O57" i="1"/>
  <c r="O169" i="1"/>
  <c r="O257" i="1"/>
  <c r="O120" i="1"/>
  <c r="O193" i="1"/>
  <c r="O151" i="1"/>
  <c r="O225" i="1"/>
  <c r="O167" i="1"/>
  <c r="O121" i="1"/>
  <c r="O129" i="1"/>
  <c r="O47" i="1"/>
  <c r="O55" i="1"/>
  <c r="O64" i="1"/>
  <c r="O232" i="1"/>
  <c r="O65" i="1"/>
  <c r="O19" i="1"/>
  <c r="O195" i="1"/>
  <c r="O255" i="1"/>
  <c r="O59" i="1"/>
  <c r="O263" i="1"/>
  <c r="O67" i="1"/>
  <c r="O233" i="1"/>
  <c r="O32" i="1"/>
  <c r="O147" i="1"/>
  <c r="O247" i="1"/>
  <c r="O72" i="1"/>
  <c r="O248" i="1"/>
  <c r="O185" i="1"/>
  <c r="O51" i="1"/>
  <c r="O227" i="1"/>
  <c r="O135" i="1"/>
  <c r="O215" i="1"/>
  <c r="O8" i="1"/>
  <c r="O200" i="1"/>
  <c r="O17" i="1"/>
  <c r="O81" i="1"/>
  <c r="O209" i="1"/>
  <c r="O3" i="1"/>
  <c r="O123" i="1"/>
  <c r="O23" i="1"/>
  <c r="O143" i="1"/>
  <c r="O223" i="1"/>
  <c r="O104" i="1"/>
  <c r="O216" i="1"/>
  <c r="O25" i="1"/>
  <c r="O153" i="1"/>
  <c r="O217" i="1"/>
  <c r="O11" i="1"/>
  <c r="O52" i="1"/>
  <c r="O84" i="1"/>
  <c r="O116" i="1"/>
  <c r="O180" i="1"/>
  <c r="O212" i="1"/>
  <c r="O244" i="1"/>
  <c r="O70" i="1"/>
  <c r="O158" i="1"/>
  <c r="O162" i="1"/>
  <c r="O118" i="1"/>
  <c r="O242" i="1"/>
  <c r="O214" i="1"/>
  <c r="O119" i="1"/>
  <c r="O179" i="1"/>
  <c r="O211" i="1"/>
  <c r="O258" i="1"/>
  <c r="O178" i="1"/>
  <c r="O115" i="1"/>
  <c r="O86" i="1"/>
  <c r="O10" i="1"/>
  <c r="O5" i="1"/>
  <c r="O69" i="1"/>
  <c r="O101" i="1"/>
  <c r="O133" i="1"/>
  <c r="O197" i="1"/>
  <c r="O229" i="1"/>
  <c r="O261" i="1"/>
  <c r="O130" i="1"/>
  <c r="O267" i="1"/>
  <c r="O203" i="1"/>
  <c r="O43" i="1"/>
  <c r="O39" i="1"/>
  <c r="O108" i="1"/>
  <c r="O134" i="1"/>
  <c r="O90" i="1"/>
  <c r="O159" i="1"/>
  <c r="O270" i="1"/>
  <c r="O194" i="1"/>
  <c r="O80" i="1"/>
  <c r="O272" i="1"/>
  <c r="O29" i="1"/>
  <c r="O157" i="1"/>
  <c r="O218" i="1"/>
  <c r="O250" i="1"/>
  <c r="O28" i="1"/>
  <c r="O92" i="1"/>
  <c r="O124" i="1"/>
  <c r="O156" i="1"/>
  <c r="O220" i="1"/>
  <c r="O252" i="1"/>
  <c r="O26" i="1"/>
  <c r="O78" i="1"/>
  <c r="O54" i="1"/>
  <c r="O142" i="1"/>
  <c r="O198" i="1"/>
  <c r="O79" i="1"/>
  <c r="O71" i="1"/>
  <c r="O53" i="1"/>
  <c r="O149" i="1"/>
  <c r="O245" i="1"/>
  <c r="O231" i="1"/>
  <c r="O202" i="1"/>
  <c r="O266" i="1"/>
  <c r="O76" i="1"/>
  <c r="O204" i="1"/>
  <c r="O138" i="1"/>
  <c r="O206" i="1"/>
  <c r="O48" i="1"/>
  <c r="O144" i="1"/>
  <c r="O150" i="1"/>
  <c r="O93" i="1"/>
  <c r="O125" i="1"/>
  <c r="O190" i="1"/>
  <c r="O222" i="1"/>
  <c r="O254" i="1"/>
  <c r="O34" i="1"/>
  <c r="O106" i="1"/>
  <c r="O98" i="1"/>
  <c r="O45" i="1"/>
  <c r="O77" i="1"/>
  <c r="O109" i="1"/>
  <c r="O173" i="1"/>
  <c r="O205" i="1"/>
  <c r="O237" i="1"/>
  <c r="O66" i="1"/>
  <c r="O154" i="1"/>
  <c r="O122" i="1"/>
  <c r="O181" i="1"/>
  <c r="O14" i="1"/>
  <c r="O235" i="1"/>
  <c r="O44" i="1"/>
  <c r="O172" i="1"/>
  <c r="O268" i="1"/>
  <c r="O139" i="1"/>
  <c r="O15" i="1"/>
  <c r="O238" i="1"/>
  <c r="O112" i="1"/>
  <c r="O208" i="1"/>
  <c r="O62" i="1"/>
  <c r="O189" i="1"/>
  <c r="O4" i="1"/>
  <c r="O36" i="1"/>
  <c r="O100" i="1"/>
  <c r="O132" i="1"/>
  <c r="O164" i="1"/>
  <c r="O228" i="1"/>
  <c r="O260" i="1"/>
  <c r="O42" i="1"/>
  <c r="O110" i="1"/>
  <c r="O74" i="1"/>
  <c r="O166" i="1"/>
  <c r="O182" i="1"/>
  <c r="O210" i="1"/>
  <c r="O50" i="1"/>
  <c r="O117" i="1"/>
  <c r="O213" i="1"/>
  <c r="O82" i="1"/>
  <c r="O87" i="1"/>
  <c r="O234" i="1"/>
  <c r="O12" i="1"/>
  <c r="O58" i="1"/>
  <c r="O230" i="1"/>
  <c r="O174" i="1"/>
  <c r="O146" i="1"/>
  <c r="O221" i="1"/>
  <c r="O27" i="1"/>
  <c r="O127" i="1"/>
  <c r="O107" i="1"/>
  <c r="O30" i="1"/>
  <c r="O111" i="1"/>
  <c r="O207" i="1"/>
  <c r="O136" i="1"/>
  <c r="O192" i="1"/>
  <c r="O9" i="1"/>
  <c r="O73" i="1"/>
  <c r="O201" i="1"/>
  <c r="O265" i="1"/>
  <c r="O83" i="1"/>
  <c r="Q219" i="1"/>
  <c r="Q201" i="1"/>
  <c r="Q199" i="1"/>
  <c r="Q179" i="1"/>
  <c r="Q177" i="1"/>
  <c r="Q164" i="1"/>
  <c r="Q156" i="1"/>
  <c r="Q44" i="1"/>
  <c r="Q154" i="1"/>
  <c r="Q40" i="1"/>
  <c r="Q220" i="1"/>
  <c r="Q264" i="1"/>
  <c r="Q260" i="1"/>
  <c r="Q82" i="1"/>
  <c r="Q172" i="1"/>
  <c r="Q110" i="1"/>
  <c r="Q103" i="1"/>
  <c r="Q101" i="1"/>
  <c r="Q79" i="1"/>
  <c r="Q75" i="1"/>
  <c r="Q11" i="1"/>
  <c r="Q196" i="1"/>
  <c r="Q194" i="1"/>
  <c r="Q118" i="1"/>
  <c r="Q116" i="1"/>
  <c r="Q7" i="1"/>
  <c r="Q136" i="1"/>
  <c r="Q128" i="1"/>
  <c r="Q70" i="1"/>
  <c r="Q64" i="1"/>
  <c r="Q167" i="1"/>
  <c r="Q21" i="1"/>
  <c r="Q13" i="1"/>
  <c r="Q178" i="1"/>
  <c r="Q166" i="1"/>
  <c r="Q113" i="1"/>
  <c r="Q258" i="1"/>
  <c r="Q246" i="1"/>
  <c r="Q203" i="1"/>
  <c r="Q147" i="1"/>
  <c r="K7" i="1"/>
  <c r="Q221" i="1"/>
  <c r="O251" i="1"/>
  <c r="O88" i="1"/>
  <c r="O219" i="1"/>
  <c r="O140" i="1"/>
  <c r="O21" i="1"/>
  <c r="O114" i="1"/>
  <c r="O68" i="1"/>
  <c r="O16" i="1"/>
  <c r="O170" i="1"/>
  <c r="O269" i="1"/>
  <c r="O13" i="1"/>
  <c r="O253" i="1"/>
  <c r="O91" i="1"/>
  <c r="O155" i="1"/>
  <c r="O262" i="1"/>
  <c r="O188" i="1"/>
  <c r="O186" i="1"/>
  <c r="O99" i="1"/>
  <c r="O63" i="1"/>
  <c r="O165" i="1"/>
  <c r="O18" i="1"/>
  <c r="O35" i="1"/>
  <c r="O6" i="1"/>
  <c r="O20" i="1"/>
  <c r="O24" i="1"/>
  <c r="O145" i="1"/>
  <c r="O97" i="1"/>
  <c r="O160" i="1"/>
  <c r="O177" i="1"/>
  <c r="O175" i="1"/>
  <c r="O187" i="1"/>
  <c r="O128" i="1"/>
  <c r="O249" i="1"/>
  <c r="O168" i="1"/>
  <c r="O137" i="1"/>
  <c r="O102" i="1"/>
  <c r="O7" i="1"/>
  <c r="O171" i="1"/>
  <c r="O246" i="1"/>
  <c r="O196" i="1"/>
  <c r="O61" i="1"/>
  <c r="O22" i="1"/>
  <c r="O85" i="1"/>
  <c r="O141" i="1"/>
  <c r="O226" i="1"/>
  <c r="O240" i="1"/>
  <c r="O199" i="1"/>
  <c r="O126" i="1"/>
  <c r="O94" i="1"/>
  <c r="O60" i="1"/>
  <c r="O176" i="1"/>
  <c r="O236" i="1"/>
  <c r="O46" i="1"/>
  <c r="O37" i="1"/>
  <c r="O243" i="1"/>
  <c r="O38" i="1"/>
  <c r="O148" i="1"/>
  <c r="O89" i="1"/>
  <c r="O259" i="1"/>
  <c r="O96" i="1"/>
  <c r="O95" i="1"/>
  <c r="O105" i="1"/>
  <c r="O239" i="1"/>
  <c r="O264" i="1"/>
  <c r="O224" i="1"/>
  <c r="O152" i="1"/>
  <c r="H6" i="1"/>
  <c r="T302" i="2"/>
  <c r="R314" i="2"/>
  <c r="S308" i="2"/>
  <c r="R258" i="2"/>
  <c r="T246" i="2"/>
  <c r="Q264" i="2"/>
  <c r="Q262" i="2"/>
  <c r="S252" i="2"/>
  <c r="Q259" i="2"/>
  <c r="Q263" i="2"/>
  <c r="R226" i="2"/>
  <c r="T214" i="2"/>
  <c r="S218" i="2"/>
  <c r="Q231" i="2"/>
  <c r="Q230" i="2"/>
  <c r="S220" i="2"/>
  <c r="Q232" i="2"/>
  <c r="R186" i="2"/>
  <c r="T174" i="2"/>
  <c r="S180" i="2"/>
  <c r="Q191" i="2"/>
  <c r="S178" i="2"/>
  <c r="T173" i="2"/>
  <c r="Q192" i="2"/>
  <c r="Q189" i="2"/>
  <c r="R184" i="2"/>
  <c r="R185" i="2"/>
  <c r="R154" i="2"/>
  <c r="T142" i="2"/>
  <c r="S148" i="2"/>
  <c r="Q158" i="2"/>
  <c r="Q159" i="2"/>
  <c r="T140" i="2"/>
  <c r="R153" i="2"/>
  <c r="Q160" i="2"/>
  <c r="S315" i="2"/>
  <c r="S314" i="2"/>
  <c r="T309" i="2"/>
  <c r="S307" i="2"/>
  <c r="R313" i="2"/>
  <c r="S306" i="2"/>
  <c r="Q319" i="2"/>
  <c r="T301" i="2"/>
  <c r="Q318" i="2"/>
  <c r="R311" i="2"/>
  <c r="Q316" i="2"/>
  <c r="Q313" i="2"/>
  <c r="R312" i="2"/>
  <c r="Q317" i="2"/>
  <c r="T319" i="2"/>
  <c r="Q287" i="2"/>
  <c r="Q266" i="2"/>
  <c r="R223" i="2"/>
  <c r="S300" i="2"/>
  <c r="T294" i="2"/>
  <c r="Q312" i="2"/>
  <c r="R306" i="2"/>
  <c r="T158" i="2"/>
  <c r="R170" i="2"/>
  <c r="S164" i="2"/>
  <c r="Q170" i="2"/>
  <c r="Q174" i="2"/>
  <c r="T154" i="2"/>
  <c r="Q171" i="2"/>
  <c r="Q176" i="2"/>
  <c r="Q175" i="2"/>
  <c r="S161" i="2"/>
  <c r="S160" i="2"/>
  <c r="T317" i="2"/>
  <c r="Q228" i="2"/>
  <c r="S296" i="2"/>
  <c r="Q172" i="2"/>
  <c r="Q260" i="2"/>
  <c r="R292" i="2"/>
  <c r="Q292" i="2"/>
  <c r="Q282" i="2"/>
  <c r="S264" i="2"/>
  <c r="R206" i="2"/>
  <c r="Q188" i="2"/>
  <c r="T310" i="2"/>
  <c r="S316" i="2"/>
  <c r="S268" i="2"/>
  <c r="R274" i="2"/>
  <c r="T262" i="2"/>
  <c r="T261" i="2"/>
  <c r="Q279" i="2"/>
  <c r="Q280" i="2"/>
  <c r="Q273" i="2"/>
  <c r="Q277" i="2"/>
  <c r="Q278" i="2"/>
  <c r="R270" i="2"/>
  <c r="R234" i="2"/>
  <c r="T222" i="2"/>
  <c r="R233" i="2"/>
  <c r="R232" i="2"/>
  <c r="Q239" i="2"/>
  <c r="S227" i="2"/>
  <c r="S228" i="2"/>
  <c r="Q240" i="2"/>
  <c r="Q238" i="2"/>
  <c r="R194" i="2"/>
  <c r="T182" i="2"/>
  <c r="Q200" i="2"/>
  <c r="S188" i="2"/>
  <c r="Q197" i="2"/>
  <c r="Q199" i="2"/>
  <c r="T181" i="2"/>
  <c r="S186" i="2"/>
  <c r="S143" i="2"/>
  <c r="T137" i="2"/>
  <c r="R149" i="2"/>
  <c r="Q155" i="2"/>
  <c r="S141" i="2"/>
  <c r="Q137" i="2"/>
  <c r="Q154" i="2"/>
  <c r="Q148" i="2"/>
  <c r="Q142" i="2"/>
  <c r="Q135" i="2"/>
  <c r="T132" i="2"/>
  <c r="R137" i="2"/>
  <c r="Q315" i="2"/>
  <c r="Q198" i="2"/>
  <c r="T217" i="2"/>
  <c r="R298" i="2"/>
  <c r="S292" i="2"/>
  <c r="Q302" i="2"/>
  <c r="Q304" i="2"/>
  <c r="T286" i="2"/>
  <c r="R282" i="2"/>
  <c r="T270" i="2"/>
  <c r="S276" i="2"/>
  <c r="Q288" i="2"/>
  <c r="Q281" i="2"/>
  <c r="R250" i="2"/>
  <c r="T238" i="2"/>
  <c r="Q255" i="2"/>
  <c r="Q256" i="2"/>
  <c r="S244" i="2"/>
  <c r="Q253" i="2"/>
  <c r="Q252" i="2"/>
  <c r="R249" i="2"/>
  <c r="Q254" i="2"/>
  <c r="R248" i="2"/>
  <c r="R218" i="2"/>
  <c r="T206" i="2"/>
  <c r="S210" i="2"/>
  <c r="R216" i="2"/>
  <c r="S212" i="2"/>
  <c r="R217" i="2"/>
  <c r="Q223" i="2"/>
  <c r="Q224" i="2"/>
  <c r="Q220" i="2"/>
  <c r="R202" i="2"/>
  <c r="S196" i="2"/>
  <c r="Q208" i="2"/>
  <c r="R200" i="2"/>
  <c r="Q206" i="2"/>
  <c r="T190" i="2"/>
  <c r="Q205" i="2"/>
  <c r="Q207" i="2"/>
  <c r="R201" i="2"/>
  <c r="S193" i="2"/>
  <c r="S172" i="2"/>
  <c r="Q183" i="2"/>
  <c r="S170" i="2"/>
  <c r="T165" i="2"/>
  <c r="T166" i="2"/>
  <c r="R178" i="2"/>
  <c r="Q181" i="2"/>
  <c r="Q184" i="2"/>
  <c r="Q311" i="2"/>
  <c r="Q261" i="2"/>
  <c r="Q144" i="2"/>
  <c r="R290" i="2"/>
  <c r="T278" i="2"/>
  <c r="S284" i="2"/>
  <c r="Q296" i="2"/>
  <c r="R266" i="2"/>
  <c r="T254" i="2"/>
  <c r="Q272" i="2"/>
  <c r="Q271" i="2"/>
  <c r="R264" i="2"/>
  <c r="S260" i="2"/>
  <c r="Q270" i="2"/>
  <c r="R265" i="2"/>
  <c r="S236" i="2"/>
  <c r="R242" i="2"/>
  <c r="T230" i="2"/>
  <c r="Q248" i="2"/>
  <c r="S235" i="2"/>
  <c r="Q246" i="2"/>
  <c r="Q247" i="2"/>
  <c r="Q243" i="2"/>
  <c r="S204" i="2"/>
  <c r="R210" i="2"/>
  <c r="S203" i="2"/>
  <c r="Q215" i="2"/>
  <c r="T198" i="2"/>
  <c r="S202" i="2"/>
  <c r="Q216" i="2"/>
  <c r="Q214" i="2"/>
  <c r="R207" i="2"/>
  <c r="R162" i="2"/>
  <c r="S156" i="2"/>
  <c r="T148" i="2"/>
  <c r="Q167" i="2"/>
  <c r="Q168" i="2"/>
  <c r="Q166" i="2"/>
  <c r="Q165" i="2"/>
  <c r="Q161" i="2"/>
  <c r="S153" i="2"/>
  <c r="Q201" i="2"/>
  <c r="Q153" i="2"/>
  <c r="R307" i="2"/>
  <c r="R291" i="2"/>
  <c r="Q249" i="2"/>
  <c r="Q209" i="2"/>
  <c r="R179" i="2"/>
  <c r="S299" i="2"/>
  <c r="R305" i="2"/>
  <c r="T293" i="2"/>
  <c r="T285" i="2"/>
  <c r="S291" i="2"/>
  <c r="R297" i="2"/>
  <c r="R296" i="2"/>
  <c r="S283" i="2"/>
  <c r="R289" i="2"/>
  <c r="Q294" i="2"/>
  <c r="S275" i="2"/>
  <c r="R280" i="2"/>
  <c r="T269" i="2"/>
  <c r="R281" i="2"/>
  <c r="Q286" i="2"/>
  <c r="S267" i="2"/>
  <c r="R241" i="2"/>
  <c r="R209" i="2"/>
  <c r="S289" i="2"/>
  <c r="Q211" i="2"/>
  <c r="R136" i="2"/>
  <c r="T290" i="2"/>
  <c r="Q308" i="2"/>
  <c r="R302" i="2"/>
  <c r="T266" i="2"/>
  <c r="R278" i="2"/>
  <c r="S272" i="2"/>
  <c r="R276" i="2"/>
  <c r="T265" i="2"/>
  <c r="R262" i="2"/>
  <c r="Q268" i="2"/>
  <c r="R260" i="2"/>
  <c r="S248" i="2"/>
  <c r="Q258" i="2"/>
  <c r="T240" i="2"/>
  <c r="R254" i="2"/>
  <c r="T234" i="2"/>
  <c r="Q250" i="2"/>
  <c r="S240" i="2"/>
  <c r="R246" i="2"/>
  <c r="Q251" i="2"/>
  <c r="T232" i="2"/>
  <c r="T233" i="2"/>
  <c r="T226" i="2"/>
  <c r="S232" i="2"/>
  <c r="Q244" i="2"/>
  <c r="T225" i="2"/>
  <c r="R238" i="2"/>
  <c r="T202" i="2"/>
  <c r="R214" i="2"/>
  <c r="S208" i="2"/>
  <c r="R212" i="2"/>
  <c r="T200" i="2"/>
  <c r="Q218" i="2"/>
  <c r="T194" i="2"/>
  <c r="S200" i="2"/>
  <c r="R198" i="2"/>
  <c r="T186" i="2"/>
  <c r="Q204" i="2"/>
  <c r="S192" i="2"/>
  <c r="Q202" i="2"/>
  <c r="R196" i="2"/>
  <c r="S184" i="2"/>
  <c r="Q194" i="2"/>
  <c r="T178" i="2"/>
  <c r="R190" i="2"/>
  <c r="Q196" i="2"/>
  <c r="Q195" i="2"/>
  <c r="T170" i="2"/>
  <c r="Q187" i="2"/>
  <c r="R182" i="2"/>
  <c r="Q186" i="2"/>
  <c r="S176" i="2"/>
  <c r="R174" i="2"/>
  <c r="R166" i="2"/>
  <c r="T146" i="2"/>
  <c r="S144" i="2"/>
  <c r="Q151" i="2"/>
  <c r="T277" i="2"/>
  <c r="S256" i="2"/>
  <c r="Q245" i="2"/>
  <c r="S185" i="2"/>
  <c r="R132" i="2"/>
  <c r="T314" i="2"/>
  <c r="T298" i="2"/>
  <c r="R310" i="2"/>
  <c r="S304" i="2"/>
  <c r="S280" i="2"/>
  <c r="T274" i="2"/>
  <c r="R286" i="2"/>
  <c r="T218" i="2"/>
  <c r="R230" i="2"/>
  <c r="S224" i="2"/>
  <c r="Q236" i="2"/>
  <c r="Q235" i="2"/>
  <c r="Q257" i="2"/>
  <c r="Q203" i="2"/>
  <c r="Q284" i="2"/>
  <c r="Q210" i="2"/>
  <c r="Q307" i="2"/>
  <c r="Q303" i="2"/>
  <c r="S118" i="2"/>
  <c r="R124" i="2"/>
  <c r="Q130" i="2"/>
  <c r="R244" i="2"/>
  <c r="T250" i="2"/>
  <c r="T119" i="2"/>
  <c r="Q237" i="2"/>
  <c r="Q157" i="2"/>
  <c r="Q146" i="2"/>
  <c r="Q289" i="2"/>
  <c r="S312" i="2"/>
  <c r="T306" i="2"/>
  <c r="R318" i="2"/>
  <c r="R294" i="2"/>
  <c r="Q300" i="2"/>
  <c r="Q299" i="2"/>
  <c r="S288" i="2"/>
  <c r="Q298" i="2"/>
  <c r="S216" i="2"/>
  <c r="Q227" i="2"/>
  <c r="T210" i="2"/>
  <c r="R222" i="2"/>
  <c r="Q219" i="2"/>
  <c r="Q226" i="2"/>
  <c r="Q123" i="2"/>
  <c r="R228" i="2"/>
  <c r="T249" i="2"/>
  <c r="Q310" i="2"/>
  <c r="T282" i="2"/>
  <c r="T258" i="2"/>
  <c r="Q276" i="2"/>
  <c r="Q275" i="2"/>
  <c r="Q274" i="2"/>
  <c r="T257" i="2"/>
  <c r="Q295" i="2"/>
  <c r="Q267" i="2"/>
  <c r="Q242" i="2"/>
  <c r="Q212" i="2"/>
  <c r="S317" i="2"/>
  <c r="S309" i="2"/>
  <c r="T303" i="2"/>
  <c r="R315" i="2"/>
  <c r="T295" i="2"/>
  <c r="S301" i="2"/>
  <c r="S293" i="2"/>
  <c r="T287" i="2"/>
  <c r="R299" i="2"/>
  <c r="Q305" i="2"/>
  <c r="S285" i="2"/>
  <c r="Q297" i="2"/>
  <c r="T279" i="2"/>
  <c r="T271" i="2"/>
  <c r="R283" i="2"/>
  <c r="S277" i="2"/>
  <c r="T263" i="2"/>
  <c r="S269" i="2"/>
  <c r="R275" i="2"/>
  <c r="S261" i="2"/>
  <c r="T255" i="2"/>
  <c r="R267" i="2"/>
  <c r="S253" i="2"/>
  <c r="T247" i="2"/>
  <c r="R259" i="2"/>
  <c r="Q265" i="2"/>
  <c r="R251" i="2"/>
  <c r="T239" i="2"/>
  <c r="S245" i="2"/>
  <c r="T231" i="2"/>
  <c r="S237" i="2"/>
  <c r="R243" i="2"/>
  <c r="S229" i="2"/>
  <c r="R235" i="2"/>
  <c r="T223" i="2"/>
  <c r="Q241" i="2"/>
  <c r="S221" i="2"/>
  <c r="Q233" i="2"/>
  <c r="S213" i="2"/>
  <c r="R219" i="2"/>
  <c r="Q225" i="2"/>
  <c r="T207" i="2"/>
  <c r="T199" i="2"/>
  <c r="S205" i="2"/>
  <c r="R211" i="2"/>
  <c r="S197" i="2"/>
  <c r="R203" i="2"/>
  <c r="T191" i="2"/>
  <c r="S189" i="2"/>
  <c r="R195" i="2"/>
  <c r="R187" i="2"/>
  <c r="Q193" i="2"/>
  <c r="S181" i="2"/>
  <c r="T167" i="2"/>
  <c r="S173" i="2"/>
  <c r="Q185" i="2"/>
  <c r="R171" i="2"/>
  <c r="S165" i="2"/>
  <c r="T159" i="2"/>
  <c r="R163" i="2"/>
  <c r="S157" i="2"/>
  <c r="Q169" i="2"/>
  <c r="T151" i="2"/>
  <c r="R155" i="2"/>
  <c r="T143" i="2"/>
  <c r="S149" i="2"/>
  <c r="T131" i="2"/>
  <c r="S137" i="2"/>
  <c r="R143" i="2"/>
  <c r="Q149" i="2"/>
  <c r="Q147" i="2"/>
  <c r="S135" i="2"/>
  <c r="R141" i="2"/>
  <c r="S130" i="2"/>
  <c r="T124" i="2"/>
  <c r="T123" i="2"/>
  <c r="Q141" i="2"/>
  <c r="T117" i="2"/>
  <c r="R129" i="2"/>
  <c r="Q133" i="2"/>
  <c r="Q134" i="2"/>
  <c r="R122" i="2"/>
  <c r="Q128" i="2"/>
  <c r="R287" i="2"/>
  <c r="R227" i="2"/>
  <c r="T242" i="2"/>
  <c r="S298" i="2"/>
  <c r="S123" i="2"/>
  <c r="Q163" i="2"/>
  <c r="Q156" i="2"/>
  <c r="Q178" i="2"/>
  <c r="Q136" i="2"/>
  <c r="T296" i="2"/>
  <c r="R300" i="2"/>
  <c r="T272" i="2"/>
  <c r="T264" i="2"/>
  <c r="R268" i="2"/>
  <c r="R252" i="2"/>
  <c r="R236" i="2"/>
  <c r="R220" i="2"/>
  <c r="R204" i="2"/>
  <c r="R188" i="2"/>
  <c r="T160" i="2"/>
  <c r="S138" i="2"/>
  <c r="T125" i="2"/>
  <c r="R130" i="2"/>
  <c r="S124" i="2"/>
  <c r="T118" i="2"/>
  <c r="R165" i="2"/>
  <c r="R157" i="2"/>
  <c r="S168" i="2"/>
  <c r="S131" i="2"/>
  <c r="S242" i="2"/>
  <c r="S146" i="2"/>
  <c r="R147" i="2"/>
  <c r="R134" i="2"/>
  <c r="S128" i="2"/>
  <c r="Q140" i="2"/>
  <c r="T122" i="2"/>
  <c r="R115" i="2"/>
  <c r="T315" i="2"/>
  <c r="T307" i="2"/>
  <c r="R319" i="2"/>
  <c r="T299" i="2"/>
  <c r="S305" i="2"/>
  <c r="T291" i="2"/>
  <c r="S297" i="2"/>
  <c r="T283" i="2"/>
  <c r="R295" i="2"/>
  <c r="T275" i="2"/>
  <c r="Q293" i="2"/>
  <c r="T267" i="2"/>
  <c r="S273" i="2"/>
  <c r="Q285" i="2"/>
  <c r="R279" i="2"/>
  <c r="T259" i="2"/>
  <c r="S265" i="2"/>
  <c r="T251" i="2"/>
  <c r="R263" i="2"/>
  <c r="S257" i="2"/>
  <c r="T243" i="2"/>
  <c r="S249" i="2"/>
  <c r="T235" i="2"/>
  <c r="S241" i="2"/>
  <c r="R247" i="2"/>
  <c r="T227" i="2"/>
  <c r="S233" i="2"/>
  <c r="T219" i="2"/>
  <c r="R231" i="2"/>
  <c r="S225" i="2"/>
  <c r="T211" i="2"/>
  <c r="Q229" i="2"/>
  <c r="S217" i="2"/>
  <c r="T203" i="2"/>
  <c r="S209" i="2"/>
  <c r="Q221" i="2"/>
  <c r="R215" i="2"/>
  <c r="T195" i="2"/>
  <c r="S201" i="2"/>
  <c r="T187" i="2"/>
  <c r="R199" i="2"/>
  <c r="T179" i="2"/>
  <c r="T171" i="2"/>
  <c r="S177" i="2"/>
  <c r="R183" i="2"/>
  <c r="T163" i="2"/>
  <c r="S169" i="2"/>
  <c r="R175" i="2"/>
  <c r="R167" i="2"/>
  <c r="T155" i="2"/>
  <c r="Q173" i="2"/>
  <c r="T147" i="2"/>
  <c r="S145" i="2"/>
  <c r="R151" i="2"/>
  <c r="T139" i="2"/>
  <c r="S134" i="2"/>
  <c r="R140" i="2"/>
  <c r="T121" i="2"/>
  <c r="R133" i="2"/>
  <c r="Q138" i="2"/>
  <c r="Q139" i="2"/>
  <c r="R126" i="2"/>
  <c r="S120" i="2"/>
  <c r="R303" i="2"/>
  <c r="R239" i="2"/>
  <c r="T128" i="2"/>
  <c r="S281" i="2"/>
  <c r="T162" i="2"/>
  <c r="Q180" i="2"/>
  <c r="R158" i="2"/>
  <c r="S152" i="2"/>
  <c r="R150" i="2"/>
  <c r="T138" i="2"/>
  <c r="R146" i="2"/>
  <c r="S140" i="2"/>
  <c r="Q152" i="2"/>
  <c r="T134" i="2"/>
  <c r="S133" i="2"/>
  <c r="R139" i="2"/>
  <c r="Q145" i="2"/>
  <c r="R173" i="2"/>
  <c r="T144" i="2"/>
  <c r="T127" i="2"/>
  <c r="S313" i="2"/>
  <c r="Q309" i="2"/>
  <c r="Q162" i="2"/>
  <c r="Q179" i="2"/>
  <c r="Q164" i="2"/>
  <c r="Q301" i="2"/>
  <c r="S319" i="2"/>
  <c r="T313" i="2"/>
  <c r="S311" i="2"/>
  <c r="T305" i="2"/>
  <c r="R317" i="2"/>
  <c r="S303" i="2"/>
  <c r="R309" i="2"/>
  <c r="Q314" i="2"/>
  <c r="T297" i="2"/>
  <c r="S295" i="2"/>
  <c r="R301" i="2"/>
  <c r="T289" i="2"/>
  <c r="S287" i="2"/>
  <c r="R293" i="2"/>
  <c r="T281" i="2"/>
  <c r="Q291" i="2"/>
  <c r="T193" i="2"/>
  <c r="S139" i="2"/>
  <c r="R131" i="2"/>
  <c r="R316" i="2"/>
  <c r="R255" i="2"/>
  <c r="R191" i="2"/>
  <c r="R159" i="2"/>
  <c r="T253" i="2"/>
  <c r="S251" i="2"/>
  <c r="S243" i="2"/>
  <c r="T221" i="2"/>
  <c r="S219" i="2"/>
  <c r="S211" i="2"/>
  <c r="T189" i="2"/>
  <c r="S187" i="2"/>
  <c r="S179" i="2"/>
  <c r="R177" i="2"/>
  <c r="T157" i="2"/>
  <c r="T149" i="2"/>
  <c r="S155" i="2"/>
  <c r="T141" i="2"/>
  <c r="S147" i="2"/>
  <c r="S142" i="2"/>
  <c r="T136" i="2"/>
  <c r="R142" i="2"/>
  <c r="S136" i="2"/>
  <c r="S129" i="2"/>
  <c r="R135" i="2"/>
  <c r="S122" i="2"/>
  <c r="R128" i="2"/>
  <c r="S117" i="2"/>
  <c r="R123" i="2"/>
  <c r="R257" i="2"/>
  <c r="R225" i="2"/>
  <c r="R193" i="2"/>
  <c r="R169" i="2"/>
  <c r="T213" i="2"/>
  <c r="T197" i="2"/>
  <c r="R152" i="2"/>
  <c r="T135" i="2"/>
  <c r="R127" i="2"/>
  <c r="S259" i="2"/>
  <c r="T316" i="2"/>
  <c r="T308" i="2"/>
  <c r="T300" i="2"/>
  <c r="T292" i="2"/>
  <c r="T284" i="2"/>
  <c r="S290" i="2"/>
  <c r="T276" i="2"/>
  <c r="T268" i="2"/>
  <c r="T260" i="2"/>
  <c r="T252" i="2"/>
  <c r="S258" i="2"/>
  <c r="T244" i="2"/>
  <c r="T236" i="2"/>
  <c r="T228" i="2"/>
  <c r="T220" i="2"/>
  <c r="S226" i="2"/>
  <c r="T212" i="2"/>
  <c r="T204" i="2"/>
  <c r="T196" i="2"/>
  <c r="T188" i="2"/>
  <c r="S194" i="2"/>
  <c r="T180" i="2"/>
  <c r="T172" i="2"/>
  <c r="T164" i="2"/>
  <c r="S162" i="2"/>
  <c r="R160" i="2"/>
  <c r="T129" i="2"/>
  <c r="T115" i="2"/>
  <c r="R308" i="2"/>
  <c r="R288" i="2"/>
  <c r="R256" i="2"/>
  <c r="R224" i="2"/>
  <c r="R192" i="2"/>
  <c r="R168" i="2"/>
  <c r="T245" i="2"/>
  <c r="T229" i="2"/>
  <c r="T176" i="2"/>
  <c r="R125" i="2"/>
  <c r="T116" i="2"/>
  <c r="S274" i="2"/>
  <c r="S171" i="2"/>
  <c r="S154" i="2"/>
  <c r="S279" i="2"/>
  <c r="T273" i="2"/>
  <c r="R285" i="2"/>
  <c r="S271" i="2"/>
  <c r="R277" i="2"/>
  <c r="S263" i="2"/>
  <c r="R269" i="2"/>
  <c r="S255" i="2"/>
  <c r="R261" i="2"/>
  <c r="S247" i="2"/>
  <c r="T241" i="2"/>
  <c r="R253" i="2"/>
  <c r="S239" i="2"/>
  <c r="R245" i="2"/>
  <c r="S231" i="2"/>
  <c r="R237" i="2"/>
  <c r="S223" i="2"/>
  <c r="R229" i="2"/>
  <c r="S215" i="2"/>
  <c r="T209" i="2"/>
  <c r="R221" i="2"/>
  <c r="S207" i="2"/>
  <c r="R213" i="2"/>
  <c r="S199" i="2"/>
  <c r="R205" i="2"/>
  <c r="S191" i="2"/>
  <c r="R197" i="2"/>
  <c r="S183" i="2"/>
  <c r="T177" i="2"/>
  <c r="R189" i="2"/>
  <c r="S175" i="2"/>
  <c r="R181" i="2"/>
  <c r="S167" i="2"/>
  <c r="T161" i="2"/>
  <c r="S159" i="2"/>
  <c r="T153" i="2"/>
  <c r="S151" i="2"/>
  <c r="T145" i="2"/>
  <c r="T133" i="2"/>
  <c r="R145" i="2"/>
  <c r="S126" i="2"/>
  <c r="T120" i="2"/>
  <c r="R284" i="2"/>
  <c r="R273" i="2"/>
  <c r="R176" i="2"/>
  <c r="T205" i="2"/>
  <c r="T169" i="2"/>
  <c r="T156" i="2"/>
  <c r="R148" i="2"/>
  <c r="S250" i="2"/>
  <c r="S234" i="2"/>
  <c r="S318" i="2"/>
  <c r="T312" i="2"/>
  <c r="S310" i="2"/>
  <c r="S302" i="2"/>
  <c r="S294" i="2"/>
  <c r="T288" i="2"/>
  <c r="S286" i="2"/>
  <c r="T280" i="2"/>
  <c r="S278" i="2"/>
  <c r="S270" i="2"/>
  <c r="S262" i="2"/>
  <c r="T256" i="2"/>
  <c r="S254" i="2"/>
  <c r="T248" i="2"/>
  <c r="S246" i="2"/>
  <c r="S238" i="2"/>
  <c r="S230" i="2"/>
  <c r="T224" i="2"/>
  <c r="S222" i="2"/>
  <c r="T216" i="2"/>
  <c r="S214" i="2"/>
  <c r="S206" i="2"/>
  <c r="S198" i="2"/>
  <c r="T192" i="2"/>
  <c r="S190" i="2"/>
  <c r="T184" i="2"/>
  <c r="S182" i="2"/>
  <c r="R180" i="2"/>
  <c r="S174" i="2"/>
  <c r="R172" i="2"/>
  <c r="S166" i="2"/>
  <c r="R164" i="2"/>
  <c r="S158" i="2"/>
  <c r="T152" i="2"/>
  <c r="S150" i="2"/>
  <c r="R156" i="2"/>
  <c r="R144" i="2"/>
  <c r="R138" i="2"/>
  <c r="T126" i="2"/>
  <c r="S132" i="2"/>
  <c r="S125" i="2"/>
  <c r="R304" i="2"/>
  <c r="R272" i="2"/>
  <c r="R240" i="2"/>
  <c r="R208" i="2"/>
  <c r="R161" i="2"/>
  <c r="T304" i="2"/>
  <c r="T237" i="2"/>
  <c r="T201" i="2"/>
  <c r="T185" i="2"/>
  <c r="T168" i="2"/>
  <c r="T130" i="2"/>
  <c r="S282" i="2"/>
  <c r="S266" i="2"/>
  <c r="S163" i="2"/>
  <c r="Q9" i="1"/>
  <c r="Q108" i="1"/>
  <c r="Q30" i="1"/>
  <c r="Q165" i="1"/>
  <c r="Q43" i="1"/>
  <c r="Q204" i="1"/>
  <c r="Q232" i="1"/>
  <c r="Q151" i="1"/>
  <c r="Q125" i="1"/>
  <c r="Q185" i="1"/>
  <c r="Q17" i="1"/>
  <c r="Q23" i="1"/>
  <c r="Q160" i="1"/>
  <c r="Q266" i="1"/>
  <c r="Q188" i="1"/>
  <c r="Q271" i="1"/>
  <c r="Q245" i="1"/>
  <c r="Q215" i="1"/>
  <c r="Q191" i="1"/>
  <c r="Q169" i="1"/>
  <c r="Q145" i="1"/>
  <c r="Q84" i="1"/>
  <c r="Q208" i="1"/>
  <c r="Q62" i="1"/>
  <c r="Q206" i="1"/>
  <c r="Q76" i="1"/>
  <c r="Q138" i="1"/>
  <c r="Q74" i="1"/>
  <c r="Q86" i="1"/>
  <c r="Q212" i="1"/>
  <c r="Q129" i="1"/>
  <c r="Q97" i="1"/>
  <c r="Q57" i="1"/>
  <c r="Q37" i="1"/>
  <c r="Q256" i="1"/>
  <c r="Q186" i="1"/>
  <c r="Q80" i="1"/>
  <c r="Q123" i="1"/>
  <c r="Q244" i="1"/>
  <c r="Q102" i="1"/>
  <c r="Q52" i="1"/>
  <c r="Q265" i="1"/>
  <c r="Q121" i="1"/>
  <c r="Q236" i="1"/>
  <c r="Q158" i="1"/>
  <c r="Q237" i="1"/>
  <c r="Q65" i="1"/>
  <c r="Q96" i="1"/>
  <c r="Q117" i="1"/>
  <c r="Q235" i="1"/>
  <c r="Q224" i="1"/>
  <c r="Q180" i="1"/>
  <c r="Q34" i="1"/>
  <c r="Q134" i="1"/>
  <c r="Q223" i="1"/>
  <c r="Q112" i="1"/>
  <c r="Q267" i="1"/>
  <c r="Q241" i="1"/>
  <c r="Q213" i="1"/>
  <c r="Q189" i="1"/>
  <c r="Q163" i="1"/>
  <c r="Q3" i="1"/>
  <c r="Q222" i="1"/>
  <c r="Q56" i="1"/>
  <c r="Q20" i="1"/>
  <c r="Q202" i="1"/>
  <c r="Q50" i="1"/>
  <c r="Q122" i="1"/>
  <c r="Q124" i="1"/>
  <c r="Q10" i="1"/>
  <c r="Q228" i="1"/>
  <c r="Q127" i="1"/>
  <c r="Q95" i="1"/>
  <c r="Q55" i="1"/>
  <c r="Q35" i="1"/>
  <c r="Q242" i="1"/>
  <c r="Q150" i="1"/>
  <c r="Q269" i="1"/>
  <c r="Q109" i="1"/>
  <c r="Q226" i="1"/>
  <c r="Q94" i="1"/>
  <c r="Q48" i="1"/>
  <c r="Q257" i="1"/>
  <c r="Q85" i="1"/>
  <c r="Q216" i="1"/>
  <c r="Q152" i="1"/>
  <c r="Q229" i="1"/>
  <c r="Q29" i="1"/>
  <c r="Q251" i="1"/>
  <c r="Q81" i="1"/>
  <c r="Q91" i="1"/>
  <c r="Q181" i="1"/>
  <c r="Q270" i="1"/>
  <c r="Q261" i="1"/>
  <c r="Q239" i="1"/>
  <c r="Q209" i="1"/>
  <c r="Q187" i="1"/>
  <c r="Q159" i="1"/>
  <c r="Q68" i="1"/>
  <c r="Q230" i="1"/>
  <c r="Q254" i="1"/>
  <c r="Q24" i="1"/>
  <c r="Q60" i="1"/>
  <c r="Q22" i="1"/>
  <c r="Q6" i="1"/>
  <c r="Q120" i="1"/>
  <c r="Q210" i="1"/>
  <c r="Q33" i="1"/>
  <c r="Q115" i="1"/>
  <c r="Q93" i="1"/>
  <c r="Q53" i="1"/>
  <c r="Q31" i="1"/>
  <c r="Q238" i="1"/>
  <c r="Q146" i="1"/>
  <c r="Q231" i="1"/>
  <c r="Q77" i="1"/>
  <c r="Q218" i="1"/>
  <c r="Q90" i="1"/>
  <c r="Q36" i="1"/>
  <c r="Q233" i="1"/>
  <c r="Q71" i="1"/>
  <c r="Q198" i="1"/>
  <c r="Q144" i="1"/>
  <c r="Q175" i="1"/>
  <c r="Q15" i="1"/>
  <c r="Q243" i="1"/>
  <c r="Q59" i="1"/>
  <c r="Q207" i="1"/>
  <c r="Q142" i="1"/>
  <c r="Q88" i="1"/>
  <c r="Q63" i="1"/>
  <c r="Q143" i="1"/>
  <c r="Q227" i="1"/>
  <c r="Q205" i="1"/>
  <c r="Q47" i="1"/>
  <c r="Q19" i="1"/>
  <c r="Q247" i="1"/>
  <c r="Q217" i="1"/>
  <c r="Q195" i="1"/>
  <c r="Q171" i="1"/>
  <c r="Q149" i="1"/>
  <c r="Q66" i="1"/>
  <c r="Q26" i="1"/>
  <c r="Q133" i="1"/>
  <c r="Q262" i="1"/>
  <c r="Q130" i="1"/>
  <c r="Q176" i="1"/>
  <c r="Q4" i="1"/>
  <c r="Q12" i="1"/>
  <c r="Q170" i="1"/>
  <c r="Q137" i="1"/>
  <c r="Q99" i="1"/>
  <c r="Q67" i="1"/>
  <c r="Q39" i="1"/>
  <c r="Q268" i="1"/>
  <c r="Q192" i="1"/>
  <c r="Q114" i="1"/>
  <c r="Q131" i="1"/>
  <c r="Q250" i="1"/>
  <c r="Q106" i="1"/>
  <c r="Q54" i="1"/>
  <c r="Q8" i="1"/>
  <c r="Q161" i="1"/>
  <c r="Q5" i="1"/>
  <c r="Q162" i="1"/>
  <c r="Q263" i="1"/>
  <c r="Q73" i="1"/>
  <c r="Q214" i="1"/>
  <c r="Q119" i="1"/>
  <c r="Q259" i="1"/>
  <c r="Q183" i="1"/>
  <c r="Q157" i="1"/>
  <c r="Q248" i="1"/>
  <c r="Q14" i="1"/>
  <c r="Q107" i="1"/>
  <c r="Q42" i="1"/>
  <c r="Q272" i="1"/>
  <c r="Q18" i="1"/>
  <c r="Q126" i="1"/>
  <c r="Q148" i="1"/>
  <c r="Q72" i="1"/>
  <c r="Q111" i="1"/>
  <c r="Q87" i="1"/>
  <c r="Q49" i="1"/>
  <c r="Q27" i="1"/>
  <c r="Q197" i="1"/>
  <c r="Q69" i="1"/>
  <c r="Q225" i="1"/>
  <c r="Q190" i="1"/>
  <c r="Q139" i="1"/>
  <c r="Q51" i="1"/>
  <c r="Q255" i="1"/>
  <c r="Q155" i="1"/>
  <c r="Q16" i="1"/>
  <c r="Q252" i="1"/>
  <c r="Q89" i="1"/>
  <c r="Q174" i="1"/>
  <c r="Q92" i="1"/>
  <c r="Q46" i="1"/>
  <c r="Q38" i="1"/>
  <c r="Q234" i="1"/>
  <c r="Q184" i="1"/>
  <c r="Q240" i="1"/>
  <c r="Q105" i="1"/>
  <c r="Q83" i="1"/>
  <c r="Q45" i="1"/>
  <c r="Q25" i="1"/>
  <c r="Q200" i="1"/>
  <c r="Q140" i="1"/>
  <c r="Q173" i="1"/>
  <c r="Q61" i="1"/>
  <c r="Q168" i="1"/>
  <c r="Q78" i="1"/>
  <c r="Q32" i="1"/>
  <c r="Q193" i="1"/>
  <c r="Q182" i="1"/>
  <c r="Q135" i="1"/>
  <c r="Q211" i="1"/>
  <c r="Q253" i="1"/>
  <c r="Q153" i="1"/>
  <c r="Q104" i="1"/>
  <c r="Q98" i="1"/>
  <c r="Q28" i="1"/>
  <c r="Q141" i="1"/>
  <c r="Q41" i="1"/>
  <c r="Q100" i="1"/>
  <c r="Q132" i="1"/>
  <c r="Q58" i="1"/>
  <c r="Q249" i="1"/>
  <c r="N207" i="1"/>
  <c r="N271" i="1"/>
  <c r="N23" i="1"/>
  <c r="N9" i="1"/>
  <c r="N175" i="1"/>
  <c r="N155" i="1"/>
  <c r="N11" i="1"/>
  <c r="N216" i="1"/>
  <c r="N152" i="1"/>
  <c r="N88" i="1"/>
  <c r="N24" i="1"/>
  <c r="N150" i="1"/>
  <c r="N22" i="1"/>
  <c r="N221" i="1"/>
  <c r="N157" i="1"/>
  <c r="N93" i="1"/>
  <c r="N29" i="1"/>
  <c r="N236" i="1"/>
  <c r="N172" i="1"/>
  <c r="N108" i="1"/>
  <c r="N44" i="1"/>
  <c r="N158" i="1"/>
  <c r="N258" i="1"/>
  <c r="N194" i="1"/>
  <c r="N130" i="1"/>
  <c r="N66" i="1"/>
  <c r="N270" i="1"/>
  <c r="N118" i="1"/>
  <c r="N243" i="1"/>
  <c r="N83" i="1"/>
  <c r="N249" i="1"/>
  <c r="N185" i="1"/>
  <c r="N121" i="1"/>
  <c r="N57" i="1"/>
  <c r="N167" i="1"/>
  <c r="N15" i="1"/>
  <c r="N79" i="1"/>
  <c r="N247" i="1"/>
  <c r="N111" i="1"/>
  <c r="N139" i="1"/>
  <c r="N272" i="1"/>
  <c r="N208" i="1"/>
  <c r="N144" i="1"/>
  <c r="N80" i="1"/>
  <c r="N16" i="1"/>
  <c r="N134" i="1"/>
  <c r="N14" i="1"/>
  <c r="N213" i="1"/>
  <c r="N149" i="1"/>
  <c r="N85" i="1"/>
  <c r="N21" i="1"/>
  <c r="N228" i="1"/>
  <c r="N164" i="1"/>
  <c r="N100" i="1"/>
  <c r="N36" i="1"/>
  <c r="N38" i="1"/>
  <c r="N250" i="1"/>
  <c r="N186" i="1"/>
  <c r="N122" i="1"/>
  <c r="N58" i="1"/>
  <c r="N246" i="1"/>
  <c r="N102" i="1"/>
  <c r="N227" i="1"/>
  <c r="N67" i="1"/>
  <c r="N241" i="1"/>
  <c r="N177" i="1"/>
  <c r="N113" i="1"/>
  <c r="N49" i="1"/>
  <c r="N263" i="1"/>
  <c r="N183" i="1"/>
  <c r="N264" i="1"/>
  <c r="N72" i="1"/>
  <c r="N269" i="1"/>
  <c r="N77" i="1"/>
  <c r="N156" i="1"/>
  <c r="N251" i="1"/>
  <c r="N178" i="1"/>
  <c r="N50" i="1"/>
  <c r="N203" i="1"/>
  <c r="N169" i="1"/>
  <c r="N199" i="1"/>
  <c r="N99" i="1"/>
  <c r="N128" i="1"/>
  <c r="N261" i="1"/>
  <c r="N5" i="1"/>
  <c r="N63" i="1"/>
  <c r="N135" i="1"/>
  <c r="N127" i="1"/>
  <c r="N55" i="1"/>
  <c r="N235" i="1"/>
  <c r="N91" i="1"/>
  <c r="N248" i="1"/>
  <c r="N184" i="1"/>
  <c r="N120" i="1"/>
  <c r="N56" i="1"/>
  <c r="N238" i="1"/>
  <c r="N94" i="1"/>
  <c r="N253" i="1"/>
  <c r="N189" i="1"/>
  <c r="N125" i="1"/>
  <c r="N61" i="1"/>
  <c r="N268" i="1"/>
  <c r="N204" i="1"/>
  <c r="N140" i="1"/>
  <c r="N76" i="1"/>
  <c r="N12" i="1"/>
  <c r="N171" i="1"/>
  <c r="N226" i="1"/>
  <c r="N162" i="1"/>
  <c r="N98" i="1"/>
  <c r="N34" i="1"/>
  <c r="N190" i="1"/>
  <c r="N54" i="1"/>
  <c r="N163" i="1"/>
  <c r="N19" i="1"/>
  <c r="N217" i="1"/>
  <c r="N153" i="1"/>
  <c r="N89" i="1"/>
  <c r="N25" i="1"/>
  <c r="N87" i="1"/>
  <c r="N143" i="1"/>
  <c r="N179" i="1"/>
  <c r="N224" i="1"/>
  <c r="N32" i="1"/>
  <c r="N46" i="1"/>
  <c r="N165" i="1"/>
  <c r="N101" i="1"/>
  <c r="N244" i="1"/>
  <c r="N116" i="1"/>
  <c r="N52" i="1"/>
  <c r="N266" i="1"/>
  <c r="N74" i="1"/>
  <c r="N142" i="1"/>
  <c r="N107" i="1"/>
  <c r="N193" i="1"/>
  <c r="N129" i="1"/>
  <c r="N255" i="1"/>
  <c r="N115" i="1"/>
  <c r="N200" i="1"/>
  <c r="N8" i="1"/>
  <c r="N205" i="1"/>
  <c r="N13" i="1"/>
  <c r="N28" i="1"/>
  <c r="N114" i="1"/>
  <c r="N86" i="1"/>
  <c r="N233" i="1"/>
  <c r="N105" i="1"/>
  <c r="N191" i="1"/>
  <c r="N192" i="1"/>
  <c r="N110" i="1"/>
  <c r="N69" i="1"/>
  <c r="N148" i="1"/>
  <c r="N231" i="1"/>
  <c r="N71" i="1"/>
  <c r="N31" i="1"/>
  <c r="N159" i="1"/>
  <c r="N219" i="1"/>
  <c r="N75" i="1"/>
  <c r="N240" i="1"/>
  <c r="N176" i="1"/>
  <c r="N112" i="1"/>
  <c r="N48" i="1"/>
  <c r="N214" i="1"/>
  <c r="N78" i="1"/>
  <c r="N245" i="1"/>
  <c r="N181" i="1"/>
  <c r="N117" i="1"/>
  <c r="N53" i="1"/>
  <c r="N260" i="1"/>
  <c r="N196" i="1"/>
  <c r="N132" i="1"/>
  <c r="N68" i="1"/>
  <c r="N4" i="1"/>
  <c r="N131" i="1"/>
  <c r="N218" i="1"/>
  <c r="N154" i="1"/>
  <c r="N90" i="1"/>
  <c r="N26" i="1"/>
  <c r="N182" i="1"/>
  <c r="N30" i="1"/>
  <c r="N147" i="1"/>
  <c r="N209" i="1"/>
  <c r="N145" i="1"/>
  <c r="N81" i="1"/>
  <c r="N17" i="1"/>
  <c r="N95" i="1"/>
  <c r="N239" i="1"/>
  <c r="N43" i="1"/>
  <c r="N160" i="1"/>
  <c r="N96" i="1"/>
  <c r="N174" i="1"/>
  <c r="N229" i="1"/>
  <c r="N37" i="1"/>
  <c r="N180" i="1"/>
  <c r="N222" i="1"/>
  <c r="N202" i="1"/>
  <c r="N138" i="1"/>
  <c r="N10" i="1"/>
  <c r="N267" i="1"/>
  <c r="N257" i="1"/>
  <c r="N65" i="1"/>
  <c r="N103" i="1"/>
  <c r="N47" i="1"/>
  <c r="N136" i="1"/>
  <c r="N126" i="1"/>
  <c r="N141" i="1"/>
  <c r="N220" i="1"/>
  <c r="N242" i="1"/>
  <c r="N230" i="1"/>
  <c r="N51" i="1"/>
  <c r="N41" i="1"/>
  <c r="N119" i="1"/>
  <c r="N256" i="1"/>
  <c r="N254" i="1"/>
  <c r="N197" i="1"/>
  <c r="N212" i="1"/>
  <c r="N223" i="1"/>
  <c r="N7" i="1"/>
  <c r="N151" i="1"/>
  <c r="N215" i="1"/>
  <c r="N195" i="1"/>
  <c r="N59" i="1"/>
  <c r="N232" i="1"/>
  <c r="N168" i="1"/>
  <c r="N104" i="1"/>
  <c r="N40" i="1"/>
  <c r="N198" i="1"/>
  <c r="N62" i="1"/>
  <c r="N237" i="1"/>
  <c r="N173" i="1"/>
  <c r="N109" i="1"/>
  <c r="N45" i="1"/>
  <c r="N252" i="1"/>
  <c r="N188" i="1"/>
  <c r="N124" i="1"/>
  <c r="N60" i="1"/>
  <c r="N262" i="1"/>
  <c r="N27" i="1"/>
  <c r="N210" i="1"/>
  <c r="N146" i="1"/>
  <c r="N82" i="1"/>
  <c r="N18" i="1"/>
  <c r="N166" i="1"/>
  <c r="N6" i="1"/>
  <c r="N123" i="1"/>
  <c r="N265" i="1"/>
  <c r="N201" i="1"/>
  <c r="N137" i="1"/>
  <c r="N73" i="1"/>
  <c r="N92" i="1"/>
  <c r="N39" i="1"/>
  <c r="N259" i="1"/>
  <c r="N64" i="1"/>
  <c r="N133" i="1"/>
  <c r="N84" i="1"/>
  <c r="N211" i="1"/>
  <c r="N35" i="1"/>
  <c r="N70" i="1"/>
  <c r="N234" i="1"/>
  <c r="N225" i="1"/>
  <c r="N187" i="1"/>
  <c r="N170" i="1"/>
  <c r="N161" i="1"/>
  <c r="N42" i="1"/>
  <c r="N206" i="1"/>
  <c r="N106" i="1"/>
  <c r="N97" i="1"/>
  <c r="N33" i="1"/>
  <c r="N20" i="1"/>
  <c r="N3" i="1"/>
  <c r="J7" i="1"/>
  <c r="P124" i="1"/>
  <c r="J6" i="1"/>
  <c r="P100" i="1"/>
  <c r="P92" i="1"/>
  <c r="P219" i="1"/>
  <c r="P205" i="1"/>
  <c r="P85" i="1"/>
  <c r="P173" i="1"/>
  <c r="P234" i="1"/>
  <c r="P214" i="1"/>
  <c r="P242" i="1"/>
  <c r="P158" i="1"/>
  <c r="P134" i="1"/>
  <c r="P115" i="1"/>
  <c r="P144" i="1"/>
  <c r="P93" i="1"/>
  <c r="P195" i="1"/>
  <c r="P269" i="1"/>
  <c r="P110" i="1"/>
  <c r="P178" i="1"/>
  <c r="P218" i="1"/>
  <c r="P210" i="1"/>
  <c r="P152" i="1"/>
  <c r="P107" i="1"/>
  <c r="P262" i="1"/>
  <c r="P202" i="1"/>
  <c r="P151" i="1"/>
  <c r="P161" i="1"/>
  <c r="P196" i="1"/>
  <c r="P231" i="1"/>
  <c r="P253" i="1"/>
  <c r="P184" i="1"/>
  <c r="P236" i="1"/>
  <c r="P153" i="1"/>
  <c r="P244" i="1"/>
  <c r="P99" i="1"/>
  <c r="P232" i="1"/>
  <c r="P89" i="1"/>
  <c r="P118" i="1"/>
  <c r="P227" i="1"/>
  <c r="P146" i="1"/>
  <c r="P183" i="1"/>
  <c r="P245" i="1"/>
  <c r="P128" i="1"/>
  <c r="P237" i="1"/>
  <c r="P199" i="1"/>
  <c r="P97" i="1"/>
  <c r="P160" i="1"/>
  <c r="P209" i="1"/>
  <c r="P81" i="1"/>
  <c r="P138" i="1"/>
  <c r="P119" i="1"/>
  <c r="P192" i="1"/>
  <c r="P213" i="1"/>
  <c r="P159" i="1"/>
  <c r="P215" i="1"/>
  <c r="P204" i="1"/>
  <c r="P189" i="1"/>
  <c r="P102" i="1"/>
  <c r="P130" i="1"/>
  <c r="P246" i="1"/>
  <c r="P116" i="1"/>
  <c r="P103" i="1"/>
  <c r="P258" i="1"/>
  <c r="P84" i="1"/>
  <c r="P272" i="1"/>
  <c r="P180" i="1"/>
  <c r="P263" i="1"/>
  <c r="P211" i="1"/>
  <c r="P185" i="1"/>
  <c r="P149" i="1"/>
  <c r="P229" i="1"/>
  <c r="P90" i="1"/>
  <c r="P203" i="1"/>
  <c r="P212" i="1"/>
  <c r="P208" i="1"/>
  <c r="P239" i="1"/>
  <c r="P141" i="1"/>
  <c r="P91" i="1"/>
  <c r="P230" i="1"/>
  <c r="P177" i="1"/>
  <c r="P94" i="1"/>
  <c r="P133" i="1"/>
  <c r="P87" i="1"/>
  <c r="P171" i="1"/>
  <c r="P157" i="1"/>
  <c r="P132" i="1"/>
  <c r="P223" i="1"/>
  <c r="P193" i="1"/>
  <c r="P266" i="1"/>
  <c r="P207" i="1"/>
  <c r="P166" i="1"/>
  <c r="P88" i="1"/>
  <c r="P259" i="1"/>
  <c r="P265" i="1"/>
  <c r="P226" i="1"/>
  <c r="P127" i="1"/>
  <c r="P126" i="1"/>
  <c r="P95" i="1"/>
  <c r="P241" i="1"/>
  <c r="P201" i="1"/>
  <c r="P86" i="1"/>
  <c r="P190" i="1"/>
  <c r="P125" i="1"/>
  <c r="P268" i="1"/>
  <c r="P147" i="1"/>
  <c r="P217" i="1"/>
  <c r="P267" i="1"/>
  <c r="P145" i="1"/>
  <c r="P243" i="1"/>
  <c r="P78" i="1"/>
  <c r="P77" i="1"/>
  <c r="P137" i="1"/>
  <c r="P264" i="1"/>
  <c r="P167" i="1"/>
  <c r="P251" i="1"/>
  <c r="P194" i="1"/>
  <c r="P260" i="1"/>
  <c r="P249" i="1"/>
  <c r="P169" i="1"/>
  <c r="P98" i="1"/>
  <c r="P176" i="1"/>
  <c r="P250" i="1"/>
  <c r="P191" i="1"/>
  <c r="P162" i="1"/>
  <c r="P129" i="1"/>
  <c r="P240" i="1"/>
  <c r="P121" i="1"/>
  <c r="P83" i="1"/>
  <c r="P221" i="1"/>
  <c r="P187" i="1"/>
  <c r="P109" i="1"/>
  <c r="P114" i="1"/>
  <c r="P270" i="1"/>
  <c r="P224" i="1"/>
  <c r="P131" i="1"/>
  <c r="P44" i="1"/>
  <c r="P18" i="1"/>
  <c r="P32" i="1"/>
  <c r="P25" i="1"/>
  <c r="P30" i="1"/>
  <c r="P10" i="1"/>
  <c r="P12" i="1"/>
  <c r="P55" i="1"/>
  <c r="P39" i="1"/>
  <c r="P6" i="1"/>
  <c r="P56" i="1"/>
  <c r="P63" i="1"/>
  <c r="P58" i="1"/>
  <c r="P31" i="1"/>
  <c r="P61" i="1"/>
  <c r="P24" i="1"/>
  <c r="P29" i="1"/>
  <c r="P16" i="1"/>
  <c r="P14" i="1"/>
  <c r="P66" i="1"/>
  <c r="P62" i="1"/>
  <c r="P22" i="1"/>
  <c r="P8" i="1"/>
  <c r="P57" i="1"/>
  <c r="P26" i="1"/>
  <c r="P37" i="1"/>
  <c r="P50" i="1"/>
  <c r="P28" i="1"/>
  <c r="P46" i="1"/>
  <c r="P3" i="1"/>
  <c r="P15" i="1"/>
  <c r="P40" i="1"/>
  <c r="P47" i="1"/>
  <c r="P21" i="1"/>
  <c r="P17" i="1"/>
  <c r="P34" i="1"/>
  <c r="P5" i="1"/>
  <c r="P51" i="1"/>
  <c r="P53" i="1"/>
  <c r="P52" i="1"/>
  <c r="P20" i="1"/>
  <c r="P64" i="1"/>
  <c r="P38" i="1"/>
  <c r="P42" i="1"/>
  <c r="P59" i="1"/>
  <c r="P45" i="1"/>
  <c r="P23" i="1"/>
  <c r="P13" i="1"/>
  <c r="P36" i="1"/>
  <c r="P41" i="1"/>
  <c r="P48" i="1"/>
  <c r="P67" i="1"/>
  <c r="P4" i="1"/>
  <c r="P49" i="1"/>
  <c r="P9" i="1"/>
  <c r="P7" i="1"/>
  <c r="P60" i="1"/>
  <c r="P65" i="1"/>
  <c r="P74" i="1"/>
  <c r="P54" i="1"/>
  <c r="P68" i="1"/>
  <c r="P72" i="1"/>
  <c r="P33" i="1"/>
  <c r="P148" i="1"/>
  <c r="P35" i="1"/>
  <c r="P80" i="1"/>
  <c r="P43" i="1"/>
  <c r="P27" i="1"/>
  <c r="P19" i="1"/>
  <c r="P11" i="1"/>
  <c r="P69" i="1"/>
  <c r="P140" i="1"/>
  <c r="P76" i="1"/>
  <c r="P175" i="1"/>
  <c r="P170" i="1"/>
  <c r="P143" i="1"/>
  <c r="P123" i="1"/>
  <c r="P255" i="1"/>
  <c r="P222" i="1"/>
  <c r="P233" i="1"/>
  <c r="P247" i="1"/>
  <c r="P206" i="1"/>
  <c r="P156" i="1"/>
  <c r="P155" i="1"/>
  <c r="P112" i="1"/>
  <c r="P104" i="1"/>
  <c r="P111" i="1"/>
  <c r="P257" i="1"/>
  <c r="P82" i="1"/>
  <c r="P235" i="1"/>
  <c r="P122" i="1"/>
  <c r="P70" i="1"/>
  <c r="P165" i="1"/>
  <c r="P188" i="1"/>
  <c r="P198" i="1"/>
  <c r="P172" i="1"/>
  <c r="P79" i="1"/>
  <c r="P154" i="1"/>
  <c r="P139" i="1"/>
  <c r="P248" i="1"/>
  <c r="P254" i="1"/>
  <c r="P164" i="1"/>
  <c r="P73" i="1"/>
  <c r="P96" i="1"/>
  <c r="P181" i="1"/>
  <c r="P113" i="1"/>
  <c r="P71" i="1"/>
  <c r="P197" i="1"/>
  <c r="P182" i="1"/>
  <c r="P136" i="1"/>
  <c r="P101" i="1"/>
  <c r="P179" i="1"/>
  <c r="P120" i="1"/>
  <c r="P105" i="1"/>
  <c r="P168" i="1"/>
  <c r="P238" i="1"/>
  <c r="P228" i="1"/>
  <c r="P174" i="1"/>
  <c r="P108" i="1"/>
  <c r="P261" i="1"/>
  <c r="P256" i="1"/>
  <c r="P220" i="1"/>
  <c r="P216" i="1"/>
  <c r="P150" i="1"/>
  <c r="P75" i="1"/>
  <c r="P200" i="1"/>
  <c r="P252" i="1"/>
  <c r="P225" i="1"/>
  <c r="P106" i="1"/>
  <c r="P186" i="1"/>
  <c r="P163" i="1"/>
  <c r="P142" i="1"/>
  <c r="P271" i="1"/>
  <c r="P117" i="1"/>
  <c r="P135" i="1"/>
  <c r="F214" i="8" l="1"/>
  <c r="F145" i="8"/>
  <c r="AE145" i="8" s="1"/>
  <c r="F256" i="8"/>
  <c r="F73" i="8"/>
  <c r="AE73" i="8" s="1"/>
  <c r="F140" i="8"/>
  <c r="AE140" i="8" s="1"/>
  <c r="F66" i="8"/>
  <c r="AE66" i="8" s="1"/>
  <c r="F154" i="8"/>
  <c r="AE154" i="8" s="1"/>
  <c r="F153" i="8"/>
  <c r="AE153" i="8" s="1"/>
  <c r="F48" i="8"/>
  <c r="AE48" i="8" s="1"/>
  <c r="F112" i="8"/>
  <c r="AE112" i="8" s="1"/>
  <c r="F272" i="8"/>
  <c r="F312" i="8"/>
  <c r="F156" i="8"/>
  <c r="AE156" i="8" s="1"/>
  <c r="F217" i="8"/>
  <c r="F299" i="8"/>
  <c r="F298" i="8"/>
  <c r="F268" i="8"/>
  <c r="F210" i="8"/>
  <c r="F238" i="8"/>
  <c r="F53" i="8"/>
  <c r="AE53" i="8" s="1"/>
  <c r="F258" i="8"/>
  <c r="F51" i="8"/>
  <c r="AE51" i="8" s="1"/>
  <c r="F91" i="8"/>
  <c r="AE91" i="8" s="1"/>
  <c r="F211" i="8"/>
  <c r="F58" i="8"/>
  <c r="AE58" i="8" s="1"/>
  <c r="F38" i="8"/>
  <c r="AE38" i="8" s="1"/>
  <c r="F118" i="8"/>
  <c r="AE118" i="8" s="1"/>
  <c r="F245" i="8"/>
  <c r="F77" i="8"/>
  <c r="AE77" i="8" s="1"/>
  <c r="F141" i="8"/>
  <c r="AE141" i="8" s="1"/>
  <c r="F205" i="8"/>
  <c r="F110" i="8"/>
  <c r="AE110" i="8" s="1"/>
  <c r="F222" i="8"/>
  <c r="F303" i="8"/>
  <c r="F187" i="8"/>
  <c r="AE187" i="8" s="1"/>
  <c r="F279" i="8"/>
  <c r="F289" i="8"/>
  <c r="F36" i="8"/>
  <c r="AE36" i="8" s="1"/>
  <c r="F215" i="8"/>
  <c r="F95" i="8"/>
  <c r="AE95" i="8" s="1"/>
  <c r="F55" i="8"/>
  <c r="AE55" i="8" s="1"/>
  <c r="F151" i="8"/>
  <c r="AE151" i="8" s="1"/>
  <c r="F98" i="8"/>
  <c r="AE98" i="8" s="1"/>
  <c r="F196" i="8"/>
  <c r="F184" i="8"/>
  <c r="AE184" i="8" s="1"/>
  <c r="F232" i="8"/>
  <c r="F219" i="8"/>
  <c r="F139" i="8"/>
  <c r="AE139" i="8" s="1"/>
  <c r="F126" i="8"/>
  <c r="AE126" i="8" s="1"/>
  <c r="F74" i="8"/>
  <c r="AE74" i="8" s="1"/>
  <c r="F276" i="8"/>
  <c r="F59" i="8"/>
  <c r="AE59" i="8" s="1"/>
  <c r="F52" i="8"/>
  <c r="AE52" i="8" s="1"/>
  <c r="F308" i="8"/>
  <c r="F278" i="8"/>
  <c r="F253" i="8"/>
  <c r="F293" i="8"/>
  <c r="F189" i="8"/>
  <c r="AE189" i="8" s="1"/>
  <c r="F134" i="8"/>
  <c r="AE134" i="8" s="1"/>
  <c r="F60" i="8"/>
  <c r="AE60" i="8" s="1"/>
  <c r="F167" i="8"/>
  <c r="AE167" i="8" s="1"/>
  <c r="F223" i="8"/>
  <c r="F221" i="8"/>
  <c r="F204" i="8"/>
  <c r="F105" i="8"/>
  <c r="AE105" i="8" s="1"/>
  <c r="F250" i="8"/>
  <c r="F216" i="8"/>
  <c r="F120" i="8"/>
  <c r="AE120" i="8" s="1"/>
  <c r="F233" i="8"/>
  <c r="F237" i="8"/>
  <c r="F235" i="8"/>
  <c r="F172" i="8"/>
  <c r="AE172" i="8" s="1"/>
  <c r="F283" i="8"/>
  <c r="F284" i="8"/>
  <c r="F27" i="8"/>
  <c r="AE27" i="8" s="1"/>
  <c r="F99" i="8"/>
  <c r="AE99" i="8" s="1"/>
  <c r="F84" i="8"/>
  <c r="AE84" i="8" s="1"/>
  <c r="F302" i="8"/>
  <c r="F101" i="8"/>
  <c r="AE101" i="8" s="1"/>
  <c r="F213" i="8"/>
  <c r="F301" i="8"/>
  <c r="F246" i="8"/>
  <c r="F170" i="8"/>
  <c r="AE170" i="8" s="1"/>
  <c r="F281" i="8"/>
  <c r="F191" i="8"/>
  <c r="AE191" i="8" s="1"/>
  <c r="F190" i="8"/>
  <c r="AE190" i="8" s="1"/>
  <c r="F177" i="8"/>
  <c r="AE177" i="8" s="1"/>
  <c r="F300" i="8"/>
  <c r="F311" i="8"/>
  <c r="F192" i="8"/>
  <c r="F68" i="8"/>
  <c r="AE68" i="8" s="1"/>
  <c r="F305" i="8"/>
  <c r="F127" i="8"/>
  <c r="AE127" i="8" s="1"/>
  <c r="F76" i="8"/>
  <c r="AE76" i="8" s="1"/>
  <c r="F162" i="8"/>
  <c r="AE162" i="8" s="1"/>
  <c r="F234" i="8"/>
  <c r="F288" i="8"/>
  <c r="F49" i="8"/>
  <c r="AE49" i="8" s="1"/>
  <c r="F309" i="8"/>
  <c r="F29" i="8"/>
  <c r="AE29" i="8" s="1"/>
  <c r="F155" i="8"/>
  <c r="AE155" i="8" s="1"/>
  <c r="F54" i="8"/>
  <c r="AE54" i="8" s="1"/>
  <c r="F262" i="8"/>
  <c r="F117" i="8"/>
  <c r="AE117" i="8" s="1"/>
  <c r="F67" i="8"/>
  <c r="AE67" i="8" s="1"/>
  <c r="F107" i="8"/>
  <c r="AE107" i="8" s="1"/>
  <c r="F147" i="8"/>
  <c r="AE147" i="8" s="1"/>
  <c r="F116" i="8"/>
  <c r="AE116" i="8" s="1"/>
  <c r="F244" i="8"/>
  <c r="F62" i="8"/>
  <c r="AE62" i="8" s="1"/>
  <c r="F166" i="8"/>
  <c r="AE166" i="8" s="1"/>
  <c r="F22" i="8"/>
  <c r="AE22" i="8" s="1"/>
  <c r="F270" i="8"/>
  <c r="F186" i="8"/>
  <c r="AE186" i="8" s="1"/>
  <c r="F100" i="8"/>
  <c r="AE100" i="8" s="1"/>
  <c r="F199" i="8"/>
  <c r="F255" i="8"/>
  <c r="F3" i="8"/>
  <c r="AE3" i="8" s="1"/>
  <c r="F11" i="8"/>
  <c r="AE11" i="8" s="1"/>
  <c r="F19" i="8"/>
  <c r="AE19" i="8" s="1"/>
  <c r="F6" i="8"/>
  <c r="AE6" i="8" s="1"/>
  <c r="F14" i="8"/>
  <c r="AE14" i="8" s="1"/>
  <c r="F9" i="8"/>
  <c r="AE9" i="8" s="1"/>
  <c r="F12" i="8"/>
  <c r="AE12" i="8" s="1"/>
  <c r="F2" i="8"/>
  <c r="AE2" i="8" s="1"/>
  <c r="F13" i="8"/>
  <c r="AE13" i="8" s="1"/>
  <c r="F5" i="8"/>
  <c r="AE5" i="8" s="1"/>
  <c r="F16" i="8"/>
  <c r="AE16" i="8" s="1"/>
  <c r="F4" i="8"/>
  <c r="AE4" i="8" s="1"/>
  <c r="F7" i="8"/>
  <c r="AE7" i="8" s="1"/>
  <c r="F8" i="8"/>
  <c r="AE8" i="8" s="1"/>
  <c r="F15" i="8"/>
  <c r="AE15" i="8" s="1"/>
  <c r="F18" i="8"/>
  <c r="AE18" i="8" s="1"/>
  <c r="F10" i="8"/>
  <c r="AE10" i="8" s="1"/>
  <c r="F17" i="8"/>
  <c r="AE17" i="8" s="1"/>
  <c r="F111" i="8"/>
  <c r="AE111" i="8" s="1"/>
  <c r="F146" i="8"/>
  <c r="AE146" i="8" s="1"/>
  <c r="F65" i="8"/>
  <c r="AE65" i="8" s="1"/>
  <c r="F130" i="8"/>
  <c r="AE130" i="8" s="1"/>
  <c r="F56" i="8"/>
  <c r="AE56" i="8" s="1"/>
  <c r="F236" i="8"/>
  <c r="F169" i="8"/>
  <c r="AE169" i="8" s="1"/>
  <c r="F168" i="8"/>
  <c r="AE168" i="8" s="1"/>
  <c r="F315" i="8"/>
  <c r="F30" i="8"/>
  <c r="AE30" i="8" s="1"/>
  <c r="F150" i="8"/>
  <c r="AE150" i="8" s="1"/>
  <c r="F96" i="8"/>
  <c r="AE96" i="8" s="1"/>
  <c r="F142" i="8"/>
  <c r="AE142" i="8" s="1"/>
  <c r="F37" i="8"/>
  <c r="AE37" i="8" s="1"/>
  <c r="F165" i="8"/>
  <c r="AE165" i="8" s="1"/>
  <c r="F20" i="8"/>
  <c r="AE20" i="8" s="1"/>
  <c r="F159" i="8"/>
  <c r="AE159" i="8" s="1"/>
  <c r="F87" i="8"/>
  <c r="AE87" i="8" s="1"/>
  <c r="F194" i="8"/>
  <c r="F25" i="8"/>
  <c r="AE25" i="8" s="1"/>
  <c r="F252" i="8"/>
  <c r="F80" i="8"/>
  <c r="AE80" i="8" s="1"/>
  <c r="F144" i="8"/>
  <c r="AE144" i="8" s="1"/>
  <c r="F208" i="8"/>
  <c r="F248" i="8"/>
  <c r="F71" i="8"/>
  <c r="AE71" i="8" s="1"/>
  <c r="F129" i="8"/>
  <c r="AE129" i="8" s="1"/>
  <c r="F193" i="8"/>
  <c r="F72" i="8"/>
  <c r="AE72" i="8" s="1"/>
  <c r="F292" i="8"/>
  <c r="F251" i="8"/>
  <c r="F57" i="8"/>
  <c r="AE57" i="8" s="1"/>
  <c r="F220" i="8"/>
  <c r="F174" i="8"/>
  <c r="AE174" i="8" s="1"/>
  <c r="F286" i="8"/>
  <c r="F138" i="8"/>
  <c r="AE138" i="8" s="1"/>
  <c r="F35" i="8"/>
  <c r="AE35" i="8" s="1"/>
  <c r="F75" i="8"/>
  <c r="AE75" i="8" s="1"/>
  <c r="F163" i="8"/>
  <c r="AE163" i="8" s="1"/>
  <c r="F259" i="8"/>
  <c r="F148" i="8"/>
  <c r="AE148" i="8" s="1"/>
  <c r="F70" i="8"/>
  <c r="AE70" i="8" s="1"/>
  <c r="F45" i="8"/>
  <c r="AE45" i="8" s="1"/>
  <c r="F109" i="8"/>
  <c r="AE109" i="8" s="1"/>
  <c r="F173" i="8"/>
  <c r="AE173" i="8" s="1"/>
  <c r="F269" i="8"/>
  <c r="F158" i="8"/>
  <c r="AE158" i="8" s="1"/>
  <c r="F175" i="8"/>
  <c r="AE175" i="8" s="1"/>
  <c r="F313" i="8"/>
  <c r="F239" i="8"/>
  <c r="F257" i="8"/>
  <c r="F183" i="8"/>
  <c r="AE183" i="8" s="1"/>
  <c r="F280" i="8"/>
  <c r="F181" i="8"/>
  <c r="AE181" i="8" s="1"/>
  <c r="F124" i="8"/>
  <c r="AE124" i="8" s="1"/>
  <c r="F32" i="8"/>
  <c r="AE32" i="8" s="1"/>
  <c r="F254" i="8"/>
  <c r="F61" i="8"/>
  <c r="AE61" i="8" s="1"/>
  <c r="F106" i="8"/>
  <c r="AE106" i="8" s="1"/>
  <c r="F85" i="8"/>
  <c r="AE85" i="8" s="1"/>
  <c r="F212" i="8"/>
  <c r="F31" i="8"/>
  <c r="AE31" i="8" s="1"/>
  <c r="F266" i="8"/>
  <c r="F242" i="8"/>
  <c r="F47" i="8"/>
  <c r="AE47" i="8" s="1"/>
  <c r="F307" i="8"/>
  <c r="F296" i="8"/>
  <c r="F92" i="8"/>
  <c r="AE92" i="8" s="1"/>
  <c r="F201" i="8"/>
  <c r="F241" i="8"/>
  <c r="F93" i="8"/>
  <c r="AE93" i="8" s="1"/>
  <c r="F226" i="8"/>
  <c r="F143" i="8"/>
  <c r="AE143" i="8" s="1"/>
  <c r="F78" i="8"/>
  <c r="AE78" i="8" s="1"/>
  <c r="F160" i="8"/>
  <c r="AE160" i="8" s="1"/>
  <c r="F43" i="8"/>
  <c r="AE43" i="8" s="1"/>
  <c r="F79" i="8"/>
  <c r="AE79" i="8" s="1"/>
  <c r="F260" i="8"/>
  <c r="F40" i="8"/>
  <c r="AE40" i="8" s="1"/>
  <c r="F81" i="8"/>
  <c r="AE81" i="8" s="1"/>
  <c r="F229" i="8"/>
  <c r="F317" i="8"/>
  <c r="F46" i="8"/>
  <c r="AE46" i="8" s="1"/>
  <c r="F287" i="8"/>
  <c r="F297" i="8"/>
  <c r="F209" i="8"/>
  <c r="F21" i="8"/>
  <c r="AE21" i="8" s="1"/>
  <c r="F132" i="8"/>
  <c r="AE132" i="8" s="1"/>
  <c r="F263" i="8"/>
  <c r="F267" i="8"/>
  <c r="F41" i="8"/>
  <c r="AE41" i="8" s="1"/>
  <c r="F23" i="8"/>
  <c r="AE23" i="8" s="1"/>
  <c r="F108" i="8"/>
  <c r="AE108" i="8" s="1"/>
  <c r="F306" i="8"/>
  <c r="F90" i="8"/>
  <c r="AE90" i="8" s="1"/>
  <c r="F89" i="8"/>
  <c r="AE89" i="8" s="1"/>
  <c r="F24" i="8"/>
  <c r="AE24" i="8" s="1"/>
  <c r="F88" i="8"/>
  <c r="AE88" i="8" s="1"/>
  <c r="F152" i="8"/>
  <c r="AE152" i="8" s="1"/>
  <c r="F113" i="8"/>
  <c r="AE113" i="8" s="1"/>
  <c r="F137" i="8"/>
  <c r="AE137" i="8" s="1"/>
  <c r="F136" i="8"/>
  <c r="AE136" i="8" s="1"/>
  <c r="F290" i="8"/>
  <c r="F225" i="8"/>
  <c r="F82" i="8"/>
  <c r="AE82" i="8" s="1"/>
  <c r="F102" i="8"/>
  <c r="AE102" i="8" s="1"/>
  <c r="F198" i="8"/>
  <c r="F310" i="8"/>
  <c r="F202" i="8"/>
  <c r="F115" i="8"/>
  <c r="AE115" i="8" s="1"/>
  <c r="F114" i="8"/>
  <c r="AE114" i="8" s="1"/>
  <c r="F195" i="8"/>
  <c r="F275" i="8"/>
  <c r="F121" i="8"/>
  <c r="AE121" i="8" s="1"/>
  <c r="F104" i="8"/>
  <c r="AE104" i="8" s="1"/>
  <c r="F230" i="8"/>
  <c r="F103" i="8"/>
  <c r="AE103" i="8" s="1"/>
  <c r="F69" i="8"/>
  <c r="AE69" i="8" s="1"/>
  <c r="F133" i="8"/>
  <c r="AE133" i="8" s="1"/>
  <c r="F197" i="8"/>
  <c r="F277" i="8"/>
  <c r="F86" i="8"/>
  <c r="AE86" i="8" s="1"/>
  <c r="F206" i="8"/>
  <c r="F294" i="8"/>
  <c r="F42" i="8"/>
  <c r="AE42" i="8" s="1"/>
  <c r="F271" i="8"/>
  <c r="F247" i="8"/>
  <c r="F265" i="8"/>
  <c r="F50" i="8"/>
  <c r="AE50" i="8" s="1"/>
  <c r="F164" i="8"/>
  <c r="AE164" i="8" s="1"/>
  <c r="F207" i="8"/>
  <c r="F185" i="8"/>
  <c r="AE185" i="8" s="1"/>
  <c r="F249" i="8"/>
</calcChain>
</file>

<file path=xl/sharedStrings.xml><?xml version="1.0" encoding="utf-8"?>
<sst xmlns="http://schemas.openxmlformats.org/spreadsheetml/2006/main" count="61" uniqueCount="40">
  <si>
    <t>MBAVPRCH</t>
  </si>
  <si>
    <t>Date</t>
  </si>
  <si>
    <t>MCAI</t>
  </si>
  <si>
    <t>MCAI-Universe</t>
  </si>
  <si>
    <t>HPA2Yr</t>
  </si>
  <si>
    <t>HPIndex</t>
  </si>
  <si>
    <t>HPIndex_1YR</t>
  </si>
  <si>
    <t>HPIndex_2YR</t>
  </si>
  <si>
    <t>HPA_1YR</t>
  </si>
  <si>
    <t>HPA_2YR</t>
  </si>
  <si>
    <t>MBA CAI</t>
  </si>
  <si>
    <t>Purchase</t>
  </si>
  <si>
    <t>Month</t>
  </si>
  <si>
    <t>Row Labels</t>
  </si>
  <si>
    <t>(blank)</t>
  </si>
  <si>
    <t>Grand Total</t>
  </si>
  <si>
    <t>Average of MBAVPRCH</t>
  </si>
  <si>
    <t>Cello</t>
  </si>
  <si>
    <t>Input</t>
  </si>
  <si>
    <t>Normalized</t>
  </si>
  <si>
    <t>Min</t>
  </si>
  <si>
    <t>Max</t>
  </si>
  <si>
    <t>Total Housing Inventory (K)</t>
  </si>
  <si>
    <t>Inventory Adj</t>
  </si>
  <si>
    <t>Cello CAI</t>
  </si>
  <si>
    <t>Diff</t>
  </si>
  <si>
    <t>Tracking Diff</t>
  </si>
  <si>
    <t>act</t>
  </si>
  <si>
    <t>mdl</t>
  </si>
  <si>
    <t>18Mo MA</t>
  </si>
  <si>
    <t>12Mo MA</t>
  </si>
  <si>
    <t>6Mo MA</t>
  </si>
  <si>
    <t>24Mo MA</t>
  </si>
  <si>
    <t>Inventory</t>
  </si>
  <si>
    <t>MBACAI</t>
  </si>
  <si>
    <t>Regression</t>
  </si>
  <si>
    <t>Intercept</t>
  </si>
  <si>
    <t>18M MA</t>
  </si>
  <si>
    <t>Combine</t>
  </si>
  <si>
    <t>Purchase 18M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</si>
</sst>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2" borderId="0"/>
  </cellStyleXfs>
  <cellXfs count="14">
    <xf numFmtId="0" fontId="0" fillId="0" borderId="0" xfId="0"/>
    <xf numFmtId="14" fontId="0" fillId="0" borderId="0" xfId="0" applyNumberFormat="1"/>
    <xf numFmtId="0" fontId="2" fillId="0" borderId="0" xfId="0" applyFont="1" applyFill="1" applyAlignment="1">
      <alignment horizontal="center"/>
    </xf>
    <xf numFmtId="164" fontId="2" fillId="0" borderId="0" xfId="0" applyNumberFormat="1" applyFont="1" applyFill="1" applyAlignment="1">
      <alignment horizontal="center"/>
    </xf>
    <xf numFmtId="14" fontId="0" fillId="0" borderId="0" xfId="0" applyNumberFormat="1" applyFill="1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1" applyNumberFormat="1" applyFont="1"/>
    <xf numFmtId="10" fontId="0" fillId="0" borderId="0" xfId="0" applyNumberFormat="1"/>
    <xf numFmtId="2" fontId="0" fillId="0" borderId="0" xfId="0" applyNumberFormat="1"/>
    <xf numFmtId="0" fontId="0" fillId="0" borderId="0" xfId="0" pivotButton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NumberFormat="1"/>
    <xf numFmtId="164" fontId="0" fillId="0" borderId="0" xfId="0" applyNumberFormat="1"/>
  </cellXfs>
  <cellStyles count="3">
    <cellStyle name="Normal" xfId="0" builtinId="0"/>
    <cellStyle name="Normal 2 7" xfId="2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Result!$N$2</c:f>
              <c:strCache>
                <c:ptCount val="1"/>
                <c:pt idx="0">
                  <c:v>HPA2Yr</c:v>
                </c:pt>
              </c:strCache>
            </c:strRef>
          </c:tx>
          <c:marker>
            <c:symbol val="none"/>
          </c:marker>
          <c:cat>
            <c:numRef>
              <c:f>Result!$M$3:$M$272</c:f>
              <c:numCache>
                <c:formatCode>m/d/yyyy</c:formatCode>
                <c:ptCount val="270"/>
                <c:pt idx="0">
                  <c:v>34335</c:v>
                </c:pt>
                <c:pt idx="1">
                  <c:v>34366</c:v>
                </c:pt>
                <c:pt idx="2">
                  <c:v>34394</c:v>
                </c:pt>
                <c:pt idx="3">
                  <c:v>34425</c:v>
                </c:pt>
                <c:pt idx="4">
                  <c:v>34455</c:v>
                </c:pt>
                <c:pt idx="5">
                  <c:v>34486</c:v>
                </c:pt>
                <c:pt idx="6">
                  <c:v>34516</c:v>
                </c:pt>
                <c:pt idx="7">
                  <c:v>34547</c:v>
                </c:pt>
                <c:pt idx="8">
                  <c:v>34578</c:v>
                </c:pt>
                <c:pt idx="9">
                  <c:v>34608</c:v>
                </c:pt>
                <c:pt idx="10">
                  <c:v>34639</c:v>
                </c:pt>
                <c:pt idx="11">
                  <c:v>34669</c:v>
                </c:pt>
                <c:pt idx="12">
                  <c:v>34700</c:v>
                </c:pt>
                <c:pt idx="13">
                  <c:v>34731</c:v>
                </c:pt>
                <c:pt idx="14">
                  <c:v>34759</c:v>
                </c:pt>
                <c:pt idx="15">
                  <c:v>34790</c:v>
                </c:pt>
                <c:pt idx="16">
                  <c:v>34820</c:v>
                </c:pt>
                <c:pt idx="17">
                  <c:v>34851</c:v>
                </c:pt>
                <c:pt idx="18">
                  <c:v>34881</c:v>
                </c:pt>
                <c:pt idx="19">
                  <c:v>34912</c:v>
                </c:pt>
                <c:pt idx="20">
                  <c:v>34943</c:v>
                </c:pt>
                <c:pt idx="21">
                  <c:v>34973</c:v>
                </c:pt>
                <c:pt idx="22">
                  <c:v>35004</c:v>
                </c:pt>
                <c:pt idx="23">
                  <c:v>35034</c:v>
                </c:pt>
                <c:pt idx="24">
                  <c:v>35065</c:v>
                </c:pt>
                <c:pt idx="25">
                  <c:v>35096</c:v>
                </c:pt>
                <c:pt idx="26">
                  <c:v>35125</c:v>
                </c:pt>
                <c:pt idx="27">
                  <c:v>35156</c:v>
                </c:pt>
                <c:pt idx="28">
                  <c:v>35186</c:v>
                </c:pt>
                <c:pt idx="29">
                  <c:v>35217</c:v>
                </c:pt>
                <c:pt idx="30">
                  <c:v>35247</c:v>
                </c:pt>
                <c:pt idx="31">
                  <c:v>35278</c:v>
                </c:pt>
                <c:pt idx="32">
                  <c:v>35309</c:v>
                </c:pt>
                <c:pt idx="33">
                  <c:v>35339</c:v>
                </c:pt>
                <c:pt idx="34">
                  <c:v>35370</c:v>
                </c:pt>
                <c:pt idx="35">
                  <c:v>35400</c:v>
                </c:pt>
                <c:pt idx="36">
                  <c:v>35431</c:v>
                </c:pt>
                <c:pt idx="37">
                  <c:v>35462</c:v>
                </c:pt>
                <c:pt idx="38">
                  <c:v>35490</c:v>
                </c:pt>
                <c:pt idx="39">
                  <c:v>35521</c:v>
                </c:pt>
                <c:pt idx="40">
                  <c:v>35551</c:v>
                </c:pt>
                <c:pt idx="41">
                  <c:v>35582</c:v>
                </c:pt>
                <c:pt idx="42">
                  <c:v>35612</c:v>
                </c:pt>
                <c:pt idx="43">
                  <c:v>35643</c:v>
                </c:pt>
                <c:pt idx="44">
                  <c:v>35674</c:v>
                </c:pt>
                <c:pt idx="45">
                  <c:v>35704</c:v>
                </c:pt>
                <c:pt idx="46">
                  <c:v>35735</c:v>
                </c:pt>
                <c:pt idx="47">
                  <c:v>35765</c:v>
                </c:pt>
                <c:pt idx="48">
                  <c:v>35796</c:v>
                </c:pt>
                <c:pt idx="49">
                  <c:v>35827</c:v>
                </c:pt>
                <c:pt idx="50">
                  <c:v>35855</c:v>
                </c:pt>
                <c:pt idx="51">
                  <c:v>35886</c:v>
                </c:pt>
                <c:pt idx="52">
                  <c:v>35916</c:v>
                </c:pt>
                <c:pt idx="53">
                  <c:v>35947</c:v>
                </c:pt>
                <c:pt idx="54">
                  <c:v>35977</c:v>
                </c:pt>
                <c:pt idx="55">
                  <c:v>36008</c:v>
                </c:pt>
                <c:pt idx="56">
                  <c:v>36039</c:v>
                </c:pt>
                <c:pt idx="57">
                  <c:v>36069</c:v>
                </c:pt>
                <c:pt idx="58">
                  <c:v>36100</c:v>
                </c:pt>
                <c:pt idx="59">
                  <c:v>36130</c:v>
                </c:pt>
                <c:pt idx="60">
                  <c:v>36161</c:v>
                </c:pt>
                <c:pt idx="61">
                  <c:v>36192</c:v>
                </c:pt>
                <c:pt idx="62">
                  <c:v>36220</c:v>
                </c:pt>
                <c:pt idx="63">
                  <c:v>36251</c:v>
                </c:pt>
                <c:pt idx="64">
                  <c:v>36281</c:v>
                </c:pt>
                <c:pt idx="65">
                  <c:v>36312</c:v>
                </c:pt>
                <c:pt idx="66">
                  <c:v>36342</c:v>
                </c:pt>
                <c:pt idx="67">
                  <c:v>36373</c:v>
                </c:pt>
                <c:pt idx="68">
                  <c:v>36404</c:v>
                </c:pt>
                <c:pt idx="69">
                  <c:v>36434</c:v>
                </c:pt>
                <c:pt idx="70">
                  <c:v>36465</c:v>
                </c:pt>
                <c:pt idx="71">
                  <c:v>36495</c:v>
                </c:pt>
                <c:pt idx="72">
                  <c:v>36526</c:v>
                </c:pt>
                <c:pt idx="73">
                  <c:v>36557</c:v>
                </c:pt>
                <c:pt idx="74">
                  <c:v>36586</c:v>
                </c:pt>
                <c:pt idx="75">
                  <c:v>36617</c:v>
                </c:pt>
                <c:pt idx="76">
                  <c:v>36647</c:v>
                </c:pt>
                <c:pt idx="77">
                  <c:v>36678</c:v>
                </c:pt>
                <c:pt idx="78">
                  <c:v>36708</c:v>
                </c:pt>
                <c:pt idx="79">
                  <c:v>36739</c:v>
                </c:pt>
                <c:pt idx="80">
                  <c:v>36770</c:v>
                </c:pt>
                <c:pt idx="81">
                  <c:v>36800</c:v>
                </c:pt>
                <c:pt idx="82">
                  <c:v>36831</c:v>
                </c:pt>
                <c:pt idx="83">
                  <c:v>36861</c:v>
                </c:pt>
                <c:pt idx="84">
                  <c:v>36892</c:v>
                </c:pt>
                <c:pt idx="85">
                  <c:v>36923</c:v>
                </c:pt>
                <c:pt idx="86">
                  <c:v>36951</c:v>
                </c:pt>
                <c:pt idx="87">
                  <c:v>36982</c:v>
                </c:pt>
                <c:pt idx="88">
                  <c:v>37012</c:v>
                </c:pt>
                <c:pt idx="89">
                  <c:v>37043</c:v>
                </c:pt>
                <c:pt idx="90">
                  <c:v>37073</c:v>
                </c:pt>
                <c:pt idx="91">
                  <c:v>37104</c:v>
                </c:pt>
                <c:pt idx="92">
                  <c:v>37135</c:v>
                </c:pt>
                <c:pt idx="93">
                  <c:v>37165</c:v>
                </c:pt>
                <c:pt idx="94">
                  <c:v>37196</c:v>
                </c:pt>
                <c:pt idx="95">
                  <c:v>37226</c:v>
                </c:pt>
                <c:pt idx="96">
                  <c:v>37257</c:v>
                </c:pt>
                <c:pt idx="97">
                  <c:v>37288</c:v>
                </c:pt>
                <c:pt idx="98">
                  <c:v>37316</c:v>
                </c:pt>
                <c:pt idx="99">
                  <c:v>37347</c:v>
                </c:pt>
                <c:pt idx="100">
                  <c:v>37377</c:v>
                </c:pt>
                <c:pt idx="101">
                  <c:v>37408</c:v>
                </c:pt>
                <c:pt idx="102">
                  <c:v>37438</c:v>
                </c:pt>
                <c:pt idx="103">
                  <c:v>37469</c:v>
                </c:pt>
                <c:pt idx="104">
                  <c:v>37500</c:v>
                </c:pt>
                <c:pt idx="105">
                  <c:v>37530</c:v>
                </c:pt>
                <c:pt idx="106">
                  <c:v>37561</c:v>
                </c:pt>
                <c:pt idx="107">
                  <c:v>37591</c:v>
                </c:pt>
                <c:pt idx="108">
                  <c:v>37622</c:v>
                </c:pt>
                <c:pt idx="109">
                  <c:v>37653</c:v>
                </c:pt>
                <c:pt idx="110">
                  <c:v>37681</c:v>
                </c:pt>
                <c:pt idx="111">
                  <c:v>37712</c:v>
                </c:pt>
                <c:pt idx="112">
                  <c:v>37742</c:v>
                </c:pt>
                <c:pt idx="113">
                  <c:v>37773</c:v>
                </c:pt>
                <c:pt idx="114">
                  <c:v>37803</c:v>
                </c:pt>
                <c:pt idx="115">
                  <c:v>37834</c:v>
                </c:pt>
                <c:pt idx="116">
                  <c:v>37865</c:v>
                </c:pt>
                <c:pt idx="117">
                  <c:v>37895</c:v>
                </c:pt>
                <c:pt idx="118">
                  <c:v>37926</c:v>
                </c:pt>
                <c:pt idx="119">
                  <c:v>37956</c:v>
                </c:pt>
                <c:pt idx="120">
                  <c:v>37987</c:v>
                </c:pt>
                <c:pt idx="121">
                  <c:v>38018</c:v>
                </c:pt>
                <c:pt idx="122">
                  <c:v>38047</c:v>
                </c:pt>
                <c:pt idx="123">
                  <c:v>38078</c:v>
                </c:pt>
                <c:pt idx="124">
                  <c:v>38108</c:v>
                </c:pt>
                <c:pt idx="125">
                  <c:v>38139</c:v>
                </c:pt>
                <c:pt idx="126">
                  <c:v>38169</c:v>
                </c:pt>
                <c:pt idx="127">
                  <c:v>38200</c:v>
                </c:pt>
                <c:pt idx="128">
                  <c:v>38231</c:v>
                </c:pt>
                <c:pt idx="129">
                  <c:v>38261</c:v>
                </c:pt>
                <c:pt idx="130">
                  <c:v>38292</c:v>
                </c:pt>
                <c:pt idx="131">
                  <c:v>38322</c:v>
                </c:pt>
                <c:pt idx="132">
                  <c:v>38353</c:v>
                </c:pt>
                <c:pt idx="133">
                  <c:v>38384</c:v>
                </c:pt>
                <c:pt idx="134">
                  <c:v>38412</c:v>
                </c:pt>
                <c:pt idx="135">
                  <c:v>38443</c:v>
                </c:pt>
                <c:pt idx="136">
                  <c:v>38473</c:v>
                </c:pt>
                <c:pt idx="137">
                  <c:v>38504</c:v>
                </c:pt>
                <c:pt idx="138">
                  <c:v>38534</c:v>
                </c:pt>
                <c:pt idx="139">
                  <c:v>38565</c:v>
                </c:pt>
                <c:pt idx="140">
                  <c:v>38596</c:v>
                </c:pt>
                <c:pt idx="141">
                  <c:v>38626</c:v>
                </c:pt>
                <c:pt idx="142">
                  <c:v>38657</c:v>
                </c:pt>
                <c:pt idx="143">
                  <c:v>38687</c:v>
                </c:pt>
                <c:pt idx="144">
                  <c:v>38718</c:v>
                </c:pt>
                <c:pt idx="145">
                  <c:v>38749</c:v>
                </c:pt>
                <c:pt idx="146">
                  <c:v>38777</c:v>
                </c:pt>
                <c:pt idx="147">
                  <c:v>38808</c:v>
                </c:pt>
                <c:pt idx="148">
                  <c:v>38838</c:v>
                </c:pt>
                <c:pt idx="149">
                  <c:v>38869</c:v>
                </c:pt>
                <c:pt idx="150">
                  <c:v>38899</c:v>
                </c:pt>
                <c:pt idx="151">
                  <c:v>38930</c:v>
                </c:pt>
                <c:pt idx="152">
                  <c:v>38961</c:v>
                </c:pt>
                <c:pt idx="153">
                  <c:v>38991</c:v>
                </c:pt>
                <c:pt idx="154">
                  <c:v>39022</c:v>
                </c:pt>
                <c:pt idx="155">
                  <c:v>39052</c:v>
                </c:pt>
                <c:pt idx="156">
                  <c:v>39083</c:v>
                </c:pt>
                <c:pt idx="157">
                  <c:v>39114</c:v>
                </c:pt>
                <c:pt idx="158">
                  <c:v>39142</c:v>
                </c:pt>
                <c:pt idx="159">
                  <c:v>39173</c:v>
                </c:pt>
                <c:pt idx="160">
                  <c:v>39203</c:v>
                </c:pt>
                <c:pt idx="161">
                  <c:v>39234</c:v>
                </c:pt>
                <c:pt idx="162">
                  <c:v>39264</c:v>
                </c:pt>
                <c:pt idx="163">
                  <c:v>39295</c:v>
                </c:pt>
                <c:pt idx="164">
                  <c:v>39326</c:v>
                </c:pt>
                <c:pt idx="165">
                  <c:v>39356</c:v>
                </c:pt>
                <c:pt idx="166">
                  <c:v>39387</c:v>
                </c:pt>
                <c:pt idx="167">
                  <c:v>39417</c:v>
                </c:pt>
                <c:pt idx="168">
                  <c:v>39448</c:v>
                </c:pt>
                <c:pt idx="169">
                  <c:v>39479</c:v>
                </c:pt>
                <c:pt idx="170">
                  <c:v>39508</c:v>
                </c:pt>
                <c:pt idx="171">
                  <c:v>39539</c:v>
                </c:pt>
                <c:pt idx="172">
                  <c:v>39569</c:v>
                </c:pt>
                <c:pt idx="173">
                  <c:v>39600</c:v>
                </c:pt>
                <c:pt idx="174">
                  <c:v>39630</c:v>
                </c:pt>
                <c:pt idx="175">
                  <c:v>39661</c:v>
                </c:pt>
                <c:pt idx="176">
                  <c:v>39692</c:v>
                </c:pt>
                <c:pt idx="177">
                  <c:v>39722</c:v>
                </c:pt>
                <c:pt idx="178">
                  <c:v>39753</c:v>
                </c:pt>
                <c:pt idx="179">
                  <c:v>39783</c:v>
                </c:pt>
                <c:pt idx="180">
                  <c:v>39814</c:v>
                </c:pt>
                <c:pt idx="181">
                  <c:v>39845</c:v>
                </c:pt>
                <c:pt idx="182">
                  <c:v>39873</c:v>
                </c:pt>
                <c:pt idx="183">
                  <c:v>39904</c:v>
                </c:pt>
                <c:pt idx="184">
                  <c:v>39934</c:v>
                </c:pt>
                <c:pt idx="185">
                  <c:v>39965</c:v>
                </c:pt>
                <c:pt idx="186">
                  <c:v>39995</c:v>
                </c:pt>
                <c:pt idx="187">
                  <c:v>40026</c:v>
                </c:pt>
                <c:pt idx="188">
                  <c:v>40057</c:v>
                </c:pt>
                <c:pt idx="189">
                  <c:v>40087</c:v>
                </c:pt>
                <c:pt idx="190">
                  <c:v>40118</c:v>
                </c:pt>
                <c:pt idx="191">
                  <c:v>40148</c:v>
                </c:pt>
                <c:pt idx="192">
                  <c:v>40179</c:v>
                </c:pt>
                <c:pt idx="193">
                  <c:v>40210</c:v>
                </c:pt>
                <c:pt idx="194">
                  <c:v>40238</c:v>
                </c:pt>
                <c:pt idx="195">
                  <c:v>40269</c:v>
                </c:pt>
                <c:pt idx="196">
                  <c:v>40299</c:v>
                </c:pt>
                <c:pt idx="197">
                  <c:v>40330</c:v>
                </c:pt>
                <c:pt idx="198">
                  <c:v>40360</c:v>
                </c:pt>
                <c:pt idx="199">
                  <c:v>40391</c:v>
                </c:pt>
                <c:pt idx="200">
                  <c:v>40422</c:v>
                </c:pt>
                <c:pt idx="201">
                  <c:v>40452</c:v>
                </c:pt>
                <c:pt idx="202">
                  <c:v>40483</c:v>
                </c:pt>
                <c:pt idx="203">
                  <c:v>40513</c:v>
                </c:pt>
                <c:pt idx="204">
                  <c:v>40544</c:v>
                </c:pt>
                <c:pt idx="205">
                  <c:v>40575</c:v>
                </c:pt>
                <c:pt idx="206">
                  <c:v>40603</c:v>
                </c:pt>
                <c:pt idx="207">
                  <c:v>40634</c:v>
                </c:pt>
                <c:pt idx="208">
                  <c:v>40664</c:v>
                </c:pt>
                <c:pt idx="209">
                  <c:v>40695</c:v>
                </c:pt>
                <c:pt idx="210">
                  <c:v>40725</c:v>
                </c:pt>
                <c:pt idx="211">
                  <c:v>40756</c:v>
                </c:pt>
                <c:pt idx="212">
                  <c:v>40787</c:v>
                </c:pt>
                <c:pt idx="213">
                  <c:v>40817</c:v>
                </c:pt>
                <c:pt idx="214">
                  <c:v>40848</c:v>
                </c:pt>
                <c:pt idx="215">
                  <c:v>40878</c:v>
                </c:pt>
                <c:pt idx="216">
                  <c:v>40909</c:v>
                </c:pt>
                <c:pt idx="217">
                  <c:v>40940</c:v>
                </c:pt>
                <c:pt idx="218">
                  <c:v>40969</c:v>
                </c:pt>
                <c:pt idx="219">
                  <c:v>41000</c:v>
                </c:pt>
                <c:pt idx="220">
                  <c:v>41030</c:v>
                </c:pt>
                <c:pt idx="221">
                  <c:v>41061</c:v>
                </c:pt>
                <c:pt idx="222">
                  <c:v>41091</c:v>
                </c:pt>
                <c:pt idx="223">
                  <c:v>41122</c:v>
                </c:pt>
                <c:pt idx="224">
                  <c:v>41153</c:v>
                </c:pt>
                <c:pt idx="225">
                  <c:v>41183</c:v>
                </c:pt>
                <c:pt idx="226">
                  <c:v>41214</c:v>
                </c:pt>
                <c:pt idx="227">
                  <c:v>41244</c:v>
                </c:pt>
                <c:pt idx="228">
                  <c:v>41275</c:v>
                </c:pt>
                <c:pt idx="229">
                  <c:v>41306</c:v>
                </c:pt>
                <c:pt idx="230">
                  <c:v>41334</c:v>
                </c:pt>
                <c:pt idx="231">
                  <c:v>41365</c:v>
                </c:pt>
                <c:pt idx="232">
                  <c:v>41395</c:v>
                </c:pt>
                <c:pt idx="233">
                  <c:v>41426</c:v>
                </c:pt>
                <c:pt idx="234">
                  <c:v>41456</c:v>
                </c:pt>
                <c:pt idx="235">
                  <c:v>41487</c:v>
                </c:pt>
                <c:pt idx="236">
                  <c:v>41518</c:v>
                </c:pt>
                <c:pt idx="237">
                  <c:v>41548</c:v>
                </c:pt>
                <c:pt idx="238">
                  <c:v>41579</c:v>
                </c:pt>
                <c:pt idx="239">
                  <c:v>41609</c:v>
                </c:pt>
                <c:pt idx="240">
                  <c:v>41640</c:v>
                </c:pt>
                <c:pt idx="241">
                  <c:v>41671</c:v>
                </c:pt>
                <c:pt idx="242">
                  <c:v>41699</c:v>
                </c:pt>
                <c:pt idx="243">
                  <c:v>41730</c:v>
                </c:pt>
                <c:pt idx="244">
                  <c:v>41760</c:v>
                </c:pt>
                <c:pt idx="245">
                  <c:v>41791</c:v>
                </c:pt>
                <c:pt idx="246">
                  <c:v>41821</c:v>
                </c:pt>
                <c:pt idx="247">
                  <c:v>41852</c:v>
                </c:pt>
                <c:pt idx="248">
                  <c:v>41883</c:v>
                </c:pt>
                <c:pt idx="249">
                  <c:v>41913</c:v>
                </c:pt>
                <c:pt idx="250">
                  <c:v>41944</c:v>
                </c:pt>
                <c:pt idx="251">
                  <c:v>41974</c:v>
                </c:pt>
                <c:pt idx="252">
                  <c:v>42005</c:v>
                </c:pt>
                <c:pt idx="253">
                  <c:v>42036</c:v>
                </c:pt>
                <c:pt idx="254">
                  <c:v>42064</c:v>
                </c:pt>
                <c:pt idx="255">
                  <c:v>42095</c:v>
                </c:pt>
                <c:pt idx="256">
                  <c:v>42125</c:v>
                </c:pt>
                <c:pt idx="257">
                  <c:v>42156</c:v>
                </c:pt>
                <c:pt idx="258">
                  <c:v>42186</c:v>
                </c:pt>
                <c:pt idx="259">
                  <c:v>42217</c:v>
                </c:pt>
                <c:pt idx="260">
                  <c:v>42248</c:v>
                </c:pt>
                <c:pt idx="261">
                  <c:v>42278</c:v>
                </c:pt>
                <c:pt idx="262">
                  <c:v>42309</c:v>
                </c:pt>
                <c:pt idx="263">
                  <c:v>42339</c:v>
                </c:pt>
                <c:pt idx="264">
                  <c:v>42370</c:v>
                </c:pt>
                <c:pt idx="265">
                  <c:v>42401</c:v>
                </c:pt>
                <c:pt idx="266">
                  <c:v>42430</c:v>
                </c:pt>
                <c:pt idx="267">
                  <c:v>42461</c:v>
                </c:pt>
                <c:pt idx="268">
                  <c:v>42491</c:v>
                </c:pt>
                <c:pt idx="269">
                  <c:v>42522</c:v>
                </c:pt>
              </c:numCache>
            </c:numRef>
          </c:cat>
          <c:val>
            <c:numRef>
              <c:f>Result!$N$3:$N$272</c:f>
              <c:numCache>
                <c:formatCode>0.00</c:formatCode>
                <c:ptCount val="270"/>
                <c:pt idx="0">
                  <c:v>48.786493241894412</c:v>
                </c:pt>
                <c:pt idx="1">
                  <c:v>48.657148412659659</c:v>
                </c:pt>
                <c:pt idx="2">
                  <c:v>48.528466426717479</c:v>
                </c:pt>
                <c:pt idx="3">
                  <c:v>49.144405247854294</c:v>
                </c:pt>
                <c:pt idx="4">
                  <c:v>49.760415814922759</c:v>
                </c:pt>
                <c:pt idx="5">
                  <c:v>50.376498140457436</c:v>
                </c:pt>
                <c:pt idx="6">
                  <c:v>49.665965399972187</c:v>
                </c:pt>
                <c:pt idx="7">
                  <c:v>48.960772231500727</c:v>
                </c:pt>
                <c:pt idx="8">
                  <c:v>48.260858670948252</c:v>
                </c:pt>
                <c:pt idx="9">
                  <c:v>47.667840773138245</c:v>
                </c:pt>
                <c:pt idx="10">
                  <c:v>47.076842335544583</c:v>
                </c:pt>
                <c:pt idx="11">
                  <c:v>46.487853060119669</c:v>
                </c:pt>
                <c:pt idx="12">
                  <c:v>46.979146395269986</c:v>
                </c:pt>
                <c:pt idx="13">
                  <c:v>47.470327158192397</c:v>
                </c:pt>
                <c:pt idx="14">
                  <c:v>47.961395387575884</c:v>
                </c:pt>
                <c:pt idx="15">
                  <c:v>48.623492076558819</c:v>
                </c:pt>
                <c:pt idx="16">
                  <c:v>49.281418394242294</c:v>
                </c:pt>
                <c:pt idx="17">
                  <c:v>49.935213619019251</c:v>
                </c:pt>
                <c:pt idx="18">
                  <c:v>50.650355956869006</c:v>
                </c:pt>
                <c:pt idx="19">
                  <c:v>51.361677673116077</c:v>
                </c:pt>
                <c:pt idx="20">
                  <c:v>52.069209303482225</c:v>
                </c:pt>
                <c:pt idx="21">
                  <c:v>52.037092717306535</c:v>
                </c:pt>
                <c:pt idx="22">
                  <c:v>52.005151117472373</c:v>
                </c:pt>
                <c:pt idx="23">
                  <c:v>51.97338307775977</c:v>
                </c:pt>
                <c:pt idx="24">
                  <c:v>52.456872755659802</c:v>
                </c:pt>
                <c:pt idx="25">
                  <c:v>52.93830194279834</c:v>
                </c:pt>
                <c:pt idx="26">
                  <c:v>53.417683782975011</c:v>
                </c:pt>
                <c:pt idx="27">
                  <c:v>52.97579324658458</c:v>
                </c:pt>
                <c:pt idx="28">
                  <c:v>52.535692926715782</c:v>
                </c:pt>
                <c:pt idx="29">
                  <c:v>52.097371966394668</c:v>
                </c:pt>
                <c:pt idx="30">
                  <c:v>52.140121095949191</c:v>
                </c:pt>
                <c:pt idx="31">
                  <c:v>52.182752705354517</c:v>
                </c:pt>
                <c:pt idx="32">
                  <c:v>52.22526727855422</c:v>
                </c:pt>
                <c:pt idx="33">
                  <c:v>53.08296941019546</c:v>
                </c:pt>
                <c:pt idx="34">
                  <c:v>53.941205593165378</c:v>
                </c:pt>
                <c:pt idx="35">
                  <c:v>54.799976326403979</c:v>
                </c:pt>
                <c:pt idx="36">
                  <c:v>55.096990342763263</c:v>
                </c:pt>
                <c:pt idx="37">
                  <c:v>55.392941735958487</c:v>
                </c:pt>
                <c:pt idx="38">
                  <c:v>55.687836198413201</c:v>
                </c:pt>
                <c:pt idx="39">
                  <c:v>54.897798990064096</c:v>
                </c:pt>
                <c:pt idx="40">
                  <c:v>54.116249149253839</c:v>
                </c:pt>
                <c:pt idx="41">
                  <c:v>53.34305063705964</c:v>
                </c:pt>
                <c:pt idx="42">
                  <c:v>53.192490696791126</c:v>
                </c:pt>
                <c:pt idx="43">
                  <c:v>53.043453831199706</c:v>
                </c:pt>
                <c:pt idx="44">
                  <c:v>52.89591704531076</c:v>
                </c:pt>
                <c:pt idx="45">
                  <c:v>53.3959623716175</c:v>
                </c:pt>
                <c:pt idx="46">
                  <c:v>53.893390165435875</c:v>
                </c:pt>
                <c:pt idx="47">
                  <c:v>54.388220925671945</c:v>
                </c:pt>
                <c:pt idx="48">
                  <c:v>54.749378018063901</c:v>
                </c:pt>
                <c:pt idx="49">
                  <c:v>55.107834659216103</c:v>
                </c:pt>
                <c:pt idx="50">
                  <c:v>55.463621024124066</c:v>
                </c:pt>
                <c:pt idx="51">
                  <c:v>56.199742841109014</c:v>
                </c:pt>
                <c:pt idx="52">
                  <c:v>56.935049391749374</c:v>
                </c:pt>
                <c:pt idx="53">
                  <c:v>57.669542029673963</c:v>
                </c:pt>
                <c:pt idx="54">
                  <c:v>58.617437574591257</c:v>
                </c:pt>
                <c:pt idx="55">
                  <c:v>59.562456498835772</c:v>
                </c:pt>
                <c:pt idx="56">
                  <c:v>60.504611877280979</c:v>
                </c:pt>
                <c:pt idx="57">
                  <c:v>60.9293807497343</c:v>
                </c:pt>
                <c:pt idx="58">
                  <c:v>61.351981431785951</c:v>
                </c:pt>
                <c:pt idx="59">
                  <c:v>61.772430482137864</c:v>
                </c:pt>
                <c:pt idx="60">
                  <c:v>61.997822438214889</c:v>
                </c:pt>
                <c:pt idx="61">
                  <c:v>62.221965961206926</c:v>
                </c:pt>
                <c:pt idx="62">
                  <c:v>62.444871394964586</c:v>
                </c:pt>
                <c:pt idx="63">
                  <c:v>62.959356346548958</c:v>
                </c:pt>
                <c:pt idx="64">
                  <c:v>63.470980592242086</c:v>
                </c:pt>
                <c:pt idx="65">
                  <c:v>63.979767925593713</c:v>
                </c:pt>
                <c:pt idx="66">
                  <c:v>64.013741908341999</c:v>
                </c:pt>
                <c:pt idx="67">
                  <c:v>64.047405915689566</c:v>
                </c:pt>
                <c:pt idx="68">
                  <c:v>64.080764170650525</c:v>
                </c:pt>
                <c:pt idx="69">
                  <c:v>63.815228267507308</c:v>
                </c:pt>
                <c:pt idx="70">
                  <c:v>63.551961305301376</c:v>
                </c:pt>
                <c:pt idx="71">
                  <c:v>63.290934326412362</c:v>
                </c:pt>
                <c:pt idx="72">
                  <c:v>63.719373102966173</c:v>
                </c:pt>
                <c:pt idx="73">
                  <c:v>64.143591628463355</c:v>
                </c:pt>
                <c:pt idx="74">
                  <c:v>64.563651953414123</c:v>
                </c:pt>
                <c:pt idx="75">
                  <c:v>65.316780507758793</c:v>
                </c:pt>
                <c:pt idx="76">
                  <c:v>66.065419257260956</c:v>
                </c:pt>
                <c:pt idx="77">
                  <c:v>66.809608231818046</c:v>
                </c:pt>
                <c:pt idx="78">
                  <c:v>67.248994847506154</c:v>
                </c:pt>
                <c:pt idx="79">
                  <c:v>67.684333163256142</c:v>
                </c:pt>
                <c:pt idx="80">
                  <c:v>68.115678871185253</c:v>
                </c:pt>
                <c:pt idx="81">
                  <c:v>68.485203154876686</c:v>
                </c:pt>
                <c:pt idx="82">
                  <c:v>68.85182721514299</c:v>
                </c:pt>
                <c:pt idx="83">
                  <c:v>69.215585062269497</c:v>
                </c:pt>
                <c:pt idx="84">
                  <c:v>70.691080976870083</c:v>
                </c:pt>
                <c:pt idx="85">
                  <c:v>72.156263206060174</c:v>
                </c:pt>
                <c:pt idx="86">
                  <c:v>73.61123951187804</c:v>
                </c:pt>
                <c:pt idx="87">
                  <c:v>73.966614803260867</c:v>
                </c:pt>
                <c:pt idx="88">
                  <c:v>74.31884181804395</c:v>
                </c:pt>
                <c:pt idx="89">
                  <c:v>74.667962207695894</c:v>
                </c:pt>
                <c:pt idx="90">
                  <c:v>74.810778468086554</c:v>
                </c:pt>
                <c:pt idx="91">
                  <c:v>74.952260801369022</c:v>
                </c:pt>
                <c:pt idx="92">
                  <c:v>75.092427809314074</c:v>
                </c:pt>
                <c:pt idx="93">
                  <c:v>75.309262446020199</c:v>
                </c:pt>
                <c:pt idx="94">
                  <c:v>75.524611692805905</c:v>
                </c:pt>
                <c:pt idx="95">
                  <c:v>75.738490760705844</c:v>
                </c:pt>
                <c:pt idx="96">
                  <c:v>75.238057534661024</c:v>
                </c:pt>
                <c:pt idx="97">
                  <c:v>74.743916575506191</c:v>
                </c:pt>
                <c:pt idx="98">
                  <c:v>74.255949949625617</c:v>
                </c:pt>
                <c:pt idx="99">
                  <c:v>74.325747278849889</c:v>
                </c:pt>
                <c:pt idx="100">
                  <c:v>74.394794477587126</c:v>
                </c:pt>
                <c:pt idx="101">
                  <c:v>74.463103573976866</c:v>
                </c:pt>
                <c:pt idx="102">
                  <c:v>74.642004077737084</c:v>
                </c:pt>
                <c:pt idx="103">
                  <c:v>74.818761787493088</c:v>
                </c:pt>
                <c:pt idx="104">
                  <c:v>74.993414972266379</c:v>
                </c:pt>
                <c:pt idx="105">
                  <c:v>74.86525083641861</c:v>
                </c:pt>
                <c:pt idx="106">
                  <c:v>74.738390034402229</c:v>
                </c:pt>
                <c:pt idx="107">
                  <c:v>74.61281278589469</c:v>
                </c:pt>
                <c:pt idx="108">
                  <c:v>73.291664599460375</c:v>
                </c:pt>
                <c:pt idx="109">
                  <c:v>71.991882205396863</c:v>
                </c:pt>
                <c:pt idx="110">
                  <c:v>70.712951465205236</c:v>
                </c:pt>
                <c:pt idx="111">
                  <c:v>70.229155298349198</c:v>
                </c:pt>
                <c:pt idx="112">
                  <c:v>69.750704802468206</c:v>
                </c:pt>
                <c:pt idx="113">
                  <c:v>69.277511864452293</c:v>
                </c:pt>
                <c:pt idx="114">
                  <c:v>69.258766078788568</c:v>
                </c:pt>
                <c:pt idx="115">
                  <c:v>69.240211838599961</c:v>
                </c:pt>
                <c:pt idx="116">
                  <c:v>69.221846222980645</c:v>
                </c:pt>
                <c:pt idx="117">
                  <c:v>70.879350303263095</c:v>
                </c:pt>
                <c:pt idx="118">
                  <c:v>72.523286290585659</c:v>
                </c:pt>
                <c:pt idx="119">
                  <c:v>74.153820105568897</c:v>
                </c:pt>
                <c:pt idx="120">
                  <c:v>74.282395002430206</c:v>
                </c:pt>
                <c:pt idx="121">
                  <c:v>74.409747087238941</c:v>
                </c:pt>
                <c:pt idx="122">
                  <c:v>74.535893721775508</c:v>
                </c:pt>
                <c:pt idx="123">
                  <c:v>75.310734232776042</c:v>
                </c:pt>
                <c:pt idx="124">
                  <c:v>76.076915014566111</c:v>
                </c:pt>
                <c:pt idx="125">
                  <c:v>76.834580433988634</c:v>
                </c:pt>
                <c:pt idx="126">
                  <c:v>78.799768019198794</c:v>
                </c:pt>
                <c:pt idx="127">
                  <c:v>80.739264015552749</c:v>
                </c:pt>
                <c:pt idx="128">
                  <c:v>82.653568963948146</c:v>
                </c:pt>
                <c:pt idx="129">
                  <c:v>83.422355157569712</c:v>
                </c:pt>
                <c:pt idx="130">
                  <c:v>84.18392868236046</c:v>
                </c:pt>
                <c:pt idx="131">
                  <c:v>84.938390567115036</c:v>
                </c:pt>
                <c:pt idx="132">
                  <c:v>86.126541801534898</c:v>
                </c:pt>
                <c:pt idx="133">
                  <c:v>87.305116703947476</c:v>
                </c:pt>
                <c:pt idx="134">
                  <c:v>88.474230585494652</c:v>
                </c:pt>
                <c:pt idx="135">
                  <c:v>90.672694382998003</c:v>
                </c:pt>
                <c:pt idx="136">
                  <c:v>92.853495009709619</c:v>
                </c:pt>
                <c:pt idx="137">
                  <c:v>95.016844481388844</c:v>
                </c:pt>
                <c:pt idx="138">
                  <c:v>96.694759592772002</c:v>
                </c:pt>
                <c:pt idx="139">
                  <c:v>98.355726265265915</c:v>
                </c:pt>
                <c:pt idx="140">
                  <c:v>100</c:v>
                </c:pt>
                <c:pt idx="141">
                  <c:v>99.357541015376881</c:v>
                </c:pt>
                <c:pt idx="142">
                  <c:v>98.726948377006963</c:v>
                </c:pt>
                <c:pt idx="143">
                  <c:v>98.107896332557203</c:v>
                </c:pt>
                <c:pt idx="144">
                  <c:v>98.148906851712482</c:v>
                </c:pt>
                <c:pt idx="145">
                  <c:v>98.189494880920535</c:v>
                </c:pt>
                <c:pt idx="146">
                  <c:v>98.22966691545912</c:v>
                </c:pt>
                <c:pt idx="147">
                  <c:v>96.628974616838164</c:v>
                </c:pt>
                <c:pt idx="148">
                  <c:v>95.05374819727534</c:v>
                </c:pt>
                <c:pt idx="149">
                  <c:v>93.503384736679976</c:v>
                </c:pt>
                <c:pt idx="150">
                  <c:v>90.168415868899245</c:v>
                </c:pt>
                <c:pt idx="151">
                  <c:v>86.916395844135678</c:v>
                </c:pt>
                <c:pt idx="152">
                  <c:v>83.744267964860001</c:v>
                </c:pt>
                <c:pt idx="153">
                  <c:v>82.529888540319007</c:v>
                </c:pt>
                <c:pt idx="154">
                  <c:v>81.332480256807116</c:v>
                </c:pt>
                <c:pt idx="155">
                  <c:v>80.151689821485874</c:v>
                </c:pt>
                <c:pt idx="156">
                  <c:v>78.071009434604363</c:v>
                </c:pt>
                <c:pt idx="157">
                  <c:v>76.021760347017519</c:v>
                </c:pt>
                <c:pt idx="158">
                  <c:v>74.003235683763236</c:v>
                </c:pt>
                <c:pt idx="159">
                  <c:v>70.56503285648202</c:v>
                </c:pt>
                <c:pt idx="160">
                  <c:v>67.198548762231653</c:v>
                </c:pt>
                <c:pt idx="161">
                  <c:v>63.901562552740067</c:v>
                </c:pt>
                <c:pt idx="162">
                  <c:v>59.689533280050981</c:v>
                </c:pt>
                <c:pt idx="163">
                  <c:v>55.560492527643049</c:v>
                </c:pt>
                <c:pt idx="164">
                  <c:v>51.512011569853108</c:v>
                </c:pt>
                <c:pt idx="165">
                  <c:v>49.004230230089249</c:v>
                </c:pt>
                <c:pt idx="166">
                  <c:v>46.533674554123337</c:v>
                </c:pt>
                <c:pt idx="167">
                  <c:v>44.099521778392706</c:v>
                </c:pt>
                <c:pt idx="168">
                  <c:v>41.888256208913468</c:v>
                </c:pt>
                <c:pt idx="169">
                  <c:v>39.700290112013839</c:v>
                </c:pt>
                <c:pt idx="170">
                  <c:v>37.535257167784003</c:v>
                </c:pt>
                <c:pt idx="171">
                  <c:v>34.237405864356795</c:v>
                </c:pt>
                <c:pt idx="172">
                  <c:v>30.961787802134499</c:v>
                </c:pt>
                <c:pt idx="173">
                  <c:v>27.708178900515634</c:v>
                </c:pt>
                <c:pt idx="174">
                  <c:v>24.105552201029575</c:v>
                </c:pt>
                <c:pt idx="175">
                  <c:v>20.522995845271851</c:v>
                </c:pt>
                <c:pt idx="176">
                  <c:v>16.960342580379109</c:v>
                </c:pt>
                <c:pt idx="177">
                  <c:v>15.292176946447142</c:v>
                </c:pt>
                <c:pt idx="178">
                  <c:v>13.635199903479684</c:v>
                </c:pt>
                <c:pt idx="179">
                  <c:v>11.989299262836857</c:v>
                </c:pt>
                <c:pt idx="180">
                  <c:v>12.306934454765791</c:v>
                </c:pt>
                <c:pt idx="181">
                  <c:v>12.62378518241076</c:v>
                </c:pt>
                <c:pt idx="182">
                  <c:v>12.939854348277017</c:v>
                </c:pt>
                <c:pt idx="183">
                  <c:v>10.706589835465584</c:v>
                </c:pt>
                <c:pt idx="184">
                  <c:v>8.4723805753576311</c:v>
                </c:pt>
                <c:pt idx="185">
                  <c:v>6.2372259683370608</c:v>
                </c:pt>
                <c:pt idx="186">
                  <c:v>4.9416239703191787</c:v>
                </c:pt>
                <c:pt idx="187">
                  <c:v>3.6364032728508846</c:v>
                </c:pt>
                <c:pt idx="188">
                  <c:v>2.3214563613211112</c:v>
                </c:pt>
                <c:pt idx="189">
                  <c:v>1.9601473742332329</c:v>
                </c:pt>
                <c:pt idx="190">
                  <c:v>1.5981414027098815</c:v>
                </c:pt>
                <c:pt idx="191">
                  <c:v>1.2354364280233259</c:v>
                </c:pt>
                <c:pt idx="192">
                  <c:v>0.82555784892995743</c:v>
                </c:pt>
                <c:pt idx="193">
                  <c:v>0.41375025622545031</c:v>
                </c:pt>
                <c:pt idx="194">
                  <c:v>0</c:v>
                </c:pt>
                <c:pt idx="195">
                  <c:v>1.31770606097776</c:v>
                </c:pt>
                <c:pt idx="196">
                  <c:v>2.6576075040777676</c:v>
                </c:pt>
                <c:pt idx="197">
                  <c:v>4.0202698793885734</c:v>
                </c:pt>
                <c:pt idx="198">
                  <c:v>7.4585203337050956</c:v>
                </c:pt>
                <c:pt idx="199">
                  <c:v>10.969838148521976</c:v>
                </c:pt>
                <c:pt idx="200">
                  <c:v>14.556577505356</c:v>
                </c:pt>
                <c:pt idx="201">
                  <c:v>14.7136715332511</c:v>
                </c:pt>
                <c:pt idx="202">
                  <c:v>14.871711357285466</c:v>
                </c:pt>
                <c:pt idx="203">
                  <c:v>15.030705544601593</c:v>
                </c:pt>
                <c:pt idx="204">
                  <c:v>11.999023236456305</c:v>
                </c:pt>
                <c:pt idx="205">
                  <c:v>8.9822514595217164</c:v>
                </c:pt>
                <c:pt idx="206">
                  <c:v>5.9802804833559948</c:v>
                </c:pt>
                <c:pt idx="207">
                  <c:v>6.789485917406946</c:v>
                </c:pt>
                <c:pt idx="208">
                  <c:v>7.6132534952276067</c:v>
                </c:pt>
                <c:pt idx="209">
                  <c:v>8.4519798677502678</c:v>
                </c:pt>
                <c:pt idx="210">
                  <c:v>11.376862348826522</c:v>
                </c:pt>
                <c:pt idx="211">
                  <c:v>14.35417505323403</c:v>
                </c:pt>
                <c:pt idx="212">
                  <c:v>17.385340494133224</c:v>
                </c:pt>
                <c:pt idx="213">
                  <c:v>18.425167887904234</c:v>
                </c:pt>
                <c:pt idx="214">
                  <c:v>19.470046358941399</c:v>
                </c:pt>
                <c:pt idx="215">
                  <c:v>20.520012801108962</c:v>
                </c:pt>
                <c:pt idx="216">
                  <c:v>20.66935093616539</c:v>
                </c:pt>
                <c:pt idx="217">
                  <c:v>20.819892499631194</c:v>
                </c:pt>
                <c:pt idx="218">
                  <c:v>20.9716520969396</c:v>
                </c:pt>
                <c:pt idx="219">
                  <c:v>21.436606596431044</c:v>
                </c:pt>
                <c:pt idx="220">
                  <c:v>21.904336972352684</c:v>
                </c:pt>
                <c:pt idx="221">
                  <c:v>22.374868157985567</c:v>
                </c:pt>
                <c:pt idx="222">
                  <c:v>22.665780189755129</c:v>
                </c:pt>
                <c:pt idx="223">
                  <c:v>22.954835559218797</c:v>
                </c:pt>
                <c:pt idx="224">
                  <c:v>23.242051984256189</c:v>
                </c:pt>
                <c:pt idx="225">
                  <c:v>24.631131522124512</c:v>
                </c:pt>
                <c:pt idx="226">
                  <c:v>26.026885126791722</c:v>
                </c:pt>
                <c:pt idx="227">
                  <c:v>27.429361014105709</c:v>
                </c:pt>
                <c:pt idx="228">
                  <c:v>30.443442577281761</c:v>
                </c:pt>
                <c:pt idx="229">
                  <c:v>33.513883467223678</c:v>
                </c:pt>
                <c:pt idx="230">
                  <c:v>36.642279369498304</c:v>
                </c:pt>
                <c:pt idx="231">
                  <c:v>39.771232458463082</c:v>
                </c:pt>
                <c:pt idx="232">
                  <c:v>42.935972687715015</c:v>
                </c:pt>
                <c:pt idx="233">
                  <c:v>46.137117557212306</c:v>
                </c:pt>
                <c:pt idx="234">
                  <c:v>46.959842572646323</c:v>
                </c:pt>
                <c:pt idx="235">
                  <c:v>47.778320169310447</c:v>
                </c:pt>
                <c:pt idx="236">
                  <c:v>48.592583154250477</c:v>
                </c:pt>
                <c:pt idx="237">
                  <c:v>49.066827354283788</c:v>
                </c:pt>
                <c:pt idx="238">
                  <c:v>49.539631069262441</c:v>
                </c:pt>
                <c:pt idx="239">
                  <c:v>50.011000852296938</c:v>
                </c:pt>
                <c:pt idx="240">
                  <c:v>51.933382618022563</c:v>
                </c:pt>
                <c:pt idx="241">
                  <c:v>53.869076646990735</c:v>
                </c:pt>
                <c:pt idx="242">
                  <c:v>55.818221698387575</c:v>
                </c:pt>
                <c:pt idx="243">
                  <c:v>58.252856546316032</c:v>
                </c:pt>
                <c:pt idx="244">
                  <c:v>60.693495815596584</c:v>
                </c:pt>
                <c:pt idx="245">
                  <c:v>63.140161746275488</c:v>
                </c:pt>
                <c:pt idx="246">
                  <c:v>63.395757766548996</c:v>
                </c:pt>
                <c:pt idx="247">
                  <c:v>63.649174600756218</c:v>
                </c:pt>
                <c:pt idx="248">
                  <c:v>63.900439999876802</c:v>
                </c:pt>
                <c:pt idx="249">
                  <c:v>63.9542484075345</c:v>
                </c:pt>
                <c:pt idx="250">
                  <c:v>64.007761570152368</c:v>
                </c:pt>
                <c:pt idx="251">
                  <c:v>64.060981911090138</c:v>
                </c:pt>
                <c:pt idx="252">
                  <c:v>64.517046866625648</c:v>
                </c:pt>
                <c:pt idx="253">
                  <c:v>64.971521385454821</c:v>
                </c:pt>
                <c:pt idx="254">
                  <c:v>65.424413772593638</c:v>
                </c:pt>
                <c:pt idx="255">
                  <c:v>65.815951826609492</c:v>
                </c:pt>
                <c:pt idx="256">
                  <c:v>66.203337885396124</c:v>
                </c:pt>
                <c:pt idx="257">
                  <c:v>66.586637644264741</c:v>
                </c:pt>
                <c:pt idx="258">
                  <c:v>66.680350587502019</c:v>
                </c:pt>
                <c:pt idx="259">
                  <c:v>66.773058659098496</c:v>
                </c:pt>
                <c:pt idx="260">
                  <c:v>66.864777935520365</c:v>
                </c:pt>
                <c:pt idx="261">
                  <c:v>66.738042041509331</c:v>
                </c:pt>
                <c:pt idx="262">
                  <c:v>66.612096172057932</c:v>
                </c:pt>
                <c:pt idx="263">
                  <c:v>66.48693296303594</c:v>
                </c:pt>
                <c:pt idx="264">
                  <c:v>66.336497357177819</c:v>
                </c:pt>
                <c:pt idx="265">
                  <c:v>66.186969767650368</c:v>
                </c:pt>
                <c:pt idx="266">
                  <c:v>66.038341998132339</c:v>
                </c:pt>
                <c:pt idx="267">
                  <c:v>64.688352520027721</c:v>
                </c:pt>
                <c:pt idx="268">
                  <c:v>63.356555782079951</c:v>
                </c:pt>
                <c:pt idx="269">
                  <c:v>62.042586491913184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Result!$O$2</c:f>
              <c:strCache>
                <c:ptCount val="1"/>
                <c:pt idx="0">
                  <c:v>MBA CAI</c:v>
                </c:pt>
              </c:strCache>
            </c:strRef>
          </c:tx>
          <c:marker>
            <c:symbol val="none"/>
          </c:marker>
          <c:cat>
            <c:numRef>
              <c:f>Result!$M$3:$M$272</c:f>
              <c:numCache>
                <c:formatCode>m/d/yyyy</c:formatCode>
                <c:ptCount val="270"/>
                <c:pt idx="0">
                  <c:v>34335</c:v>
                </c:pt>
                <c:pt idx="1">
                  <c:v>34366</c:v>
                </c:pt>
                <c:pt idx="2">
                  <c:v>34394</c:v>
                </c:pt>
                <c:pt idx="3">
                  <c:v>34425</c:v>
                </c:pt>
                <c:pt idx="4">
                  <c:v>34455</c:v>
                </c:pt>
                <c:pt idx="5">
                  <c:v>34486</c:v>
                </c:pt>
                <c:pt idx="6">
                  <c:v>34516</c:v>
                </c:pt>
                <c:pt idx="7">
                  <c:v>34547</c:v>
                </c:pt>
                <c:pt idx="8">
                  <c:v>34578</c:v>
                </c:pt>
                <c:pt idx="9">
                  <c:v>34608</c:v>
                </c:pt>
                <c:pt idx="10">
                  <c:v>34639</c:v>
                </c:pt>
                <c:pt idx="11">
                  <c:v>34669</c:v>
                </c:pt>
                <c:pt idx="12">
                  <c:v>34700</c:v>
                </c:pt>
                <c:pt idx="13">
                  <c:v>34731</c:v>
                </c:pt>
                <c:pt idx="14">
                  <c:v>34759</c:v>
                </c:pt>
                <c:pt idx="15">
                  <c:v>34790</c:v>
                </c:pt>
                <c:pt idx="16">
                  <c:v>34820</c:v>
                </c:pt>
                <c:pt idx="17">
                  <c:v>34851</c:v>
                </c:pt>
                <c:pt idx="18">
                  <c:v>34881</c:v>
                </c:pt>
                <c:pt idx="19">
                  <c:v>34912</c:v>
                </c:pt>
                <c:pt idx="20">
                  <c:v>34943</c:v>
                </c:pt>
                <c:pt idx="21">
                  <c:v>34973</c:v>
                </c:pt>
                <c:pt idx="22">
                  <c:v>35004</c:v>
                </c:pt>
                <c:pt idx="23">
                  <c:v>35034</c:v>
                </c:pt>
                <c:pt idx="24">
                  <c:v>35065</c:v>
                </c:pt>
                <c:pt idx="25">
                  <c:v>35096</c:v>
                </c:pt>
                <c:pt idx="26">
                  <c:v>35125</c:v>
                </c:pt>
                <c:pt idx="27">
                  <c:v>35156</c:v>
                </c:pt>
                <c:pt idx="28">
                  <c:v>35186</c:v>
                </c:pt>
                <c:pt idx="29">
                  <c:v>35217</c:v>
                </c:pt>
                <c:pt idx="30">
                  <c:v>35247</c:v>
                </c:pt>
                <c:pt idx="31">
                  <c:v>35278</c:v>
                </c:pt>
                <c:pt idx="32">
                  <c:v>35309</c:v>
                </c:pt>
                <c:pt idx="33">
                  <c:v>35339</c:v>
                </c:pt>
                <c:pt idx="34">
                  <c:v>35370</c:v>
                </c:pt>
                <c:pt idx="35">
                  <c:v>35400</c:v>
                </c:pt>
                <c:pt idx="36">
                  <c:v>35431</c:v>
                </c:pt>
                <c:pt idx="37">
                  <c:v>35462</c:v>
                </c:pt>
                <c:pt idx="38">
                  <c:v>35490</c:v>
                </c:pt>
                <c:pt idx="39">
                  <c:v>35521</c:v>
                </c:pt>
                <c:pt idx="40">
                  <c:v>35551</c:v>
                </c:pt>
                <c:pt idx="41">
                  <c:v>35582</c:v>
                </c:pt>
                <c:pt idx="42">
                  <c:v>35612</c:v>
                </c:pt>
                <c:pt idx="43">
                  <c:v>35643</c:v>
                </c:pt>
                <c:pt idx="44">
                  <c:v>35674</c:v>
                </c:pt>
                <c:pt idx="45">
                  <c:v>35704</c:v>
                </c:pt>
                <c:pt idx="46">
                  <c:v>35735</c:v>
                </c:pt>
                <c:pt idx="47">
                  <c:v>35765</c:v>
                </c:pt>
                <c:pt idx="48">
                  <c:v>35796</c:v>
                </c:pt>
                <c:pt idx="49">
                  <c:v>35827</c:v>
                </c:pt>
                <c:pt idx="50">
                  <c:v>35855</c:v>
                </c:pt>
                <c:pt idx="51">
                  <c:v>35886</c:v>
                </c:pt>
                <c:pt idx="52">
                  <c:v>35916</c:v>
                </c:pt>
                <c:pt idx="53">
                  <c:v>35947</c:v>
                </c:pt>
                <c:pt idx="54">
                  <c:v>35977</c:v>
                </c:pt>
                <c:pt idx="55">
                  <c:v>36008</c:v>
                </c:pt>
                <c:pt idx="56">
                  <c:v>36039</c:v>
                </c:pt>
                <c:pt idx="57">
                  <c:v>36069</c:v>
                </c:pt>
                <c:pt idx="58">
                  <c:v>36100</c:v>
                </c:pt>
                <c:pt idx="59">
                  <c:v>36130</c:v>
                </c:pt>
                <c:pt idx="60">
                  <c:v>36161</c:v>
                </c:pt>
                <c:pt idx="61">
                  <c:v>36192</c:v>
                </c:pt>
                <c:pt idx="62">
                  <c:v>36220</c:v>
                </c:pt>
                <c:pt idx="63">
                  <c:v>36251</c:v>
                </c:pt>
                <c:pt idx="64">
                  <c:v>36281</c:v>
                </c:pt>
                <c:pt idx="65">
                  <c:v>36312</c:v>
                </c:pt>
                <c:pt idx="66">
                  <c:v>36342</c:v>
                </c:pt>
                <c:pt idx="67">
                  <c:v>36373</c:v>
                </c:pt>
                <c:pt idx="68">
                  <c:v>36404</c:v>
                </c:pt>
                <c:pt idx="69">
                  <c:v>36434</c:v>
                </c:pt>
                <c:pt idx="70">
                  <c:v>36465</c:v>
                </c:pt>
                <c:pt idx="71">
                  <c:v>36495</c:v>
                </c:pt>
                <c:pt idx="72">
                  <c:v>36526</c:v>
                </c:pt>
                <c:pt idx="73">
                  <c:v>36557</c:v>
                </c:pt>
                <c:pt idx="74">
                  <c:v>36586</c:v>
                </c:pt>
                <c:pt idx="75">
                  <c:v>36617</c:v>
                </c:pt>
                <c:pt idx="76">
                  <c:v>36647</c:v>
                </c:pt>
                <c:pt idx="77">
                  <c:v>36678</c:v>
                </c:pt>
                <c:pt idx="78">
                  <c:v>36708</c:v>
                </c:pt>
                <c:pt idx="79">
                  <c:v>36739</c:v>
                </c:pt>
                <c:pt idx="80">
                  <c:v>36770</c:v>
                </c:pt>
                <c:pt idx="81">
                  <c:v>36800</c:v>
                </c:pt>
                <c:pt idx="82">
                  <c:v>36831</c:v>
                </c:pt>
                <c:pt idx="83">
                  <c:v>36861</c:v>
                </c:pt>
                <c:pt idx="84">
                  <c:v>36892</c:v>
                </c:pt>
                <c:pt idx="85">
                  <c:v>36923</c:v>
                </c:pt>
                <c:pt idx="86">
                  <c:v>36951</c:v>
                </c:pt>
                <c:pt idx="87">
                  <c:v>36982</c:v>
                </c:pt>
                <c:pt idx="88">
                  <c:v>37012</c:v>
                </c:pt>
                <c:pt idx="89">
                  <c:v>37043</c:v>
                </c:pt>
                <c:pt idx="90">
                  <c:v>37073</c:v>
                </c:pt>
                <c:pt idx="91">
                  <c:v>37104</c:v>
                </c:pt>
                <c:pt idx="92">
                  <c:v>37135</c:v>
                </c:pt>
                <c:pt idx="93">
                  <c:v>37165</c:v>
                </c:pt>
                <c:pt idx="94">
                  <c:v>37196</c:v>
                </c:pt>
                <c:pt idx="95">
                  <c:v>37226</c:v>
                </c:pt>
                <c:pt idx="96">
                  <c:v>37257</c:v>
                </c:pt>
                <c:pt idx="97">
                  <c:v>37288</c:v>
                </c:pt>
                <c:pt idx="98">
                  <c:v>37316</c:v>
                </c:pt>
                <c:pt idx="99">
                  <c:v>37347</c:v>
                </c:pt>
                <c:pt idx="100">
                  <c:v>37377</c:v>
                </c:pt>
                <c:pt idx="101">
                  <c:v>37408</c:v>
                </c:pt>
                <c:pt idx="102">
                  <c:v>37438</c:v>
                </c:pt>
                <c:pt idx="103">
                  <c:v>37469</c:v>
                </c:pt>
                <c:pt idx="104">
                  <c:v>37500</c:v>
                </c:pt>
                <c:pt idx="105">
                  <c:v>37530</c:v>
                </c:pt>
                <c:pt idx="106">
                  <c:v>37561</c:v>
                </c:pt>
                <c:pt idx="107">
                  <c:v>37591</c:v>
                </c:pt>
                <c:pt idx="108">
                  <c:v>37622</c:v>
                </c:pt>
                <c:pt idx="109">
                  <c:v>37653</c:v>
                </c:pt>
                <c:pt idx="110">
                  <c:v>37681</c:v>
                </c:pt>
                <c:pt idx="111">
                  <c:v>37712</c:v>
                </c:pt>
                <c:pt idx="112">
                  <c:v>37742</c:v>
                </c:pt>
                <c:pt idx="113">
                  <c:v>37773</c:v>
                </c:pt>
                <c:pt idx="114">
                  <c:v>37803</c:v>
                </c:pt>
                <c:pt idx="115">
                  <c:v>37834</c:v>
                </c:pt>
                <c:pt idx="116">
                  <c:v>37865</c:v>
                </c:pt>
                <c:pt idx="117">
                  <c:v>37895</c:v>
                </c:pt>
                <c:pt idx="118">
                  <c:v>37926</c:v>
                </c:pt>
                <c:pt idx="119">
                  <c:v>37956</c:v>
                </c:pt>
                <c:pt idx="120">
                  <c:v>37987</c:v>
                </c:pt>
                <c:pt idx="121">
                  <c:v>38018</c:v>
                </c:pt>
                <c:pt idx="122">
                  <c:v>38047</c:v>
                </c:pt>
                <c:pt idx="123">
                  <c:v>38078</c:v>
                </c:pt>
                <c:pt idx="124">
                  <c:v>38108</c:v>
                </c:pt>
                <c:pt idx="125">
                  <c:v>38139</c:v>
                </c:pt>
                <c:pt idx="126">
                  <c:v>38169</c:v>
                </c:pt>
                <c:pt idx="127">
                  <c:v>38200</c:v>
                </c:pt>
                <c:pt idx="128">
                  <c:v>38231</c:v>
                </c:pt>
                <c:pt idx="129">
                  <c:v>38261</c:v>
                </c:pt>
                <c:pt idx="130">
                  <c:v>38292</c:v>
                </c:pt>
                <c:pt idx="131">
                  <c:v>38322</c:v>
                </c:pt>
                <c:pt idx="132">
                  <c:v>38353</c:v>
                </c:pt>
                <c:pt idx="133">
                  <c:v>38384</c:v>
                </c:pt>
                <c:pt idx="134">
                  <c:v>38412</c:v>
                </c:pt>
                <c:pt idx="135">
                  <c:v>38443</c:v>
                </c:pt>
                <c:pt idx="136">
                  <c:v>38473</c:v>
                </c:pt>
                <c:pt idx="137">
                  <c:v>38504</c:v>
                </c:pt>
                <c:pt idx="138">
                  <c:v>38534</c:v>
                </c:pt>
                <c:pt idx="139">
                  <c:v>38565</c:v>
                </c:pt>
                <c:pt idx="140">
                  <c:v>38596</c:v>
                </c:pt>
                <c:pt idx="141">
                  <c:v>38626</c:v>
                </c:pt>
                <c:pt idx="142">
                  <c:v>38657</c:v>
                </c:pt>
                <c:pt idx="143">
                  <c:v>38687</c:v>
                </c:pt>
                <c:pt idx="144">
                  <c:v>38718</c:v>
                </c:pt>
                <c:pt idx="145">
                  <c:v>38749</c:v>
                </c:pt>
                <c:pt idx="146">
                  <c:v>38777</c:v>
                </c:pt>
                <c:pt idx="147">
                  <c:v>38808</c:v>
                </c:pt>
                <c:pt idx="148">
                  <c:v>38838</c:v>
                </c:pt>
                <c:pt idx="149">
                  <c:v>38869</c:v>
                </c:pt>
                <c:pt idx="150">
                  <c:v>38899</c:v>
                </c:pt>
                <c:pt idx="151">
                  <c:v>38930</c:v>
                </c:pt>
                <c:pt idx="152">
                  <c:v>38961</c:v>
                </c:pt>
                <c:pt idx="153">
                  <c:v>38991</c:v>
                </c:pt>
                <c:pt idx="154">
                  <c:v>39022</c:v>
                </c:pt>
                <c:pt idx="155">
                  <c:v>39052</c:v>
                </c:pt>
                <c:pt idx="156">
                  <c:v>39083</c:v>
                </c:pt>
                <c:pt idx="157">
                  <c:v>39114</c:v>
                </c:pt>
                <c:pt idx="158">
                  <c:v>39142</c:v>
                </c:pt>
                <c:pt idx="159">
                  <c:v>39173</c:v>
                </c:pt>
                <c:pt idx="160">
                  <c:v>39203</c:v>
                </c:pt>
                <c:pt idx="161">
                  <c:v>39234</c:v>
                </c:pt>
                <c:pt idx="162">
                  <c:v>39264</c:v>
                </c:pt>
                <c:pt idx="163">
                  <c:v>39295</c:v>
                </c:pt>
                <c:pt idx="164">
                  <c:v>39326</c:v>
                </c:pt>
                <c:pt idx="165">
                  <c:v>39356</c:v>
                </c:pt>
                <c:pt idx="166">
                  <c:v>39387</c:v>
                </c:pt>
                <c:pt idx="167">
                  <c:v>39417</c:v>
                </c:pt>
                <c:pt idx="168">
                  <c:v>39448</c:v>
                </c:pt>
                <c:pt idx="169">
                  <c:v>39479</c:v>
                </c:pt>
                <c:pt idx="170">
                  <c:v>39508</c:v>
                </c:pt>
                <c:pt idx="171">
                  <c:v>39539</c:v>
                </c:pt>
                <c:pt idx="172">
                  <c:v>39569</c:v>
                </c:pt>
                <c:pt idx="173">
                  <c:v>39600</c:v>
                </c:pt>
                <c:pt idx="174">
                  <c:v>39630</c:v>
                </c:pt>
                <c:pt idx="175">
                  <c:v>39661</c:v>
                </c:pt>
                <c:pt idx="176">
                  <c:v>39692</c:v>
                </c:pt>
                <c:pt idx="177">
                  <c:v>39722</c:v>
                </c:pt>
                <c:pt idx="178">
                  <c:v>39753</c:v>
                </c:pt>
                <c:pt idx="179">
                  <c:v>39783</c:v>
                </c:pt>
                <c:pt idx="180">
                  <c:v>39814</c:v>
                </c:pt>
                <c:pt idx="181">
                  <c:v>39845</c:v>
                </c:pt>
                <c:pt idx="182">
                  <c:v>39873</c:v>
                </c:pt>
                <c:pt idx="183">
                  <c:v>39904</c:v>
                </c:pt>
                <c:pt idx="184">
                  <c:v>39934</c:v>
                </c:pt>
                <c:pt idx="185">
                  <c:v>39965</c:v>
                </c:pt>
                <c:pt idx="186">
                  <c:v>39995</c:v>
                </c:pt>
                <c:pt idx="187">
                  <c:v>40026</c:v>
                </c:pt>
                <c:pt idx="188">
                  <c:v>40057</c:v>
                </c:pt>
                <c:pt idx="189">
                  <c:v>40087</c:v>
                </c:pt>
                <c:pt idx="190">
                  <c:v>40118</c:v>
                </c:pt>
                <c:pt idx="191">
                  <c:v>40148</c:v>
                </c:pt>
                <c:pt idx="192">
                  <c:v>40179</c:v>
                </c:pt>
                <c:pt idx="193">
                  <c:v>40210</c:v>
                </c:pt>
                <c:pt idx="194">
                  <c:v>40238</c:v>
                </c:pt>
                <c:pt idx="195">
                  <c:v>40269</c:v>
                </c:pt>
                <c:pt idx="196">
                  <c:v>40299</c:v>
                </c:pt>
                <c:pt idx="197">
                  <c:v>40330</c:v>
                </c:pt>
                <c:pt idx="198">
                  <c:v>40360</c:v>
                </c:pt>
                <c:pt idx="199">
                  <c:v>40391</c:v>
                </c:pt>
                <c:pt idx="200">
                  <c:v>40422</c:v>
                </c:pt>
                <c:pt idx="201">
                  <c:v>40452</c:v>
                </c:pt>
                <c:pt idx="202">
                  <c:v>40483</c:v>
                </c:pt>
                <c:pt idx="203">
                  <c:v>40513</c:v>
                </c:pt>
                <c:pt idx="204">
                  <c:v>40544</c:v>
                </c:pt>
                <c:pt idx="205">
                  <c:v>40575</c:v>
                </c:pt>
                <c:pt idx="206">
                  <c:v>40603</c:v>
                </c:pt>
                <c:pt idx="207">
                  <c:v>40634</c:v>
                </c:pt>
                <c:pt idx="208">
                  <c:v>40664</c:v>
                </c:pt>
                <c:pt idx="209">
                  <c:v>40695</c:v>
                </c:pt>
                <c:pt idx="210">
                  <c:v>40725</c:v>
                </c:pt>
                <c:pt idx="211">
                  <c:v>40756</c:v>
                </c:pt>
                <c:pt idx="212">
                  <c:v>40787</c:v>
                </c:pt>
                <c:pt idx="213">
                  <c:v>40817</c:v>
                </c:pt>
                <c:pt idx="214">
                  <c:v>40848</c:v>
                </c:pt>
                <c:pt idx="215">
                  <c:v>40878</c:v>
                </c:pt>
                <c:pt idx="216">
                  <c:v>40909</c:v>
                </c:pt>
                <c:pt idx="217">
                  <c:v>40940</c:v>
                </c:pt>
                <c:pt idx="218">
                  <c:v>40969</c:v>
                </c:pt>
                <c:pt idx="219">
                  <c:v>41000</c:v>
                </c:pt>
                <c:pt idx="220">
                  <c:v>41030</c:v>
                </c:pt>
                <c:pt idx="221">
                  <c:v>41061</c:v>
                </c:pt>
                <c:pt idx="222">
                  <c:v>41091</c:v>
                </c:pt>
                <c:pt idx="223">
                  <c:v>41122</c:v>
                </c:pt>
                <c:pt idx="224">
                  <c:v>41153</c:v>
                </c:pt>
                <c:pt idx="225">
                  <c:v>41183</c:v>
                </c:pt>
                <c:pt idx="226">
                  <c:v>41214</c:v>
                </c:pt>
                <c:pt idx="227">
                  <c:v>41244</c:v>
                </c:pt>
                <c:pt idx="228">
                  <c:v>41275</c:v>
                </c:pt>
                <c:pt idx="229">
                  <c:v>41306</c:v>
                </c:pt>
                <c:pt idx="230">
                  <c:v>41334</c:v>
                </c:pt>
                <c:pt idx="231">
                  <c:v>41365</c:v>
                </c:pt>
                <c:pt idx="232">
                  <c:v>41395</c:v>
                </c:pt>
                <c:pt idx="233">
                  <c:v>41426</c:v>
                </c:pt>
                <c:pt idx="234">
                  <c:v>41456</c:v>
                </c:pt>
                <c:pt idx="235">
                  <c:v>41487</c:v>
                </c:pt>
                <c:pt idx="236">
                  <c:v>41518</c:v>
                </c:pt>
                <c:pt idx="237">
                  <c:v>41548</c:v>
                </c:pt>
                <c:pt idx="238">
                  <c:v>41579</c:v>
                </c:pt>
                <c:pt idx="239">
                  <c:v>41609</c:v>
                </c:pt>
                <c:pt idx="240">
                  <c:v>41640</c:v>
                </c:pt>
                <c:pt idx="241">
                  <c:v>41671</c:v>
                </c:pt>
                <c:pt idx="242">
                  <c:v>41699</c:v>
                </c:pt>
                <c:pt idx="243">
                  <c:v>41730</c:v>
                </c:pt>
                <c:pt idx="244">
                  <c:v>41760</c:v>
                </c:pt>
                <c:pt idx="245">
                  <c:v>41791</c:v>
                </c:pt>
                <c:pt idx="246">
                  <c:v>41821</c:v>
                </c:pt>
                <c:pt idx="247">
                  <c:v>41852</c:v>
                </c:pt>
                <c:pt idx="248">
                  <c:v>41883</c:v>
                </c:pt>
                <c:pt idx="249">
                  <c:v>41913</c:v>
                </c:pt>
                <c:pt idx="250">
                  <c:v>41944</c:v>
                </c:pt>
                <c:pt idx="251">
                  <c:v>41974</c:v>
                </c:pt>
                <c:pt idx="252">
                  <c:v>42005</c:v>
                </c:pt>
                <c:pt idx="253">
                  <c:v>42036</c:v>
                </c:pt>
                <c:pt idx="254">
                  <c:v>42064</c:v>
                </c:pt>
                <c:pt idx="255">
                  <c:v>42095</c:v>
                </c:pt>
                <c:pt idx="256">
                  <c:v>42125</c:v>
                </c:pt>
                <c:pt idx="257">
                  <c:v>42156</c:v>
                </c:pt>
                <c:pt idx="258">
                  <c:v>42186</c:v>
                </c:pt>
                <c:pt idx="259">
                  <c:v>42217</c:v>
                </c:pt>
                <c:pt idx="260">
                  <c:v>42248</c:v>
                </c:pt>
                <c:pt idx="261">
                  <c:v>42278</c:v>
                </c:pt>
                <c:pt idx="262">
                  <c:v>42309</c:v>
                </c:pt>
                <c:pt idx="263">
                  <c:v>42339</c:v>
                </c:pt>
                <c:pt idx="264">
                  <c:v>42370</c:v>
                </c:pt>
                <c:pt idx="265">
                  <c:v>42401</c:v>
                </c:pt>
                <c:pt idx="266">
                  <c:v>42430</c:v>
                </c:pt>
                <c:pt idx="267">
                  <c:v>42461</c:v>
                </c:pt>
                <c:pt idx="268">
                  <c:v>42491</c:v>
                </c:pt>
                <c:pt idx="269">
                  <c:v>42522</c:v>
                </c:pt>
              </c:numCache>
            </c:numRef>
          </c:cat>
          <c:val>
            <c:numRef>
              <c:f>Result!$O$3:$O$272</c:f>
              <c:numCache>
                <c:formatCode>0.00</c:formatCode>
                <c:ptCount val="27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39.639883367902129</c:v>
                </c:pt>
                <c:pt idx="126">
                  <c:v>40.108816544924402</c:v>
                </c:pt>
                <c:pt idx="127">
                  <c:v>40.577749721946674</c:v>
                </c:pt>
                <c:pt idx="128">
                  <c:v>41.046682898968953</c:v>
                </c:pt>
                <c:pt idx="129">
                  <c:v>41.515616075991225</c:v>
                </c:pt>
                <c:pt idx="130">
                  <c:v>41.984549253013498</c:v>
                </c:pt>
                <c:pt idx="131">
                  <c:v>42.45348243003577</c:v>
                </c:pt>
                <c:pt idx="132">
                  <c:v>43.974509273454181</c:v>
                </c:pt>
                <c:pt idx="133">
                  <c:v>46.196931894469998</c:v>
                </c:pt>
                <c:pt idx="134">
                  <c:v>48.910331559804007</c:v>
                </c:pt>
                <c:pt idx="135">
                  <c:v>51.98080543918762</c:v>
                </c:pt>
                <c:pt idx="136">
                  <c:v>55.319084979108432</c:v>
                </c:pt>
                <c:pt idx="137">
                  <c:v>58.863368873288614</c:v>
                </c:pt>
                <c:pt idx="138">
                  <c:v>61.975187766512505</c:v>
                </c:pt>
                <c:pt idx="139">
                  <c:v>64.741034658971358</c:v>
                </c:pt>
                <c:pt idx="140">
                  <c:v>67.225779300808611</c:v>
                </c:pt>
                <c:pt idx="141">
                  <c:v>69.479027971545719</c:v>
                </c:pt>
                <c:pt idx="142">
                  <c:v>71.539363333032753</c:v>
                </c:pt>
                <c:pt idx="143">
                  <c:v>73.437245381467008</c:v>
                </c:pt>
                <c:pt idx="144">
                  <c:v>75.172994258574562</c:v>
                </c:pt>
                <c:pt idx="145">
                  <c:v>76.769771845973494</c:v>
                </c:pt>
                <c:pt idx="146">
                  <c:v>78.246528774078598</c:v>
                </c:pt>
                <c:pt idx="147">
                  <c:v>79.61891991149345</c:v>
                </c:pt>
                <c:pt idx="148">
                  <c:v>80.899990982054291</c:v>
                </c:pt>
                <c:pt idx="149">
                  <c:v>83.869901103195346</c:v>
                </c:pt>
                <c:pt idx="150">
                  <c:v>86.655444334225095</c:v>
                </c:pt>
                <c:pt idx="151">
                  <c:v>89.256620675143523</c:v>
                </c:pt>
                <c:pt idx="152">
                  <c:v>91.673430125950645</c:v>
                </c:pt>
                <c:pt idx="153">
                  <c:v>93.905872686646418</c:v>
                </c:pt>
                <c:pt idx="154">
                  <c:v>95.953948357230871</c:v>
                </c:pt>
                <c:pt idx="155">
                  <c:v>97.817657137704032</c:v>
                </c:pt>
                <c:pt idx="156">
                  <c:v>99.113235338323264</c:v>
                </c:pt>
                <c:pt idx="157">
                  <c:v>99.840682959088582</c:v>
                </c:pt>
                <c:pt idx="158">
                  <c:v>100</c:v>
                </c:pt>
                <c:pt idx="159">
                  <c:v>99.591186461057475</c:v>
                </c:pt>
                <c:pt idx="160">
                  <c:v>98.614242342261093</c:v>
                </c:pt>
                <c:pt idx="161">
                  <c:v>97.069167643610783</c:v>
                </c:pt>
                <c:pt idx="162">
                  <c:v>95.249546597729477</c:v>
                </c:pt>
                <c:pt idx="163">
                  <c:v>93.155379204617191</c:v>
                </c:pt>
                <c:pt idx="164">
                  <c:v>90.786665464273895</c:v>
                </c:pt>
                <c:pt idx="165">
                  <c:v>88.143405376699619</c:v>
                </c:pt>
                <c:pt idx="166">
                  <c:v>85.225598941894361</c:v>
                </c:pt>
                <c:pt idx="167">
                  <c:v>82.033246159858109</c:v>
                </c:pt>
                <c:pt idx="168">
                  <c:v>78.618450716926674</c:v>
                </c:pt>
                <c:pt idx="169">
                  <c:v>74.98121261310007</c:v>
                </c:pt>
                <c:pt idx="170">
                  <c:v>71.121531848378268</c:v>
                </c:pt>
                <c:pt idx="171">
                  <c:v>67.039408422761298</c:v>
                </c:pt>
                <c:pt idx="172">
                  <c:v>62.734842336249145</c:v>
                </c:pt>
                <c:pt idx="173">
                  <c:v>58.207833588841794</c:v>
                </c:pt>
                <c:pt idx="174">
                  <c:v>53.792046171882056</c:v>
                </c:pt>
                <c:pt idx="175">
                  <c:v>49.487480085369889</c:v>
                </c:pt>
                <c:pt idx="176">
                  <c:v>45.29413532930532</c:v>
                </c:pt>
                <c:pt idx="177">
                  <c:v>41.212011903688342</c:v>
                </c:pt>
                <c:pt idx="178">
                  <c:v>37.241109808518956</c:v>
                </c:pt>
                <c:pt idx="179">
                  <c:v>33.381429043797162</c:v>
                </c:pt>
                <c:pt idx="180">
                  <c:v>29.743188946002558</c:v>
                </c:pt>
                <c:pt idx="181">
                  <c:v>26.326389515135123</c:v>
                </c:pt>
                <c:pt idx="182">
                  <c:v>23.131030751194878</c:v>
                </c:pt>
                <c:pt idx="183">
                  <c:v>20.157112654181823</c:v>
                </c:pt>
                <c:pt idx="184">
                  <c:v>17.404635224095951</c:v>
                </c:pt>
                <c:pt idx="185">
                  <c:v>14.873598460937265</c:v>
                </c:pt>
                <c:pt idx="186">
                  <c:v>12.54095650344185</c:v>
                </c:pt>
                <c:pt idx="187">
                  <c:v>10.406709351609706</c:v>
                </c:pt>
                <c:pt idx="188">
                  <c:v>8.470857005440827</c:v>
                </c:pt>
                <c:pt idx="189">
                  <c:v>6.7333994649352222</c:v>
                </c:pt>
                <c:pt idx="190">
                  <c:v>5.1943367300928873</c:v>
                </c:pt>
                <c:pt idx="191">
                  <c:v>3.8536688009138178</c:v>
                </c:pt>
                <c:pt idx="192">
                  <c:v>2.7164056472380049</c:v>
                </c:pt>
                <c:pt idx="193">
                  <c:v>1.7825472690654411</c:v>
                </c:pt>
                <c:pt idx="194">
                  <c:v>1.0520936663961291</c:v>
                </c:pt>
                <c:pt idx="195">
                  <c:v>0.52504483923006739</c:v>
                </c:pt>
                <c:pt idx="196">
                  <c:v>0.20140078756726021</c:v>
                </c:pt>
                <c:pt idx="197">
                  <c:v>8.1161511407701323E-2</c:v>
                </c:pt>
                <c:pt idx="198">
                  <c:v>1.4027915551947236E-2</c:v>
                </c:pt>
                <c:pt idx="199">
                  <c:v>0</c:v>
                </c:pt>
                <c:pt idx="200">
                  <c:v>3.9077764751857563E-2</c:v>
                </c:pt>
                <c:pt idx="201">
                  <c:v>0.13126120980751582</c:v>
                </c:pt>
                <c:pt idx="202">
                  <c:v>0.27655033516698296</c:v>
                </c:pt>
                <c:pt idx="203">
                  <c:v>0.47494514083025291</c:v>
                </c:pt>
                <c:pt idx="204">
                  <c:v>0.62324024809370837</c:v>
                </c:pt>
                <c:pt idx="205">
                  <c:v>0.72143565695734513</c:v>
                </c:pt>
                <c:pt idx="206">
                  <c:v>0.76099437881384047</c:v>
                </c:pt>
                <c:pt idx="207">
                  <c:v>0.7271670624542822</c:v>
                </c:pt>
                <c:pt idx="208">
                  <c:v>0.66372080440075865</c:v>
                </c:pt>
                <c:pt idx="209">
                  <c:v>0.56482399975952446</c:v>
                </c:pt>
                <c:pt idx="210">
                  <c:v>0.4953858177773775</c:v>
                </c:pt>
                <c:pt idx="211">
                  <c:v>0.44578711636156004</c:v>
                </c:pt>
                <c:pt idx="212">
                  <c:v>0.44993537138906509</c:v>
                </c:pt>
                <c:pt idx="213">
                  <c:v>0.4625604953858195</c:v>
                </c:pt>
                <c:pt idx="214">
                  <c:v>0.50332161000390729</c:v>
                </c:pt>
                <c:pt idx="215">
                  <c:v>0.5689722547870254</c:v>
                </c:pt>
                <c:pt idx="216">
                  <c:v>0.61534453562589697</c:v>
                </c:pt>
                <c:pt idx="217">
                  <c:v>0.63762888147413599</c:v>
                </c:pt>
                <c:pt idx="218">
                  <c:v>0.6616767367060481</c:v>
                </c:pt>
                <c:pt idx="219">
                  <c:v>0.69199707417761491</c:v>
                </c:pt>
                <c:pt idx="220">
                  <c:v>0.71734752156792181</c:v>
                </c:pt>
                <c:pt idx="221">
                  <c:v>0.74746746024589228</c:v>
                </c:pt>
                <c:pt idx="222">
                  <c:v>0.73846955441328677</c:v>
                </c:pt>
                <c:pt idx="223">
                  <c:v>0.73604472901073448</c:v>
                </c:pt>
                <c:pt idx="224">
                  <c:v>0.71452189857817272</c:v>
                </c:pt>
                <c:pt idx="225">
                  <c:v>0.65881103395758056</c:v>
                </c:pt>
                <c:pt idx="226">
                  <c:v>0.61141671927134955</c:v>
                </c:pt>
                <c:pt idx="227">
                  <c:v>0.5582709592088243</c:v>
                </c:pt>
                <c:pt idx="228">
                  <c:v>0.51243975511267437</c:v>
                </c:pt>
                <c:pt idx="229">
                  <c:v>0.47915351549583562</c:v>
                </c:pt>
                <c:pt idx="230">
                  <c:v>0.45468482279737155</c:v>
                </c:pt>
                <c:pt idx="231">
                  <c:v>0.46382300778549779</c:v>
                </c:pt>
                <c:pt idx="232">
                  <c:v>0.461358102624225</c:v>
                </c:pt>
                <c:pt idx="233">
                  <c:v>0.45690924940632133</c:v>
                </c:pt>
                <c:pt idx="234">
                  <c:v>0.47103736435506877</c:v>
                </c:pt>
                <c:pt idx="235">
                  <c:v>0.49358222863498991</c:v>
                </c:pt>
                <c:pt idx="236">
                  <c:v>0.49063636636907926</c:v>
                </c:pt>
                <c:pt idx="237">
                  <c:v>0.51708900712417838</c:v>
                </c:pt>
                <c:pt idx="238">
                  <c:v>0.5406559052514508</c:v>
                </c:pt>
                <c:pt idx="239">
                  <c:v>0.57660744882315451</c:v>
                </c:pt>
                <c:pt idx="240">
                  <c:v>0.64045450446388497</c:v>
                </c:pt>
                <c:pt idx="241">
                  <c:v>0.72738750112724182</c:v>
                </c:pt>
                <c:pt idx="242">
                  <c:v>0.81155499443893353</c:v>
                </c:pt>
                <c:pt idx="243">
                  <c:v>0.8842396368773856</c:v>
                </c:pt>
                <c:pt idx="244">
                  <c:v>0.96570174647548968</c:v>
                </c:pt>
                <c:pt idx="245">
                  <c:v>1.0425947635795265</c:v>
                </c:pt>
                <c:pt idx="246">
                  <c:v>1.1431749180869972</c:v>
                </c:pt>
                <c:pt idx="247">
                  <c:v>1.216340517630085</c:v>
                </c:pt>
                <c:pt idx="248">
                  <c:v>1.2895662368112544</c:v>
                </c:pt>
                <c:pt idx="249">
                  <c:v>1.3605074097453944</c:v>
                </c:pt>
                <c:pt idx="250">
                  <c:v>1.4125108966844009</c:v>
                </c:pt>
                <c:pt idx="251">
                  <c:v>1.4578411037965517</c:v>
                </c:pt>
                <c:pt idx="252">
                  <c:v>1.5154958367150604</c:v>
                </c:pt>
                <c:pt idx="253">
                  <c:v>1.5724291339766125</c:v>
                </c:pt>
                <c:pt idx="254">
                  <c:v>1.6526828388493069</c:v>
                </c:pt>
                <c:pt idx="255">
                  <c:v>1.7334836324285336</c:v>
                </c:pt>
                <c:pt idx="256">
                  <c:v>1.8160278955120668</c:v>
                </c:pt>
                <c:pt idx="257">
                  <c:v>1.889313734331318</c:v>
                </c:pt>
                <c:pt idx="258">
                  <c:v>1.9686716565966236</c:v>
                </c:pt>
                <c:pt idx="259">
                  <c:v>2.0564463281931027</c:v>
                </c:pt>
                <c:pt idx="260">
                  <c:v>2.1514353563591526</c:v>
                </c:pt>
                <c:pt idx="261">
                  <c:v>2.2530375447139788</c:v>
                </c:pt>
                <c:pt idx="262">
                  <c:v>2.3564433222112005</c:v>
                </c:pt>
                <c:pt idx="263">
                  <c:v>2.437280187573271</c:v>
                </c:pt>
                <c:pt idx="264">
                  <c:v>2.5022093966994321</c:v>
                </c:pt>
                <c:pt idx="265">
                  <c:v>2.5641326239216071</c:v>
                </c:pt>
                <c:pt idx="266">
                  <c:v>2.6212462800973988</c:v>
                </c:pt>
                <c:pt idx="267">
                  <c:v>2.6729491688460065</c:v>
                </c:pt>
                <c:pt idx="268">
                  <c:v>#N/A</c:v>
                </c:pt>
                <c:pt idx="269">
                  <c:v>#N/A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Result!$P$2</c:f>
              <c:strCache>
                <c:ptCount val="1"/>
                <c:pt idx="0">
                  <c:v>Purchase</c:v>
                </c:pt>
              </c:strCache>
            </c:strRef>
          </c:tx>
          <c:marker>
            <c:symbol val="none"/>
          </c:marker>
          <c:cat>
            <c:numRef>
              <c:f>Result!$M$3:$M$272</c:f>
              <c:numCache>
                <c:formatCode>m/d/yyyy</c:formatCode>
                <c:ptCount val="270"/>
                <c:pt idx="0">
                  <c:v>34335</c:v>
                </c:pt>
                <c:pt idx="1">
                  <c:v>34366</c:v>
                </c:pt>
                <c:pt idx="2">
                  <c:v>34394</c:v>
                </c:pt>
                <c:pt idx="3">
                  <c:v>34425</c:v>
                </c:pt>
                <c:pt idx="4">
                  <c:v>34455</c:v>
                </c:pt>
                <c:pt idx="5">
                  <c:v>34486</c:v>
                </c:pt>
                <c:pt idx="6">
                  <c:v>34516</c:v>
                </c:pt>
                <c:pt idx="7">
                  <c:v>34547</c:v>
                </c:pt>
                <c:pt idx="8">
                  <c:v>34578</c:v>
                </c:pt>
                <c:pt idx="9">
                  <c:v>34608</c:v>
                </c:pt>
                <c:pt idx="10">
                  <c:v>34639</c:v>
                </c:pt>
                <c:pt idx="11">
                  <c:v>34669</c:v>
                </c:pt>
                <c:pt idx="12">
                  <c:v>34700</c:v>
                </c:pt>
                <c:pt idx="13">
                  <c:v>34731</c:v>
                </c:pt>
                <c:pt idx="14">
                  <c:v>34759</c:v>
                </c:pt>
                <c:pt idx="15">
                  <c:v>34790</c:v>
                </c:pt>
                <c:pt idx="16">
                  <c:v>34820</c:v>
                </c:pt>
                <c:pt idx="17">
                  <c:v>34851</c:v>
                </c:pt>
                <c:pt idx="18">
                  <c:v>34881</c:v>
                </c:pt>
                <c:pt idx="19">
                  <c:v>34912</c:v>
                </c:pt>
                <c:pt idx="20">
                  <c:v>34943</c:v>
                </c:pt>
                <c:pt idx="21">
                  <c:v>34973</c:v>
                </c:pt>
                <c:pt idx="22">
                  <c:v>35004</c:v>
                </c:pt>
                <c:pt idx="23">
                  <c:v>35034</c:v>
                </c:pt>
                <c:pt idx="24">
                  <c:v>35065</c:v>
                </c:pt>
                <c:pt idx="25">
                  <c:v>35096</c:v>
                </c:pt>
                <c:pt idx="26">
                  <c:v>35125</c:v>
                </c:pt>
                <c:pt idx="27">
                  <c:v>35156</c:v>
                </c:pt>
                <c:pt idx="28">
                  <c:v>35186</c:v>
                </c:pt>
                <c:pt idx="29">
                  <c:v>35217</c:v>
                </c:pt>
                <c:pt idx="30">
                  <c:v>35247</c:v>
                </c:pt>
                <c:pt idx="31">
                  <c:v>35278</c:v>
                </c:pt>
                <c:pt idx="32">
                  <c:v>35309</c:v>
                </c:pt>
                <c:pt idx="33">
                  <c:v>35339</c:v>
                </c:pt>
                <c:pt idx="34">
                  <c:v>35370</c:v>
                </c:pt>
                <c:pt idx="35">
                  <c:v>35400</c:v>
                </c:pt>
                <c:pt idx="36">
                  <c:v>35431</c:v>
                </c:pt>
                <c:pt idx="37">
                  <c:v>35462</c:v>
                </c:pt>
                <c:pt idx="38">
                  <c:v>35490</c:v>
                </c:pt>
                <c:pt idx="39">
                  <c:v>35521</c:v>
                </c:pt>
                <c:pt idx="40">
                  <c:v>35551</c:v>
                </c:pt>
                <c:pt idx="41">
                  <c:v>35582</c:v>
                </c:pt>
                <c:pt idx="42">
                  <c:v>35612</c:v>
                </c:pt>
                <c:pt idx="43">
                  <c:v>35643</c:v>
                </c:pt>
                <c:pt idx="44">
                  <c:v>35674</c:v>
                </c:pt>
                <c:pt idx="45">
                  <c:v>35704</c:v>
                </c:pt>
                <c:pt idx="46">
                  <c:v>35735</c:v>
                </c:pt>
                <c:pt idx="47">
                  <c:v>35765</c:v>
                </c:pt>
                <c:pt idx="48">
                  <c:v>35796</c:v>
                </c:pt>
                <c:pt idx="49">
                  <c:v>35827</c:v>
                </c:pt>
                <c:pt idx="50">
                  <c:v>35855</c:v>
                </c:pt>
                <c:pt idx="51">
                  <c:v>35886</c:v>
                </c:pt>
                <c:pt idx="52">
                  <c:v>35916</c:v>
                </c:pt>
                <c:pt idx="53">
                  <c:v>35947</c:v>
                </c:pt>
                <c:pt idx="54">
                  <c:v>35977</c:v>
                </c:pt>
                <c:pt idx="55">
                  <c:v>36008</c:v>
                </c:pt>
                <c:pt idx="56">
                  <c:v>36039</c:v>
                </c:pt>
                <c:pt idx="57">
                  <c:v>36069</c:v>
                </c:pt>
                <c:pt idx="58">
                  <c:v>36100</c:v>
                </c:pt>
                <c:pt idx="59">
                  <c:v>36130</c:v>
                </c:pt>
                <c:pt idx="60">
                  <c:v>36161</c:v>
                </c:pt>
                <c:pt idx="61">
                  <c:v>36192</c:v>
                </c:pt>
                <c:pt idx="62">
                  <c:v>36220</c:v>
                </c:pt>
                <c:pt idx="63">
                  <c:v>36251</c:v>
                </c:pt>
                <c:pt idx="64">
                  <c:v>36281</c:v>
                </c:pt>
                <c:pt idx="65">
                  <c:v>36312</c:v>
                </c:pt>
                <c:pt idx="66">
                  <c:v>36342</c:v>
                </c:pt>
                <c:pt idx="67">
                  <c:v>36373</c:v>
                </c:pt>
                <c:pt idx="68">
                  <c:v>36404</c:v>
                </c:pt>
                <c:pt idx="69">
                  <c:v>36434</c:v>
                </c:pt>
                <c:pt idx="70">
                  <c:v>36465</c:v>
                </c:pt>
                <c:pt idx="71">
                  <c:v>36495</c:v>
                </c:pt>
                <c:pt idx="72">
                  <c:v>36526</c:v>
                </c:pt>
                <c:pt idx="73">
                  <c:v>36557</c:v>
                </c:pt>
                <c:pt idx="74">
                  <c:v>36586</c:v>
                </c:pt>
                <c:pt idx="75">
                  <c:v>36617</c:v>
                </c:pt>
                <c:pt idx="76">
                  <c:v>36647</c:v>
                </c:pt>
                <c:pt idx="77">
                  <c:v>36678</c:v>
                </c:pt>
                <c:pt idx="78">
                  <c:v>36708</c:v>
                </c:pt>
                <c:pt idx="79">
                  <c:v>36739</c:v>
                </c:pt>
                <c:pt idx="80">
                  <c:v>36770</c:v>
                </c:pt>
                <c:pt idx="81">
                  <c:v>36800</c:v>
                </c:pt>
                <c:pt idx="82">
                  <c:v>36831</c:v>
                </c:pt>
                <c:pt idx="83">
                  <c:v>36861</c:v>
                </c:pt>
                <c:pt idx="84">
                  <c:v>36892</c:v>
                </c:pt>
                <c:pt idx="85">
                  <c:v>36923</c:v>
                </c:pt>
                <c:pt idx="86">
                  <c:v>36951</c:v>
                </c:pt>
                <c:pt idx="87">
                  <c:v>36982</c:v>
                </c:pt>
                <c:pt idx="88">
                  <c:v>37012</c:v>
                </c:pt>
                <c:pt idx="89">
                  <c:v>37043</c:v>
                </c:pt>
                <c:pt idx="90">
                  <c:v>37073</c:v>
                </c:pt>
                <c:pt idx="91">
                  <c:v>37104</c:v>
                </c:pt>
                <c:pt idx="92">
                  <c:v>37135</c:v>
                </c:pt>
                <c:pt idx="93">
                  <c:v>37165</c:v>
                </c:pt>
                <c:pt idx="94">
                  <c:v>37196</c:v>
                </c:pt>
                <c:pt idx="95">
                  <c:v>37226</c:v>
                </c:pt>
                <c:pt idx="96">
                  <c:v>37257</c:v>
                </c:pt>
                <c:pt idx="97">
                  <c:v>37288</c:v>
                </c:pt>
                <c:pt idx="98">
                  <c:v>37316</c:v>
                </c:pt>
                <c:pt idx="99">
                  <c:v>37347</c:v>
                </c:pt>
                <c:pt idx="100">
                  <c:v>37377</c:v>
                </c:pt>
                <c:pt idx="101">
                  <c:v>37408</c:v>
                </c:pt>
                <c:pt idx="102">
                  <c:v>37438</c:v>
                </c:pt>
                <c:pt idx="103">
                  <c:v>37469</c:v>
                </c:pt>
                <c:pt idx="104">
                  <c:v>37500</c:v>
                </c:pt>
                <c:pt idx="105">
                  <c:v>37530</c:v>
                </c:pt>
                <c:pt idx="106">
                  <c:v>37561</c:v>
                </c:pt>
                <c:pt idx="107">
                  <c:v>37591</c:v>
                </c:pt>
                <c:pt idx="108">
                  <c:v>37622</c:v>
                </c:pt>
                <c:pt idx="109">
                  <c:v>37653</c:v>
                </c:pt>
                <c:pt idx="110">
                  <c:v>37681</c:v>
                </c:pt>
                <c:pt idx="111">
                  <c:v>37712</c:v>
                </c:pt>
                <c:pt idx="112">
                  <c:v>37742</c:v>
                </c:pt>
                <c:pt idx="113">
                  <c:v>37773</c:v>
                </c:pt>
                <c:pt idx="114">
                  <c:v>37803</c:v>
                </c:pt>
                <c:pt idx="115">
                  <c:v>37834</c:v>
                </c:pt>
                <c:pt idx="116">
                  <c:v>37865</c:v>
                </c:pt>
                <c:pt idx="117">
                  <c:v>37895</c:v>
                </c:pt>
                <c:pt idx="118">
                  <c:v>37926</c:v>
                </c:pt>
                <c:pt idx="119">
                  <c:v>37956</c:v>
                </c:pt>
                <c:pt idx="120">
                  <c:v>37987</c:v>
                </c:pt>
                <c:pt idx="121">
                  <c:v>38018</c:v>
                </c:pt>
                <c:pt idx="122">
                  <c:v>38047</c:v>
                </c:pt>
                <c:pt idx="123">
                  <c:v>38078</c:v>
                </c:pt>
                <c:pt idx="124">
                  <c:v>38108</c:v>
                </c:pt>
                <c:pt idx="125">
                  <c:v>38139</c:v>
                </c:pt>
                <c:pt idx="126">
                  <c:v>38169</c:v>
                </c:pt>
                <c:pt idx="127">
                  <c:v>38200</c:v>
                </c:pt>
                <c:pt idx="128">
                  <c:v>38231</c:v>
                </c:pt>
                <c:pt idx="129">
                  <c:v>38261</c:v>
                </c:pt>
                <c:pt idx="130">
                  <c:v>38292</c:v>
                </c:pt>
                <c:pt idx="131">
                  <c:v>38322</c:v>
                </c:pt>
                <c:pt idx="132">
                  <c:v>38353</c:v>
                </c:pt>
                <c:pt idx="133">
                  <c:v>38384</c:v>
                </c:pt>
                <c:pt idx="134">
                  <c:v>38412</c:v>
                </c:pt>
                <c:pt idx="135">
                  <c:v>38443</c:v>
                </c:pt>
                <c:pt idx="136">
                  <c:v>38473</c:v>
                </c:pt>
                <c:pt idx="137">
                  <c:v>38504</c:v>
                </c:pt>
                <c:pt idx="138">
                  <c:v>38534</c:v>
                </c:pt>
                <c:pt idx="139">
                  <c:v>38565</c:v>
                </c:pt>
                <c:pt idx="140">
                  <c:v>38596</c:v>
                </c:pt>
                <c:pt idx="141">
                  <c:v>38626</c:v>
                </c:pt>
                <c:pt idx="142">
                  <c:v>38657</c:v>
                </c:pt>
                <c:pt idx="143">
                  <c:v>38687</c:v>
                </c:pt>
                <c:pt idx="144">
                  <c:v>38718</c:v>
                </c:pt>
                <c:pt idx="145">
                  <c:v>38749</c:v>
                </c:pt>
                <c:pt idx="146">
                  <c:v>38777</c:v>
                </c:pt>
                <c:pt idx="147">
                  <c:v>38808</c:v>
                </c:pt>
                <c:pt idx="148">
                  <c:v>38838</c:v>
                </c:pt>
                <c:pt idx="149">
                  <c:v>38869</c:v>
                </c:pt>
                <c:pt idx="150">
                  <c:v>38899</c:v>
                </c:pt>
                <c:pt idx="151">
                  <c:v>38930</c:v>
                </c:pt>
                <c:pt idx="152">
                  <c:v>38961</c:v>
                </c:pt>
                <c:pt idx="153">
                  <c:v>38991</c:v>
                </c:pt>
                <c:pt idx="154">
                  <c:v>39022</c:v>
                </c:pt>
                <c:pt idx="155">
                  <c:v>39052</c:v>
                </c:pt>
                <c:pt idx="156">
                  <c:v>39083</c:v>
                </c:pt>
                <c:pt idx="157">
                  <c:v>39114</c:v>
                </c:pt>
                <c:pt idx="158">
                  <c:v>39142</c:v>
                </c:pt>
                <c:pt idx="159">
                  <c:v>39173</c:v>
                </c:pt>
                <c:pt idx="160">
                  <c:v>39203</c:v>
                </c:pt>
                <c:pt idx="161">
                  <c:v>39234</c:v>
                </c:pt>
                <c:pt idx="162">
                  <c:v>39264</c:v>
                </c:pt>
                <c:pt idx="163">
                  <c:v>39295</c:v>
                </c:pt>
                <c:pt idx="164">
                  <c:v>39326</c:v>
                </c:pt>
                <c:pt idx="165">
                  <c:v>39356</c:v>
                </c:pt>
                <c:pt idx="166">
                  <c:v>39387</c:v>
                </c:pt>
                <c:pt idx="167">
                  <c:v>39417</c:v>
                </c:pt>
                <c:pt idx="168">
                  <c:v>39448</c:v>
                </c:pt>
                <c:pt idx="169">
                  <c:v>39479</c:v>
                </c:pt>
                <c:pt idx="170">
                  <c:v>39508</c:v>
                </c:pt>
                <c:pt idx="171">
                  <c:v>39539</c:v>
                </c:pt>
                <c:pt idx="172">
                  <c:v>39569</c:v>
                </c:pt>
                <c:pt idx="173">
                  <c:v>39600</c:v>
                </c:pt>
                <c:pt idx="174">
                  <c:v>39630</c:v>
                </c:pt>
                <c:pt idx="175">
                  <c:v>39661</c:v>
                </c:pt>
                <c:pt idx="176">
                  <c:v>39692</c:v>
                </c:pt>
                <c:pt idx="177">
                  <c:v>39722</c:v>
                </c:pt>
                <c:pt idx="178">
                  <c:v>39753</c:v>
                </c:pt>
                <c:pt idx="179">
                  <c:v>39783</c:v>
                </c:pt>
                <c:pt idx="180">
                  <c:v>39814</c:v>
                </c:pt>
                <c:pt idx="181">
                  <c:v>39845</c:v>
                </c:pt>
                <c:pt idx="182">
                  <c:v>39873</c:v>
                </c:pt>
                <c:pt idx="183">
                  <c:v>39904</c:v>
                </c:pt>
                <c:pt idx="184">
                  <c:v>39934</c:v>
                </c:pt>
                <c:pt idx="185">
                  <c:v>39965</c:v>
                </c:pt>
                <c:pt idx="186">
                  <c:v>39995</c:v>
                </c:pt>
                <c:pt idx="187">
                  <c:v>40026</c:v>
                </c:pt>
                <c:pt idx="188">
                  <c:v>40057</c:v>
                </c:pt>
                <c:pt idx="189">
                  <c:v>40087</c:v>
                </c:pt>
                <c:pt idx="190">
                  <c:v>40118</c:v>
                </c:pt>
                <c:pt idx="191">
                  <c:v>40148</c:v>
                </c:pt>
                <c:pt idx="192">
                  <c:v>40179</c:v>
                </c:pt>
                <c:pt idx="193">
                  <c:v>40210</c:v>
                </c:pt>
                <c:pt idx="194">
                  <c:v>40238</c:v>
                </c:pt>
                <c:pt idx="195">
                  <c:v>40269</c:v>
                </c:pt>
                <c:pt idx="196">
                  <c:v>40299</c:v>
                </c:pt>
                <c:pt idx="197">
                  <c:v>40330</c:v>
                </c:pt>
                <c:pt idx="198">
                  <c:v>40360</c:v>
                </c:pt>
                <c:pt idx="199">
                  <c:v>40391</c:v>
                </c:pt>
                <c:pt idx="200">
                  <c:v>40422</c:v>
                </c:pt>
                <c:pt idx="201">
                  <c:v>40452</c:v>
                </c:pt>
                <c:pt idx="202">
                  <c:v>40483</c:v>
                </c:pt>
                <c:pt idx="203">
                  <c:v>40513</c:v>
                </c:pt>
                <c:pt idx="204">
                  <c:v>40544</c:v>
                </c:pt>
                <c:pt idx="205">
                  <c:v>40575</c:v>
                </c:pt>
                <c:pt idx="206">
                  <c:v>40603</c:v>
                </c:pt>
                <c:pt idx="207">
                  <c:v>40634</c:v>
                </c:pt>
                <c:pt idx="208">
                  <c:v>40664</c:v>
                </c:pt>
                <c:pt idx="209">
                  <c:v>40695</c:v>
                </c:pt>
                <c:pt idx="210">
                  <c:v>40725</c:v>
                </c:pt>
                <c:pt idx="211">
                  <c:v>40756</c:v>
                </c:pt>
                <c:pt idx="212">
                  <c:v>40787</c:v>
                </c:pt>
                <c:pt idx="213">
                  <c:v>40817</c:v>
                </c:pt>
                <c:pt idx="214">
                  <c:v>40848</c:v>
                </c:pt>
                <c:pt idx="215">
                  <c:v>40878</c:v>
                </c:pt>
                <c:pt idx="216">
                  <c:v>40909</c:v>
                </c:pt>
                <c:pt idx="217">
                  <c:v>40940</c:v>
                </c:pt>
                <c:pt idx="218">
                  <c:v>40969</c:v>
                </c:pt>
                <c:pt idx="219">
                  <c:v>41000</c:v>
                </c:pt>
                <c:pt idx="220">
                  <c:v>41030</c:v>
                </c:pt>
                <c:pt idx="221">
                  <c:v>41061</c:v>
                </c:pt>
                <c:pt idx="222">
                  <c:v>41091</c:v>
                </c:pt>
                <c:pt idx="223">
                  <c:v>41122</c:v>
                </c:pt>
                <c:pt idx="224">
                  <c:v>41153</c:v>
                </c:pt>
                <c:pt idx="225">
                  <c:v>41183</c:v>
                </c:pt>
                <c:pt idx="226">
                  <c:v>41214</c:v>
                </c:pt>
                <c:pt idx="227">
                  <c:v>41244</c:v>
                </c:pt>
                <c:pt idx="228">
                  <c:v>41275</c:v>
                </c:pt>
                <c:pt idx="229">
                  <c:v>41306</c:v>
                </c:pt>
                <c:pt idx="230">
                  <c:v>41334</c:v>
                </c:pt>
                <c:pt idx="231">
                  <c:v>41365</c:v>
                </c:pt>
                <c:pt idx="232">
                  <c:v>41395</c:v>
                </c:pt>
                <c:pt idx="233">
                  <c:v>41426</c:v>
                </c:pt>
                <c:pt idx="234">
                  <c:v>41456</c:v>
                </c:pt>
                <c:pt idx="235">
                  <c:v>41487</c:v>
                </c:pt>
                <c:pt idx="236">
                  <c:v>41518</c:v>
                </c:pt>
                <c:pt idx="237">
                  <c:v>41548</c:v>
                </c:pt>
                <c:pt idx="238">
                  <c:v>41579</c:v>
                </c:pt>
                <c:pt idx="239">
                  <c:v>41609</c:v>
                </c:pt>
                <c:pt idx="240">
                  <c:v>41640</c:v>
                </c:pt>
                <c:pt idx="241">
                  <c:v>41671</c:v>
                </c:pt>
                <c:pt idx="242">
                  <c:v>41699</c:v>
                </c:pt>
                <c:pt idx="243">
                  <c:v>41730</c:v>
                </c:pt>
                <c:pt idx="244">
                  <c:v>41760</c:v>
                </c:pt>
                <c:pt idx="245">
                  <c:v>41791</c:v>
                </c:pt>
                <c:pt idx="246">
                  <c:v>41821</c:v>
                </c:pt>
                <c:pt idx="247">
                  <c:v>41852</c:v>
                </c:pt>
                <c:pt idx="248">
                  <c:v>41883</c:v>
                </c:pt>
                <c:pt idx="249">
                  <c:v>41913</c:v>
                </c:pt>
                <c:pt idx="250">
                  <c:v>41944</c:v>
                </c:pt>
                <c:pt idx="251">
                  <c:v>41974</c:v>
                </c:pt>
                <c:pt idx="252">
                  <c:v>42005</c:v>
                </c:pt>
                <c:pt idx="253">
                  <c:v>42036</c:v>
                </c:pt>
                <c:pt idx="254">
                  <c:v>42064</c:v>
                </c:pt>
                <c:pt idx="255">
                  <c:v>42095</c:v>
                </c:pt>
                <c:pt idx="256">
                  <c:v>42125</c:v>
                </c:pt>
                <c:pt idx="257">
                  <c:v>42156</c:v>
                </c:pt>
                <c:pt idx="258">
                  <c:v>42186</c:v>
                </c:pt>
                <c:pt idx="259">
                  <c:v>42217</c:v>
                </c:pt>
                <c:pt idx="260">
                  <c:v>42248</c:v>
                </c:pt>
                <c:pt idx="261">
                  <c:v>42278</c:v>
                </c:pt>
                <c:pt idx="262">
                  <c:v>42309</c:v>
                </c:pt>
                <c:pt idx="263">
                  <c:v>42339</c:v>
                </c:pt>
                <c:pt idx="264">
                  <c:v>42370</c:v>
                </c:pt>
                <c:pt idx="265">
                  <c:v>42401</c:v>
                </c:pt>
                <c:pt idx="266">
                  <c:v>42430</c:v>
                </c:pt>
                <c:pt idx="267">
                  <c:v>42461</c:v>
                </c:pt>
                <c:pt idx="268">
                  <c:v>42491</c:v>
                </c:pt>
                <c:pt idx="269">
                  <c:v>42522</c:v>
                </c:pt>
              </c:numCache>
            </c:numRef>
          </c:cat>
          <c:val>
            <c:numRef>
              <c:f>Result!$P$3:$P$272</c:f>
              <c:numCache>
                <c:formatCode>0.00</c:formatCode>
                <c:ptCount val="27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42.278367027303823</c:v>
                </c:pt>
                <c:pt idx="84">
                  <c:v>42.845781494633115</c:v>
                </c:pt>
                <c:pt idx="85">
                  <c:v>43.332857778933629</c:v>
                </c:pt>
                <c:pt idx="86">
                  <c:v>43.82188337520649</c:v>
                </c:pt>
                <c:pt idx="87">
                  <c:v>44.038645897520432</c:v>
                </c:pt>
                <c:pt idx="88">
                  <c:v>44.177955800778747</c:v>
                </c:pt>
                <c:pt idx="89">
                  <c:v>44.251354345970007</c:v>
                </c:pt>
                <c:pt idx="90">
                  <c:v>44.486872038200644</c:v>
                </c:pt>
                <c:pt idx="91">
                  <c:v>44.747084947276967</c:v>
                </c:pt>
                <c:pt idx="92">
                  <c:v>45.072359312695419</c:v>
                </c:pt>
                <c:pt idx="93">
                  <c:v>44.928381802757286</c:v>
                </c:pt>
                <c:pt idx="94">
                  <c:v>45.063697645008894</c:v>
                </c:pt>
                <c:pt idx="95">
                  <c:v>45.585984835349464</c:v>
                </c:pt>
                <c:pt idx="96">
                  <c:v>46.535566389095806</c:v>
                </c:pt>
                <c:pt idx="97">
                  <c:v>46.933563591836808</c:v>
                </c:pt>
                <c:pt idx="98">
                  <c:v>47.292091101836419</c:v>
                </c:pt>
                <c:pt idx="99">
                  <c:v>47.823484065146239</c:v>
                </c:pt>
                <c:pt idx="100">
                  <c:v>48.711942066625127</c:v>
                </c:pt>
                <c:pt idx="101">
                  <c:v>49.516765421212533</c:v>
                </c:pt>
                <c:pt idx="102">
                  <c:v>50.399051717987994</c:v>
                </c:pt>
                <c:pt idx="103">
                  <c:v>51.15796832507521</c:v>
                </c:pt>
                <c:pt idx="104">
                  <c:v>51.962588931033537</c:v>
                </c:pt>
                <c:pt idx="105">
                  <c:v>52.648371470958075</c:v>
                </c:pt>
                <c:pt idx="106">
                  <c:v>53.352549708548111</c:v>
                </c:pt>
                <c:pt idx="107">
                  <c:v>54.349382459013803</c:v>
                </c:pt>
                <c:pt idx="108">
                  <c:v>55.205689719374071</c:v>
                </c:pt>
                <c:pt idx="109">
                  <c:v>55.899737595305396</c:v>
                </c:pt>
                <c:pt idx="110">
                  <c:v>56.898504688290622</c:v>
                </c:pt>
                <c:pt idx="111">
                  <c:v>58.060506074653297</c:v>
                </c:pt>
                <c:pt idx="112">
                  <c:v>59.784247476076466</c:v>
                </c:pt>
                <c:pt idx="113">
                  <c:v>61.328531181246348</c:v>
                </c:pt>
                <c:pt idx="114">
                  <c:v>63.23344983978518</c:v>
                </c:pt>
                <c:pt idx="115">
                  <c:v>64.833548792703183</c:v>
                </c:pt>
                <c:pt idx="116">
                  <c:v>66.632508694210813</c:v>
                </c:pt>
                <c:pt idx="117">
                  <c:v>68.496647650401215</c:v>
                </c:pt>
                <c:pt idx="118">
                  <c:v>70.253498189165782</c:v>
                </c:pt>
                <c:pt idx="119">
                  <c:v>71.770563449962026</c:v>
                </c:pt>
                <c:pt idx="120">
                  <c:v>73.272041079166485</c:v>
                </c:pt>
                <c:pt idx="121">
                  <c:v>74.848736974541268</c:v>
                </c:pt>
                <c:pt idx="122">
                  <c:v>76.626735268143463</c:v>
                </c:pt>
                <c:pt idx="123">
                  <c:v>78.312017881283907</c:v>
                </c:pt>
                <c:pt idx="124">
                  <c:v>79.749577013948311</c:v>
                </c:pt>
                <c:pt idx="125">
                  <c:v>80.780983564184666</c:v>
                </c:pt>
                <c:pt idx="126">
                  <c:v>82.04200637802991</c:v>
                </c:pt>
                <c:pt idx="127">
                  <c:v>83.288703909185259</c:v>
                </c:pt>
                <c:pt idx="128">
                  <c:v>84.609269248645859</c:v>
                </c:pt>
                <c:pt idx="129">
                  <c:v>86.133656199057356</c:v>
                </c:pt>
                <c:pt idx="130">
                  <c:v>87.696425696476666</c:v>
                </c:pt>
                <c:pt idx="131">
                  <c:v>89.202102505979312</c:v>
                </c:pt>
                <c:pt idx="132">
                  <c:v>89.978020329271018</c:v>
                </c:pt>
                <c:pt idx="133">
                  <c:v>91.309621205298114</c:v>
                </c:pt>
                <c:pt idx="134">
                  <c:v>92.562952534647422</c:v>
                </c:pt>
                <c:pt idx="135">
                  <c:v>93.798351923382967</c:v>
                </c:pt>
                <c:pt idx="136">
                  <c:v>94.59380761991774</c:v>
                </c:pt>
                <c:pt idx="137">
                  <c:v>95.398618790033524</c:v>
                </c:pt>
                <c:pt idx="138">
                  <c:v>96.102072157183187</c:v>
                </c:pt>
                <c:pt idx="139">
                  <c:v>97.119383079400251</c:v>
                </c:pt>
                <c:pt idx="140">
                  <c:v>98.12924883605011</c:v>
                </c:pt>
                <c:pt idx="141">
                  <c:v>99.07124121742676</c:v>
                </c:pt>
                <c:pt idx="142">
                  <c:v>99.543252339392041</c:v>
                </c:pt>
                <c:pt idx="143">
                  <c:v>100</c:v>
                </c:pt>
                <c:pt idx="144">
                  <c:v>99.830335456368246</c:v>
                </c:pt>
                <c:pt idx="145">
                  <c:v>99.498769466145987</c:v>
                </c:pt>
                <c:pt idx="146">
                  <c:v>98.772917227857405</c:v>
                </c:pt>
                <c:pt idx="147">
                  <c:v>97.900399885428314</c:v>
                </c:pt>
                <c:pt idx="148">
                  <c:v>96.891503026076961</c:v>
                </c:pt>
                <c:pt idx="149">
                  <c:v>96.163865154522767</c:v>
                </c:pt>
                <c:pt idx="150">
                  <c:v>95.048576515398793</c:v>
                </c:pt>
                <c:pt idx="151">
                  <c:v>93.929936901822856</c:v>
                </c:pt>
                <c:pt idx="152">
                  <c:v>92.762182048322501</c:v>
                </c:pt>
                <c:pt idx="153">
                  <c:v>91.479856701047851</c:v>
                </c:pt>
                <c:pt idx="154">
                  <c:v>90.362062777054845</c:v>
                </c:pt>
                <c:pt idx="155">
                  <c:v>89.541331125505891</c:v>
                </c:pt>
                <c:pt idx="156">
                  <c:v>89.40055211670159</c:v>
                </c:pt>
                <c:pt idx="157">
                  <c:v>88.767749111573565</c:v>
                </c:pt>
                <c:pt idx="158">
                  <c:v>87.92528746155314</c:v>
                </c:pt>
                <c:pt idx="159">
                  <c:v>86.958502455456141</c:v>
                </c:pt>
                <c:pt idx="160">
                  <c:v>86.096418973414302</c:v>
                </c:pt>
                <c:pt idx="161">
                  <c:v>85.283864204484075</c:v>
                </c:pt>
                <c:pt idx="162">
                  <c:v>84.307715858886212</c:v>
                </c:pt>
                <c:pt idx="163">
                  <c:v>83.510315195305978</c:v>
                </c:pt>
                <c:pt idx="164">
                  <c:v>82.538041470470148</c:v>
                </c:pt>
                <c:pt idx="165">
                  <c:v>81.744602013878165</c:v>
                </c:pt>
                <c:pt idx="166">
                  <c:v>81.019219506105088</c:v>
                </c:pt>
                <c:pt idx="167">
                  <c:v>80.341774858316199</c:v>
                </c:pt>
                <c:pt idx="168">
                  <c:v>79.811727018401697</c:v>
                </c:pt>
                <c:pt idx="169">
                  <c:v>79.35355291397353</c:v>
                </c:pt>
                <c:pt idx="170">
                  <c:v>78.823263909059861</c:v>
                </c:pt>
                <c:pt idx="171">
                  <c:v>78.126821189780088</c:v>
                </c:pt>
                <c:pt idx="172">
                  <c:v>77.390524566494179</c:v>
                </c:pt>
                <c:pt idx="173">
                  <c:v>76.608582283270309</c:v>
                </c:pt>
                <c:pt idx="174">
                  <c:v>75.80134833655849</c:v>
                </c:pt>
                <c:pt idx="175">
                  <c:v>74.900632165848279</c:v>
                </c:pt>
                <c:pt idx="176">
                  <c:v>74.221896693670487</c:v>
                </c:pt>
                <c:pt idx="177">
                  <c:v>72.958829873132743</c:v>
                </c:pt>
                <c:pt idx="178">
                  <c:v>71.275616951795001</c:v>
                </c:pt>
                <c:pt idx="179">
                  <c:v>69.564840728477577</c:v>
                </c:pt>
                <c:pt idx="180">
                  <c:v>67.686614431267259</c:v>
                </c:pt>
                <c:pt idx="181">
                  <c:v>65.512305112893728</c:v>
                </c:pt>
                <c:pt idx="182">
                  <c:v>63.405492651616683</c:v>
                </c:pt>
                <c:pt idx="183">
                  <c:v>61.324245153166267</c:v>
                </c:pt>
                <c:pt idx="184">
                  <c:v>58.862807293168061</c:v>
                </c:pt>
                <c:pt idx="185">
                  <c:v>56.390069314942359</c:v>
                </c:pt>
                <c:pt idx="186">
                  <c:v>53.980740867056021</c:v>
                </c:pt>
                <c:pt idx="187">
                  <c:v>51.625412964455109</c:v>
                </c:pt>
                <c:pt idx="188">
                  <c:v>49.504785187149558</c:v>
                </c:pt>
                <c:pt idx="189">
                  <c:v>47.432151286685162</c:v>
                </c:pt>
                <c:pt idx="190">
                  <c:v>44.472532087946945</c:v>
                </c:pt>
                <c:pt idx="191">
                  <c:v>41.80221909257294</c:v>
                </c:pt>
                <c:pt idx="192">
                  <c:v>38.965986633352827</c:v>
                </c:pt>
                <c:pt idx="193">
                  <c:v>36.596051974890528</c:v>
                </c:pt>
                <c:pt idx="194">
                  <c:v>34.555024879243632</c:v>
                </c:pt>
                <c:pt idx="195">
                  <c:v>32.917113169211753</c:v>
                </c:pt>
                <c:pt idx="196">
                  <c:v>30.721099993868741</c:v>
                </c:pt>
                <c:pt idx="197">
                  <c:v>28.185887818434203</c:v>
                </c:pt>
                <c:pt idx="198">
                  <c:v>25.733686519351394</c:v>
                </c:pt>
                <c:pt idx="199">
                  <c:v>23.618203142141876</c:v>
                </c:pt>
                <c:pt idx="200">
                  <c:v>21.247346764179458</c:v>
                </c:pt>
                <c:pt idx="201">
                  <c:v>19.657552413129167</c:v>
                </c:pt>
                <c:pt idx="202">
                  <c:v>18.346498438451079</c:v>
                </c:pt>
                <c:pt idx="203">
                  <c:v>16.891517641422304</c:v>
                </c:pt>
                <c:pt idx="204">
                  <c:v>15.295028933798822</c:v>
                </c:pt>
                <c:pt idx="205">
                  <c:v>14.387222406007799</c:v>
                </c:pt>
                <c:pt idx="206">
                  <c:v>13.395874910487715</c:v>
                </c:pt>
                <c:pt idx="207">
                  <c:v>12.378205643088327</c:v>
                </c:pt>
                <c:pt idx="208">
                  <c:v>11.397213653026315</c:v>
                </c:pt>
                <c:pt idx="209">
                  <c:v>10.200509480638051</c:v>
                </c:pt>
                <c:pt idx="210">
                  <c:v>9.0314522793727683</c:v>
                </c:pt>
                <c:pt idx="211">
                  <c:v>7.4910639398500543</c:v>
                </c:pt>
                <c:pt idx="212">
                  <c:v>5.8826185734526408</c:v>
                </c:pt>
                <c:pt idx="213">
                  <c:v>4.4152615313659096</c:v>
                </c:pt>
                <c:pt idx="214">
                  <c:v>3.944834129131007</c:v>
                </c:pt>
                <c:pt idx="215">
                  <c:v>3.3719438687540051</c:v>
                </c:pt>
                <c:pt idx="216">
                  <c:v>2.8580241052647715</c:v>
                </c:pt>
                <c:pt idx="217">
                  <c:v>2.2851571060804852</c:v>
                </c:pt>
                <c:pt idx="218">
                  <c:v>1.6997924432026277</c:v>
                </c:pt>
                <c:pt idx="219">
                  <c:v>0.83588351889363999</c:v>
                </c:pt>
                <c:pt idx="220">
                  <c:v>0.62905825229761769</c:v>
                </c:pt>
                <c:pt idx="221">
                  <c:v>0.84596969174266767</c:v>
                </c:pt>
                <c:pt idx="222">
                  <c:v>1.1150290797913471</c:v>
                </c:pt>
                <c:pt idx="223">
                  <c:v>1.2023969062305291</c:v>
                </c:pt>
                <c:pt idx="224">
                  <c:v>1.3203338976426355</c:v>
                </c:pt>
                <c:pt idx="225">
                  <c:v>1.4848770762253607</c:v>
                </c:pt>
                <c:pt idx="226">
                  <c:v>1.5195028724439175</c:v>
                </c:pt>
                <c:pt idx="227">
                  <c:v>1.3752715382214658</c:v>
                </c:pt>
                <c:pt idx="228">
                  <c:v>1.6642025520148769</c:v>
                </c:pt>
                <c:pt idx="229">
                  <c:v>1.9125254610125917</c:v>
                </c:pt>
                <c:pt idx="230">
                  <c:v>2.1526903880985997</c:v>
                </c:pt>
                <c:pt idx="231">
                  <c:v>2.4744432912489014</c:v>
                </c:pt>
                <c:pt idx="232">
                  <c:v>2.7665777460953773</c:v>
                </c:pt>
                <c:pt idx="233">
                  <c:v>3.1762840014975153</c:v>
                </c:pt>
                <c:pt idx="234">
                  <c:v>3.4042134502967709</c:v>
                </c:pt>
                <c:pt idx="235">
                  <c:v>3.7140620090451826</c:v>
                </c:pt>
                <c:pt idx="236">
                  <c:v>4.011848978774454</c:v>
                </c:pt>
                <c:pt idx="237">
                  <c:v>4.1983783724546333</c:v>
                </c:pt>
                <c:pt idx="238">
                  <c:v>4.2203361885306929</c:v>
                </c:pt>
                <c:pt idx="239">
                  <c:v>4.1032338094556415</c:v>
                </c:pt>
                <c:pt idx="240">
                  <c:v>4.105920959775208</c:v>
                </c:pt>
                <c:pt idx="241">
                  <c:v>4.0226880058233929</c:v>
                </c:pt>
                <c:pt idx="242">
                  <c:v>3.7964488953804132</c:v>
                </c:pt>
                <c:pt idx="243">
                  <c:v>3.6383497784805354</c:v>
                </c:pt>
                <c:pt idx="244">
                  <c:v>3.5034404170245725</c:v>
                </c:pt>
                <c:pt idx="245">
                  <c:v>3.3709135197091387</c:v>
                </c:pt>
                <c:pt idx="246">
                  <c:v>3.1419932094204377</c:v>
                </c:pt>
                <c:pt idx="247">
                  <c:v>2.9735533258870661</c:v>
                </c:pt>
                <c:pt idx="248">
                  <c:v>2.6513320831483926</c:v>
                </c:pt>
                <c:pt idx="249">
                  <c:v>2.2548756770146805</c:v>
                </c:pt>
                <c:pt idx="250">
                  <c:v>1.8930755207959018</c:v>
                </c:pt>
                <c:pt idx="251">
                  <c:v>1.528424929924276</c:v>
                </c:pt>
                <c:pt idx="252">
                  <c:v>1.2277136535413293</c:v>
                </c:pt>
                <c:pt idx="253">
                  <c:v>0.83829248961849212</c:v>
                </c:pt>
                <c:pt idx="254">
                  <c:v>0.42257563091262329</c:v>
                </c:pt>
                <c:pt idx="255">
                  <c:v>0.22686229149641665</c:v>
                </c:pt>
                <c:pt idx="256">
                  <c:v>9.0886328978162734E-2</c:v>
                </c:pt>
                <c:pt idx="257">
                  <c:v>0</c:v>
                </c:pt>
                <c:pt idx="258">
                  <c:v>4.1528759048230168E-2</c:v>
                </c:pt>
                <c:pt idx="259">
                  <c:v>0.20526484284844124</c:v>
                </c:pt>
                <c:pt idx="260">
                  <c:v>0.398944993671073</c:v>
                </c:pt>
                <c:pt idx="261">
                  <c:v>0.65217057152232405</c:v>
                </c:pt>
                <c:pt idx="262">
                  <c:v>0.98374023050507264</c:v>
                </c:pt>
                <c:pt idx="263">
                  <c:v>1.691882067715073</c:v>
                </c:pt>
                <c:pt idx="264">
                  <c:v>2.2486338437682605</c:v>
                </c:pt>
                <c:pt idx="265">
                  <c:v>3.0052616245379715</c:v>
                </c:pt>
                <c:pt idx="266">
                  <c:v>3.7777436326833058</c:v>
                </c:pt>
                <c:pt idx="267">
                  <c:v>4.5949855986160166</c:v>
                </c:pt>
                <c:pt idx="268">
                  <c:v>5.3018500122935075</c:v>
                </c:pt>
                <c:pt idx="269">
                  <c:v>#N/A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Result!$Q$2</c:f>
              <c:strCache>
                <c:ptCount val="1"/>
                <c:pt idx="0">
                  <c:v>Cello CAI</c:v>
                </c:pt>
              </c:strCache>
            </c:strRef>
          </c:tx>
          <c:marker>
            <c:symbol val="none"/>
          </c:marker>
          <c:cat>
            <c:numRef>
              <c:f>Result!$M$3:$M$272</c:f>
              <c:numCache>
                <c:formatCode>m/d/yyyy</c:formatCode>
                <c:ptCount val="270"/>
                <c:pt idx="0">
                  <c:v>34335</c:v>
                </c:pt>
                <c:pt idx="1">
                  <c:v>34366</c:v>
                </c:pt>
                <c:pt idx="2">
                  <c:v>34394</c:v>
                </c:pt>
                <c:pt idx="3">
                  <c:v>34425</c:v>
                </c:pt>
                <c:pt idx="4">
                  <c:v>34455</c:v>
                </c:pt>
                <c:pt idx="5">
                  <c:v>34486</c:v>
                </c:pt>
                <c:pt idx="6">
                  <c:v>34516</c:v>
                </c:pt>
                <c:pt idx="7">
                  <c:v>34547</c:v>
                </c:pt>
                <c:pt idx="8">
                  <c:v>34578</c:v>
                </c:pt>
                <c:pt idx="9">
                  <c:v>34608</c:v>
                </c:pt>
                <c:pt idx="10">
                  <c:v>34639</c:v>
                </c:pt>
                <c:pt idx="11">
                  <c:v>34669</c:v>
                </c:pt>
                <c:pt idx="12">
                  <c:v>34700</c:v>
                </c:pt>
                <c:pt idx="13">
                  <c:v>34731</c:v>
                </c:pt>
                <c:pt idx="14">
                  <c:v>34759</c:v>
                </c:pt>
                <c:pt idx="15">
                  <c:v>34790</c:v>
                </c:pt>
                <c:pt idx="16">
                  <c:v>34820</c:v>
                </c:pt>
                <c:pt idx="17">
                  <c:v>34851</c:v>
                </c:pt>
                <c:pt idx="18">
                  <c:v>34881</c:v>
                </c:pt>
                <c:pt idx="19">
                  <c:v>34912</c:v>
                </c:pt>
                <c:pt idx="20">
                  <c:v>34943</c:v>
                </c:pt>
                <c:pt idx="21">
                  <c:v>34973</c:v>
                </c:pt>
                <c:pt idx="22">
                  <c:v>35004</c:v>
                </c:pt>
                <c:pt idx="23">
                  <c:v>35034</c:v>
                </c:pt>
                <c:pt idx="24">
                  <c:v>35065</c:v>
                </c:pt>
                <c:pt idx="25">
                  <c:v>35096</c:v>
                </c:pt>
                <c:pt idx="26">
                  <c:v>35125</c:v>
                </c:pt>
                <c:pt idx="27">
                  <c:v>35156</c:v>
                </c:pt>
                <c:pt idx="28">
                  <c:v>35186</c:v>
                </c:pt>
                <c:pt idx="29">
                  <c:v>35217</c:v>
                </c:pt>
                <c:pt idx="30">
                  <c:v>35247</c:v>
                </c:pt>
                <c:pt idx="31">
                  <c:v>35278</c:v>
                </c:pt>
                <c:pt idx="32">
                  <c:v>35309</c:v>
                </c:pt>
                <c:pt idx="33">
                  <c:v>35339</c:v>
                </c:pt>
                <c:pt idx="34">
                  <c:v>35370</c:v>
                </c:pt>
                <c:pt idx="35">
                  <c:v>35400</c:v>
                </c:pt>
                <c:pt idx="36">
                  <c:v>35431</c:v>
                </c:pt>
                <c:pt idx="37">
                  <c:v>35462</c:v>
                </c:pt>
                <c:pt idx="38">
                  <c:v>35490</c:v>
                </c:pt>
                <c:pt idx="39">
                  <c:v>35521</c:v>
                </c:pt>
                <c:pt idx="40">
                  <c:v>35551</c:v>
                </c:pt>
                <c:pt idx="41">
                  <c:v>35582</c:v>
                </c:pt>
                <c:pt idx="42">
                  <c:v>35612</c:v>
                </c:pt>
                <c:pt idx="43">
                  <c:v>35643</c:v>
                </c:pt>
                <c:pt idx="44">
                  <c:v>35674</c:v>
                </c:pt>
                <c:pt idx="45">
                  <c:v>35704</c:v>
                </c:pt>
                <c:pt idx="46">
                  <c:v>35735</c:v>
                </c:pt>
                <c:pt idx="47">
                  <c:v>35765</c:v>
                </c:pt>
                <c:pt idx="48">
                  <c:v>35796</c:v>
                </c:pt>
                <c:pt idx="49">
                  <c:v>35827</c:v>
                </c:pt>
                <c:pt idx="50">
                  <c:v>35855</c:v>
                </c:pt>
                <c:pt idx="51">
                  <c:v>35886</c:v>
                </c:pt>
                <c:pt idx="52">
                  <c:v>35916</c:v>
                </c:pt>
                <c:pt idx="53">
                  <c:v>35947</c:v>
                </c:pt>
                <c:pt idx="54">
                  <c:v>35977</c:v>
                </c:pt>
                <c:pt idx="55">
                  <c:v>36008</c:v>
                </c:pt>
                <c:pt idx="56">
                  <c:v>36039</c:v>
                </c:pt>
                <c:pt idx="57">
                  <c:v>36069</c:v>
                </c:pt>
                <c:pt idx="58">
                  <c:v>36100</c:v>
                </c:pt>
                <c:pt idx="59">
                  <c:v>36130</c:v>
                </c:pt>
                <c:pt idx="60">
                  <c:v>36161</c:v>
                </c:pt>
                <c:pt idx="61">
                  <c:v>36192</c:v>
                </c:pt>
                <c:pt idx="62">
                  <c:v>36220</c:v>
                </c:pt>
                <c:pt idx="63">
                  <c:v>36251</c:v>
                </c:pt>
                <c:pt idx="64">
                  <c:v>36281</c:v>
                </c:pt>
                <c:pt idx="65">
                  <c:v>36312</c:v>
                </c:pt>
                <c:pt idx="66">
                  <c:v>36342</c:v>
                </c:pt>
                <c:pt idx="67">
                  <c:v>36373</c:v>
                </c:pt>
                <c:pt idx="68">
                  <c:v>36404</c:v>
                </c:pt>
                <c:pt idx="69">
                  <c:v>36434</c:v>
                </c:pt>
                <c:pt idx="70">
                  <c:v>36465</c:v>
                </c:pt>
                <c:pt idx="71">
                  <c:v>36495</c:v>
                </c:pt>
                <c:pt idx="72">
                  <c:v>36526</c:v>
                </c:pt>
                <c:pt idx="73">
                  <c:v>36557</c:v>
                </c:pt>
                <c:pt idx="74">
                  <c:v>36586</c:v>
                </c:pt>
                <c:pt idx="75">
                  <c:v>36617</c:v>
                </c:pt>
                <c:pt idx="76">
                  <c:v>36647</c:v>
                </c:pt>
                <c:pt idx="77">
                  <c:v>36678</c:v>
                </c:pt>
                <c:pt idx="78">
                  <c:v>36708</c:v>
                </c:pt>
                <c:pt idx="79">
                  <c:v>36739</c:v>
                </c:pt>
                <c:pt idx="80">
                  <c:v>36770</c:v>
                </c:pt>
                <c:pt idx="81">
                  <c:v>36800</c:v>
                </c:pt>
                <c:pt idx="82">
                  <c:v>36831</c:v>
                </c:pt>
                <c:pt idx="83">
                  <c:v>36861</c:v>
                </c:pt>
                <c:pt idx="84">
                  <c:v>36892</c:v>
                </c:pt>
                <c:pt idx="85">
                  <c:v>36923</c:v>
                </c:pt>
                <c:pt idx="86">
                  <c:v>36951</c:v>
                </c:pt>
                <c:pt idx="87">
                  <c:v>36982</c:v>
                </c:pt>
                <c:pt idx="88">
                  <c:v>37012</c:v>
                </c:pt>
                <c:pt idx="89">
                  <c:v>37043</c:v>
                </c:pt>
                <c:pt idx="90">
                  <c:v>37073</c:v>
                </c:pt>
                <c:pt idx="91">
                  <c:v>37104</c:v>
                </c:pt>
                <c:pt idx="92">
                  <c:v>37135</c:v>
                </c:pt>
                <c:pt idx="93">
                  <c:v>37165</c:v>
                </c:pt>
                <c:pt idx="94">
                  <c:v>37196</c:v>
                </c:pt>
                <c:pt idx="95">
                  <c:v>37226</c:v>
                </c:pt>
                <c:pt idx="96">
                  <c:v>37257</c:v>
                </c:pt>
                <c:pt idx="97">
                  <c:v>37288</c:v>
                </c:pt>
                <c:pt idx="98">
                  <c:v>37316</c:v>
                </c:pt>
                <c:pt idx="99">
                  <c:v>37347</c:v>
                </c:pt>
                <c:pt idx="100">
                  <c:v>37377</c:v>
                </c:pt>
                <c:pt idx="101">
                  <c:v>37408</c:v>
                </c:pt>
                <c:pt idx="102">
                  <c:v>37438</c:v>
                </c:pt>
                <c:pt idx="103">
                  <c:v>37469</c:v>
                </c:pt>
                <c:pt idx="104">
                  <c:v>37500</c:v>
                </c:pt>
                <c:pt idx="105">
                  <c:v>37530</c:v>
                </c:pt>
                <c:pt idx="106">
                  <c:v>37561</c:v>
                </c:pt>
                <c:pt idx="107">
                  <c:v>37591</c:v>
                </c:pt>
                <c:pt idx="108">
                  <c:v>37622</c:v>
                </c:pt>
                <c:pt idx="109">
                  <c:v>37653</c:v>
                </c:pt>
                <c:pt idx="110">
                  <c:v>37681</c:v>
                </c:pt>
                <c:pt idx="111">
                  <c:v>37712</c:v>
                </c:pt>
                <c:pt idx="112">
                  <c:v>37742</c:v>
                </c:pt>
                <c:pt idx="113">
                  <c:v>37773</c:v>
                </c:pt>
                <c:pt idx="114">
                  <c:v>37803</c:v>
                </c:pt>
                <c:pt idx="115">
                  <c:v>37834</c:v>
                </c:pt>
                <c:pt idx="116">
                  <c:v>37865</c:v>
                </c:pt>
                <c:pt idx="117">
                  <c:v>37895</c:v>
                </c:pt>
                <c:pt idx="118">
                  <c:v>37926</c:v>
                </c:pt>
                <c:pt idx="119">
                  <c:v>37956</c:v>
                </c:pt>
                <c:pt idx="120">
                  <c:v>37987</c:v>
                </c:pt>
                <c:pt idx="121">
                  <c:v>38018</c:v>
                </c:pt>
                <c:pt idx="122">
                  <c:v>38047</c:v>
                </c:pt>
                <c:pt idx="123">
                  <c:v>38078</c:v>
                </c:pt>
                <c:pt idx="124">
                  <c:v>38108</c:v>
                </c:pt>
                <c:pt idx="125">
                  <c:v>38139</c:v>
                </c:pt>
                <c:pt idx="126">
                  <c:v>38169</c:v>
                </c:pt>
                <c:pt idx="127">
                  <c:v>38200</c:v>
                </c:pt>
                <c:pt idx="128">
                  <c:v>38231</c:v>
                </c:pt>
                <c:pt idx="129">
                  <c:v>38261</c:v>
                </c:pt>
                <c:pt idx="130">
                  <c:v>38292</c:v>
                </c:pt>
                <c:pt idx="131">
                  <c:v>38322</c:v>
                </c:pt>
                <c:pt idx="132">
                  <c:v>38353</c:v>
                </c:pt>
                <c:pt idx="133">
                  <c:v>38384</c:v>
                </c:pt>
                <c:pt idx="134">
                  <c:v>38412</c:v>
                </c:pt>
                <c:pt idx="135">
                  <c:v>38443</c:v>
                </c:pt>
                <c:pt idx="136">
                  <c:v>38473</c:v>
                </c:pt>
                <c:pt idx="137">
                  <c:v>38504</c:v>
                </c:pt>
                <c:pt idx="138">
                  <c:v>38534</c:v>
                </c:pt>
                <c:pt idx="139">
                  <c:v>38565</c:v>
                </c:pt>
                <c:pt idx="140">
                  <c:v>38596</c:v>
                </c:pt>
                <c:pt idx="141">
                  <c:v>38626</c:v>
                </c:pt>
                <c:pt idx="142">
                  <c:v>38657</c:v>
                </c:pt>
                <c:pt idx="143">
                  <c:v>38687</c:v>
                </c:pt>
                <c:pt idx="144">
                  <c:v>38718</c:v>
                </c:pt>
                <c:pt idx="145">
                  <c:v>38749</c:v>
                </c:pt>
                <c:pt idx="146">
                  <c:v>38777</c:v>
                </c:pt>
                <c:pt idx="147">
                  <c:v>38808</c:v>
                </c:pt>
                <c:pt idx="148">
                  <c:v>38838</c:v>
                </c:pt>
                <c:pt idx="149">
                  <c:v>38869</c:v>
                </c:pt>
                <c:pt idx="150">
                  <c:v>38899</c:v>
                </c:pt>
                <c:pt idx="151">
                  <c:v>38930</c:v>
                </c:pt>
                <c:pt idx="152">
                  <c:v>38961</c:v>
                </c:pt>
                <c:pt idx="153">
                  <c:v>38991</c:v>
                </c:pt>
                <c:pt idx="154">
                  <c:v>39022</c:v>
                </c:pt>
                <c:pt idx="155">
                  <c:v>39052</c:v>
                </c:pt>
                <c:pt idx="156">
                  <c:v>39083</c:v>
                </c:pt>
                <c:pt idx="157">
                  <c:v>39114</c:v>
                </c:pt>
                <c:pt idx="158">
                  <c:v>39142</c:v>
                </c:pt>
                <c:pt idx="159">
                  <c:v>39173</c:v>
                </c:pt>
                <c:pt idx="160">
                  <c:v>39203</c:v>
                </c:pt>
                <c:pt idx="161">
                  <c:v>39234</c:v>
                </c:pt>
                <c:pt idx="162">
                  <c:v>39264</c:v>
                </c:pt>
                <c:pt idx="163">
                  <c:v>39295</c:v>
                </c:pt>
                <c:pt idx="164">
                  <c:v>39326</c:v>
                </c:pt>
                <c:pt idx="165">
                  <c:v>39356</c:v>
                </c:pt>
                <c:pt idx="166">
                  <c:v>39387</c:v>
                </c:pt>
                <c:pt idx="167">
                  <c:v>39417</c:v>
                </c:pt>
                <c:pt idx="168">
                  <c:v>39448</c:v>
                </c:pt>
                <c:pt idx="169">
                  <c:v>39479</c:v>
                </c:pt>
                <c:pt idx="170">
                  <c:v>39508</c:v>
                </c:pt>
                <c:pt idx="171">
                  <c:v>39539</c:v>
                </c:pt>
                <c:pt idx="172">
                  <c:v>39569</c:v>
                </c:pt>
                <c:pt idx="173">
                  <c:v>39600</c:v>
                </c:pt>
                <c:pt idx="174">
                  <c:v>39630</c:v>
                </c:pt>
                <c:pt idx="175">
                  <c:v>39661</c:v>
                </c:pt>
                <c:pt idx="176">
                  <c:v>39692</c:v>
                </c:pt>
                <c:pt idx="177">
                  <c:v>39722</c:v>
                </c:pt>
                <c:pt idx="178">
                  <c:v>39753</c:v>
                </c:pt>
                <c:pt idx="179">
                  <c:v>39783</c:v>
                </c:pt>
                <c:pt idx="180">
                  <c:v>39814</c:v>
                </c:pt>
                <c:pt idx="181">
                  <c:v>39845</c:v>
                </c:pt>
                <c:pt idx="182">
                  <c:v>39873</c:v>
                </c:pt>
                <c:pt idx="183">
                  <c:v>39904</c:v>
                </c:pt>
                <c:pt idx="184">
                  <c:v>39934</c:v>
                </c:pt>
                <c:pt idx="185">
                  <c:v>39965</c:v>
                </c:pt>
                <c:pt idx="186">
                  <c:v>39995</c:v>
                </c:pt>
                <c:pt idx="187">
                  <c:v>40026</c:v>
                </c:pt>
                <c:pt idx="188">
                  <c:v>40057</c:v>
                </c:pt>
                <c:pt idx="189">
                  <c:v>40087</c:v>
                </c:pt>
                <c:pt idx="190">
                  <c:v>40118</c:v>
                </c:pt>
                <c:pt idx="191">
                  <c:v>40148</c:v>
                </c:pt>
                <c:pt idx="192">
                  <c:v>40179</c:v>
                </c:pt>
                <c:pt idx="193">
                  <c:v>40210</c:v>
                </c:pt>
                <c:pt idx="194">
                  <c:v>40238</c:v>
                </c:pt>
                <c:pt idx="195">
                  <c:v>40269</c:v>
                </c:pt>
                <c:pt idx="196">
                  <c:v>40299</c:v>
                </c:pt>
                <c:pt idx="197">
                  <c:v>40330</c:v>
                </c:pt>
                <c:pt idx="198">
                  <c:v>40360</c:v>
                </c:pt>
                <c:pt idx="199">
                  <c:v>40391</c:v>
                </c:pt>
                <c:pt idx="200">
                  <c:v>40422</c:v>
                </c:pt>
                <c:pt idx="201">
                  <c:v>40452</c:v>
                </c:pt>
                <c:pt idx="202">
                  <c:v>40483</c:v>
                </c:pt>
                <c:pt idx="203">
                  <c:v>40513</c:v>
                </c:pt>
                <c:pt idx="204">
                  <c:v>40544</c:v>
                </c:pt>
                <c:pt idx="205">
                  <c:v>40575</c:v>
                </c:pt>
                <c:pt idx="206">
                  <c:v>40603</c:v>
                </c:pt>
                <c:pt idx="207">
                  <c:v>40634</c:v>
                </c:pt>
                <c:pt idx="208">
                  <c:v>40664</c:v>
                </c:pt>
                <c:pt idx="209">
                  <c:v>40695</c:v>
                </c:pt>
                <c:pt idx="210">
                  <c:v>40725</c:v>
                </c:pt>
                <c:pt idx="211">
                  <c:v>40756</c:v>
                </c:pt>
                <c:pt idx="212">
                  <c:v>40787</c:v>
                </c:pt>
                <c:pt idx="213">
                  <c:v>40817</c:v>
                </c:pt>
                <c:pt idx="214">
                  <c:v>40848</c:v>
                </c:pt>
                <c:pt idx="215">
                  <c:v>40878</c:v>
                </c:pt>
                <c:pt idx="216">
                  <c:v>40909</c:v>
                </c:pt>
                <c:pt idx="217">
                  <c:v>40940</c:v>
                </c:pt>
                <c:pt idx="218">
                  <c:v>40969</c:v>
                </c:pt>
                <c:pt idx="219">
                  <c:v>41000</c:v>
                </c:pt>
                <c:pt idx="220">
                  <c:v>41030</c:v>
                </c:pt>
                <c:pt idx="221">
                  <c:v>41061</c:v>
                </c:pt>
                <c:pt idx="222">
                  <c:v>41091</c:v>
                </c:pt>
                <c:pt idx="223">
                  <c:v>41122</c:v>
                </c:pt>
                <c:pt idx="224">
                  <c:v>41153</c:v>
                </c:pt>
                <c:pt idx="225">
                  <c:v>41183</c:v>
                </c:pt>
                <c:pt idx="226">
                  <c:v>41214</c:v>
                </c:pt>
                <c:pt idx="227">
                  <c:v>41244</c:v>
                </c:pt>
                <c:pt idx="228">
                  <c:v>41275</c:v>
                </c:pt>
                <c:pt idx="229">
                  <c:v>41306</c:v>
                </c:pt>
                <c:pt idx="230">
                  <c:v>41334</c:v>
                </c:pt>
                <c:pt idx="231">
                  <c:v>41365</c:v>
                </c:pt>
                <c:pt idx="232">
                  <c:v>41395</c:v>
                </c:pt>
                <c:pt idx="233">
                  <c:v>41426</c:v>
                </c:pt>
                <c:pt idx="234">
                  <c:v>41456</c:v>
                </c:pt>
                <c:pt idx="235">
                  <c:v>41487</c:v>
                </c:pt>
                <c:pt idx="236">
                  <c:v>41518</c:v>
                </c:pt>
                <c:pt idx="237">
                  <c:v>41548</c:v>
                </c:pt>
                <c:pt idx="238">
                  <c:v>41579</c:v>
                </c:pt>
                <c:pt idx="239">
                  <c:v>41609</c:v>
                </c:pt>
                <c:pt idx="240">
                  <c:v>41640</c:v>
                </c:pt>
                <c:pt idx="241">
                  <c:v>41671</c:v>
                </c:pt>
                <c:pt idx="242">
                  <c:v>41699</c:v>
                </c:pt>
                <c:pt idx="243">
                  <c:v>41730</c:v>
                </c:pt>
                <c:pt idx="244">
                  <c:v>41760</c:v>
                </c:pt>
                <c:pt idx="245">
                  <c:v>41791</c:v>
                </c:pt>
                <c:pt idx="246">
                  <c:v>41821</c:v>
                </c:pt>
                <c:pt idx="247">
                  <c:v>41852</c:v>
                </c:pt>
                <c:pt idx="248">
                  <c:v>41883</c:v>
                </c:pt>
                <c:pt idx="249">
                  <c:v>41913</c:v>
                </c:pt>
                <c:pt idx="250">
                  <c:v>41944</c:v>
                </c:pt>
                <c:pt idx="251">
                  <c:v>41974</c:v>
                </c:pt>
                <c:pt idx="252">
                  <c:v>42005</c:v>
                </c:pt>
                <c:pt idx="253">
                  <c:v>42036</c:v>
                </c:pt>
                <c:pt idx="254">
                  <c:v>42064</c:v>
                </c:pt>
                <c:pt idx="255">
                  <c:v>42095</c:v>
                </c:pt>
                <c:pt idx="256">
                  <c:v>42125</c:v>
                </c:pt>
                <c:pt idx="257">
                  <c:v>42156</c:v>
                </c:pt>
                <c:pt idx="258">
                  <c:v>42186</c:v>
                </c:pt>
                <c:pt idx="259">
                  <c:v>42217</c:v>
                </c:pt>
                <c:pt idx="260">
                  <c:v>42248</c:v>
                </c:pt>
                <c:pt idx="261">
                  <c:v>42278</c:v>
                </c:pt>
                <c:pt idx="262">
                  <c:v>42309</c:v>
                </c:pt>
                <c:pt idx="263">
                  <c:v>42339</c:v>
                </c:pt>
                <c:pt idx="264">
                  <c:v>42370</c:v>
                </c:pt>
                <c:pt idx="265">
                  <c:v>42401</c:v>
                </c:pt>
                <c:pt idx="266">
                  <c:v>42430</c:v>
                </c:pt>
                <c:pt idx="267">
                  <c:v>42461</c:v>
                </c:pt>
                <c:pt idx="268">
                  <c:v>42491</c:v>
                </c:pt>
                <c:pt idx="269">
                  <c:v>42522</c:v>
                </c:pt>
              </c:numCache>
            </c:numRef>
          </c:cat>
          <c:val>
            <c:numRef>
              <c:f>Result!$Q$3:$Q$272</c:f>
              <c:numCache>
                <c:formatCode>0.00</c:formatCode>
                <c:ptCount val="27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32.255883907725668</c:v>
                </c:pt>
                <c:pt idx="113">
                  <c:v>29.721506647115714</c:v>
                </c:pt>
                <c:pt idx="114">
                  <c:v>30.716856440674444</c:v>
                </c:pt>
                <c:pt idx="115">
                  <c:v>31.041288278385014</c:v>
                </c:pt>
                <c:pt idx="116">
                  <c:v>28.061175631347989</c:v>
                </c:pt>
                <c:pt idx="117">
                  <c:v>25.148703556478786</c:v>
                </c:pt>
                <c:pt idx="118">
                  <c:v>25.674880954635924</c:v>
                </c:pt>
                <c:pt idx="119">
                  <c:v>26.354018178667303</c:v>
                </c:pt>
                <c:pt idx="120">
                  <c:v>32.325551227757757</c:v>
                </c:pt>
                <c:pt idx="121">
                  <c:v>36.921368831113341</c:v>
                </c:pt>
                <c:pt idx="122">
                  <c:v>40.887271993770852</c:v>
                </c:pt>
                <c:pt idx="123">
                  <c:v>44.583210329399392</c:v>
                </c:pt>
                <c:pt idx="124">
                  <c:v>48.164013581574864</c:v>
                </c:pt>
                <c:pt idx="125">
                  <c:v>49.617487588808004</c:v>
                </c:pt>
                <c:pt idx="126">
                  <c:v>50.352795796965403</c:v>
                </c:pt>
                <c:pt idx="127">
                  <c:v>52.117478543536762</c:v>
                </c:pt>
                <c:pt idx="128">
                  <c:v>54.331972412776594</c:v>
                </c:pt>
                <c:pt idx="129">
                  <c:v>56.046842760675183</c:v>
                </c:pt>
                <c:pt idx="130">
                  <c:v>57.777017142353223</c:v>
                </c:pt>
                <c:pt idx="131">
                  <c:v>59.010785971165582</c:v>
                </c:pt>
                <c:pt idx="132">
                  <c:v>60.891482139751552</c:v>
                </c:pt>
                <c:pt idx="133">
                  <c:v>62.417542571424399</c:v>
                </c:pt>
                <c:pt idx="134">
                  <c:v>63.813726107912238</c:v>
                </c:pt>
                <c:pt idx="135">
                  <c:v>65.12367484772534</c:v>
                </c:pt>
                <c:pt idx="136">
                  <c:v>67.066662393776937</c:v>
                </c:pt>
                <c:pt idx="137">
                  <c:v>69.819880492340729</c:v>
                </c:pt>
                <c:pt idx="138">
                  <c:v>72.464603620974472</c:v>
                </c:pt>
                <c:pt idx="139">
                  <c:v>75.30708494222938</c:v>
                </c:pt>
                <c:pt idx="140">
                  <c:v>78.150800558440707</c:v>
                </c:pt>
                <c:pt idx="141">
                  <c:v>81.531766613770202</c:v>
                </c:pt>
                <c:pt idx="142">
                  <c:v>84.259364430332482</c:v>
                </c:pt>
                <c:pt idx="143">
                  <c:v>86.324275535440165</c:v>
                </c:pt>
                <c:pt idx="144">
                  <c:v>86.800825044481044</c:v>
                </c:pt>
                <c:pt idx="145">
                  <c:v>87.566803951614972</c:v>
                </c:pt>
                <c:pt idx="146">
                  <c:v>88.470339519045169</c:v>
                </c:pt>
                <c:pt idx="147">
                  <c:v>89.037846538495401</c:v>
                </c:pt>
                <c:pt idx="148">
                  <c:v>89.399356906179278</c:v>
                </c:pt>
                <c:pt idx="149">
                  <c:v>90.461586788439419</c:v>
                </c:pt>
                <c:pt idx="150">
                  <c:v>92.251468256032155</c:v>
                </c:pt>
                <c:pt idx="151">
                  <c:v>93.460401472614436</c:v>
                </c:pt>
                <c:pt idx="152">
                  <c:v>94.821733877602668</c:v>
                </c:pt>
                <c:pt idx="153">
                  <c:v>96.778071458915022</c:v>
                </c:pt>
                <c:pt idx="154">
                  <c:v>98.050675092536906</c:v>
                </c:pt>
                <c:pt idx="155">
                  <c:v>100</c:v>
                </c:pt>
                <c:pt idx="156">
                  <c:v>98.830990897339959</c:v>
                </c:pt>
                <c:pt idx="157">
                  <c:v>97.740432882168776</c:v>
                </c:pt>
                <c:pt idx="158">
                  <c:v>96.477602825172255</c:v>
                </c:pt>
                <c:pt idx="159">
                  <c:v>95.599918353649826</c:v>
                </c:pt>
                <c:pt idx="160">
                  <c:v>95.416445687244646</c:v>
                </c:pt>
                <c:pt idx="161">
                  <c:v>94.714821690904998</c:v>
                </c:pt>
                <c:pt idx="162">
                  <c:v>94.100663320376128</c:v>
                </c:pt>
                <c:pt idx="163">
                  <c:v>92.605852300302217</c:v>
                </c:pt>
                <c:pt idx="164">
                  <c:v>92.309006502264722</c:v>
                </c:pt>
                <c:pt idx="165">
                  <c:v>92.387966278408072</c:v>
                </c:pt>
                <c:pt idx="166">
                  <c:v>92.290376817782004</c:v>
                </c:pt>
                <c:pt idx="167">
                  <c:v>92.596640316867479</c:v>
                </c:pt>
                <c:pt idx="168">
                  <c:v>91.411674774036229</c:v>
                </c:pt>
                <c:pt idx="169">
                  <c:v>89.845973386896475</c:v>
                </c:pt>
                <c:pt idx="170">
                  <c:v>88.403500268475995</c:v>
                </c:pt>
                <c:pt idx="171">
                  <c:v>86.357551455305455</c:v>
                </c:pt>
                <c:pt idx="172">
                  <c:v>84.226376896217985</c:v>
                </c:pt>
                <c:pt idx="173">
                  <c:v>81.897643571154759</c:v>
                </c:pt>
                <c:pt idx="174">
                  <c:v>78.91609233788553</c:v>
                </c:pt>
                <c:pt idx="175">
                  <c:v>75.550826746832143</c:v>
                </c:pt>
                <c:pt idx="176">
                  <c:v>71.61018668546555</c:v>
                </c:pt>
                <c:pt idx="177">
                  <c:v>67.303702050476005</c:v>
                </c:pt>
                <c:pt idx="178">
                  <c:v>64.028917078259383</c:v>
                </c:pt>
                <c:pt idx="179">
                  <c:v>59.667252699532902</c:v>
                </c:pt>
                <c:pt idx="180">
                  <c:v>57.971796776881099</c:v>
                </c:pt>
                <c:pt idx="181">
                  <c:v>56.596818607391377</c:v>
                </c:pt>
                <c:pt idx="182">
                  <c:v>54.780139459116725</c:v>
                </c:pt>
                <c:pt idx="183">
                  <c:v>52.315111031097075</c:v>
                </c:pt>
                <c:pt idx="184">
                  <c:v>49.996883645304209</c:v>
                </c:pt>
                <c:pt idx="185">
                  <c:v>47.280583442941463</c:v>
                </c:pt>
                <c:pt idx="186">
                  <c:v>44.228921573212382</c:v>
                </c:pt>
                <c:pt idx="187">
                  <c:v>41.646313254732611</c:v>
                </c:pt>
                <c:pt idx="188">
                  <c:v>38.881825293151905</c:v>
                </c:pt>
                <c:pt idx="189">
                  <c:v>35.513271095487745</c:v>
                </c:pt>
                <c:pt idx="190">
                  <c:v>32.313699011299654</c:v>
                </c:pt>
                <c:pt idx="191">
                  <c:v>29.169083718441101</c:v>
                </c:pt>
                <c:pt idx="192">
                  <c:v>26.922379664929952</c:v>
                </c:pt>
                <c:pt idx="193">
                  <c:v>24.546079301460129</c:v>
                </c:pt>
                <c:pt idx="194">
                  <c:v>21.726487440111896</c:v>
                </c:pt>
                <c:pt idx="195">
                  <c:v>19.694350565842132</c:v>
                </c:pt>
                <c:pt idx="196">
                  <c:v>17.700156926483494</c:v>
                </c:pt>
                <c:pt idx="197">
                  <c:v>16.082306067263239</c:v>
                </c:pt>
                <c:pt idx="198">
                  <c:v>14.899327939527579</c:v>
                </c:pt>
                <c:pt idx="199">
                  <c:v>13.987807680252171</c:v>
                </c:pt>
                <c:pt idx="200">
                  <c:v>12.939369913804475</c:v>
                </c:pt>
                <c:pt idx="201">
                  <c:v>11.788905422277688</c:v>
                </c:pt>
                <c:pt idx="202">
                  <c:v>10.085837478165331</c:v>
                </c:pt>
                <c:pt idx="203">
                  <c:v>9.1022322250759942</c:v>
                </c:pt>
                <c:pt idx="204">
                  <c:v>7.6923233661353843</c:v>
                </c:pt>
                <c:pt idx="205">
                  <c:v>5.8838981679744915</c:v>
                </c:pt>
                <c:pt idx="206">
                  <c:v>4.8674205593986297</c:v>
                </c:pt>
                <c:pt idx="207">
                  <c:v>4.0698959593967707</c:v>
                </c:pt>
                <c:pt idx="208">
                  <c:v>3.2766243796231507</c:v>
                </c:pt>
                <c:pt idx="209">
                  <c:v>2.7798764428380753</c:v>
                </c:pt>
                <c:pt idx="210">
                  <c:v>2.5542655331998434</c:v>
                </c:pt>
                <c:pt idx="211">
                  <c:v>2.5518332027030448</c:v>
                </c:pt>
                <c:pt idx="212">
                  <c:v>2.1383637372303532</c:v>
                </c:pt>
                <c:pt idx="213">
                  <c:v>1.8320243748420777</c:v>
                </c:pt>
                <c:pt idx="214">
                  <c:v>1.38073288322544</c:v>
                </c:pt>
                <c:pt idx="215">
                  <c:v>0.90039414386159333</c:v>
                </c:pt>
                <c:pt idx="216">
                  <c:v>0.53005456172918841</c:v>
                </c:pt>
                <c:pt idx="217">
                  <c:v>0.44840440867094039</c:v>
                </c:pt>
                <c:pt idx="218">
                  <c:v>0.44948164487347381</c:v>
                </c:pt>
                <c:pt idx="219">
                  <c:v>0.37313008393368707</c:v>
                </c:pt>
                <c:pt idx="220">
                  <c:v>0.24646377695480837</c:v>
                </c:pt>
                <c:pt idx="221">
                  <c:v>0.2646001711768014</c:v>
                </c:pt>
                <c:pt idx="222">
                  <c:v>0.15101420239425467</c:v>
                </c:pt>
                <c:pt idx="223">
                  <c:v>5.1286017198183091E-3</c:v>
                </c:pt>
                <c:pt idx="224">
                  <c:v>0</c:v>
                </c:pt>
                <c:pt idx="225">
                  <c:v>1.0985824997374364E-2</c:v>
                </c:pt>
                <c:pt idx="226">
                  <c:v>0.15843726462362034</c:v>
                </c:pt>
                <c:pt idx="227">
                  <c:v>0.27059386962954912</c:v>
                </c:pt>
                <c:pt idx="228">
                  <c:v>0.5364778569118398</c:v>
                </c:pt>
                <c:pt idx="229">
                  <c:v>0.96312629019253171</c:v>
                </c:pt>
                <c:pt idx="230">
                  <c:v>1.2290867733022615</c:v>
                </c:pt>
                <c:pt idx="231">
                  <c:v>1.5196741236248694</c:v>
                </c:pt>
                <c:pt idx="232">
                  <c:v>1.7155250234918162</c:v>
                </c:pt>
                <c:pt idx="233">
                  <c:v>2.0562964145531879</c:v>
                </c:pt>
                <c:pt idx="234">
                  <c:v>2.1126492029998936</c:v>
                </c:pt>
                <c:pt idx="235">
                  <c:v>1.9454916041578494</c:v>
                </c:pt>
                <c:pt idx="236">
                  <c:v>1.9885193806313868</c:v>
                </c:pt>
                <c:pt idx="237">
                  <c:v>2.0513973378057204</c:v>
                </c:pt>
                <c:pt idx="238">
                  <c:v>2.2889019054249666</c:v>
                </c:pt>
                <c:pt idx="239">
                  <c:v>2.895252324830949</c:v>
                </c:pt>
                <c:pt idx="240">
                  <c:v>3.4426851775851133</c:v>
                </c:pt>
                <c:pt idx="241">
                  <c:v>3.8736596144642523</c:v>
                </c:pt>
                <c:pt idx="242">
                  <c:v>4.4856400081238936</c:v>
                </c:pt>
                <c:pt idx="243">
                  <c:v>5.2438810102131521</c:v>
                </c:pt>
                <c:pt idx="244">
                  <c:v>6.0095656709717744</c:v>
                </c:pt>
                <c:pt idx="245">
                  <c:v>6.7436964055568902</c:v>
                </c:pt>
                <c:pt idx="246">
                  <c:v>7.5783098796025721</c:v>
                </c:pt>
                <c:pt idx="247">
                  <c:v>8.3012795187366226</c:v>
                </c:pt>
                <c:pt idx="248">
                  <c:v>8.9859964985894916</c:v>
                </c:pt>
                <c:pt idx="249">
                  <c:v>9.7776926741008428</c:v>
                </c:pt>
                <c:pt idx="250">
                  <c:v>10.478010700204534</c:v>
                </c:pt>
                <c:pt idx="251">
                  <c:v>11.296121537117944</c:v>
                </c:pt>
                <c:pt idx="252">
                  <c:v>12.119382232106412</c:v>
                </c:pt>
                <c:pt idx="253">
                  <c:v>13.049406702359365</c:v>
                </c:pt>
                <c:pt idx="254">
                  <c:v>14.077783989462276</c:v>
                </c:pt>
                <c:pt idx="255">
                  <c:v>14.831200115836054</c:v>
                </c:pt>
                <c:pt idx="256">
                  <c:v>15.483867925768813</c:v>
                </c:pt>
                <c:pt idx="257">
                  <c:v>16.098193123532564</c:v>
                </c:pt>
                <c:pt idx="258">
                  <c:v>16.595664609855852</c:v>
                </c:pt>
                <c:pt idx="259">
                  <c:v>17.302135117542527</c:v>
                </c:pt>
                <c:pt idx="260">
                  <c:v>17.954245985056893</c:v>
                </c:pt>
                <c:pt idx="261">
                  <c:v>18.536014210990928</c:v>
                </c:pt>
                <c:pt idx="262">
                  <c:v>18.985530136198822</c:v>
                </c:pt>
                <c:pt idx="263">
                  <c:v>19.290288759459965</c:v>
                </c:pt>
                <c:pt idx="264">
                  <c:v>19.413122646012603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1919104"/>
        <c:axId val="261921024"/>
      </c:lineChart>
      <c:dateAx>
        <c:axId val="26191910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261921024"/>
        <c:crosses val="autoZero"/>
        <c:auto val="1"/>
        <c:lblOffset val="100"/>
        <c:baseTimeUnit val="months"/>
      </c:dateAx>
      <c:valAx>
        <c:axId val="261921024"/>
        <c:scaling>
          <c:orientation val="minMax"/>
          <c:max val="100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26191910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'MBA CA Index'!$B$1</c:f>
              <c:strCache>
                <c:ptCount val="1"/>
                <c:pt idx="0">
                  <c:v>MCAI</c:v>
                </c:pt>
              </c:strCache>
            </c:strRef>
          </c:tx>
          <c:marker>
            <c:symbol val="none"/>
          </c:marker>
          <c:cat>
            <c:numRef>
              <c:f>'MBA CA Index'!$A$2:$A$144</c:f>
              <c:numCache>
                <c:formatCode>m/d/yyyy</c:formatCode>
                <c:ptCount val="143"/>
                <c:pt idx="0">
                  <c:v>38139</c:v>
                </c:pt>
                <c:pt idx="1">
                  <c:v>38169</c:v>
                </c:pt>
                <c:pt idx="2">
                  <c:v>38200</c:v>
                </c:pt>
                <c:pt idx="3">
                  <c:v>38231</c:v>
                </c:pt>
                <c:pt idx="4">
                  <c:v>38261</c:v>
                </c:pt>
                <c:pt idx="5">
                  <c:v>38292</c:v>
                </c:pt>
                <c:pt idx="6">
                  <c:v>38322</c:v>
                </c:pt>
                <c:pt idx="7">
                  <c:v>38353</c:v>
                </c:pt>
                <c:pt idx="8">
                  <c:v>38384</c:v>
                </c:pt>
                <c:pt idx="9">
                  <c:v>38412</c:v>
                </c:pt>
                <c:pt idx="10">
                  <c:v>38443</c:v>
                </c:pt>
                <c:pt idx="11">
                  <c:v>38473</c:v>
                </c:pt>
                <c:pt idx="12">
                  <c:v>38504</c:v>
                </c:pt>
                <c:pt idx="13">
                  <c:v>38534</c:v>
                </c:pt>
                <c:pt idx="14">
                  <c:v>38565</c:v>
                </c:pt>
                <c:pt idx="15">
                  <c:v>38596</c:v>
                </c:pt>
                <c:pt idx="16">
                  <c:v>38626</c:v>
                </c:pt>
                <c:pt idx="17">
                  <c:v>38657</c:v>
                </c:pt>
                <c:pt idx="18">
                  <c:v>38687</c:v>
                </c:pt>
                <c:pt idx="19">
                  <c:v>38718</c:v>
                </c:pt>
                <c:pt idx="20">
                  <c:v>38749</c:v>
                </c:pt>
                <c:pt idx="21">
                  <c:v>38777</c:v>
                </c:pt>
                <c:pt idx="22">
                  <c:v>38808</c:v>
                </c:pt>
                <c:pt idx="23">
                  <c:v>38838</c:v>
                </c:pt>
                <c:pt idx="24">
                  <c:v>38869</c:v>
                </c:pt>
                <c:pt idx="25">
                  <c:v>38899</c:v>
                </c:pt>
                <c:pt idx="26">
                  <c:v>38930</c:v>
                </c:pt>
                <c:pt idx="27">
                  <c:v>38961</c:v>
                </c:pt>
                <c:pt idx="28">
                  <c:v>38991</c:v>
                </c:pt>
                <c:pt idx="29">
                  <c:v>39022</c:v>
                </c:pt>
                <c:pt idx="30">
                  <c:v>39052</c:v>
                </c:pt>
                <c:pt idx="31">
                  <c:v>39083</c:v>
                </c:pt>
                <c:pt idx="32">
                  <c:v>39114</c:v>
                </c:pt>
                <c:pt idx="33">
                  <c:v>39142</c:v>
                </c:pt>
                <c:pt idx="34">
                  <c:v>39173</c:v>
                </c:pt>
                <c:pt idx="35">
                  <c:v>39203</c:v>
                </c:pt>
                <c:pt idx="36">
                  <c:v>39234</c:v>
                </c:pt>
                <c:pt idx="37">
                  <c:v>39264</c:v>
                </c:pt>
                <c:pt idx="38">
                  <c:v>39295</c:v>
                </c:pt>
                <c:pt idx="39">
                  <c:v>39326</c:v>
                </c:pt>
                <c:pt idx="40">
                  <c:v>39356</c:v>
                </c:pt>
                <c:pt idx="41">
                  <c:v>39387</c:v>
                </c:pt>
                <c:pt idx="42">
                  <c:v>39417</c:v>
                </c:pt>
                <c:pt idx="43">
                  <c:v>39448</c:v>
                </c:pt>
                <c:pt idx="44">
                  <c:v>39479</c:v>
                </c:pt>
                <c:pt idx="45">
                  <c:v>39508</c:v>
                </c:pt>
                <c:pt idx="46">
                  <c:v>39539</c:v>
                </c:pt>
                <c:pt idx="47">
                  <c:v>39569</c:v>
                </c:pt>
                <c:pt idx="48">
                  <c:v>39600</c:v>
                </c:pt>
                <c:pt idx="49">
                  <c:v>39630</c:v>
                </c:pt>
                <c:pt idx="50">
                  <c:v>39661</c:v>
                </c:pt>
                <c:pt idx="51">
                  <c:v>39692</c:v>
                </c:pt>
                <c:pt idx="52">
                  <c:v>39722</c:v>
                </c:pt>
                <c:pt idx="53">
                  <c:v>39753</c:v>
                </c:pt>
                <c:pt idx="54">
                  <c:v>39783</c:v>
                </c:pt>
                <c:pt idx="55">
                  <c:v>39814</c:v>
                </c:pt>
                <c:pt idx="56">
                  <c:v>39845</c:v>
                </c:pt>
                <c:pt idx="57">
                  <c:v>39873</c:v>
                </c:pt>
                <c:pt idx="58">
                  <c:v>39904</c:v>
                </c:pt>
                <c:pt idx="59">
                  <c:v>39934</c:v>
                </c:pt>
                <c:pt idx="60">
                  <c:v>39965</c:v>
                </c:pt>
                <c:pt idx="61">
                  <c:v>39995</c:v>
                </c:pt>
                <c:pt idx="62">
                  <c:v>40026</c:v>
                </c:pt>
                <c:pt idx="63">
                  <c:v>40057</c:v>
                </c:pt>
                <c:pt idx="64">
                  <c:v>40087</c:v>
                </c:pt>
                <c:pt idx="65">
                  <c:v>40118</c:v>
                </c:pt>
                <c:pt idx="66">
                  <c:v>40148</c:v>
                </c:pt>
                <c:pt idx="67">
                  <c:v>40179</c:v>
                </c:pt>
                <c:pt idx="68">
                  <c:v>40210</c:v>
                </c:pt>
                <c:pt idx="69">
                  <c:v>40238</c:v>
                </c:pt>
                <c:pt idx="70">
                  <c:v>40269</c:v>
                </c:pt>
                <c:pt idx="71">
                  <c:v>40299</c:v>
                </c:pt>
                <c:pt idx="72">
                  <c:v>40330</c:v>
                </c:pt>
                <c:pt idx="73">
                  <c:v>40360</c:v>
                </c:pt>
                <c:pt idx="74">
                  <c:v>40391</c:v>
                </c:pt>
                <c:pt idx="75">
                  <c:v>40422</c:v>
                </c:pt>
                <c:pt idx="76">
                  <c:v>40452</c:v>
                </c:pt>
                <c:pt idx="77">
                  <c:v>40483</c:v>
                </c:pt>
                <c:pt idx="78">
                  <c:v>40513</c:v>
                </c:pt>
                <c:pt idx="79">
                  <c:v>40544</c:v>
                </c:pt>
                <c:pt idx="80">
                  <c:v>40575</c:v>
                </c:pt>
                <c:pt idx="81">
                  <c:v>40603</c:v>
                </c:pt>
                <c:pt idx="82">
                  <c:v>40634</c:v>
                </c:pt>
                <c:pt idx="83">
                  <c:v>40664</c:v>
                </c:pt>
                <c:pt idx="84">
                  <c:v>40695</c:v>
                </c:pt>
                <c:pt idx="85">
                  <c:v>40725</c:v>
                </c:pt>
                <c:pt idx="86">
                  <c:v>40756</c:v>
                </c:pt>
                <c:pt idx="87">
                  <c:v>40787</c:v>
                </c:pt>
                <c:pt idx="88">
                  <c:v>40817</c:v>
                </c:pt>
                <c:pt idx="89">
                  <c:v>40848</c:v>
                </c:pt>
                <c:pt idx="90">
                  <c:v>40878</c:v>
                </c:pt>
                <c:pt idx="91">
                  <c:v>40909</c:v>
                </c:pt>
                <c:pt idx="92">
                  <c:v>40940</c:v>
                </c:pt>
                <c:pt idx="93">
                  <c:v>40969</c:v>
                </c:pt>
                <c:pt idx="94">
                  <c:v>41000</c:v>
                </c:pt>
                <c:pt idx="95">
                  <c:v>41030</c:v>
                </c:pt>
                <c:pt idx="96">
                  <c:v>41061</c:v>
                </c:pt>
                <c:pt idx="97">
                  <c:v>41091</c:v>
                </c:pt>
                <c:pt idx="98">
                  <c:v>41122</c:v>
                </c:pt>
                <c:pt idx="99">
                  <c:v>41153</c:v>
                </c:pt>
                <c:pt idx="100">
                  <c:v>41183</c:v>
                </c:pt>
                <c:pt idx="101">
                  <c:v>41214</c:v>
                </c:pt>
                <c:pt idx="102">
                  <c:v>41244</c:v>
                </c:pt>
                <c:pt idx="103">
                  <c:v>41275</c:v>
                </c:pt>
                <c:pt idx="104">
                  <c:v>41306</c:v>
                </c:pt>
                <c:pt idx="105">
                  <c:v>41334</c:v>
                </c:pt>
                <c:pt idx="106">
                  <c:v>41365</c:v>
                </c:pt>
                <c:pt idx="107">
                  <c:v>41395</c:v>
                </c:pt>
                <c:pt idx="108">
                  <c:v>41426</c:v>
                </c:pt>
                <c:pt idx="109">
                  <c:v>41456</c:v>
                </c:pt>
                <c:pt idx="110">
                  <c:v>41487</c:v>
                </c:pt>
                <c:pt idx="111">
                  <c:v>41518</c:v>
                </c:pt>
                <c:pt idx="112">
                  <c:v>41548</c:v>
                </c:pt>
                <c:pt idx="113">
                  <c:v>41579</c:v>
                </c:pt>
                <c:pt idx="114">
                  <c:v>41609</c:v>
                </c:pt>
                <c:pt idx="115">
                  <c:v>41640</c:v>
                </c:pt>
                <c:pt idx="116">
                  <c:v>41671</c:v>
                </c:pt>
                <c:pt idx="117">
                  <c:v>41699</c:v>
                </c:pt>
                <c:pt idx="118">
                  <c:v>41730</c:v>
                </c:pt>
                <c:pt idx="119">
                  <c:v>41760</c:v>
                </c:pt>
                <c:pt idx="120">
                  <c:v>41791</c:v>
                </c:pt>
                <c:pt idx="121">
                  <c:v>41821</c:v>
                </c:pt>
                <c:pt idx="122">
                  <c:v>41852</c:v>
                </c:pt>
                <c:pt idx="123">
                  <c:v>41883</c:v>
                </c:pt>
                <c:pt idx="124">
                  <c:v>41913</c:v>
                </c:pt>
                <c:pt idx="125">
                  <c:v>41944</c:v>
                </c:pt>
                <c:pt idx="126">
                  <c:v>41974</c:v>
                </c:pt>
                <c:pt idx="127">
                  <c:v>42005</c:v>
                </c:pt>
                <c:pt idx="128">
                  <c:v>42036</c:v>
                </c:pt>
                <c:pt idx="129">
                  <c:v>42064</c:v>
                </c:pt>
                <c:pt idx="130">
                  <c:v>42095</c:v>
                </c:pt>
                <c:pt idx="131">
                  <c:v>42125</c:v>
                </c:pt>
                <c:pt idx="132">
                  <c:v>42156</c:v>
                </c:pt>
                <c:pt idx="133">
                  <c:v>42186</c:v>
                </c:pt>
                <c:pt idx="134">
                  <c:v>42217</c:v>
                </c:pt>
                <c:pt idx="135">
                  <c:v>42248</c:v>
                </c:pt>
                <c:pt idx="136">
                  <c:v>42278</c:v>
                </c:pt>
                <c:pt idx="137">
                  <c:v>42309</c:v>
                </c:pt>
                <c:pt idx="138">
                  <c:v>42339</c:v>
                </c:pt>
                <c:pt idx="139">
                  <c:v>42370</c:v>
                </c:pt>
                <c:pt idx="140">
                  <c:v>42401</c:v>
                </c:pt>
                <c:pt idx="141">
                  <c:v>42430</c:v>
                </c:pt>
                <c:pt idx="142">
                  <c:v>42461</c:v>
                </c:pt>
              </c:numCache>
            </c:numRef>
          </c:cat>
          <c:val>
            <c:numRef>
              <c:f>'MBA CA Index'!$B$2:$B$144</c:f>
              <c:numCache>
                <c:formatCode>0.0</c:formatCode>
                <c:ptCount val="143"/>
                <c:pt idx="0">
                  <c:v>377</c:v>
                </c:pt>
                <c:pt idx="1">
                  <c:v>383.5</c:v>
                </c:pt>
                <c:pt idx="2">
                  <c:v>390</c:v>
                </c:pt>
                <c:pt idx="3">
                  <c:v>396.5</c:v>
                </c:pt>
                <c:pt idx="4">
                  <c:v>403</c:v>
                </c:pt>
                <c:pt idx="5">
                  <c:v>409.5</c:v>
                </c:pt>
                <c:pt idx="6">
                  <c:v>416</c:v>
                </c:pt>
                <c:pt idx="7">
                  <c:v>480.83333333333331</c:v>
                </c:pt>
                <c:pt idx="8">
                  <c:v>545.66666666666663</c:v>
                </c:pt>
                <c:pt idx="9">
                  <c:v>610.5</c:v>
                </c:pt>
                <c:pt idx="10">
                  <c:v>675.33333333333337</c:v>
                </c:pt>
                <c:pt idx="11">
                  <c:v>740.16666666666674</c:v>
                </c:pt>
                <c:pt idx="12">
                  <c:v>805</c:v>
                </c:pt>
                <c:pt idx="13">
                  <c:v>812.16666666666663</c:v>
                </c:pt>
                <c:pt idx="14">
                  <c:v>819.33333333333326</c:v>
                </c:pt>
                <c:pt idx="15">
                  <c:v>826.49999999999989</c:v>
                </c:pt>
                <c:pt idx="16">
                  <c:v>833.66666666666652</c:v>
                </c:pt>
                <c:pt idx="17">
                  <c:v>840.83333333333314</c:v>
                </c:pt>
                <c:pt idx="18">
                  <c:v>848</c:v>
                </c:pt>
                <c:pt idx="19">
                  <c:v>851.83333333333337</c:v>
                </c:pt>
                <c:pt idx="20">
                  <c:v>855.66666666666674</c:v>
                </c:pt>
                <c:pt idx="21">
                  <c:v>859.50000000000011</c:v>
                </c:pt>
                <c:pt idx="22">
                  <c:v>863.33333333333348</c:v>
                </c:pt>
                <c:pt idx="23">
                  <c:v>867.16666666666686</c:v>
                </c:pt>
                <c:pt idx="24">
                  <c:v>871</c:v>
                </c:pt>
                <c:pt idx="25">
                  <c:v>846.83333333333337</c:v>
                </c:pt>
                <c:pt idx="26">
                  <c:v>822.66666666666674</c:v>
                </c:pt>
                <c:pt idx="27">
                  <c:v>798.50000000000011</c:v>
                </c:pt>
                <c:pt idx="28">
                  <c:v>774.33333333333348</c:v>
                </c:pt>
                <c:pt idx="29">
                  <c:v>750.16666666666686</c:v>
                </c:pt>
                <c:pt idx="30">
                  <c:v>726</c:v>
                </c:pt>
                <c:pt idx="31">
                  <c:v>696.33333333333337</c:v>
                </c:pt>
                <c:pt idx="32">
                  <c:v>666.66666666666674</c:v>
                </c:pt>
                <c:pt idx="33">
                  <c:v>637.00000000000011</c:v>
                </c:pt>
                <c:pt idx="34">
                  <c:v>607.33333333333348</c:v>
                </c:pt>
                <c:pt idx="35">
                  <c:v>577.66666666666686</c:v>
                </c:pt>
                <c:pt idx="36">
                  <c:v>548</c:v>
                </c:pt>
                <c:pt idx="37">
                  <c:v>509.5</c:v>
                </c:pt>
                <c:pt idx="38">
                  <c:v>471</c:v>
                </c:pt>
                <c:pt idx="39">
                  <c:v>432.5</c:v>
                </c:pt>
                <c:pt idx="40">
                  <c:v>394</c:v>
                </c:pt>
                <c:pt idx="41">
                  <c:v>355.5</c:v>
                </c:pt>
                <c:pt idx="42">
                  <c:v>317</c:v>
                </c:pt>
                <c:pt idx="43">
                  <c:v>283.83333333333331</c:v>
                </c:pt>
                <c:pt idx="44">
                  <c:v>250.66666666666666</c:v>
                </c:pt>
                <c:pt idx="45">
                  <c:v>217.5</c:v>
                </c:pt>
                <c:pt idx="46">
                  <c:v>184.33333333333334</c:v>
                </c:pt>
                <c:pt idx="47">
                  <c:v>151.16666666666669</c:v>
                </c:pt>
                <c:pt idx="48">
                  <c:v>118</c:v>
                </c:pt>
                <c:pt idx="49">
                  <c:v>112.33333333333333</c:v>
                </c:pt>
                <c:pt idx="50">
                  <c:v>106.66666666666666</c:v>
                </c:pt>
                <c:pt idx="51">
                  <c:v>100.99999999999999</c:v>
                </c:pt>
                <c:pt idx="52">
                  <c:v>95.333333333333314</c:v>
                </c:pt>
                <c:pt idx="53">
                  <c:v>89.666666666666643</c:v>
                </c:pt>
                <c:pt idx="54">
                  <c:v>84</c:v>
                </c:pt>
                <c:pt idx="55">
                  <c:v>91.166666666666671</c:v>
                </c:pt>
                <c:pt idx="56">
                  <c:v>98.333333333333343</c:v>
                </c:pt>
                <c:pt idx="57">
                  <c:v>105.50000000000001</c:v>
                </c:pt>
                <c:pt idx="58">
                  <c:v>112.66666666666669</c:v>
                </c:pt>
                <c:pt idx="59">
                  <c:v>119.83333333333336</c:v>
                </c:pt>
                <c:pt idx="60">
                  <c:v>127</c:v>
                </c:pt>
                <c:pt idx="61">
                  <c:v>121.5</c:v>
                </c:pt>
                <c:pt idx="62">
                  <c:v>116</c:v>
                </c:pt>
                <c:pt idx="63">
                  <c:v>110.5</c:v>
                </c:pt>
                <c:pt idx="64">
                  <c:v>105</c:v>
                </c:pt>
                <c:pt idx="65">
                  <c:v>99.5</c:v>
                </c:pt>
                <c:pt idx="66">
                  <c:v>94</c:v>
                </c:pt>
                <c:pt idx="67">
                  <c:v>94.666666666666671</c:v>
                </c:pt>
                <c:pt idx="68">
                  <c:v>95.333333333333343</c:v>
                </c:pt>
                <c:pt idx="69">
                  <c:v>96.000000000000014</c:v>
                </c:pt>
                <c:pt idx="70">
                  <c:v>96.666666666666686</c:v>
                </c:pt>
                <c:pt idx="71">
                  <c:v>97.333333333333357</c:v>
                </c:pt>
                <c:pt idx="72">
                  <c:v>98</c:v>
                </c:pt>
                <c:pt idx="73">
                  <c:v>101.16666666666667</c:v>
                </c:pt>
                <c:pt idx="74">
                  <c:v>104.33333333333334</c:v>
                </c:pt>
                <c:pt idx="75">
                  <c:v>107.50000000000001</c:v>
                </c:pt>
                <c:pt idx="76">
                  <c:v>110.66666666666669</c:v>
                </c:pt>
                <c:pt idx="77">
                  <c:v>113.83333333333336</c:v>
                </c:pt>
                <c:pt idx="78">
                  <c:v>117</c:v>
                </c:pt>
                <c:pt idx="79">
                  <c:v>115.83333333333333</c:v>
                </c:pt>
                <c:pt idx="80">
                  <c:v>114.66666666666666</c:v>
                </c:pt>
                <c:pt idx="81">
                  <c:v>112.08</c:v>
                </c:pt>
                <c:pt idx="82">
                  <c:v>107.04</c:v>
                </c:pt>
                <c:pt idx="83">
                  <c:v>109.28</c:v>
                </c:pt>
                <c:pt idx="84">
                  <c:v>110.55</c:v>
                </c:pt>
                <c:pt idx="85">
                  <c:v>109.95</c:v>
                </c:pt>
                <c:pt idx="86">
                  <c:v>107.75</c:v>
                </c:pt>
                <c:pt idx="87">
                  <c:v>111.19</c:v>
                </c:pt>
                <c:pt idx="88">
                  <c:v>107.1</c:v>
                </c:pt>
                <c:pt idx="89">
                  <c:v>106.28</c:v>
                </c:pt>
                <c:pt idx="90">
                  <c:v>104.92</c:v>
                </c:pt>
                <c:pt idx="91">
                  <c:v>102.38</c:v>
                </c:pt>
                <c:pt idx="92">
                  <c:v>99.04</c:v>
                </c:pt>
                <c:pt idx="93">
                  <c:v>100</c:v>
                </c:pt>
                <c:pt idx="94">
                  <c:v>101.71</c:v>
                </c:pt>
                <c:pt idx="95">
                  <c:v>101.55</c:v>
                </c:pt>
                <c:pt idx="96">
                  <c:v>103.01</c:v>
                </c:pt>
                <c:pt idx="97">
                  <c:v>99.67</c:v>
                </c:pt>
                <c:pt idx="98">
                  <c:v>103.93</c:v>
                </c:pt>
                <c:pt idx="99">
                  <c:v>103.92</c:v>
                </c:pt>
                <c:pt idx="100">
                  <c:v>101.4</c:v>
                </c:pt>
                <c:pt idx="101">
                  <c:v>105.95</c:v>
                </c:pt>
                <c:pt idx="102">
                  <c:v>108.16</c:v>
                </c:pt>
                <c:pt idx="103">
                  <c:v>108.21</c:v>
                </c:pt>
                <c:pt idx="104">
                  <c:v>109.13</c:v>
                </c:pt>
                <c:pt idx="105">
                  <c:v>108.01</c:v>
                </c:pt>
                <c:pt idx="106">
                  <c:v>108.56</c:v>
                </c:pt>
                <c:pt idx="107">
                  <c:v>108.87</c:v>
                </c:pt>
                <c:pt idx="108">
                  <c:v>109.81</c:v>
                </c:pt>
                <c:pt idx="109">
                  <c:v>112.3</c:v>
                </c:pt>
                <c:pt idx="110">
                  <c:v>111.5</c:v>
                </c:pt>
                <c:pt idx="111">
                  <c:v>110.7</c:v>
                </c:pt>
                <c:pt idx="112">
                  <c:v>111.5</c:v>
                </c:pt>
                <c:pt idx="113">
                  <c:v>110.2</c:v>
                </c:pt>
                <c:pt idx="114">
                  <c:v>110.9</c:v>
                </c:pt>
                <c:pt idx="115">
                  <c:v>113</c:v>
                </c:pt>
                <c:pt idx="116">
                  <c:v>113.5</c:v>
                </c:pt>
                <c:pt idx="117">
                  <c:v>114</c:v>
                </c:pt>
                <c:pt idx="118">
                  <c:v>113.8</c:v>
                </c:pt>
                <c:pt idx="119">
                  <c:v>115.1</c:v>
                </c:pt>
                <c:pt idx="120">
                  <c:v>115.8</c:v>
                </c:pt>
                <c:pt idx="121">
                  <c:v>116.4</c:v>
                </c:pt>
                <c:pt idx="122">
                  <c:v>116.1</c:v>
                </c:pt>
                <c:pt idx="123">
                  <c:v>116.1</c:v>
                </c:pt>
                <c:pt idx="124">
                  <c:v>113.2</c:v>
                </c:pt>
                <c:pt idx="125">
                  <c:v>114.6</c:v>
                </c:pt>
                <c:pt idx="126">
                  <c:v>115.7</c:v>
                </c:pt>
                <c:pt idx="127">
                  <c:v>117.8</c:v>
                </c:pt>
                <c:pt idx="128">
                  <c:v>118.6</c:v>
                </c:pt>
                <c:pt idx="129">
                  <c:v>121.35899999999999</c:v>
                </c:pt>
                <c:pt idx="130">
                  <c:v>122</c:v>
                </c:pt>
                <c:pt idx="131">
                  <c:v>122.6</c:v>
                </c:pt>
                <c:pt idx="132">
                  <c:v>122</c:v>
                </c:pt>
                <c:pt idx="133">
                  <c:v>125.5</c:v>
                </c:pt>
                <c:pt idx="134">
                  <c:v>126.1</c:v>
                </c:pt>
                <c:pt idx="135">
                  <c:v>126.5</c:v>
                </c:pt>
                <c:pt idx="136">
                  <c:v>128.4</c:v>
                </c:pt>
                <c:pt idx="137">
                  <c:v>127.4</c:v>
                </c:pt>
                <c:pt idx="138">
                  <c:v>124.346</c:v>
                </c:pt>
                <c:pt idx="139">
                  <c:v>123.8</c:v>
                </c:pt>
                <c:pt idx="140">
                  <c:v>123.8</c:v>
                </c:pt>
                <c:pt idx="141">
                  <c:v>123.5</c:v>
                </c:pt>
                <c:pt idx="142">
                  <c:v>122.4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'MBA CA Index'!$C$1</c:f>
              <c:strCache>
                <c:ptCount val="1"/>
                <c:pt idx="0">
                  <c:v>24Mo MA</c:v>
                </c:pt>
              </c:strCache>
            </c:strRef>
          </c:tx>
          <c:marker>
            <c:symbol val="none"/>
          </c:marker>
          <c:cat>
            <c:numRef>
              <c:f>'MBA CA Index'!$A$2:$A$144</c:f>
              <c:numCache>
                <c:formatCode>m/d/yyyy</c:formatCode>
                <c:ptCount val="143"/>
                <c:pt idx="0">
                  <c:v>38139</c:v>
                </c:pt>
                <c:pt idx="1">
                  <c:v>38169</c:v>
                </c:pt>
                <c:pt idx="2">
                  <c:v>38200</c:v>
                </c:pt>
                <c:pt idx="3">
                  <c:v>38231</c:v>
                </c:pt>
                <c:pt idx="4">
                  <c:v>38261</c:v>
                </c:pt>
                <c:pt idx="5">
                  <c:v>38292</c:v>
                </c:pt>
                <c:pt idx="6">
                  <c:v>38322</c:v>
                </c:pt>
                <c:pt idx="7">
                  <c:v>38353</c:v>
                </c:pt>
                <c:pt idx="8">
                  <c:v>38384</c:v>
                </c:pt>
                <c:pt idx="9">
                  <c:v>38412</c:v>
                </c:pt>
                <c:pt idx="10">
                  <c:v>38443</c:v>
                </c:pt>
                <c:pt idx="11">
                  <c:v>38473</c:v>
                </c:pt>
                <c:pt idx="12">
                  <c:v>38504</c:v>
                </c:pt>
                <c:pt idx="13">
                  <c:v>38534</c:v>
                </c:pt>
                <c:pt idx="14">
                  <c:v>38565</c:v>
                </c:pt>
                <c:pt idx="15">
                  <c:v>38596</c:v>
                </c:pt>
                <c:pt idx="16">
                  <c:v>38626</c:v>
                </c:pt>
                <c:pt idx="17">
                  <c:v>38657</c:v>
                </c:pt>
                <c:pt idx="18">
                  <c:v>38687</c:v>
                </c:pt>
                <c:pt idx="19">
                  <c:v>38718</c:v>
                </c:pt>
                <c:pt idx="20">
                  <c:v>38749</c:v>
                </c:pt>
                <c:pt idx="21">
                  <c:v>38777</c:v>
                </c:pt>
                <c:pt idx="22">
                  <c:v>38808</c:v>
                </c:pt>
                <c:pt idx="23">
                  <c:v>38838</c:v>
                </c:pt>
                <c:pt idx="24">
                  <c:v>38869</c:v>
                </c:pt>
                <c:pt idx="25">
                  <c:v>38899</c:v>
                </c:pt>
                <c:pt idx="26">
                  <c:v>38930</c:v>
                </c:pt>
                <c:pt idx="27">
                  <c:v>38961</c:v>
                </c:pt>
                <c:pt idx="28">
                  <c:v>38991</c:v>
                </c:pt>
                <c:pt idx="29">
                  <c:v>39022</c:v>
                </c:pt>
                <c:pt idx="30">
                  <c:v>39052</c:v>
                </c:pt>
                <c:pt idx="31">
                  <c:v>39083</c:v>
                </c:pt>
                <c:pt idx="32">
                  <c:v>39114</c:v>
                </c:pt>
                <c:pt idx="33">
                  <c:v>39142</c:v>
                </c:pt>
                <c:pt idx="34">
                  <c:v>39173</c:v>
                </c:pt>
                <c:pt idx="35">
                  <c:v>39203</c:v>
                </c:pt>
                <c:pt idx="36">
                  <c:v>39234</c:v>
                </c:pt>
                <c:pt idx="37">
                  <c:v>39264</c:v>
                </c:pt>
                <c:pt idx="38">
                  <c:v>39295</c:v>
                </c:pt>
                <c:pt idx="39">
                  <c:v>39326</c:v>
                </c:pt>
                <c:pt idx="40">
                  <c:v>39356</c:v>
                </c:pt>
                <c:pt idx="41">
                  <c:v>39387</c:v>
                </c:pt>
                <c:pt idx="42">
                  <c:v>39417</c:v>
                </c:pt>
                <c:pt idx="43">
                  <c:v>39448</c:v>
                </c:pt>
                <c:pt idx="44">
                  <c:v>39479</c:v>
                </c:pt>
                <c:pt idx="45">
                  <c:v>39508</c:v>
                </c:pt>
                <c:pt idx="46">
                  <c:v>39539</c:v>
                </c:pt>
                <c:pt idx="47">
                  <c:v>39569</c:v>
                </c:pt>
                <c:pt idx="48">
                  <c:v>39600</c:v>
                </c:pt>
                <c:pt idx="49">
                  <c:v>39630</c:v>
                </c:pt>
                <c:pt idx="50">
                  <c:v>39661</c:v>
                </c:pt>
                <c:pt idx="51">
                  <c:v>39692</c:v>
                </c:pt>
                <c:pt idx="52">
                  <c:v>39722</c:v>
                </c:pt>
                <c:pt idx="53">
                  <c:v>39753</c:v>
                </c:pt>
                <c:pt idx="54">
                  <c:v>39783</c:v>
                </c:pt>
                <c:pt idx="55">
                  <c:v>39814</c:v>
                </c:pt>
                <c:pt idx="56">
                  <c:v>39845</c:v>
                </c:pt>
                <c:pt idx="57">
                  <c:v>39873</c:v>
                </c:pt>
                <c:pt idx="58">
                  <c:v>39904</c:v>
                </c:pt>
                <c:pt idx="59">
                  <c:v>39934</c:v>
                </c:pt>
                <c:pt idx="60">
                  <c:v>39965</c:v>
                </c:pt>
                <c:pt idx="61">
                  <c:v>39995</c:v>
                </c:pt>
                <c:pt idx="62">
                  <c:v>40026</c:v>
                </c:pt>
                <c:pt idx="63">
                  <c:v>40057</c:v>
                </c:pt>
                <c:pt idx="64">
                  <c:v>40087</c:v>
                </c:pt>
                <c:pt idx="65">
                  <c:v>40118</c:v>
                </c:pt>
                <c:pt idx="66">
                  <c:v>40148</c:v>
                </c:pt>
                <c:pt idx="67">
                  <c:v>40179</c:v>
                </c:pt>
                <c:pt idx="68">
                  <c:v>40210</c:v>
                </c:pt>
                <c:pt idx="69">
                  <c:v>40238</c:v>
                </c:pt>
                <c:pt idx="70">
                  <c:v>40269</c:v>
                </c:pt>
                <c:pt idx="71">
                  <c:v>40299</c:v>
                </c:pt>
                <c:pt idx="72">
                  <c:v>40330</c:v>
                </c:pt>
                <c:pt idx="73">
                  <c:v>40360</c:v>
                </c:pt>
                <c:pt idx="74">
                  <c:v>40391</c:v>
                </c:pt>
                <c:pt idx="75">
                  <c:v>40422</c:v>
                </c:pt>
                <c:pt idx="76">
                  <c:v>40452</c:v>
                </c:pt>
                <c:pt idx="77">
                  <c:v>40483</c:v>
                </c:pt>
                <c:pt idx="78">
                  <c:v>40513</c:v>
                </c:pt>
                <c:pt idx="79">
                  <c:v>40544</c:v>
                </c:pt>
                <c:pt idx="80">
                  <c:v>40575</c:v>
                </c:pt>
                <c:pt idx="81">
                  <c:v>40603</c:v>
                </c:pt>
                <c:pt idx="82">
                  <c:v>40634</c:v>
                </c:pt>
                <c:pt idx="83">
                  <c:v>40664</c:v>
                </c:pt>
                <c:pt idx="84">
                  <c:v>40695</c:v>
                </c:pt>
                <c:pt idx="85">
                  <c:v>40725</c:v>
                </c:pt>
                <c:pt idx="86">
                  <c:v>40756</c:v>
                </c:pt>
                <c:pt idx="87">
                  <c:v>40787</c:v>
                </c:pt>
                <c:pt idx="88">
                  <c:v>40817</c:v>
                </c:pt>
                <c:pt idx="89">
                  <c:v>40848</c:v>
                </c:pt>
                <c:pt idx="90">
                  <c:v>40878</c:v>
                </c:pt>
                <c:pt idx="91">
                  <c:v>40909</c:v>
                </c:pt>
                <c:pt idx="92">
                  <c:v>40940</c:v>
                </c:pt>
                <c:pt idx="93">
                  <c:v>40969</c:v>
                </c:pt>
                <c:pt idx="94">
                  <c:v>41000</c:v>
                </c:pt>
                <c:pt idx="95">
                  <c:v>41030</c:v>
                </c:pt>
                <c:pt idx="96">
                  <c:v>41061</c:v>
                </c:pt>
                <c:pt idx="97">
                  <c:v>41091</c:v>
                </c:pt>
                <c:pt idx="98">
                  <c:v>41122</c:v>
                </c:pt>
                <c:pt idx="99">
                  <c:v>41153</c:v>
                </c:pt>
                <c:pt idx="100">
                  <c:v>41183</c:v>
                </c:pt>
                <c:pt idx="101">
                  <c:v>41214</c:v>
                </c:pt>
                <c:pt idx="102">
                  <c:v>41244</c:v>
                </c:pt>
                <c:pt idx="103">
                  <c:v>41275</c:v>
                </c:pt>
                <c:pt idx="104">
                  <c:v>41306</c:v>
                </c:pt>
                <c:pt idx="105">
                  <c:v>41334</c:v>
                </c:pt>
                <c:pt idx="106">
                  <c:v>41365</c:v>
                </c:pt>
                <c:pt idx="107">
                  <c:v>41395</c:v>
                </c:pt>
                <c:pt idx="108">
                  <c:v>41426</c:v>
                </c:pt>
                <c:pt idx="109">
                  <c:v>41456</c:v>
                </c:pt>
                <c:pt idx="110">
                  <c:v>41487</c:v>
                </c:pt>
                <c:pt idx="111">
                  <c:v>41518</c:v>
                </c:pt>
                <c:pt idx="112">
                  <c:v>41548</c:v>
                </c:pt>
                <c:pt idx="113">
                  <c:v>41579</c:v>
                </c:pt>
                <c:pt idx="114">
                  <c:v>41609</c:v>
                </c:pt>
                <c:pt idx="115">
                  <c:v>41640</c:v>
                </c:pt>
                <c:pt idx="116">
                  <c:v>41671</c:v>
                </c:pt>
                <c:pt idx="117">
                  <c:v>41699</c:v>
                </c:pt>
                <c:pt idx="118">
                  <c:v>41730</c:v>
                </c:pt>
                <c:pt idx="119">
                  <c:v>41760</c:v>
                </c:pt>
                <c:pt idx="120">
                  <c:v>41791</c:v>
                </c:pt>
                <c:pt idx="121">
                  <c:v>41821</c:v>
                </c:pt>
                <c:pt idx="122">
                  <c:v>41852</c:v>
                </c:pt>
                <c:pt idx="123">
                  <c:v>41883</c:v>
                </c:pt>
                <c:pt idx="124">
                  <c:v>41913</c:v>
                </c:pt>
                <c:pt idx="125">
                  <c:v>41944</c:v>
                </c:pt>
                <c:pt idx="126">
                  <c:v>41974</c:v>
                </c:pt>
                <c:pt idx="127">
                  <c:v>42005</c:v>
                </c:pt>
                <c:pt idx="128">
                  <c:v>42036</c:v>
                </c:pt>
                <c:pt idx="129">
                  <c:v>42064</c:v>
                </c:pt>
                <c:pt idx="130">
                  <c:v>42095</c:v>
                </c:pt>
                <c:pt idx="131">
                  <c:v>42125</c:v>
                </c:pt>
                <c:pt idx="132">
                  <c:v>42156</c:v>
                </c:pt>
                <c:pt idx="133">
                  <c:v>42186</c:v>
                </c:pt>
                <c:pt idx="134">
                  <c:v>42217</c:v>
                </c:pt>
                <c:pt idx="135">
                  <c:v>42248</c:v>
                </c:pt>
                <c:pt idx="136">
                  <c:v>42278</c:v>
                </c:pt>
                <c:pt idx="137">
                  <c:v>42309</c:v>
                </c:pt>
                <c:pt idx="138">
                  <c:v>42339</c:v>
                </c:pt>
                <c:pt idx="139">
                  <c:v>42370</c:v>
                </c:pt>
                <c:pt idx="140">
                  <c:v>42401</c:v>
                </c:pt>
                <c:pt idx="141">
                  <c:v>42430</c:v>
                </c:pt>
                <c:pt idx="142">
                  <c:v>42461</c:v>
                </c:pt>
              </c:numCache>
            </c:numRef>
          </c:cat>
          <c:val>
            <c:numRef>
              <c:f>'MBA CA Index'!$C$2:$C$144</c:f>
              <c:numCache>
                <c:formatCode>0.0</c:formatCode>
                <c:ptCount val="143"/>
                <c:pt idx="0">
                  <c:v>377</c:v>
                </c:pt>
                <c:pt idx="1">
                  <c:v>380.25</c:v>
                </c:pt>
                <c:pt idx="2">
                  <c:v>383.5</c:v>
                </c:pt>
                <c:pt idx="3">
                  <c:v>386.75</c:v>
                </c:pt>
                <c:pt idx="4">
                  <c:v>390</c:v>
                </c:pt>
                <c:pt idx="5">
                  <c:v>393.25</c:v>
                </c:pt>
                <c:pt idx="6">
                  <c:v>396.5</c:v>
                </c:pt>
                <c:pt idx="7">
                  <c:v>407.04166666666669</c:v>
                </c:pt>
                <c:pt idx="8">
                  <c:v>422.44444444444446</c:v>
                </c:pt>
                <c:pt idx="9">
                  <c:v>441.25</c:v>
                </c:pt>
                <c:pt idx="10">
                  <c:v>462.530303030303</c:v>
                </c:pt>
                <c:pt idx="11">
                  <c:v>485.66666666666669</c:v>
                </c:pt>
                <c:pt idx="12">
                  <c:v>510.23076923076923</c:v>
                </c:pt>
                <c:pt idx="13">
                  <c:v>531.79761904761904</c:v>
                </c:pt>
                <c:pt idx="14">
                  <c:v>550.9666666666667</c:v>
                </c:pt>
                <c:pt idx="15">
                  <c:v>568.1875</c:v>
                </c:pt>
                <c:pt idx="16">
                  <c:v>583.8039215686274</c:v>
                </c:pt>
                <c:pt idx="17">
                  <c:v>598.08333333333337</c:v>
                </c:pt>
                <c:pt idx="18">
                  <c:v>611.23684210526312</c:v>
                </c:pt>
                <c:pt idx="19">
                  <c:v>623.26666666666665</c:v>
                </c:pt>
                <c:pt idx="20">
                  <c:v>634.33333333333337</c:v>
                </c:pt>
                <c:pt idx="21">
                  <c:v>644.56818181818187</c:v>
                </c:pt>
                <c:pt idx="22">
                  <c:v>654.07971014492762</c:v>
                </c:pt>
                <c:pt idx="23">
                  <c:v>662.95833333333337</c:v>
                </c:pt>
                <c:pt idx="24">
                  <c:v>683.54166666666663</c:v>
                </c:pt>
                <c:pt idx="25">
                  <c:v>702.84722222222217</c:v>
                </c:pt>
                <c:pt idx="26">
                  <c:v>720.875</c:v>
                </c:pt>
                <c:pt idx="27">
                  <c:v>737.625</c:v>
                </c:pt>
                <c:pt idx="28">
                  <c:v>753.09722222222217</c:v>
                </c:pt>
                <c:pt idx="29">
                  <c:v>767.29166666666663</c:v>
                </c:pt>
                <c:pt idx="30">
                  <c:v>780.20833333333337</c:v>
                </c:pt>
                <c:pt idx="31">
                  <c:v>789.1875</c:v>
                </c:pt>
                <c:pt idx="32">
                  <c:v>794.22916666666663</c:v>
                </c:pt>
                <c:pt idx="33">
                  <c:v>795.33333333333337</c:v>
                </c:pt>
                <c:pt idx="34">
                  <c:v>792.49999999999989</c:v>
                </c:pt>
                <c:pt idx="35">
                  <c:v>785.72916666666663</c:v>
                </c:pt>
                <c:pt idx="36">
                  <c:v>775.02083333333337</c:v>
                </c:pt>
                <c:pt idx="37">
                  <c:v>762.40972222222217</c:v>
                </c:pt>
                <c:pt idx="38">
                  <c:v>747.89583333333337</c:v>
                </c:pt>
                <c:pt idx="39">
                  <c:v>731.47916666666663</c:v>
                </c:pt>
                <c:pt idx="40">
                  <c:v>713.15972222222217</c:v>
                </c:pt>
                <c:pt idx="41">
                  <c:v>692.9375</c:v>
                </c:pt>
                <c:pt idx="42">
                  <c:v>670.8125</c:v>
                </c:pt>
                <c:pt idx="43">
                  <c:v>647.14583333333337</c:v>
                </c:pt>
                <c:pt idx="44">
                  <c:v>621.9375</c:v>
                </c:pt>
                <c:pt idx="45">
                  <c:v>595.1875</c:v>
                </c:pt>
                <c:pt idx="46">
                  <c:v>566.89583333333337</c:v>
                </c:pt>
                <c:pt idx="47">
                  <c:v>537.0625</c:v>
                </c:pt>
                <c:pt idx="48">
                  <c:v>505.6875</c:v>
                </c:pt>
                <c:pt idx="49">
                  <c:v>475.08333333333343</c:v>
                </c:pt>
                <c:pt idx="50">
                  <c:v>445.25</c:v>
                </c:pt>
                <c:pt idx="51">
                  <c:v>416.1875</c:v>
                </c:pt>
                <c:pt idx="52">
                  <c:v>387.89583333333331</c:v>
                </c:pt>
                <c:pt idx="53">
                  <c:v>360.375</c:v>
                </c:pt>
                <c:pt idx="54">
                  <c:v>333.625</c:v>
                </c:pt>
                <c:pt idx="55">
                  <c:v>308.40972222222229</c:v>
                </c:pt>
                <c:pt idx="56">
                  <c:v>284.72916666666669</c:v>
                </c:pt>
                <c:pt idx="57">
                  <c:v>262.58333333333331</c:v>
                </c:pt>
                <c:pt idx="58">
                  <c:v>241.97222222222226</c:v>
                </c:pt>
                <c:pt idx="59">
                  <c:v>222.89583333333334</c:v>
                </c:pt>
                <c:pt idx="60">
                  <c:v>205.35416666666666</c:v>
                </c:pt>
                <c:pt idx="61">
                  <c:v>189.1875</c:v>
                </c:pt>
                <c:pt idx="62">
                  <c:v>174.39583333333334</c:v>
                </c:pt>
                <c:pt idx="63">
                  <c:v>160.97916666666666</c:v>
                </c:pt>
                <c:pt idx="64">
                  <c:v>148.9375</c:v>
                </c:pt>
                <c:pt idx="65">
                  <c:v>138.27083333333334</c:v>
                </c:pt>
                <c:pt idx="66">
                  <c:v>128.97916666666666</c:v>
                </c:pt>
                <c:pt idx="67">
                  <c:v>121.09722222222223</c:v>
                </c:pt>
                <c:pt idx="68">
                  <c:v>114.625</c:v>
                </c:pt>
                <c:pt idx="69">
                  <c:v>109.5625</c:v>
                </c:pt>
                <c:pt idx="70">
                  <c:v>105.90972222222221</c:v>
                </c:pt>
                <c:pt idx="71">
                  <c:v>103.66666666666667</c:v>
                </c:pt>
                <c:pt idx="72">
                  <c:v>102.83333333333333</c:v>
                </c:pt>
                <c:pt idx="73">
                  <c:v>102.36805555555554</c:v>
                </c:pt>
                <c:pt idx="74">
                  <c:v>102.27083333333333</c:v>
                </c:pt>
                <c:pt idx="75">
                  <c:v>102.54166666666667</c:v>
                </c:pt>
                <c:pt idx="76">
                  <c:v>103.18055555555554</c:v>
                </c:pt>
                <c:pt idx="77">
                  <c:v>104.1875</c:v>
                </c:pt>
                <c:pt idx="78">
                  <c:v>105.5625</c:v>
                </c:pt>
                <c:pt idx="79">
                  <c:v>106.59027777777779</c:v>
                </c:pt>
                <c:pt idx="80">
                  <c:v>107.27083333333333</c:v>
                </c:pt>
                <c:pt idx="81">
                  <c:v>107.545</c:v>
                </c:pt>
                <c:pt idx="82">
                  <c:v>107.31055555555554</c:v>
                </c:pt>
                <c:pt idx="83">
                  <c:v>106.87083333333334</c:v>
                </c:pt>
                <c:pt idx="84">
                  <c:v>106.18541666666668</c:v>
                </c:pt>
                <c:pt idx="85">
                  <c:v>105.70416666666667</c:v>
                </c:pt>
                <c:pt idx="86">
                  <c:v>105.36041666666667</c:v>
                </c:pt>
                <c:pt idx="87">
                  <c:v>105.38916666666667</c:v>
                </c:pt>
                <c:pt idx="88">
                  <c:v>105.47666666666667</c:v>
                </c:pt>
                <c:pt idx="89">
                  <c:v>105.75916666666666</c:v>
                </c:pt>
                <c:pt idx="90">
                  <c:v>106.21416666666666</c:v>
                </c:pt>
                <c:pt idx="91">
                  <c:v>106.53555555555556</c:v>
                </c:pt>
                <c:pt idx="92">
                  <c:v>106.69000000000001</c:v>
                </c:pt>
                <c:pt idx="93">
                  <c:v>106.85666666666668</c:v>
                </c:pt>
                <c:pt idx="94">
                  <c:v>107.06680555555556</c:v>
                </c:pt>
                <c:pt idx="95">
                  <c:v>107.24250000000001</c:v>
                </c:pt>
                <c:pt idx="96">
                  <c:v>107.45125000000002</c:v>
                </c:pt>
                <c:pt idx="97">
                  <c:v>107.38888888888891</c:v>
                </c:pt>
                <c:pt idx="98">
                  <c:v>107.37208333333335</c:v>
                </c:pt>
                <c:pt idx="99">
                  <c:v>107.22291666666668</c:v>
                </c:pt>
                <c:pt idx="100">
                  <c:v>106.83680555555559</c:v>
                </c:pt>
                <c:pt idx="101">
                  <c:v>106.50833333333333</c:v>
                </c:pt>
                <c:pt idx="102">
                  <c:v>106.13999999999999</c:v>
                </c:pt>
                <c:pt idx="103">
                  <c:v>105.82236111111111</c:v>
                </c:pt>
                <c:pt idx="104">
                  <c:v>105.59166666666665</c:v>
                </c:pt>
                <c:pt idx="105">
                  <c:v>105.42208333333336</c:v>
                </c:pt>
                <c:pt idx="106">
                  <c:v>105.48541666666669</c:v>
                </c:pt>
                <c:pt idx="107">
                  <c:v>105.46833333333335</c:v>
                </c:pt>
                <c:pt idx="108">
                  <c:v>105.43750000000001</c:v>
                </c:pt>
                <c:pt idx="109">
                  <c:v>105.53541666666668</c:v>
                </c:pt>
                <c:pt idx="110">
                  <c:v>105.69166666666671</c:v>
                </c:pt>
                <c:pt idx="111">
                  <c:v>105.67125000000003</c:v>
                </c:pt>
                <c:pt idx="112">
                  <c:v>105.85458333333334</c:v>
                </c:pt>
                <c:pt idx="113">
                  <c:v>106.01791666666666</c:v>
                </c:pt>
                <c:pt idx="114">
                  <c:v>106.2670833333333</c:v>
                </c:pt>
                <c:pt idx="115">
                  <c:v>106.70958333333334</c:v>
                </c:pt>
                <c:pt idx="116">
                  <c:v>107.31208333333332</c:v>
                </c:pt>
                <c:pt idx="117">
                  <c:v>107.89541666666666</c:v>
                </c:pt>
                <c:pt idx="118">
                  <c:v>108.39916666666666</c:v>
                </c:pt>
                <c:pt idx="119">
                  <c:v>108.96375000000002</c:v>
                </c:pt>
                <c:pt idx="120">
                  <c:v>109.49666666666668</c:v>
                </c:pt>
                <c:pt idx="121">
                  <c:v>110.19375000000002</c:v>
                </c:pt>
                <c:pt idx="122">
                  <c:v>110.70083333333334</c:v>
                </c:pt>
                <c:pt idx="123">
                  <c:v>111.20833333333333</c:v>
                </c:pt>
                <c:pt idx="124">
                  <c:v>111.7</c:v>
                </c:pt>
                <c:pt idx="125">
                  <c:v>112.06041666666665</c:v>
                </c:pt>
                <c:pt idx="126">
                  <c:v>112.37458333333331</c:v>
                </c:pt>
                <c:pt idx="127">
                  <c:v>112.77416666666664</c:v>
                </c:pt>
                <c:pt idx="128">
                  <c:v>113.16874999999999</c:v>
                </c:pt>
                <c:pt idx="129">
                  <c:v>113.7249583333333</c:v>
                </c:pt>
                <c:pt idx="130">
                  <c:v>114.28495833333334</c:v>
                </c:pt>
                <c:pt idx="131">
                  <c:v>114.85704166666665</c:v>
                </c:pt>
                <c:pt idx="132">
                  <c:v>115.36495833333332</c:v>
                </c:pt>
                <c:pt idx="133">
                  <c:v>115.9149583333333</c:v>
                </c:pt>
                <c:pt idx="134">
                  <c:v>116.52329166666665</c:v>
                </c:pt>
                <c:pt idx="135">
                  <c:v>117.18162499999998</c:v>
                </c:pt>
                <c:pt idx="136">
                  <c:v>117.88579166666665</c:v>
                </c:pt>
                <c:pt idx="137">
                  <c:v>118.60245833333333</c:v>
                </c:pt>
                <c:pt idx="138">
                  <c:v>119.16270833333333</c:v>
                </c:pt>
                <c:pt idx="139">
                  <c:v>119.61270833333333</c:v>
                </c:pt>
                <c:pt idx="140">
                  <c:v>120.04187500000002</c:v>
                </c:pt>
                <c:pt idx="141">
                  <c:v>120.43770833333336</c:v>
                </c:pt>
                <c:pt idx="142">
                  <c:v>120.79604166666668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'MBA CA Index'!$D$1</c:f>
              <c:strCache>
                <c:ptCount val="1"/>
                <c:pt idx="0">
                  <c:v>18Mo MA</c:v>
                </c:pt>
              </c:strCache>
            </c:strRef>
          </c:tx>
          <c:marker>
            <c:symbol val="none"/>
          </c:marker>
          <c:cat>
            <c:numRef>
              <c:f>'MBA CA Index'!$A$2:$A$144</c:f>
              <c:numCache>
                <c:formatCode>m/d/yyyy</c:formatCode>
                <c:ptCount val="143"/>
                <c:pt idx="0">
                  <c:v>38139</c:v>
                </c:pt>
                <c:pt idx="1">
                  <c:v>38169</c:v>
                </c:pt>
                <c:pt idx="2">
                  <c:v>38200</c:v>
                </c:pt>
                <c:pt idx="3">
                  <c:v>38231</c:v>
                </c:pt>
                <c:pt idx="4">
                  <c:v>38261</c:v>
                </c:pt>
                <c:pt idx="5">
                  <c:v>38292</c:v>
                </c:pt>
                <c:pt idx="6">
                  <c:v>38322</c:v>
                </c:pt>
                <c:pt idx="7">
                  <c:v>38353</c:v>
                </c:pt>
                <c:pt idx="8">
                  <c:v>38384</c:v>
                </c:pt>
                <c:pt idx="9">
                  <c:v>38412</c:v>
                </c:pt>
                <c:pt idx="10">
                  <c:v>38443</c:v>
                </c:pt>
                <c:pt idx="11">
                  <c:v>38473</c:v>
                </c:pt>
                <c:pt idx="12">
                  <c:v>38504</c:v>
                </c:pt>
                <c:pt idx="13">
                  <c:v>38534</c:v>
                </c:pt>
                <c:pt idx="14">
                  <c:v>38565</c:v>
                </c:pt>
                <c:pt idx="15">
                  <c:v>38596</c:v>
                </c:pt>
                <c:pt idx="16">
                  <c:v>38626</c:v>
                </c:pt>
                <c:pt idx="17">
                  <c:v>38657</c:v>
                </c:pt>
                <c:pt idx="18">
                  <c:v>38687</c:v>
                </c:pt>
                <c:pt idx="19">
                  <c:v>38718</c:v>
                </c:pt>
                <c:pt idx="20">
                  <c:v>38749</c:v>
                </c:pt>
                <c:pt idx="21">
                  <c:v>38777</c:v>
                </c:pt>
                <c:pt idx="22">
                  <c:v>38808</c:v>
                </c:pt>
                <c:pt idx="23">
                  <c:v>38838</c:v>
                </c:pt>
                <c:pt idx="24">
                  <c:v>38869</c:v>
                </c:pt>
                <c:pt idx="25">
                  <c:v>38899</c:v>
                </c:pt>
                <c:pt idx="26">
                  <c:v>38930</c:v>
                </c:pt>
                <c:pt idx="27">
                  <c:v>38961</c:v>
                </c:pt>
                <c:pt idx="28">
                  <c:v>38991</c:v>
                </c:pt>
                <c:pt idx="29">
                  <c:v>39022</c:v>
                </c:pt>
                <c:pt idx="30">
                  <c:v>39052</c:v>
                </c:pt>
                <c:pt idx="31">
                  <c:v>39083</c:v>
                </c:pt>
                <c:pt idx="32">
                  <c:v>39114</c:v>
                </c:pt>
                <c:pt idx="33">
                  <c:v>39142</c:v>
                </c:pt>
                <c:pt idx="34">
                  <c:v>39173</c:v>
                </c:pt>
                <c:pt idx="35">
                  <c:v>39203</c:v>
                </c:pt>
                <c:pt idx="36">
                  <c:v>39234</c:v>
                </c:pt>
                <c:pt idx="37">
                  <c:v>39264</c:v>
                </c:pt>
                <c:pt idx="38">
                  <c:v>39295</c:v>
                </c:pt>
                <c:pt idx="39">
                  <c:v>39326</c:v>
                </c:pt>
                <c:pt idx="40">
                  <c:v>39356</c:v>
                </c:pt>
                <c:pt idx="41">
                  <c:v>39387</c:v>
                </c:pt>
                <c:pt idx="42">
                  <c:v>39417</c:v>
                </c:pt>
                <c:pt idx="43">
                  <c:v>39448</c:v>
                </c:pt>
                <c:pt idx="44">
                  <c:v>39479</c:v>
                </c:pt>
                <c:pt idx="45">
                  <c:v>39508</c:v>
                </c:pt>
                <c:pt idx="46">
                  <c:v>39539</c:v>
                </c:pt>
                <c:pt idx="47">
                  <c:v>39569</c:v>
                </c:pt>
                <c:pt idx="48">
                  <c:v>39600</c:v>
                </c:pt>
                <c:pt idx="49">
                  <c:v>39630</c:v>
                </c:pt>
                <c:pt idx="50">
                  <c:v>39661</c:v>
                </c:pt>
                <c:pt idx="51">
                  <c:v>39692</c:v>
                </c:pt>
                <c:pt idx="52">
                  <c:v>39722</c:v>
                </c:pt>
                <c:pt idx="53">
                  <c:v>39753</c:v>
                </c:pt>
                <c:pt idx="54">
                  <c:v>39783</c:v>
                </c:pt>
                <c:pt idx="55">
                  <c:v>39814</c:v>
                </c:pt>
                <c:pt idx="56">
                  <c:v>39845</c:v>
                </c:pt>
                <c:pt idx="57">
                  <c:v>39873</c:v>
                </c:pt>
                <c:pt idx="58">
                  <c:v>39904</c:v>
                </c:pt>
                <c:pt idx="59">
                  <c:v>39934</c:v>
                </c:pt>
                <c:pt idx="60">
                  <c:v>39965</c:v>
                </c:pt>
                <c:pt idx="61">
                  <c:v>39995</c:v>
                </c:pt>
                <c:pt idx="62">
                  <c:v>40026</c:v>
                </c:pt>
                <c:pt idx="63">
                  <c:v>40057</c:v>
                </c:pt>
                <c:pt idx="64">
                  <c:v>40087</c:v>
                </c:pt>
                <c:pt idx="65">
                  <c:v>40118</c:v>
                </c:pt>
                <c:pt idx="66">
                  <c:v>40148</c:v>
                </c:pt>
                <c:pt idx="67">
                  <c:v>40179</c:v>
                </c:pt>
                <c:pt idx="68">
                  <c:v>40210</c:v>
                </c:pt>
                <c:pt idx="69">
                  <c:v>40238</c:v>
                </c:pt>
                <c:pt idx="70">
                  <c:v>40269</c:v>
                </c:pt>
                <c:pt idx="71">
                  <c:v>40299</c:v>
                </c:pt>
                <c:pt idx="72">
                  <c:v>40330</c:v>
                </c:pt>
                <c:pt idx="73">
                  <c:v>40360</c:v>
                </c:pt>
                <c:pt idx="74">
                  <c:v>40391</c:v>
                </c:pt>
                <c:pt idx="75">
                  <c:v>40422</c:v>
                </c:pt>
                <c:pt idx="76">
                  <c:v>40452</c:v>
                </c:pt>
                <c:pt idx="77">
                  <c:v>40483</c:v>
                </c:pt>
                <c:pt idx="78">
                  <c:v>40513</c:v>
                </c:pt>
                <c:pt idx="79">
                  <c:v>40544</c:v>
                </c:pt>
                <c:pt idx="80">
                  <c:v>40575</c:v>
                </c:pt>
                <c:pt idx="81">
                  <c:v>40603</c:v>
                </c:pt>
                <c:pt idx="82">
                  <c:v>40634</c:v>
                </c:pt>
                <c:pt idx="83">
                  <c:v>40664</c:v>
                </c:pt>
                <c:pt idx="84">
                  <c:v>40695</c:v>
                </c:pt>
                <c:pt idx="85">
                  <c:v>40725</c:v>
                </c:pt>
                <c:pt idx="86">
                  <c:v>40756</c:v>
                </c:pt>
                <c:pt idx="87">
                  <c:v>40787</c:v>
                </c:pt>
                <c:pt idx="88">
                  <c:v>40817</c:v>
                </c:pt>
                <c:pt idx="89">
                  <c:v>40848</c:v>
                </c:pt>
                <c:pt idx="90">
                  <c:v>40878</c:v>
                </c:pt>
                <c:pt idx="91">
                  <c:v>40909</c:v>
                </c:pt>
                <c:pt idx="92">
                  <c:v>40940</c:v>
                </c:pt>
                <c:pt idx="93">
                  <c:v>40969</c:v>
                </c:pt>
                <c:pt idx="94">
                  <c:v>41000</c:v>
                </c:pt>
                <c:pt idx="95">
                  <c:v>41030</c:v>
                </c:pt>
                <c:pt idx="96">
                  <c:v>41061</c:v>
                </c:pt>
                <c:pt idx="97">
                  <c:v>41091</c:v>
                </c:pt>
                <c:pt idx="98">
                  <c:v>41122</c:v>
                </c:pt>
                <c:pt idx="99">
                  <c:v>41153</c:v>
                </c:pt>
                <c:pt idx="100">
                  <c:v>41183</c:v>
                </c:pt>
                <c:pt idx="101">
                  <c:v>41214</c:v>
                </c:pt>
                <c:pt idx="102">
                  <c:v>41244</c:v>
                </c:pt>
                <c:pt idx="103">
                  <c:v>41275</c:v>
                </c:pt>
                <c:pt idx="104">
                  <c:v>41306</c:v>
                </c:pt>
                <c:pt idx="105">
                  <c:v>41334</c:v>
                </c:pt>
                <c:pt idx="106">
                  <c:v>41365</c:v>
                </c:pt>
                <c:pt idx="107">
                  <c:v>41395</c:v>
                </c:pt>
                <c:pt idx="108">
                  <c:v>41426</c:v>
                </c:pt>
                <c:pt idx="109">
                  <c:v>41456</c:v>
                </c:pt>
                <c:pt idx="110">
                  <c:v>41487</c:v>
                </c:pt>
                <c:pt idx="111">
                  <c:v>41518</c:v>
                </c:pt>
                <c:pt idx="112">
                  <c:v>41548</c:v>
                </c:pt>
                <c:pt idx="113">
                  <c:v>41579</c:v>
                </c:pt>
                <c:pt idx="114">
                  <c:v>41609</c:v>
                </c:pt>
                <c:pt idx="115">
                  <c:v>41640</c:v>
                </c:pt>
                <c:pt idx="116">
                  <c:v>41671</c:v>
                </c:pt>
                <c:pt idx="117">
                  <c:v>41699</c:v>
                </c:pt>
                <c:pt idx="118">
                  <c:v>41730</c:v>
                </c:pt>
                <c:pt idx="119">
                  <c:v>41760</c:v>
                </c:pt>
                <c:pt idx="120">
                  <c:v>41791</c:v>
                </c:pt>
                <c:pt idx="121">
                  <c:v>41821</c:v>
                </c:pt>
                <c:pt idx="122">
                  <c:v>41852</c:v>
                </c:pt>
                <c:pt idx="123">
                  <c:v>41883</c:v>
                </c:pt>
                <c:pt idx="124">
                  <c:v>41913</c:v>
                </c:pt>
                <c:pt idx="125">
                  <c:v>41944</c:v>
                </c:pt>
                <c:pt idx="126">
                  <c:v>41974</c:v>
                </c:pt>
                <c:pt idx="127">
                  <c:v>42005</c:v>
                </c:pt>
                <c:pt idx="128">
                  <c:v>42036</c:v>
                </c:pt>
                <c:pt idx="129">
                  <c:v>42064</c:v>
                </c:pt>
                <c:pt idx="130">
                  <c:v>42095</c:v>
                </c:pt>
                <c:pt idx="131">
                  <c:v>42125</c:v>
                </c:pt>
                <c:pt idx="132">
                  <c:v>42156</c:v>
                </c:pt>
                <c:pt idx="133">
                  <c:v>42186</c:v>
                </c:pt>
                <c:pt idx="134">
                  <c:v>42217</c:v>
                </c:pt>
                <c:pt idx="135">
                  <c:v>42248</c:v>
                </c:pt>
                <c:pt idx="136">
                  <c:v>42278</c:v>
                </c:pt>
                <c:pt idx="137">
                  <c:v>42309</c:v>
                </c:pt>
                <c:pt idx="138">
                  <c:v>42339</c:v>
                </c:pt>
                <c:pt idx="139">
                  <c:v>42370</c:v>
                </c:pt>
                <c:pt idx="140">
                  <c:v>42401</c:v>
                </c:pt>
                <c:pt idx="141">
                  <c:v>42430</c:v>
                </c:pt>
                <c:pt idx="142">
                  <c:v>42461</c:v>
                </c:pt>
              </c:numCache>
            </c:numRef>
          </c:cat>
          <c:val>
            <c:numRef>
              <c:f>'MBA CA Index'!$D$2:$D$144</c:f>
              <c:numCache>
                <c:formatCode>0.0</c:formatCode>
                <c:ptCount val="143"/>
                <c:pt idx="0">
                  <c:v>377</c:v>
                </c:pt>
                <c:pt idx="1">
                  <c:v>380.25</c:v>
                </c:pt>
                <c:pt idx="2">
                  <c:v>383.5</c:v>
                </c:pt>
                <c:pt idx="3">
                  <c:v>386.75</c:v>
                </c:pt>
                <c:pt idx="4">
                  <c:v>390</c:v>
                </c:pt>
                <c:pt idx="5">
                  <c:v>393.25</c:v>
                </c:pt>
                <c:pt idx="6">
                  <c:v>396.5</c:v>
                </c:pt>
                <c:pt idx="7">
                  <c:v>407.04166666666669</c:v>
                </c:pt>
                <c:pt idx="8">
                  <c:v>422.44444444444446</c:v>
                </c:pt>
                <c:pt idx="9">
                  <c:v>441.25</c:v>
                </c:pt>
                <c:pt idx="10">
                  <c:v>462.530303030303</c:v>
                </c:pt>
                <c:pt idx="11">
                  <c:v>485.66666666666669</c:v>
                </c:pt>
                <c:pt idx="12">
                  <c:v>510.23076923076923</c:v>
                </c:pt>
                <c:pt idx="13">
                  <c:v>531.79761904761904</c:v>
                </c:pt>
                <c:pt idx="14">
                  <c:v>550.9666666666667</c:v>
                </c:pt>
                <c:pt idx="15">
                  <c:v>568.1875</c:v>
                </c:pt>
                <c:pt idx="16">
                  <c:v>583.8039215686274</c:v>
                </c:pt>
                <c:pt idx="17">
                  <c:v>598.08333333333337</c:v>
                </c:pt>
                <c:pt idx="18">
                  <c:v>624.25</c:v>
                </c:pt>
                <c:pt idx="19">
                  <c:v>650.26851851851859</c:v>
                </c:pt>
                <c:pt idx="20">
                  <c:v>676.13888888888891</c:v>
                </c:pt>
                <c:pt idx="21">
                  <c:v>701.86111111111109</c:v>
                </c:pt>
                <c:pt idx="22">
                  <c:v>727.43518518518522</c:v>
                </c:pt>
                <c:pt idx="23">
                  <c:v>752.86111111111109</c:v>
                </c:pt>
                <c:pt idx="24">
                  <c:v>778.13888888888891</c:v>
                </c:pt>
                <c:pt idx="25">
                  <c:v>798.47222222222229</c:v>
                </c:pt>
                <c:pt idx="26">
                  <c:v>813.86111111111097</c:v>
                </c:pt>
                <c:pt idx="27">
                  <c:v>824.30555555555543</c:v>
                </c:pt>
                <c:pt idx="28">
                  <c:v>829.80555555555554</c:v>
                </c:pt>
                <c:pt idx="29">
                  <c:v>830.36111111111109</c:v>
                </c:pt>
                <c:pt idx="30">
                  <c:v>825.97222222222217</c:v>
                </c:pt>
                <c:pt idx="31">
                  <c:v>819.53703703703695</c:v>
                </c:pt>
                <c:pt idx="32">
                  <c:v>811.05555555555554</c:v>
                </c:pt>
                <c:pt idx="33">
                  <c:v>800.52777777777783</c:v>
                </c:pt>
                <c:pt idx="34">
                  <c:v>787.9537037037037</c:v>
                </c:pt>
                <c:pt idx="35">
                  <c:v>773.33333333333348</c:v>
                </c:pt>
                <c:pt idx="36">
                  <c:v>756.66666666666663</c:v>
                </c:pt>
                <c:pt idx="37">
                  <c:v>737.64814814814827</c:v>
                </c:pt>
                <c:pt idx="38">
                  <c:v>716.27777777777783</c:v>
                </c:pt>
                <c:pt idx="39">
                  <c:v>692.55555555555554</c:v>
                </c:pt>
                <c:pt idx="40">
                  <c:v>666.48148148148152</c:v>
                </c:pt>
                <c:pt idx="41">
                  <c:v>638.05555555555554</c:v>
                </c:pt>
                <c:pt idx="42">
                  <c:v>607.27777777777783</c:v>
                </c:pt>
                <c:pt idx="43">
                  <c:v>576.00000000000011</c:v>
                </c:pt>
                <c:pt idx="44">
                  <c:v>544.22222222222217</c:v>
                </c:pt>
                <c:pt idx="45">
                  <c:v>511.94444444444446</c:v>
                </c:pt>
                <c:pt idx="46">
                  <c:v>479.16666666666669</c:v>
                </c:pt>
                <c:pt idx="47">
                  <c:v>445.88888888888891</c:v>
                </c:pt>
                <c:pt idx="48">
                  <c:v>412.11111111111109</c:v>
                </c:pt>
                <c:pt idx="49">
                  <c:v>379.66666666666674</c:v>
                </c:pt>
                <c:pt idx="50">
                  <c:v>348.55555555555554</c:v>
                </c:pt>
                <c:pt idx="51">
                  <c:v>318.77777777777777</c:v>
                </c:pt>
                <c:pt idx="52">
                  <c:v>290.33333333333331</c:v>
                </c:pt>
                <c:pt idx="53">
                  <c:v>263.22222222222223</c:v>
                </c:pt>
                <c:pt idx="54">
                  <c:v>237.44444444444446</c:v>
                </c:pt>
                <c:pt idx="55">
                  <c:v>214.2037037037037</c:v>
                </c:pt>
                <c:pt idx="56">
                  <c:v>193.5</c:v>
                </c:pt>
                <c:pt idx="57">
                  <c:v>175.33333333333334</c:v>
                </c:pt>
                <c:pt idx="58">
                  <c:v>159.7037037037037</c:v>
                </c:pt>
                <c:pt idx="59">
                  <c:v>146.61111111111111</c:v>
                </c:pt>
                <c:pt idx="60">
                  <c:v>136.05555555555554</c:v>
                </c:pt>
                <c:pt idx="61">
                  <c:v>127.03703703703705</c:v>
                </c:pt>
                <c:pt idx="62">
                  <c:v>119.55555555555556</c:v>
                </c:pt>
                <c:pt idx="63">
                  <c:v>113.61111111111111</c:v>
                </c:pt>
                <c:pt idx="64">
                  <c:v>109.2037037037037</c:v>
                </c:pt>
                <c:pt idx="65">
                  <c:v>106.33333333333331</c:v>
                </c:pt>
                <c:pt idx="66">
                  <c:v>105</c:v>
                </c:pt>
                <c:pt idx="67">
                  <c:v>104.01851851851852</c:v>
                </c:pt>
                <c:pt idx="68">
                  <c:v>103.38888888888889</c:v>
                </c:pt>
                <c:pt idx="69">
                  <c:v>103.11111111111111</c:v>
                </c:pt>
                <c:pt idx="70">
                  <c:v>103.18518518518518</c:v>
                </c:pt>
                <c:pt idx="71">
                  <c:v>103.61111111111111</c:v>
                </c:pt>
                <c:pt idx="72">
                  <c:v>104.38888888888889</c:v>
                </c:pt>
                <c:pt idx="73">
                  <c:v>104.94444444444446</c:v>
                </c:pt>
                <c:pt idx="74">
                  <c:v>105.27777777777777</c:v>
                </c:pt>
                <c:pt idx="75">
                  <c:v>105.38888888888889</c:v>
                </c:pt>
                <c:pt idx="76">
                  <c:v>105.27777777777777</c:v>
                </c:pt>
                <c:pt idx="77">
                  <c:v>104.94444444444444</c:v>
                </c:pt>
                <c:pt idx="78">
                  <c:v>104.38888888888889</c:v>
                </c:pt>
                <c:pt idx="79">
                  <c:v>104.07407407407408</c:v>
                </c:pt>
                <c:pt idx="80">
                  <c:v>104</c:v>
                </c:pt>
                <c:pt idx="81">
                  <c:v>104.08777777777777</c:v>
                </c:pt>
                <c:pt idx="82">
                  <c:v>104.20111111111112</c:v>
                </c:pt>
                <c:pt idx="83">
                  <c:v>104.74444444444444</c:v>
                </c:pt>
                <c:pt idx="84">
                  <c:v>105.66388888888888</c:v>
                </c:pt>
                <c:pt idx="85">
                  <c:v>106.51296296296296</c:v>
                </c:pt>
                <c:pt idx="86">
                  <c:v>107.20277777777777</c:v>
                </c:pt>
                <c:pt idx="87">
                  <c:v>108.04666666666668</c:v>
                </c:pt>
                <c:pt idx="88">
                  <c:v>108.62629629629629</c:v>
                </c:pt>
                <c:pt idx="89">
                  <c:v>109.12333333333333</c:v>
                </c:pt>
                <c:pt idx="90">
                  <c:v>109.50777777777779</c:v>
                </c:pt>
                <c:pt idx="91">
                  <c:v>109.57518518518519</c:v>
                </c:pt>
                <c:pt idx="92">
                  <c:v>109.2811111111111</c:v>
                </c:pt>
                <c:pt idx="93">
                  <c:v>108.86444444444444</c:v>
                </c:pt>
                <c:pt idx="94">
                  <c:v>108.36685185185186</c:v>
                </c:pt>
                <c:pt idx="95">
                  <c:v>107.68444444444444</c:v>
                </c:pt>
                <c:pt idx="96">
                  <c:v>106.90722222222222</c:v>
                </c:pt>
                <c:pt idx="97">
                  <c:v>106.00925925925928</c:v>
                </c:pt>
                <c:pt idx="98">
                  <c:v>105.41277777777778</c:v>
                </c:pt>
                <c:pt idx="99">
                  <c:v>104.95944444444446</c:v>
                </c:pt>
                <c:pt idx="100">
                  <c:v>104.64611111111113</c:v>
                </c:pt>
                <c:pt idx="101">
                  <c:v>104.46111111111112</c:v>
                </c:pt>
                <c:pt idx="102">
                  <c:v>104.32833333333335</c:v>
                </c:pt>
                <c:pt idx="103">
                  <c:v>104.23166666666668</c:v>
                </c:pt>
                <c:pt idx="104">
                  <c:v>104.30833333333337</c:v>
                </c:pt>
                <c:pt idx="105">
                  <c:v>104.1316666666667</c:v>
                </c:pt>
                <c:pt idx="106">
                  <c:v>104.21277777777779</c:v>
                </c:pt>
                <c:pt idx="107">
                  <c:v>104.35666666666667</c:v>
                </c:pt>
                <c:pt idx="108">
                  <c:v>104.62833333333333</c:v>
                </c:pt>
                <c:pt idx="109">
                  <c:v>105.17944444444446</c:v>
                </c:pt>
                <c:pt idx="110">
                  <c:v>105.87166666666666</c:v>
                </c:pt>
                <c:pt idx="111">
                  <c:v>106.4661111111111</c:v>
                </c:pt>
                <c:pt idx="112">
                  <c:v>107.00999999999999</c:v>
                </c:pt>
                <c:pt idx="113">
                  <c:v>107.49055555555556</c:v>
                </c:pt>
                <c:pt idx="114">
                  <c:v>107.92888888888889</c:v>
                </c:pt>
                <c:pt idx="115">
                  <c:v>108.66944444444444</c:v>
                </c:pt>
                <c:pt idx="116">
                  <c:v>109.20111111111112</c:v>
                </c:pt>
                <c:pt idx="117">
                  <c:v>109.76111111111112</c:v>
                </c:pt>
                <c:pt idx="118">
                  <c:v>110.45</c:v>
                </c:pt>
                <c:pt idx="119">
                  <c:v>110.95833333333333</c:v>
                </c:pt>
                <c:pt idx="120">
                  <c:v>111.38277777777778</c:v>
                </c:pt>
                <c:pt idx="121">
                  <c:v>111.83777777777777</c:v>
                </c:pt>
                <c:pt idx="122">
                  <c:v>112.22499999999999</c:v>
                </c:pt>
                <c:pt idx="123">
                  <c:v>112.67444444444443</c:v>
                </c:pt>
                <c:pt idx="124">
                  <c:v>112.93222222222222</c:v>
                </c:pt>
                <c:pt idx="125">
                  <c:v>113.25055555555554</c:v>
                </c:pt>
                <c:pt idx="126">
                  <c:v>113.57777777777777</c:v>
                </c:pt>
                <c:pt idx="127">
                  <c:v>113.88333333333331</c:v>
                </c:pt>
                <c:pt idx="128">
                  <c:v>114.27777777777777</c:v>
                </c:pt>
                <c:pt idx="129">
                  <c:v>114.86994444444443</c:v>
                </c:pt>
                <c:pt idx="130">
                  <c:v>115.45327777777776</c:v>
                </c:pt>
                <c:pt idx="131">
                  <c:v>116.14216666666665</c:v>
                </c:pt>
                <c:pt idx="132">
                  <c:v>116.75883333333331</c:v>
                </c:pt>
                <c:pt idx="133">
                  <c:v>117.45327777777776</c:v>
                </c:pt>
                <c:pt idx="134">
                  <c:v>118.15327777777777</c:v>
                </c:pt>
                <c:pt idx="135">
                  <c:v>118.84772222222222</c:v>
                </c:pt>
                <c:pt idx="136">
                  <c:v>119.65883333333333</c:v>
                </c:pt>
                <c:pt idx="137">
                  <c:v>120.34216666666664</c:v>
                </c:pt>
                <c:pt idx="138">
                  <c:v>120.81694444444445</c:v>
                </c:pt>
                <c:pt idx="139">
                  <c:v>121.22805555555558</c:v>
                </c:pt>
                <c:pt idx="140">
                  <c:v>121.65583333333335</c:v>
                </c:pt>
                <c:pt idx="141">
                  <c:v>122.06694444444445</c:v>
                </c:pt>
                <c:pt idx="142">
                  <c:v>122.57805555555557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'MBA CA Index'!$E$1</c:f>
              <c:strCache>
                <c:ptCount val="1"/>
                <c:pt idx="0">
                  <c:v>12Mo MA</c:v>
                </c:pt>
              </c:strCache>
            </c:strRef>
          </c:tx>
          <c:marker>
            <c:symbol val="none"/>
          </c:marker>
          <c:cat>
            <c:numRef>
              <c:f>'MBA CA Index'!$A$2:$A$144</c:f>
              <c:numCache>
                <c:formatCode>m/d/yyyy</c:formatCode>
                <c:ptCount val="143"/>
                <c:pt idx="0">
                  <c:v>38139</c:v>
                </c:pt>
                <c:pt idx="1">
                  <c:v>38169</c:v>
                </c:pt>
                <c:pt idx="2">
                  <c:v>38200</c:v>
                </c:pt>
                <c:pt idx="3">
                  <c:v>38231</c:v>
                </c:pt>
                <c:pt idx="4">
                  <c:v>38261</c:v>
                </c:pt>
                <c:pt idx="5">
                  <c:v>38292</c:v>
                </c:pt>
                <c:pt idx="6">
                  <c:v>38322</c:v>
                </c:pt>
                <c:pt idx="7">
                  <c:v>38353</c:v>
                </c:pt>
                <c:pt idx="8">
                  <c:v>38384</c:v>
                </c:pt>
                <c:pt idx="9">
                  <c:v>38412</c:v>
                </c:pt>
                <c:pt idx="10">
                  <c:v>38443</c:v>
                </c:pt>
                <c:pt idx="11">
                  <c:v>38473</c:v>
                </c:pt>
                <c:pt idx="12">
                  <c:v>38504</c:v>
                </c:pt>
                <c:pt idx="13">
                  <c:v>38534</c:v>
                </c:pt>
                <c:pt idx="14">
                  <c:v>38565</c:v>
                </c:pt>
                <c:pt idx="15">
                  <c:v>38596</c:v>
                </c:pt>
                <c:pt idx="16">
                  <c:v>38626</c:v>
                </c:pt>
                <c:pt idx="17">
                  <c:v>38657</c:v>
                </c:pt>
                <c:pt idx="18">
                  <c:v>38687</c:v>
                </c:pt>
                <c:pt idx="19">
                  <c:v>38718</c:v>
                </c:pt>
                <c:pt idx="20">
                  <c:v>38749</c:v>
                </c:pt>
                <c:pt idx="21">
                  <c:v>38777</c:v>
                </c:pt>
                <c:pt idx="22">
                  <c:v>38808</c:v>
                </c:pt>
                <c:pt idx="23">
                  <c:v>38838</c:v>
                </c:pt>
                <c:pt idx="24">
                  <c:v>38869</c:v>
                </c:pt>
                <c:pt idx="25">
                  <c:v>38899</c:v>
                </c:pt>
                <c:pt idx="26">
                  <c:v>38930</c:v>
                </c:pt>
                <c:pt idx="27">
                  <c:v>38961</c:v>
                </c:pt>
                <c:pt idx="28">
                  <c:v>38991</c:v>
                </c:pt>
                <c:pt idx="29">
                  <c:v>39022</c:v>
                </c:pt>
                <c:pt idx="30">
                  <c:v>39052</c:v>
                </c:pt>
                <c:pt idx="31">
                  <c:v>39083</c:v>
                </c:pt>
                <c:pt idx="32">
                  <c:v>39114</c:v>
                </c:pt>
                <c:pt idx="33">
                  <c:v>39142</c:v>
                </c:pt>
                <c:pt idx="34">
                  <c:v>39173</c:v>
                </c:pt>
                <c:pt idx="35">
                  <c:v>39203</c:v>
                </c:pt>
                <c:pt idx="36">
                  <c:v>39234</c:v>
                </c:pt>
                <c:pt idx="37">
                  <c:v>39264</c:v>
                </c:pt>
                <c:pt idx="38">
                  <c:v>39295</c:v>
                </c:pt>
                <c:pt idx="39">
                  <c:v>39326</c:v>
                </c:pt>
                <c:pt idx="40">
                  <c:v>39356</c:v>
                </c:pt>
                <c:pt idx="41">
                  <c:v>39387</c:v>
                </c:pt>
                <c:pt idx="42">
                  <c:v>39417</c:v>
                </c:pt>
                <c:pt idx="43">
                  <c:v>39448</c:v>
                </c:pt>
                <c:pt idx="44">
                  <c:v>39479</c:v>
                </c:pt>
                <c:pt idx="45">
                  <c:v>39508</c:v>
                </c:pt>
                <c:pt idx="46">
                  <c:v>39539</c:v>
                </c:pt>
                <c:pt idx="47">
                  <c:v>39569</c:v>
                </c:pt>
                <c:pt idx="48">
                  <c:v>39600</c:v>
                </c:pt>
                <c:pt idx="49">
                  <c:v>39630</c:v>
                </c:pt>
                <c:pt idx="50">
                  <c:v>39661</c:v>
                </c:pt>
                <c:pt idx="51">
                  <c:v>39692</c:v>
                </c:pt>
                <c:pt idx="52">
                  <c:v>39722</c:v>
                </c:pt>
                <c:pt idx="53">
                  <c:v>39753</c:v>
                </c:pt>
                <c:pt idx="54">
                  <c:v>39783</c:v>
                </c:pt>
                <c:pt idx="55">
                  <c:v>39814</c:v>
                </c:pt>
                <c:pt idx="56">
                  <c:v>39845</c:v>
                </c:pt>
                <c:pt idx="57">
                  <c:v>39873</c:v>
                </c:pt>
                <c:pt idx="58">
                  <c:v>39904</c:v>
                </c:pt>
                <c:pt idx="59">
                  <c:v>39934</c:v>
                </c:pt>
                <c:pt idx="60">
                  <c:v>39965</c:v>
                </c:pt>
                <c:pt idx="61">
                  <c:v>39995</c:v>
                </c:pt>
                <c:pt idx="62">
                  <c:v>40026</c:v>
                </c:pt>
                <c:pt idx="63">
                  <c:v>40057</c:v>
                </c:pt>
                <c:pt idx="64">
                  <c:v>40087</c:v>
                </c:pt>
                <c:pt idx="65">
                  <c:v>40118</c:v>
                </c:pt>
                <c:pt idx="66">
                  <c:v>40148</c:v>
                </c:pt>
                <c:pt idx="67">
                  <c:v>40179</c:v>
                </c:pt>
                <c:pt idx="68">
                  <c:v>40210</c:v>
                </c:pt>
                <c:pt idx="69">
                  <c:v>40238</c:v>
                </c:pt>
                <c:pt idx="70">
                  <c:v>40269</c:v>
                </c:pt>
                <c:pt idx="71">
                  <c:v>40299</c:v>
                </c:pt>
                <c:pt idx="72">
                  <c:v>40330</c:v>
                </c:pt>
                <c:pt idx="73">
                  <c:v>40360</c:v>
                </c:pt>
                <c:pt idx="74">
                  <c:v>40391</c:v>
                </c:pt>
                <c:pt idx="75">
                  <c:v>40422</c:v>
                </c:pt>
                <c:pt idx="76">
                  <c:v>40452</c:v>
                </c:pt>
                <c:pt idx="77">
                  <c:v>40483</c:v>
                </c:pt>
                <c:pt idx="78">
                  <c:v>40513</c:v>
                </c:pt>
                <c:pt idx="79">
                  <c:v>40544</c:v>
                </c:pt>
                <c:pt idx="80">
                  <c:v>40575</c:v>
                </c:pt>
                <c:pt idx="81">
                  <c:v>40603</c:v>
                </c:pt>
                <c:pt idx="82">
                  <c:v>40634</c:v>
                </c:pt>
                <c:pt idx="83">
                  <c:v>40664</c:v>
                </c:pt>
                <c:pt idx="84">
                  <c:v>40695</c:v>
                </c:pt>
                <c:pt idx="85">
                  <c:v>40725</c:v>
                </c:pt>
                <c:pt idx="86">
                  <c:v>40756</c:v>
                </c:pt>
                <c:pt idx="87">
                  <c:v>40787</c:v>
                </c:pt>
                <c:pt idx="88">
                  <c:v>40817</c:v>
                </c:pt>
                <c:pt idx="89">
                  <c:v>40848</c:v>
                </c:pt>
                <c:pt idx="90">
                  <c:v>40878</c:v>
                </c:pt>
                <c:pt idx="91">
                  <c:v>40909</c:v>
                </c:pt>
                <c:pt idx="92">
                  <c:v>40940</c:v>
                </c:pt>
                <c:pt idx="93">
                  <c:v>40969</c:v>
                </c:pt>
                <c:pt idx="94">
                  <c:v>41000</c:v>
                </c:pt>
                <c:pt idx="95">
                  <c:v>41030</c:v>
                </c:pt>
                <c:pt idx="96">
                  <c:v>41061</c:v>
                </c:pt>
                <c:pt idx="97">
                  <c:v>41091</c:v>
                </c:pt>
                <c:pt idx="98">
                  <c:v>41122</c:v>
                </c:pt>
                <c:pt idx="99">
                  <c:v>41153</c:v>
                </c:pt>
                <c:pt idx="100">
                  <c:v>41183</c:v>
                </c:pt>
                <c:pt idx="101">
                  <c:v>41214</c:v>
                </c:pt>
                <c:pt idx="102">
                  <c:v>41244</c:v>
                </c:pt>
                <c:pt idx="103">
                  <c:v>41275</c:v>
                </c:pt>
                <c:pt idx="104">
                  <c:v>41306</c:v>
                </c:pt>
                <c:pt idx="105">
                  <c:v>41334</c:v>
                </c:pt>
                <c:pt idx="106">
                  <c:v>41365</c:v>
                </c:pt>
                <c:pt idx="107">
                  <c:v>41395</c:v>
                </c:pt>
                <c:pt idx="108">
                  <c:v>41426</c:v>
                </c:pt>
                <c:pt idx="109">
                  <c:v>41456</c:v>
                </c:pt>
                <c:pt idx="110">
                  <c:v>41487</c:v>
                </c:pt>
                <c:pt idx="111">
                  <c:v>41518</c:v>
                </c:pt>
                <c:pt idx="112">
                  <c:v>41548</c:v>
                </c:pt>
                <c:pt idx="113">
                  <c:v>41579</c:v>
                </c:pt>
                <c:pt idx="114">
                  <c:v>41609</c:v>
                </c:pt>
                <c:pt idx="115">
                  <c:v>41640</c:v>
                </c:pt>
                <c:pt idx="116">
                  <c:v>41671</c:v>
                </c:pt>
                <c:pt idx="117">
                  <c:v>41699</c:v>
                </c:pt>
                <c:pt idx="118">
                  <c:v>41730</c:v>
                </c:pt>
                <c:pt idx="119">
                  <c:v>41760</c:v>
                </c:pt>
                <c:pt idx="120">
                  <c:v>41791</c:v>
                </c:pt>
                <c:pt idx="121">
                  <c:v>41821</c:v>
                </c:pt>
                <c:pt idx="122">
                  <c:v>41852</c:v>
                </c:pt>
                <c:pt idx="123">
                  <c:v>41883</c:v>
                </c:pt>
                <c:pt idx="124">
                  <c:v>41913</c:v>
                </c:pt>
                <c:pt idx="125">
                  <c:v>41944</c:v>
                </c:pt>
                <c:pt idx="126">
                  <c:v>41974</c:v>
                </c:pt>
                <c:pt idx="127">
                  <c:v>42005</c:v>
                </c:pt>
                <c:pt idx="128">
                  <c:v>42036</c:v>
                </c:pt>
                <c:pt idx="129">
                  <c:v>42064</c:v>
                </c:pt>
                <c:pt idx="130">
                  <c:v>42095</c:v>
                </c:pt>
                <c:pt idx="131">
                  <c:v>42125</c:v>
                </c:pt>
                <c:pt idx="132">
                  <c:v>42156</c:v>
                </c:pt>
                <c:pt idx="133">
                  <c:v>42186</c:v>
                </c:pt>
                <c:pt idx="134">
                  <c:v>42217</c:v>
                </c:pt>
                <c:pt idx="135">
                  <c:v>42248</c:v>
                </c:pt>
                <c:pt idx="136">
                  <c:v>42278</c:v>
                </c:pt>
                <c:pt idx="137">
                  <c:v>42309</c:v>
                </c:pt>
                <c:pt idx="138">
                  <c:v>42339</c:v>
                </c:pt>
                <c:pt idx="139">
                  <c:v>42370</c:v>
                </c:pt>
                <c:pt idx="140">
                  <c:v>42401</c:v>
                </c:pt>
                <c:pt idx="141">
                  <c:v>42430</c:v>
                </c:pt>
                <c:pt idx="142">
                  <c:v>42461</c:v>
                </c:pt>
              </c:numCache>
            </c:numRef>
          </c:cat>
          <c:val>
            <c:numRef>
              <c:f>'MBA CA Index'!$E$2:$E$144</c:f>
              <c:numCache>
                <c:formatCode>0.0</c:formatCode>
                <c:ptCount val="143"/>
                <c:pt idx="0">
                  <c:v>377</c:v>
                </c:pt>
                <c:pt idx="1">
                  <c:v>380.25</c:v>
                </c:pt>
                <c:pt idx="2">
                  <c:v>383.5</c:v>
                </c:pt>
                <c:pt idx="3">
                  <c:v>386.75</c:v>
                </c:pt>
                <c:pt idx="4">
                  <c:v>390</c:v>
                </c:pt>
                <c:pt idx="5">
                  <c:v>393.25</c:v>
                </c:pt>
                <c:pt idx="6">
                  <c:v>396.5</c:v>
                </c:pt>
                <c:pt idx="7">
                  <c:v>407.04166666666669</c:v>
                </c:pt>
                <c:pt idx="8">
                  <c:v>422.44444444444446</c:v>
                </c:pt>
                <c:pt idx="9">
                  <c:v>441.25</c:v>
                </c:pt>
                <c:pt idx="10">
                  <c:v>462.530303030303</c:v>
                </c:pt>
                <c:pt idx="11">
                  <c:v>485.66666666666669</c:v>
                </c:pt>
                <c:pt idx="12">
                  <c:v>521.33333333333337</c:v>
                </c:pt>
                <c:pt idx="13">
                  <c:v>557.05555555555554</c:v>
                </c:pt>
                <c:pt idx="14">
                  <c:v>592.83333333333337</c:v>
                </c:pt>
                <c:pt idx="15">
                  <c:v>628.66666666666663</c:v>
                </c:pt>
                <c:pt idx="16">
                  <c:v>664.55555555555554</c:v>
                </c:pt>
                <c:pt idx="17">
                  <c:v>700.5</c:v>
                </c:pt>
                <c:pt idx="18">
                  <c:v>736.5</c:v>
                </c:pt>
                <c:pt idx="19">
                  <c:v>767.41666666666686</c:v>
                </c:pt>
                <c:pt idx="20">
                  <c:v>793.24999999999989</c:v>
                </c:pt>
                <c:pt idx="21">
                  <c:v>813.99999999999989</c:v>
                </c:pt>
                <c:pt idx="22">
                  <c:v>829.66666666666663</c:v>
                </c:pt>
                <c:pt idx="23">
                  <c:v>840.25</c:v>
                </c:pt>
                <c:pt idx="24">
                  <c:v>845.75</c:v>
                </c:pt>
                <c:pt idx="25">
                  <c:v>848.6388888888888</c:v>
                </c:pt>
                <c:pt idx="26">
                  <c:v>848.91666666666663</c:v>
                </c:pt>
                <c:pt idx="27">
                  <c:v>846.58333333333337</c:v>
                </c:pt>
                <c:pt idx="28">
                  <c:v>841.6388888888888</c:v>
                </c:pt>
                <c:pt idx="29">
                  <c:v>834.08333333333348</c:v>
                </c:pt>
                <c:pt idx="30">
                  <c:v>823.91666666666663</c:v>
                </c:pt>
                <c:pt idx="31">
                  <c:v>810.95833333333348</c:v>
                </c:pt>
                <c:pt idx="32">
                  <c:v>795.20833333333337</c:v>
                </c:pt>
                <c:pt idx="33">
                  <c:v>776.66666666666663</c:v>
                </c:pt>
                <c:pt idx="34">
                  <c:v>755.33333333333348</c:v>
                </c:pt>
                <c:pt idx="35">
                  <c:v>731.20833333333337</c:v>
                </c:pt>
                <c:pt idx="36">
                  <c:v>704.29166666666663</c:v>
                </c:pt>
                <c:pt idx="37">
                  <c:v>676.18055555555577</c:v>
                </c:pt>
                <c:pt idx="38">
                  <c:v>646.87500000000011</c:v>
                </c:pt>
                <c:pt idx="39">
                  <c:v>616.37500000000011</c:v>
                </c:pt>
                <c:pt idx="40">
                  <c:v>584.68055555555554</c:v>
                </c:pt>
                <c:pt idx="41">
                  <c:v>551.79166666666663</c:v>
                </c:pt>
                <c:pt idx="42">
                  <c:v>517.70833333333337</c:v>
                </c:pt>
                <c:pt idx="43">
                  <c:v>483.33333333333343</c:v>
                </c:pt>
                <c:pt idx="44">
                  <c:v>448.66666666666669</c:v>
                </c:pt>
                <c:pt idx="45">
                  <c:v>413.70833333333331</c:v>
                </c:pt>
                <c:pt idx="46">
                  <c:v>378.45833333333331</c:v>
                </c:pt>
                <c:pt idx="47">
                  <c:v>342.91666666666669</c:v>
                </c:pt>
                <c:pt idx="48">
                  <c:v>307.08333333333331</c:v>
                </c:pt>
                <c:pt idx="49">
                  <c:v>273.98611111111114</c:v>
                </c:pt>
                <c:pt idx="50">
                  <c:v>243.625</c:v>
                </c:pt>
                <c:pt idx="51">
                  <c:v>216</c:v>
                </c:pt>
                <c:pt idx="52">
                  <c:v>191.11111111111111</c:v>
                </c:pt>
                <c:pt idx="53">
                  <c:v>168.95833333333334</c:v>
                </c:pt>
                <c:pt idx="54">
                  <c:v>149.54166666666666</c:v>
                </c:pt>
                <c:pt idx="55">
                  <c:v>133.48611111111111</c:v>
                </c:pt>
                <c:pt idx="56">
                  <c:v>120.79166666666667</c:v>
                </c:pt>
                <c:pt idx="57">
                  <c:v>111.45833333333333</c:v>
                </c:pt>
                <c:pt idx="58">
                  <c:v>105.4861111111111</c:v>
                </c:pt>
                <c:pt idx="59">
                  <c:v>102.87499999999999</c:v>
                </c:pt>
                <c:pt idx="60">
                  <c:v>103.625</c:v>
                </c:pt>
                <c:pt idx="61">
                  <c:v>104.38888888888887</c:v>
                </c:pt>
                <c:pt idx="62">
                  <c:v>105.16666666666667</c:v>
                </c:pt>
                <c:pt idx="63">
                  <c:v>105.95833333333333</c:v>
                </c:pt>
                <c:pt idx="64">
                  <c:v>106.76388888888887</c:v>
                </c:pt>
                <c:pt idx="65">
                  <c:v>107.58333333333333</c:v>
                </c:pt>
                <c:pt idx="66">
                  <c:v>108.41666666666667</c:v>
                </c:pt>
                <c:pt idx="67">
                  <c:v>108.70833333333336</c:v>
                </c:pt>
                <c:pt idx="68">
                  <c:v>108.45833333333333</c:v>
                </c:pt>
                <c:pt idx="69">
                  <c:v>107.66666666666667</c:v>
                </c:pt>
                <c:pt idx="70">
                  <c:v>106.33333333333333</c:v>
                </c:pt>
                <c:pt idx="71">
                  <c:v>104.45833333333333</c:v>
                </c:pt>
                <c:pt idx="72">
                  <c:v>102.04166666666667</c:v>
                </c:pt>
                <c:pt idx="73">
                  <c:v>100.34722222222223</c:v>
                </c:pt>
                <c:pt idx="74">
                  <c:v>99.375</c:v>
                </c:pt>
                <c:pt idx="75">
                  <c:v>99.125</c:v>
                </c:pt>
                <c:pt idx="76">
                  <c:v>99.597222222222243</c:v>
                </c:pt>
                <c:pt idx="77">
                  <c:v>100.79166666666667</c:v>
                </c:pt>
                <c:pt idx="78">
                  <c:v>102.70833333333333</c:v>
                </c:pt>
                <c:pt idx="79">
                  <c:v>104.47222222222223</c:v>
                </c:pt>
                <c:pt idx="80">
                  <c:v>106.08333333333333</c:v>
                </c:pt>
                <c:pt idx="81">
                  <c:v>107.42333333333335</c:v>
                </c:pt>
                <c:pt idx="82">
                  <c:v>108.28777777777778</c:v>
                </c:pt>
                <c:pt idx="83">
                  <c:v>109.28333333333335</c:v>
                </c:pt>
                <c:pt idx="84">
                  <c:v>110.32916666666667</c:v>
                </c:pt>
                <c:pt idx="85">
                  <c:v>111.06111111111113</c:v>
                </c:pt>
                <c:pt idx="86">
                  <c:v>111.34583333333335</c:v>
                </c:pt>
                <c:pt idx="87">
                  <c:v>111.65333333333332</c:v>
                </c:pt>
                <c:pt idx="88">
                  <c:v>111.3561111111111</c:v>
                </c:pt>
                <c:pt idx="89">
                  <c:v>110.72666666666665</c:v>
                </c:pt>
                <c:pt idx="90">
                  <c:v>109.71999999999998</c:v>
                </c:pt>
                <c:pt idx="91">
                  <c:v>108.59888888888891</c:v>
                </c:pt>
                <c:pt idx="92">
                  <c:v>107.29666666666667</c:v>
                </c:pt>
                <c:pt idx="93">
                  <c:v>106.29</c:v>
                </c:pt>
                <c:pt idx="94">
                  <c:v>105.84583333333335</c:v>
                </c:pt>
                <c:pt idx="95">
                  <c:v>105.20166666666665</c:v>
                </c:pt>
                <c:pt idx="96">
                  <c:v>104.57333333333332</c:v>
                </c:pt>
                <c:pt idx="97">
                  <c:v>103.71666666666665</c:v>
                </c:pt>
                <c:pt idx="98">
                  <c:v>103.39833333333335</c:v>
                </c:pt>
                <c:pt idx="99">
                  <c:v>102.79250000000002</c:v>
                </c:pt>
                <c:pt idx="100">
                  <c:v>102.31750000000001</c:v>
                </c:pt>
                <c:pt idx="101">
                  <c:v>102.29</c:v>
                </c:pt>
                <c:pt idx="102">
                  <c:v>102.56</c:v>
                </c:pt>
                <c:pt idx="103">
                  <c:v>103.04583333333335</c:v>
                </c:pt>
                <c:pt idx="104">
                  <c:v>103.88666666666666</c:v>
                </c:pt>
                <c:pt idx="105">
                  <c:v>104.55416666666666</c:v>
                </c:pt>
                <c:pt idx="106">
                  <c:v>105.125</c:v>
                </c:pt>
                <c:pt idx="107">
                  <c:v>105.73500000000001</c:v>
                </c:pt>
                <c:pt idx="108">
                  <c:v>106.30166666666666</c:v>
                </c:pt>
                <c:pt idx="109">
                  <c:v>107.35416666666664</c:v>
                </c:pt>
                <c:pt idx="110">
                  <c:v>107.985</c:v>
                </c:pt>
                <c:pt idx="111">
                  <c:v>108.55</c:v>
                </c:pt>
                <c:pt idx="112">
                  <c:v>109.39166666666667</c:v>
                </c:pt>
                <c:pt idx="113">
                  <c:v>109.74583333333334</c:v>
                </c:pt>
                <c:pt idx="114">
                  <c:v>109.97416666666668</c:v>
                </c:pt>
                <c:pt idx="115">
                  <c:v>110.37333333333333</c:v>
                </c:pt>
                <c:pt idx="116">
                  <c:v>110.73750000000001</c:v>
                </c:pt>
                <c:pt idx="117">
                  <c:v>111.23666666666668</c:v>
                </c:pt>
                <c:pt idx="118">
                  <c:v>111.67333333333335</c:v>
                </c:pt>
                <c:pt idx="119">
                  <c:v>112.19249999999998</c:v>
                </c:pt>
                <c:pt idx="120">
                  <c:v>112.69166666666666</c:v>
                </c:pt>
                <c:pt idx="121">
                  <c:v>113.03333333333332</c:v>
                </c:pt>
                <c:pt idx="122">
                  <c:v>113.41666666666667</c:v>
                </c:pt>
                <c:pt idx="123">
                  <c:v>113.86666666666666</c:v>
                </c:pt>
                <c:pt idx="124">
                  <c:v>114.00833333333333</c:v>
                </c:pt>
                <c:pt idx="125">
                  <c:v>114.37499999999999</c:v>
                </c:pt>
                <c:pt idx="126">
                  <c:v>114.77499999999999</c:v>
                </c:pt>
                <c:pt idx="127">
                  <c:v>115.175</c:v>
                </c:pt>
                <c:pt idx="128">
                  <c:v>115.60000000000001</c:v>
                </c:pt>
                <c:pt idx="129">
                  <c:v>116.21325</c:v>
                </c:pt>
                <c:pt idx="130">
                  <c:v>116.89658333333334</c:v>
                </c:pt>
                <c:pt idx="131">
                  <c:v>117.52158333333331</c:v>
                </c:pt>
                <c:pt idx="132">
                  <c:v>118.03824999999999</c:v>
                </c:pt>
                <c:pt idx="133">
                  <c:v>118.79658333333333</c:v>
                </c:pt>
                <c:pt idx="134">
                  <c:v>119.62991666666666</c:v>
                </c:pt>
                <c:pt idx="135">
                  <c:v>120.49658333333332</c:v>
                </c:pt>
                <c:pt idx="136">
                  <c:v>121.76325000000001</c:v>
                </c:pt>
                <c:pt idx="137">
                  <c:v>122.82991666666669</c:v>
                </c:pt>
                <c:pt idx="138">
                  <c:v>123.55041666666666</c:v>
                </c:pt>
                <c:pt idx="139">
                  <c:v>124.05041666666666</c:v>
                </c:pt>
                <c:pt idx="140">
                  <c:v>124.48374999999999</c:v>
                </c:pt>
                <c:pt idx="141">
                  <c:v>124.66216666666666</c:v>
                </c:pt>
                <c:pt idx="142">
                  <c:v>124.6955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'MBA CA Index'!$F$1</c:f>
              <c:strCache>
                <c:ptCount val="1"/>
                <c:pt idx="0">
                  <c:v>6Mo MA</c:v>
                </c:pt>
              </c:strCache>
            </c:strRef>
          </c:tx>
          <c:marker>
            <c:symbol val="none"/>
          </c:marker>
          <c:cat>
            <c:numRef>
              <c:f>'MBA CA Index'!$A$2:$A$144</c:f>
              <c:numCache>
                <c:formatCode>m/d/yyyy</c:formatCode>
                <c:ptCount val="143"/>
                <c:pt idx="0">
                  <c:v>38139</c:v>
                </c:pt>
                <c:pt idx="1">
                  <c:v>38169</c:v>
                </c:pt>
                <c:pt idx="2">
                  <c:v>38200</c:v>
                </c:pt>
                <c:pt idx="3">
                  <c:v>38231</c:v>
                </c:pt>
                <c:pt idx="4">
                  <c:v>38261</c:v>
                </c:pt>
                <c:pt idx="5">
                  <c:v>38292</c:v>
                </c:pt>
                <c:pt idx="6">
                  <c:v>38322</c:v>
                </c:pt>
                <c:pt idx="7">
                  <c:v>38353</c:v>
                </c:pt>
                <c:pt idx="8">
                  <c:v>38384</c:v>
                </c:pt>
                <c:pt idx="9">
                  <c:v>38412</c:v>
                </c:pt>
                <c:pt idx="10">
                  <c:v>38443</c:v>
                </c:pt>
                <c:pt idx="11">
                  <c:v>38473</c:v>
                </c:pt>
                <c:pt idx="12">
                  <c:v>38504</c:v>
                </c:pt>
                <c:pt idx="13">
                  <c:v>38534</c:v>
                </c:pt>
                <c:pt idx="14">
                  <c:v>38565</c:v>
                </c:pt>
                <c:pt idx="15">
                  <c:v>38596</c:v>
                </c:pt>
                <c:pt idx="16">
                  <c:v>38626</c:v>
                </c:pt>
                <c:pt idx="17">
                  <c:v>38657</c:v>
                </c:pt>
                <c:pt idx="18">
                  <c:v>38687</c:v>
                </c:pt>
                <c:pt idx="19">
                  <c:v>38718</c:v>
                </c:pt>
                <c:pt idx="20">
                  <c:v>38749</c:v>
                </c:pt>
                <c:pt idx="21">
                  <c:v>38777</c:v>
                </c:pt>
                <c:pt idx="22">
                  <c:v>38808</c:v>
                </c:pt>
                <c:pt idx="23">
                  <c:v>38838</c:v>
                </c:pt>
                <c:pt idx="24">
                  <c:v>38869</c:v>
                </c:pt>
                <c:pt idx="25">
                  <c:v>38899</c:v>
                </c:pt>
                <c:pt idx="26">
                  <c:v>38930</c:v>
                </c:pt>
                <c:pt idx="27">
                  <c:v>38961</c:v>
                </c:pt>
                <c:pt idx="28">
                  <c:v>38991</c:v>
                </c:pt>
                <c:pt idx="29">
                  <c:v>39022</c:v>
                </c:pt>
                <c:pt idx="30">
                  <c:v>39052</c:v>
                </c:pt>
                <c:pt idx="31">
                  <c:v>39083</c:v>
                </c:pt>
                <c:pt idx="32">
                  <c:v>39114</c:v>
                </c:pt>
                <c:pt idx="33">
                  <c:v>39142</c:v>
                </c:pt>
                <c:pt idx="34">
                  <c:v>39173</c:v>
                </c:pt>
                <c:pt idx="35">
                  <c:v>39203</c:v>
                </c:pt>
                <c:pt idx="36">
                  <c:v>39234</c:v>
                </c:pt>
                <c:pt idx="37">
                  <c:v>39264</c:v>
                </c:pt>
                <c:pt idx="38">
                  <c:v>39295</c:v>
                </c:pt>
                <c:pt idx="39">
                  <c:v>39326</c:v>
                </c:pt>
                <c:pt idx="40">
                  <c:v>39356</c:v>
                </c:pt>
                <c:pt idx="41">
                  <c:v>39387</c:v>
                </c:pt>
                <c:pt idx="42">
                  <c:v>39417</c:v>
                </c:pt>
                <c:pt idx="43">
                  <c:v>39448</c:v>
                </c:pt>
                <c:pt idx="44">
                  <c:v>39479</c:v>
                </c:pt>
                <c:pt idx="45">
                  <c:v>39508</c:v>
                </c:pt>
                <c:pt idx="46">
                  <c:v>39539</c:v>
                </c:pt>
                <c:pt idx="47">
                  <c:v>39569</c:v>
                </c:pt>
                <c:pt idx="48">
                  <c:v>39600</c:v>
                </c:pt>
                <c:pt idx="49">
                  <c:v>39630</c:v>
                </c:pt>
                <c:pt idx="50">
                  <c:v>39661</c:v>
                </c:pt>
                <c:pt idx="51">
                  <c:v>39692</c:v>
                </c:pt>
                <c:pt idx="52">
                  <c:v>39722</c:v>
                </c:pt>
                <c:pt idx="53">
                  <c:v>39753</c:v>
                </c:pt>
                <c:pt idx="54">
                  <c:v>39783</c:v>
                </c:pt>
                <c:pt idx="55">
                  <c:v>39814</c:v>
                </c:pt>
                <c:pt idx="56">
                  <c:v>39845</c:v>
                </c:pt>
                <c:pt idx="57">
                  <c:v>39873</c:v>
                </c:pt>
                <c:pt idx="58">
                  <c:v>39904</c:v>
                </c:pt>
                <c:pt idx="59">
                  <c:v>39934</c:v>
                </c:pt>
                <c:pt idx="60">
                  <c:v>39965</c:v>
                </c:pt>
                <c:pt idx="61">
                  <c:v>39995</c:v>
                </c:pt>
                <c:pt idx="62">
                  <c:v>40026</c:v>
                </c:pt>
                <c:pt idx="63">
                  <c:v>40057</c:v>
                </c:pt>
                <c:pt idx="64">
                  <c:v>40087</c:v>
                </c:pt>
                <c:pt idx="65">
                  <c:v>40118</c:v>
                </c:pt>
                <c:pt idx="66">
                  <c:v>40148</c:v>
                </c:pt>
                <c:pt idx="67">
                  <c:v>40179</c:v>
                </c:pt>
                <c:pt idx="68">
                  <c:v>40210</c:v>
                </c:pt>
                <c:pt idx="69">
                  <c:v>40238</c:v>
                </c:pt>
                <c:pt idx="70">
                  <c:v>40269</c:v>
                </c:pt>
                <c:pt idx="71">
                  <c:v>40299</c:v>
                </c:pt>
                <c:pt idx="72">
                  <c:v>40330</c:v>
                </c:pt>
                <c:pt idx="73">
                  <c:v>40360</c:v>
                </c:pt>
                <c:pt idx="74">
                  <c:v>40391</c:v>
                </c:pt>
                <c:pt idx="75">
                  <c:v>40422</c:v>
                </c:pt>
                <c:pt idx="76">
                  <c:v>40452</c:v>
                </c:pt>
                <c:pt idx="77">
                  <c:v>40483</c:v>
                </c:pt>
                <c:pt idx="78">
                  <c:v>40513</c:v>
                </c:pt>
                <c:pt idx="79">
                  <c:v>40544</c:v>
                </c:pt>
                <c:pt idx="80">
                  <c:v>40575</c:v>
                </c:pt>
                <c:pt idx="81">
                  <c:v>40603</c:v>
                </c:pt>
                <c:pt idx="82">
                  <c:v>40634</c:v>
                </c:pt>
                <c:pt idx="83">
                  <c:v>40664</c:v>
                </c:pt>
                <c:pt idx="84">
                  <c:v>40695</c:v>
                </c:pt>
                <c:pt idx="85">
                  <c:v>40725</c:v>
                </c:pt>
                <c:pt idx="86">
                  <c:v>40756</c:v>
                </c:pt>
                <c:pt idx="87">
                  <c:v>40787</c:v>
                </c:pt>
                <c:pt idx="88">
                  <c:v>40817</c:v>
                </c:pt>
                <c:pt idx="89">
                  <c:v>40848</c:v>
                </c:pt>
                <c:pt idx="90">
                  <c:v>40878</c:v>
                </c:pt>
                <c:pt idx="91">
                  <c:v>40909</c:v>
                </c:pt>
                <c:pt idx="92">
                  <c:v>40940</c:v>
                </c:pt>
                <c:pt idx="93">
                  <c:v>40969</c:v>
                </c:pt>
                <c:pt idx="94">
                  <c:v>41000</c:v>
                </c:pt>
                <c:pt idx="95">
                  <c:v>41030</c:v>
                </c:pt>
                <c:pt idx="96">
                  <c:v>41061</c:v>
                </c:pt>
                <c:pt idx="97">
                  <c:v>41091</c:v>
                </c:pt>
                <c:pt idx="98">
                  <c:v>41122</c:v>
                </c:pt>
                <c:pt idx="99">
                  <c:v>41153</c:v>
                </c:pt>
                <c:pt idx="100">
                  <c:v>41183</c:v>
                </c:pt>
                <c:pt idx="101">
                  <c:v>41214</c:v>
                </c:pt>
                <c:pt idx="102">
                  <c:v>41244</c:v>
                </c:pt>
                <c:pt idx="103">
                  <c:v>41275</c:v>
                </c:pt>
                <c:pt idx="104">
                  <c:v>41306</c:v>
                </c:pt>
                <c:pt idx="105">
                  <c:v>41334</c:v>
                </c:pt>
                <c:pt idx="106">
                  <c:v>41365</c:v>
                </c:pt>
                <c:pt idx="107">
                  <c:v>41395</c:v>
                </c:pt>
                <c:pt idx="108">
                  <c:v>41426</c:v>
                </c:pt>
                <c:pt idx="109">
                  <c:v>41456</c:v>
                </c:pt>
                <c:pt idx="110">
                  <c:v>41487</c:v>
                </c:pt>
                <c:pt idx="111">
                  <c:v>41518</c:v>
                </c:pt>
                <c:pt idx="112">
                  <c:v>41548</c:v>
                </c:pt>
                <c:pt idx="113">
                  <c:v>41579</c:v>
                </c:pt>
                <c:pt idx="114">
                  <c:v>41609</c:v>
                </c:pt>
                <c:pt idx="115">
                  <c:v>41640</c:v>
                </c:pt>
                <c:pt idx="116">
                  <c:v>41671</c:v>
                </c:pt>
                <c:pt idx="117">
                  <c:v>41699</c:v>
                </c:pt>
                <c:pt idx="118">
                  <c:v>41730</c:v>
                </c:pt>
                <c:pt idx="119">
                  <c:v>41760</c:v>
                </c:pt>
                <c:pt idx="120">
                  <c:v>41791</c:v>
                </c:pt>
                <c:pt idx="121">
                  <c:v>41821</c:v>
                </c:pt>
                <c:pt idx="122">
                  <c:v>41852</c:v>
                </c:pt>
                <c:pt idx="123">
                  <c:v>41883</c:v>
                </c:pt>
                <c:pt idx="124">
                  <c:v>41913</c:v>
                </c:pt>
                <c:pt idx="125">
                  <c:v>41944</c:v>
                </c:pt>
                <c:pt idx="126">
                  <c:v>41974</c:v>
                </c:pt>
                <c:pt idx="127">
                  <c:v>42005</c:v>
                </c:pt>
                <c:pt idx="128">
                  <c:v>42036</c:v>
                </c:pt>
                <c:pt idx="129">
                  <c:v>42064</c:v>
                </c:pt>
                <c:pt idx="130">
                  <c:v>42095</c:v>
                </c:pt>
                <c:pt idx="131">
                  <c:v>42125</c:v>
                </c:pt>
                <c:pt idx="132">
                  <c:v>42156</c:v>
                </c:pt>
                <c:pt idx="133">
                  <c:v>42186</c:v>
                </c:pt>
                <c:pt idx="134">
                  <c:v>42217</c:v>
                </c:pt>
                <c:pt idx="135">
                  <c:v>42248</c:v>
                </c:pt>
                <c:pt idx="136">
                  <c:v>42278</c:v>
                </c:pt>
                <c:pt idx="137">
                  <c:v>42309</c:v>
                </c:pt>
                <c:pt idx="138">
                  <c:v>42339</c:v>
                </c:pt>
                <c:pt idx="139">
                  <c:v>42370</c:v>
                </c:pt>
                <c:pt idx="140">
                  <c:v>42401</c:v>
                </c:pt>
                <c:pt idx="141">
                  <c:v>42430</c:v>
                </c:pt>
                <c:pt idx="142">
                  <c:v>42461</c:v>
                </c:pt>
              </c:numCache>
            </c:numRef>
          </c:cat>
          <c:val>
            <c:numRef>
              <c:f>'MBA CA Index'!$F$2:$F$144</c:f>
              <c:numCache>
                <c:formatCode>0.0</c:formatCode>
                <c:ptCount val="143"/>
                <c:pt idx="0">
                  <c:v>377</c:v>
                </c:pt>
                <c:pt idx="1">
                  <c:v>380.25</c:v>
                </c:pt>
                <c:pt idx="2">
                  <c:v>383.5</c:v>
                </c:pt>
                <c:pt idx="3">
                  <c:v>386.75</c:v>
                </c:pt>
                <c:pt idx="4">
                  <c:v>390</c:v>
                </c:pt>
                <c:pt idx="5">
                  <c:v>393.25</c:v>
                </c:pt>
                <c:pt idx="6">
                  <c:v>399.75</c:v>
                </c:pt>
                <c:pt idx="7">
                  <c:v>415.97222222222223</c:v>
                </c:pt>
                <c:pt idx="8">
                  <c:v>441.91666666666669</c:v>
                </c:pt>
                <c:pt idx="9">
                  <c:v>477.58333333333331</c:v>
                </c:pt>
                <c:pt idx="10">
                  <c:v>522.97222222222229</c:v>
                </c:pt>
                <c:pt idx="11">
                  <c:v>578.08333333333337</c:v>
                </c:pt>
                <c:pt idx="12">
                  <c:v>642.91666666666663</c:v>
                </c:pt>
                <c:pt idx="13">
                  <c:v>698.13888888888903</c:v>
                </c:pt>
                <c:pt idx="14">
                  <c:v>743.75</c:v>
                </c:pt>
                <c:pt idx="15">
                  <c:v>779.75</c:v>
                </c:pt>
                <c:pt idx="16">
                  <c:v>806.13888888888903</c:v>
                </c:pt>
                <c:pt idx="17">
                  <c:v>822.91666666666652</c:v>
                </c:pt>
                <c:pt idx="18">
                  <c:v>830.08333333333337</c:v>
                </c:pt>
                <c:pt idx="19">
                  <c:v>836.69444444444423</c:v>
                </c:pt>
                <c:pt idx="20">
                  <c:v>842.75</c:v>
                </c:pt>
                <c:pt idx="21">
                  <c:v>848.25</c:v>
                </c:pt>
                <c:pt idx="22">
                  <c:v>853.19444444444434</c:v>
                </c:pt>
                <c:pt idx="23">
                  <c:v>857.58333333333348</c:v>
                </c:pt>
                <c:pt idx="24">
                  <c:v>861.41666666666663</c:v>
                </c:pt>
                <c:pt idx="25">
                  <c:v>860.58333333333348</c:v>
                </c:pt>
                <c:pt idx="26">
                  <c:v>855.08333333333348</c:v>
                </c:pt>
                <c:pt idx="27">
                  <c:v>844.91666666666686</c:v>
                </c:pt>
                <c:pt idx="28">
                  <c:v>830.08333333333337</c:v>
                </c:pt>
                <c:pt idx="29">
                  <c:v>810.58333333333348</c:v>
                </c:pt>
                <c:pt idx="30">
                  <c:v>786.41666666666663</c:v>
                </c:pt>
                <c:pt idx="31">
                  <c:v>761.33333333333348</c:v>
                </c:pt>
                <c:pt idx="32">
                  <c:v>735.33333333333348</c:v>
                </c:pt>
                <c:pt idx="33">
                  <c:v>708.41666666666686</c:v>
                </c:pt>
                <c:pt idx="34">
                  <c:v>680.58333333333337</c:v>
                </c:pt>
                <c:pt idx="35">
                  <c:v>651.83333333333337</c:v>
                </c:pt>
                <c:pt idx="36">
                  <c:v>622.16666666666674</c:v>
                </c:pt>
                <c:pt idx="37">
                  <c:v>591.02777777777794</c:v>
                </c:pt>
                <c:pt idx="38">
                  <c:v>558.41666666666674</c:v>
                </c:pt>
                <c:pt idx="39">
                  <c:v>524.33333333333337</c:v>
                </c:pt>
                <c:pt idx="40">
                  <c:v>488.77777777777783</c:v>
                </c:pt>
                <c:pt idx="41">
                  <c:v>451.75</c:v>
                </c:pt>
                <c:pt idx="42">
                  <c:v>413.25</c:v>
                </c:pt>
                <c:pt idx="43">
                  <c:v>375.63888888888891</c:v>
                </c:pt>
                <c:pt idx="44">
                  <c:v>338.91666666666669</c:v>
                </c:pt>
                <c:pt idx="45">
                  <c:v>303.08333333333331</c:v>
                </c:pt>
                <c:pt idx="46">
                  <c:v>268.13888888888886</c:v>
                </c:pt>
                <c:pt idx="47">
                  <c:v>234.08333333333334</c:v>
                </c:pt>
                <c:pt idx="48">
                  <c:v>200.91666666666666</c:v>
                </c:pt>
                <c:pt idx="49">
                  <c:v>172.33333333333334</c:v>
                </c:pt>
                <c:pt idx="50">
                  <c:v>148.33333333333334</c:v>
                </c:pt>
                <c:pt idx="51">
                  <c:v>128.91666666666666</c:v>
                </c:pt>
                <c:pt idx="52">
                  <c:v>114.08333333333333</c:v>
                </c:pt>
                <c:pt idx="53">
                  <c:v>103.83333333333331</c:v>
                </c:pt>
                <c:pt idx="54">
                  <c:v>98.166666666666671</c:v>
                </c:pt>
                <c:pt idx="55">
                  <c:v>94.638888888888872</c:v>
                </c:pt>
                <c:pt idx="56">
                  <c:v>93.25</c:v>
                </c:pt>
                <c:pt idx="57">
                  <c:v>94</c:v>
                </c:pt>
                <c:pt idx="58">
                  <c:v>96.888888888888872</c:v>
                </c:pt>
                <c:pt idx="59">
                  <c:v>101.91666666666667</c:v>
                </c:pt>
                <c:pt idx="60">
                  <c:v>109.08333333333333</c:v>
                </c:pt>
                <c:pt idx="61">
                  <c:v>114.13888888888891</c:v>
                </c:pt>
                <c:pt idx="62">
                  <c:v>117.08333333333333</c:v>
                </c:pt>
                <c:pt idx="63">
                  <c:v>117.91666666666667</c:v>
                </c:pt>
                <c:pt idx="64">
                  <c:v>116.6388888888889</c:v>
                </c:pt>
                <c:pt idx="65">
                  <c:v>113.25</c:v>
                </c:pt>
                <c:pt idx="66">
                  <c:v>107.75</c:v>
                </c:pt>
                <c:pt idx="67">
                  <c:v>103.27777777777777</c:v>
                </c:pt>
                <c:pt idx="68">
                  <c:v>99.833333333333329</c:v>
                </c:pt>
                <c:pt idx="69">
                  <c:v>97.416666666666671</c:v>
                </c:pt>
                <c:pt idx="70">
                  <c:v>96.027777777777786</c:v>
                </c:pt>
                <c:pt idx="71">
                  <c:v>95.666666666666671</c:v>
                </c:pt>
                <c:pt idx="72">
                  <c:v>96.333333333333329</c:v>
                </c:pt>
                <c:pt idx="73">
                  <c:v>97.416666666666686</c:v>
                </c:pt>
                <c:pt idx="74">
                  <c:v>98.916666666666686</c:v>
                </c:pt>
                <c:pt idx="75">
                  <c:v>100.83333333333336</c:v>
                </c:pt>
                <c:pt idx="76">
                  <c:v>103.16666666666667</c:v>
                </c:pt>
                <c:pt idx="77">
                  <c:v>105.91666666666669</c:v>
                </c:pt>
                <c:pt idx="78">
                  <c:v>109.08333333333333</c:v>
                </c:pt>
                <c:pt idx="79">
                  <c:v>111.52777777777781</c:v>
                </c:pt>
                <c:pt idx="80">
                  <c:v>113.25</c:v>
                </c:pt>
                <c:pt idx="81">
                  <c:v>114.01333333333334</c:v>
                </c:pt>
                <c:pt idx="82">
                  <c:v>113.4088888888889</c:v>
                </c:pt>
                <c:pt idx="83">
                  <c:v>112.64999999999999</c:v>
                </c:pt>
                <c:pt idx="84">
                  <c:v>111.57499999999999</c:v>
                </c:pt>
                <c:pt idx="85">
                  <c:v>110.59444444444445</c:v>
                </c:pt>
                <c:pt idx="86">
                  <c:v>109.44166666666666</c:v>
                </c:pt>
                <c:pt idx="87">
                  <c:v>109.29333333333334</c:v>
                </c:pt>
                <c:pt idx="88">
                  <c:v>109.30333333333334</c:v>
                </c:pt>
                <c:pt idx="89">
                  <c:v>108.80333333333333</c:v>
                </c:pt>
                <c:pt idx="90">
                  <c:v>107.86499999999999</c:v>
                </c:pt>
                <c:pt idx="91">
                  <c:v>106.60333333333331</c:v>
                </c:pt>
                <c:pt idx="92">
                  <c:v>105.15166666666666</c:v>
                </c:pt>
                <c:pt idx="93">
                  <c:v>103.28666666666668</c:v>
                </c:pt>
                <c:pt idx="94">
                  <c:v>102.38833333333334</c:v>
                </c:pt>
                <c:pt idx="95">
                  <c:v>101.60000000000001</c:v>
                </c:pt>
                <c:pt idx="96">
                  <c:v>101.28166666666668</c:v>
                </c:pt>
                <c:pt idx="97">
                  <c:v>100.83</c:v>
                </c:pt>
                <c:pt idx="98">
                  <c:v>101.645</c:v>
                </c:pt>
                <c:pt idx="99">
                  <c:v>102.29833333333333</c:v>
                </c:pt>
                <c:pt idx="100">
                  <c:v>102.24666666666667</c:v>
                </c:pt>
                <c:pt idx="101">
                  <c:v>102.98000000000002</c:v>
                </c:pt>
                <c:pt idx="102">
                  <c:v>103.83833333333335</c:v>
                </c:pt>
                <c:pt idx="103">
                  <c:v>105.26166666666667</c:v>
                </c:pt>
                <c:pt idx="104">
                  <c:v>106.12833333333333</c:v>
                </c:pt>
                <c:pt idx="105">
                  <c:v>106.80999999999999</c:v>
                </c:pt>
                <c:pt idx="106">
                  <c:v>108.00333333333333</c:v>
                </c:pt>
                <c:pt idx="107">
                  <c:v>108.49</c:v>
                </c:pt>
                <c:pt idx="108">
                  <c:v>108.76499999999999</c:v>
                </c:pt>
                <c:pt idx="109">
                  <c:v>109.44666666666666</c:v>
                </c:pt>
                <c:pt idx="110">
                  <c:v>109.84166666666665</c:v>
                </c:pt>
                <c:pt idx="111">
                  <c:v>110.29</c:v>
                </c:pt>
                <c:pt idx="112">
                  <c:v>110.78000000000002</c:v>
                </c:pt>
                <c:pt idx="113">
                  <c:v>111.00166666666667</c:v>
                </c:pt>
                <c:pt idx="114">
                  <c:v>111.18333333333334</c:v>
                </c:pt>
                <c:pt idx="115">
                  <c:v>111.3</c:v>
                </c:pt>
                <c:pt idx="116">
                  <c:v>111.63333333333333</c:v>
                </c:pt>
                <c:pt idx="117">
                  <c:v>112.18333333333334</c:v>
                </c:pt>
                <c:pt idx="118">
                  <c:v>112.56666666666666</c:v>
                </c:pt>
                <c:pt idx="119">
                  <c:v>113.38333333333333</c:v>
                </c:pt>
                <c:pt idx="120">
                  <c:v>114.19999999999999</c:v>
                </c:pt>
                <c:pt idx="121">
                  <c:v>114.76666666666665</c:v>
                </c:pt>
                <c:pt idx="122">
                  <c:v>115.2</c:v>
                </c:pt>
                <c:pt idx="123">
                  <c:v>115.55000000000001</c:v>
                </c:pt>
                <c:pt idx="124">
                  <c:v>115.45</c:v>
                </c:pt>
                <c:pt idx="125">
                  <c:v>115.36666666666667</c:v>
                </c:pt>
                <c:pt idx="126">
                  <c:v>115.35000000000001</c:v>
                </c:pt>
                <c:pt idx="127">
                  <c:v>115.58333333333333</c:v>
                </c:pt>
                <c:pt idx="128">
                  <c:v>116</c:v>
                </c:pt>
                <c:pt idx="129">
                  <c:v>116.87650000000001</c:v>
                </c:pt>
                <c:pt idx="130">
                  <c:v>118.34316666666668</c:v>
                </c:pt>
                <c:pt idx="131">
                  <c:v>119.67650000000002</c:v>
                </c:pt>
                <c:pt idx="132">
                  <c:v>120.72649999999999</c:v>
                </c:pt>
                <c:pt idx="133">
                  <c:v>122.00983333333333</c:v>
                </c:pt>
                <c:pt idx="134">
                  <c:v>123.25983333333333</c:v>
                </c:pt>
                <c:pt idx="135">
                  <c:v>124.11666666666667</c:v>
                </c:pt>
                <c:pt idx="136">
                  <c:v>125.18333333333334</c:v>
                </c:pt>
                <c:pt idx="137">
                  <c:v>125.98333333333333</c:v>
                </c:pt>
                <c:pt idx="138">
                  <c:v>126.37433333333333</c:v>
                </c:pt>
                <c:pt idx="139">
                  <c:v>126.09099999999999</c:v>
                </c:pt>
                <c:pt idx="140">
                  <c:v>125.70766666666667</c:v>
                </c:pt>
                <c:pt idx="141">
                  <c:v>125.20766666666667</c:v>
                </c:pt>
                <c:pt idx="142">
                  <c:v>124.20766666666667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1912832"/>
        <c:axId val="321914752"/>
      </c:lineChart>
      <c:dateAx>
        <c:axId val="32191283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21914752"/>
        <c:crosses val="autoZero"/>
        <c:auto val="1"/>
        <c:lblOffset val="100"/>
        <c:baseTimeUnit val="months"/>
      </c:dateAx>
      <c:valAx>
        <c:axId val="321914752"/>
        <c:scaling>
          <c:orientation val="minMax"/>
        </c:scaling>
        <c:delete val="0"/>
        <c:axPos val="l"/>
        <c:majorGridlines/>
        <c:numFmt formatCode="0.0" sourceLinked="1"/>
        <c:majorTickMark val="out"/>
        <c:minorTickMark val="none"/>
        <c:tickLblPos val="nextTo"/>
        <c:crossAx val="32191283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'Purchase Index'!$N$1</c:f>
              <c:strCache>
                <c:ptCount val="1"/>
                <c:pt idx="0">
                  <c:v>MBAVPRCH</c:v>
                </c:pt>
              </c:strCache>
            </c:strRef>
          </c:tx>
          <c:marker>
            <c:symbol val="none"/>
          </c:marker>
          <c:cat>
            <c:numRef>
              <c:f>'Purchase Index'!$M$133:$M$1382</c:f>
              <c:numCache>
                <c:formatCode>m/d/yyyy</c:formatCode>
                <c:ptCount val="1250"/>
                <c:pt idx="0">
                  <c:v>36861</c:v>
                </c:pt>
                <c:pt idx="1">
                  <c:v>36892</c:v>
                </c:pt>
                <c:pt idx="2">
                  <c:v>36923</c:v>
                </c:pt>
                <c:pt idx="3">
                  <c:v>36951</c:v>
                </c:pt>
                <c:pt idx="4">
                  <c:v>36982</c:v>
                </c:pt>
                <c:pt idx="5">
                  <c:v>37012</c:v>
                </c:pt>
                <c:pt idx="6">
                  <c:v>37043</c:v>
                </c:pt>
                <c:pt idx="7">
                  <c:v>37073</c:v>
                </c:pt>
                <c:pt idx="8">
                  <c:v>37104</c:v>
                </c:pt>
                <c:pt idx="9">
                  <c:v>37135</c:v>
                </c:pt>
                <c:pt idx="10">
                  <c:v>37165</c:v>
                </c:pt>
                <c:pt idx="11">
                  <c:v>37196</c:v>
                </c:pt>
                <c:pt idx="12">
                  <c:v>37226</c:v>
                </c:pt>
                <c:pt idx="13">
                  <c:v>37257</c:v>
                </c:pt>
                <c:pt idx="14">
                  <c:v>37288</c:v>
                </c:pt>
                <c:pt idx="15">
                  <c:v>37316</c:v>
                </c:pt>
                <c:pt idx="16">
                  <c:v>37347</c:v>
                </c:pt>
                <c:pt idx="17">
                  <c:v>37377</c:v>
                </c:pt>
                <c:pt idx="18">
                  <c:v>37408</c:v>
                </c:pt>
                <c:pt idx="19">
                  <c:v>37438</c:v>
                </c:pt>
                <c:pt idx="20">
                  <c:v>37469</c:v>
                </c:pt>
                <c:pt idx="21">
                  <c:v>37500</c:v>
                </c:pt>
                <c:pt idx="22">
                  <c:v>37530</c:v>
                </c:pt>
                <c:pt idx="23">
                  <c:v>37561</c:v>
                </c:pt>
                <c:pt idx="24">
                  <c:v>37591</c:v>
                </c:pt>
                <c:pt idx="25">
                  <c:v>37622</c:v>
                </c:pt>
                <c:pt idx="26">
                  <c:v>37653</c:v>
                </c:pt>
                <c:pt idx="27">
                  <c:v>37681</c:v>
                </c:pt>
                <c:pt idx="28">
                  <c:v>37712</c:v>
                </c:pt>
                <c:pt idx="29">
                  <c:v>37742</c:v>
                </c:pt>
                <c:pt idx="30">
                  <c:v>37773</c:v>
                </c:pt>
                <c:pt idx="31">
                  <c:v>37803</c:v>
                </c:pt>
                <c:pt idx="32">
                  <c:v>37834</c:v>
                </c:pt>
                <c:pt idx="33">
                  <c:v>37865</c:v>
                </c:pt>
                <c:pt idx="34">
                  <c:v>37895</c:v>
                </c:pt>
                <c:pt idx="35">
                  <c:v>37926</c:v>
                </c:pt>
                <c:pt idx="36">
                  <c:v>37956</c:v>
                </c:pt>
                <c:pt idx="37">
                  <c:v>37987</c:v>
                </c:pt>
                <c:pt idx="38">
                  <c:v>38018</c:v>
                </c:pt>
                <c:pt idx="39">
                  <c:v>38047</c:v>
                </c:pt>
                <c:pt idx="40">
                  <c:v>38078</c:v>
                </c:pt>
                <c:pt idx="41">
                  <c:v>38108</c:v>
                </c:pt>
                <c:pt idx="42">
                  <c:v>38139</c:v>
                </c:pt>
                <c:pt idx="43">
                  <c:v>38169</c:v>
                </c:pt>
                <c:pt idx="44">
                  <c:v>38200</c:v>
                </c:pt>
                <c:pt idx="45">
                  <c:v>38231</c:v>
                </c:pt>
                <c:pt idx="46">
                  <c:v>38261</c:v>
                </c:pt>
                <c:pt idx="47">
                  <c:v>38292</c:v>
                </c:pt>
                <c:pt idx="48">
                  <c:v>38322</c:v>
                </c:pt>
                <c:pt idx="49">
                  <c:v>38353</c:v>
                </c:pt>
                <c:pt idx="50">
                  <c:v>38384</c:v>
                </c:pt>
                <c:pt idx="51">
                  <c:v>38412</c:v>
                </c:pt>
                <c:pt idx="52">
                  <c:v>38443</c:v>
                </c:pt>
                <c:pt idx="53">
                  <c:v>38473</c:v>
                </c:pt>
                <c:pt idx="54">
                  <c:v>38504</c:v>
                </c:pt>
                <c:pt idx="55">
                  <c:v>38534</c:v>
                </c:pt>
                <c:pt idx="56">
                  <c:v>38565</c:v>
                </c:pt>
                <c:pt idx="57">
                  <c:v>38596</c:v>
                </c:pt>
                <c:pt idx="58">
                  <c:v>38626</c:v>
                </c:pt>
                <c:pt idx="59">
                  <c:v>38657</c:v>
                </c:pt>
                <c:pt idx="60">
                  <c:v>38687</c:v>
                </c:pt>
                <c:pt idx="61">
                  <c:v>38718</c:v>
                </c:pt>
                <c:pt idx="62">
                  <c:v>38749</c:v>
                </c:pt>
                <c:pt idx="63">
                  <c:v>38777</c:v>
                </c:pt>
                <c:pt idx="64">
                  <c:v>38808</c:v>
                </c:pt>
                <c:pt idx="65">
                  <c:v>38838</c:v>
                </c:pt>
                <c:pt idx="66">
                  <c:v>38869</c:v>
                </c:pt>
                <c:pt idx="67">
                  <c:v>38899</c:v>
                </c:pt>
                <c:pt idx="68">
                  <c:v>38930</c:v>
                </c:pt>
                <c:pt idx="69">
                  <c:v>38961</c:v>
                </c:pt>
                <c:pt idx="70">
                  <c:v>38991</c:v>
                </c:pt>
                <c:pt idx="71">
                  <c:v>39022</c:v>
                </c:pt>
                <c:pt idx="72">
                  <c:v>39052</c:v>
                </c:pt>
                <c:pt idx="73">
                  <c:v>39083</c:v>
                </c:pt>
                <c:pt idx="74">
                  <c:v>39114</c:v>
                </c:pt>
                <c:pt idx="75">
                  <c:v>39142</c:v>
                </c:pt>
                <c:pt idx="76">
                  <c:v>39173</c:v>
                </c:pt>
                <c:pt idx="77">
                  <c:v>39203</c:v>
                </c:pt>
                <c:pt idx="78">
                  <c:v>39234</c:v>
                </c:pt>
                <c:pt idx="79">
                  <c:v>39264</c:v>
                </c:pt>
                <c:pt idx="80">
                  <c:v>39295</c:v>
                </c:pt>
                <c:pt idx="81">
                  <c:v>39326</c:v>
                </c:pt>
                <c:pt idx="82">
                  <c:v>39356</c:v>
                </c:pt>
                <c:pt idx="83">
                  <c:v>39387</c:v>
                </c:pt>
                <c:pt idx="84">
                  <c:v>39417</c:v>
                </c:pt>
                <c:pt idx="85">
                  <c:v>39448</c:v>
                </c:pt>
                <c:pt idx="86">
                  <c:v>39479</c:v>
                </c:pt>
                <c:pt idx="87">
                  <c:v>39508</c:v>
                </c:pt>
                <c:pt idx="88">
                  <c:v>39539</c:v>
                </c:pt>
                <c:pt idx="89">
                  <c:v>39569</c:v>
                </c:pt>
                <c:pt idx="90">
                  <c:v>39600</c:v>
                </c:pt>
                <c:pt idx="91">
                  <c:v>39630</c:v>
                </c:pt>
                <c:pt idx="92">
                  <c:v>39661</c:v>
                </c:pt>
                <c:pt idx="93">
                  <c:v>39692</c:v>
                </c:pt>
                <c:pt idx="94">
                  <c:v>39722</c:v>
                </c:pt>
                <c:pt idx="95">
                  <c:v>39753</c:v>
                </c:pt>
                <c:pt idx="96">
                  <c:v>39783</c:v>
                </c:pt>
                <c:pt idx="97">
                  <c:v>39814</c:v>
                </c:pt>
                <c:pt idx="98">
                  <c:v>39845</c:v>
                </c:pt>
                <c:pt idx="99">
                  <c:v>39873</c:v>
                </c:pt>
                <c:pt idx="100">
                  <c:v>39904</c:v>
                </c:pt>
                <c:pt idx="101">
                  <c:v>39934</c:v>
                </c:pt>
                <c:pt idx="102">
                  <c:v>39965</c:v>
                </c:pt>
                <c:pt idx="103">
                  <c:v>39995</c:v>
                </c:pt>
                <c:pt idx="104">
                  <c:v>40026</c:v>
                </c:pt>
                <c:pt idx="105">
                  <c:v>40057</c:v>
                </c:pt>
                <c:pt idx="106">
                  <c:v>40087</c:v>
                </c:pt>
                <c:pt idx="107">
                  <c:v>40118</c:v>
                </c:pt>
                <c:pt idx="108">
                  <c:v>40148</c:v>
                </c:pt>
                <c:pt idx="109">
                  <c:v>40179</c:v>
                </c:pt>
                <c:pt idx="110">
                  <c:v>40210</c:v>
                </c:pt>
                <c:pt idx="111">
                  <c:v>40238</c:v>
                </c:pt>
                <c:pt idx="112">
                  <c:v>40269</c:v>
                </c:pt>
                <c:pt idx="113">
                  <c:v>40299</c:v>
                </c:pt>
                <c:pt idx="114">
                  <c:v>40330</c:v>
                </c:pt>
                <c:pt idx="115">
                  <c:v>40360</c:v>
                </c:pt>
                <c:pt idx="116">
                  <c:v>40391</c:v>
                </c:pt>
                <c:pt idx="117">
                  <c:v>40422</c:v>
                </c:pt>
                <c:pt idx="118">
                  <c:v>40452</c:v>
                </c:pt>
                <c:pt idx="119">
                  <c:v>40483</c:v>
                </c:pt>
                <c:pt idx="120">
                  <c:v>40513</c:v>
                </c:pt>
                <c:pt idx="121">
                  <c:v>40544</c:v>
                </c:pt>
                <c:pt idx="122">
                  <c:v>40575</c:v>
                </c:pt>
                <c:pt idx="123">
                  <c:v>40603</c:v>
                </c:pt>
                <c:pt idx="124">
                  <c:v>40634</c:v>
                </c:pt>
                <c:pt idx="125">
                  <c:v>40664</c:v>
                </c:pt>
                <c:pt idx="126">
                  <c:v>40695</c:v>
                </c:pt>
                <c:pt idx="127">
                  <c:v>40725</c:v>
                </c:pt>
                <c:pt idx="128">
                  <c:v>40756</c:v>
                </c:pt>
                <c:pt idx="129">
                  <c:v>40787</c:v>
                </c:pt>
                <c:pt idx="130">
                  <c:v>40817</c:v>
                </c:pt>
                <c:pt idx="131">
                  <c:v>40848</c:v>
                </c:pt>
                <c:pt idx="132">
                  <c:v>40878</c:v>
                </c:pt>
                <c:pt idx="133">
                  <c:v>40909</c:v>
                </c:pt>
                <c:pt idx="134">
                  <c:v>40940</c:v>
                </c:pt>
                <c:pt idx="135">
                  <c:v>40969</c:v>
                </c:pt>
                <c:pt idx="136">
                  <c:v>41000</c:v>
                </c:pt>
                <c:pt idx="137">
                  <c:v>41030</c:v>
                </c:pt>
                <c:pt idx="138">
                  <c:v>41061</c:v>
                </c:pt>
                <c:pt idx="139">
                  <c:v>41091</c:v>
                </c:pt>
                <c:pt idx="140">
                  <c:v>41122</c:v>
                </c:pt>
                <c:pt idx="141">
                  <c:v>41153</c:v>
                </c:pt>
                <c:pt idx="142">
                  <c:v>41183</c:v>
                </c:pt>
                <c:pt idx="143">
                  <c:v>41214</c:v>
                </c:pt>
                <c:pt idx="144">
                  <c:v>41244</c:v>
                </c:pt>
                <c:pt idx="145">
                  <c:v>41275</c:v>
                </c:pt>
                <c:pt idx="146">
                  <c:v>41306</c:v>
                </c:pt>
                <c:pt idx="147">
                  <c:v>41334</c:v>
                </c:pt>
                <c:pt idx="148">
                  <c:v>41365</c:v>
                </c:pt>
                <c:pt idx="149">
                  <c:v>41395</c:v>
                </c:pt>
                <c:pt idx="150">
                  <c:v>41426</c:v>
                </c:pt>
                <c:pt idx="151">
                  <c:v>41456</c:v>
                </c:pt>
                <c:pt idx="152">
                  <c:v>41487</c:v>
                </c:pt>
                <c:pt idx="153">
                  <c:v>41518</c:v>
                </c:pt>
                <c:pt idx="154">
                  <c:v>41548</c:v>
                </c:pt>
                <c:pt idx="155">
                  <c:v>41579</c:v>
                </c:pt>
                <c:pt idx="156">
                  <c:v>41609</c:v>
                </c:pt>
                <c:pt idx="157">
                  <c:v>41640</c:v>
                </c:pt>
                <c:pt idx="158">
                  <c:v>41671</c:v>
                </c:pt>
                <c:pt idx="159">
                  <c:v>41699</c:v>
                </c:pt>
                <c:pt idx="160">
                  <c:v>41730</c:v>
                </c:pt>
                <c:pt idx="161">
                  <c:v>41760</c:v>
                </c:pt>
                <c:pt idx="162">
                  <c:v>41791</c:v>
                </c:pt>
                <c:pt idx="163">
                  <c:v>41821</c:v>
                </c:pt>
                <c:pt idx="164">
                  <c:v>41852</c:v>
                </c:pt>
                <c:pt idx="165">
                  <c:v>41883</c:v>
                </c:pt>
                <c:pt idx="166">
                  <c:v>41913</c:v>
                </c:pt>
                <c:pt idx="167">
                  <c:v>41944</c:v>
                </c:pt>
                <c:pt idx="168">
                  <c:v>41974</c:v>
                </c:pt>
                <c:pt idx="169">
                  <c:v>42005</c:v>
                </c:pt>
                <c:pt idx="170">
                  <c:v>42036</c:v>
                </c:pt>
                <c:pt idx="171">
                  <c:v>42064</c:v>
                </c:pt>
                <c:pt idx="172">
                  <c:v>42095</c:v>
                </c:pt>
                <c:pt idx="173">
                  <c:v>42125</c:v>
                </c:pt>
                <c:pt idx="174">
                  <c:v>42156</c:v>
                </c:pt>
                <c:pt idx="175">
                  <c:v>42186</c:v>
                </c:pt>
                <c:pt idx="176">
                  <c:v>42217</c:v>
                </c:pt>
                <c:pt idx="177">
                  <c:v>42248</c:v>
                </c:pt>
                <c:pt idx="178">
                  <c:v>42278</c:v>
                </c:pt>
                <c:pt idx="179">
                  <c:v>42309</c:v>
                </c:pt>
                <c:pt idx="180">
                  <c:v>42339</c:v>
                </c:pt>
                <c:pt idx="181">
                  <c:v>42370</c:v>
                </c:pt>
                <c:pt idx="182">
                  <c:v>42401</c:v>
                </c:pt>
                <c:pt idx="183">
                  <c:v>42430</c:v>
                </c:pt>
                <c:pt idx="184">
                  <c:v>42461</c:v>
                </c:pt>
                <c:pt idx="185">
                  <c:v>42491</c:v>
                </c:pt>
                <c:pt idx="186">
                  <c:v>42522</c:v>
                </c:pt>
              </c:numCache>
            </c:numRef>
          </c:cat>
          <c:val>
            <c:numRef>
              <c:f>'Purchase Index'!$N$133:$N$1382</c:f>
              <c:numCache>
                <c:formatCode>General</c:formatCode>
                <c:ptCount val="1250"/>
                <c:pt idx="0">
                  <c:v>295.38</c:v>
                </c:pt>
                <c:pt idx="1">
                  <c:v>314.10000000000002</c:v>
                </c:pt>
                <c:pt idx="2">
                  <c:v>288.70000000000005</c:v>
                </c:pt>
                <c:pt idx="3">
                  <c:v>299.43999999999994</c:v>
                </c:pt>
                <c:pt idx="4">
                  <c:v>301.7</c:v>
                </c:pt>
                <c:pt idx="5">
                  <c:v>307.90000000000003</c:v>
                </c:pt>
                <c:pt idx="6">
                  <c:v>325.47999999999996</c:v>
                </c:pt>
                <c:pt idx="7">
                  <c:v>311.92499999999995</c:v>
                </c:pt>
                <c:pt idx="8">
                  <c:v>304.89999999999998</c:v>
                </c:pt>
                <c:pt idx="9">
                  <c:v>296.3</c:v>
                </c:pt>
                <c:pt idx="10">
                  <c:v>272.02499999999998</c:v>
                </c:pt>
                <c:pt idx="11">
                  <c:v>315</c:v>
                </c:pt>
                <c:pt idx="12">
                  <c:v>315</c:v>
                </c:pt>
                <c:pt idx="13">
                  <c:v>356.2</c:v>
                </c:pt>
                <c:pt idx="14">
                  <c:v>315.32499999999999</c:v>
                </c:pt>
                <c:pt idx="15">
                  <c:v>328.23999999999995</c:v>
                </c:pt>
                <c:pt idx="16">
                  <c:v>347.52499999999998</c:v>
                </c:pt>
                <c:pt idx="17">
                  <c:v>369.15999999999997</c:v>
                </c:pt>
                <c:pt idx="18">
                  <c:v>373.17499999999995</c:v>
                </c:pt>
                <c:pt idx="19">
                  <c:v>374.25</c:v>
                </c:pt>
                <c:pt idx="20">
                  <c:v>360.6</c:v>
                </c:pt>
                <c:pt idx="21">
                  <c:v>369.52499999999998</c:v>
                </c:pt>
                <c:pt idx="22">
                  <c:v>348.625</c:v>
                </c:pt>
                <c:pt idx="23">
                  <c:v>356.91999999999996</c:v>
                </c:pt>
                <c:pt idx="24">
                  <c:v>357.625</c:v>
                </c:pt>
                <c:pt idx="25">
                  <c:v>365.21999999999997</c:v>
                </c:pt>
                <c:pt idx="26">
                  <c:v>329.45000000000005</c:v>
                </c:pt>
                <c:pt idx="27">
                  <c:v>360.17500000000001</c:v>
                </c:pt>
                <c:pt idx="28">
                  <c:v>373.20000000000005</c:v>
                </c:pt>
                <c:pt idx="29">
                  <c:v>416.64</c:v>
                </c:pt>
                <c:pt idx="30">
                  <c:v>421.9</c:v>
                </c:pt>
                <c:pt idx="31">
                  <c:v>432.65</c:v>
                </c:pt>
                <c:pt idx="32">
                  <c:v>405.41999999999996</c:v>
                </c:pt>
                <c:pt idx="33">
                  <c:v>410.27500000000003</c:v>
                </c:pt>
                <c:pt idx="34">
                  <c:v>390.88</c:v>
                </c:pt>
                <c:pt idx="35">
                  <c:v>425.74999999999994</c:v>
                </c:pt>
                <c:pt idx="36">
                  <c:v>409.67499999999995</c:v>
                </c:pt>
                <c:pt idx="37">
                  <c:v>448.88</c:v>
                </c:pt>
                <c:pt idx="38">
                  <c:v>415.54999999999995</c:v>
                </c:pt>
                <c:pt idx="39">
                  <c:v>443.42500000000001</c:v>
                </c:pt>
                <c:pt idx="40">
                  <c:v>457.96000000000004</c:v>
                </c:pt>
                <c:pt idx="41">
                  <c:v>464.52499999999998</c:v>
                </c:pt>
                <c:pt idx="42">
                  <c:v>442.9</c:v>
                </c:pt>
                <c:pt idx="43">
                  <c:v>461.36</c:v>
                </c:pt>
                <c:pt idx="44">
                  <c:v>448.47500000000002</c:v>
                </c:pt>
                <c:pt idx="45">
                  <c:v>464.35</c:v>
                </c:pt>
                <c:pt idx="46">
                  <c:v>458.82</c:v>
                </c:pt>
                <c:pt idx="47">
                  <c:v>471.72499999999997</c:v>
                </c:pt>
                <c:pt idx="48">
                  <c:v>470.4</c:v>
                </c:pt>
                <c:pt idx="49">
                  <c:v>430.125</c:v>
                </c:pt>
                <c:pt idx="50">
                  <c:v>431.42500000000001</c:v>
                </c:pt>
                <c:pt idx="51">
                  <c:v>457.95000000000005</c:v>
                </c:pt>
                <c:pt idx="52">
                  <c:v>470.34</c:v>
                </c:pt>
                <c:pt idx="53">
                  <c:v>485.125</c:v>
                </c:pt>
                <c:pt idx="54">
                  <c:v>491.35</c:v>
                </c:pt>
                <c:pt idx="55">
                  <c:v>495.62</c:v>
                </c:pt>
                <c:pt idx="56">
                  <c:v>489.27499999999998</c:v>
                </c:pt>
                <c:pt idx="57">
                  <c:v>493.94000000000005</c:v>
                </c:pt>
                <c:pt idx="58">
                  <c:v>469.35</c:v>
                </c:pt>
                <c:pt idx="59">
                  <c:v>473.02499999999998</c:v>
                </c:pt>
                <c:pt idx="60">
                  <c:v>455.46000000000004</c:v>
                </c:pt>
                <c:pt idx="61">
                  <c:v>452.67500000000001</c:v>
                </c:pt>
                <c:pt idx="62">
                  <c:v>406.57499999999999</c:v>
                </c:pt>
                <c:pt idx="63">
                  <c:v>407.58</c:v>
                </c:pt>
                <c:pt idx="64">
                  <c:v>411.95</c:v>
                </c:pt>
                <c:pt idx="65">
                  <c:v>408.77499999999998</c:v>
                </c:pt>
                <c:pt idx="66">
                  <c:v>405.64</c:v>
                </c:pt>
                <c:pt idx="67">
                  <c:v>397.17500000000001</c:v>
                </c:pt>
                <c:pt idx="68">
                  <c:v>383.22500000000002</c:v>
                </c:pt>
                <c:pt idx="69">
                  <c:v>395.65999999999997</c:v>
                </c:pt>
                <c:pt idx="70">
                  <c:v>381.5</c:v>
                </c:pt>
                <c:pt idx="71">
                  <c:v>405.8</c:v>
                </c:pt>
                <c:pt idx="72">
                  <c:v>424.8</c:v>
                </c:pt>
                <c:pt idx="73">
                  <c:v>430.8</c:v>
                </c:pt>
                <c:pt idx="74">
                  <c:v>397.02499999999998</c:v>
                </c:pt>
                <c:pt idx="75">
                  <c:v>408.84000000000003</c:v>
                </c:pt>
                <c:pt idx="76">
                  <c:v>412.15</c:v>
                </c:pt>
                <c:pt idx="77">
                  <c:v>433.92500000000001</c:v>
                </c:pt>
                <c:pt idx="78">
                  <c:v>443.08000000000004</c:v>
                </c:pt>
                <c:pt idx="79">
                  <c:v>435.29999999999995</c:v>
                </c:pt>
                <c:pt idx="80">
                  <c:v>440.71999999999997</c:v>
                </c:pt>
                <c:pt idx="81">
                  <c:v>432.54999999999995</c:v>
                </c:pt>
                <c:pt idx="82">
                  <c:v>419.52499999999998</c:v>
                </c:pt>
                <c:pt idx="83">
                  <c:v>427.38</c:v>
                </c:pt>
                <c:pt idx="84">
                  <c:v>412.375</c:v>
                </c:pt>
                <c:pt idx="85">
                  <c:v>419.27499999999998</c:v>
                </c:pt>
                <c:pt idx="86">
                  <c:v>377.62000000000006</c:v>
                </c:pt>
                <c:pt idx="87">
                  <c:v>373.375</c:v>
                </c:pt>
                <c:pt idx="88">
                  <c:v>365.92499999999995</c:v>
                </c:pt>
                <c:pt idx="89">
                  <c:v>359.71999999999997</c:v>
                </c:pt>
                <c:pt idx="90">
                  <c:v>353.15</c:v>
                </c:pt>
                <c:pt idx="91">
                  <c:v>342.65</c:v>
                </c:pt>
                <c:pt idx="92">
                  <c:v>321.86</c:v>
                </c:pt>
                <c:pt idx="93">
                  <c:v>349.72499999999997</c:v>
                </c:pt>
                <c:pt idx="94">
                  <c:v>294.26000000000005</c:v>
                </c:pt>
                <c:pt idx="95">
                  <c:v>288.89999999999998</c:v>
                </c:pt>
                <c:pt idx="96">
                  <c:v>305.77499999999998</c:v>
                </c:pt>
                <c:pt idx="97">
                  <c:v>299.76000000000005</c:v>
                </c:pt>
                <c:pt idx="98">
                  <c:v>245.02500000000001</c:v>
                </c:pt>
                <c:pt idx="99">
                  <c:v>261.55</c:v>
                </c:pt>
                <c:pt idx="100">
                  <c:v>266.59999999999997</c:v>
                </c:pt>
                <c:pt idx="101">
                  <c:v>261.65999999999997</c:v>
                </c:pt>
                <c:pt idx="102">
                  <c:v>269.97500000000002</c:v>
                </c:pt>
                <c:pt idx="103">
                  <c:v>266.58000000000004</c:v>
                </c:pt>
                <c:pt idx="104">
                  <c:v>275.72500000000002</c:v>
                </c:pt>
                <c:pt idx="105">
                  <c:v>283.92499999999995</c:v>
                </c:pt>
                <c:pt idx="106">
                  <c:v>274.2</c:v>
                </c:pt>
                <c:pt idx="107">
                  <c:v>219.97500000000002</c:v>
                </c:pt>
                <c:pt idx="108">
                  <c:v>225.17500000000001</c:v>
                </c:pt>
                <c:pt idx="109">
                  <c:v>220.44</c:v>
                </c:pt>
                <c:pt idx="110">
                  <c:v>211.2</c:v>
                </c:pt>
                <c:pt idx="111">
                  <c:v>229.7</c:v>
                </c:pt>
                <c:pt idx="112">
                  <c:v>250.18</c:v>
                </c:pt>
                <c:pt idx="113">
                  <c:v>204.85000000000002</c:v>
                </c:pt>
                <c:pt idx="114">
                  <c:v>174.45000000000002</c:v>
                </c:pt>
                <c:pt idx="115">
                  <c:v>169.59999999999997</c:v>
                </c:pt>
                <c:pt idx="116">
                  <c:v>172.22499999999999</c:v>
                </c:pt>
                <c:pt idx="117">
                  <c:v>181.89999999999998</c:v>
                </c:pt>
                <c:pt idx="118">
                  <c:v>181.1</c:v>
                </c:pt>
                <c:pt idx="119">
                  <c:v>195.02499999999998</c:v>
                </c:pt>
                <c:pt idx="120">
                  <c:v>201.54000000000002</c:v>
                </c:pt>
                <c:pt idx="121">
                  <c:v>185.55</c:v>
                </c:pt>
                <c:pt idx="122">
                  <c:v>179.52499999999998</c:v>
                </c:pt>
                <c:pt idx="123">
                  <c:v>190.3</c:v>
                </c:pt>
                <c:pt idx="124">
                  <c:v>193.7</c:v>
                </c:pt>
                <c:pt idx="125">
                  <c:v>191.57499999999999</c:v>
                </c:pt>
                <c:pt idx="126">
                  <c:v>185.02499999999998</c:v>
                </c:pt>
                <c:pt idx="127">
                  <c:v>183.8</c:v>
                </c:pt>
                <c:pt idx="128">
                  <c:v>167.22500000000002</c:v>
                </c:pt>
                <c:pt idx="129">
                  <c:v>170.87599999999998</c:v>
                </c:pt>
                <c:pt idx="130">
                  <c:v>171.25</c:v>
                </c:pt>
                <c:pt idx="131">
                  <c:v>186.92750000000001</c:v>
                </c:pt>
                <c:pt idx="132">
                  <c:v>185.166</c:v>
                </c:pt>
                <c:pt idx="133">
                  <c:v>184.7475</c:v>
                </c:pt>
                <c:pt idx="134">
                  <c:v>171.35</c:v>
                </c:pt>
                <c:pt idx="135">
                  <c:v>188.95999999999998</c:v>
                </c:pt>
                <c:pt idx="136">
                  <c:v>189.97500000000002</c:v>
                </c:pt>
                <c:pt idx="137">
                  <c:v>190.45000000000002</c:v>
                </c:pt>
                <c:pt idx="138">
                  <c:v>189.56</c:v>
                </c:pt>
                <c:pt idx="139">
                  <c:v>188.3</c:v>
                </c:pt>
                <c:pt idx="140">
                  <c:v>178.21999999999997</c:v>
                </c:pt>
                <c:pt idx="141">
                  <c:v>189.97500000000002</c:v>
                </c:pt>
                <c:pt idx="142">
                  <c:v>192.375</c:v>
                </c:pt>
                <c:pt idx="143">
                  <c:v>197.2</c:v>
                </c:pt>
                <c:pt idx="144">
                  <c:v>191.22499999999999</c:v>
                </c:pt>
                <c:pt idx="145">
                  <c:v>205.32499999999999</c:v>
                </c:pt>
                <c:pt idx="146">
                  <c:v>196.375</c:v>
                </c:pt>
                <c:pt idx="147">
                  <c:v>206.44</c:v>
                </c:pt>
                <c:pt idx="148">
                  <c:v>215.375</c:v>
                </c:pt>
                <c:pt idx="149">
                  <c:v>211.08</c:v>
                </c:pt>
                <c:pt idx="150">
                  <c:v>212.60000000000002</c:v>
                </c:pt>
                <c:pt idx="151">
                  <c:v>198.64999999999998</c:v>
                </c:pt>
                <c:pt idx="152">
                  <c:v>187.73999999999998</c:v>
                </c:pt>
                <c:pt idx="153">
                  <c:v>190.42499999999998</c:v>
                </c:pt>
                <c:pt idx="154">
                  <c:v>182.97500000000002</c:v>
                </c:pt>
                <c:pt idx="155">
                  <c:v>187.02</c:v>
                </c:pt>
                <c:pt idx="156">
                  <c:v>175.52499999999998</c:v>
                </c:pt>
                <c:pt idx="157">
                  <c:v>183.3</c:v>
                </c:pt>
                <c:pt idx="158">
                  <c:v>164.2</c:v>
                </c:pt>
                <c:pt idx="159">
                  <c:v>171.9</c:v>
                </c:pt>
                <c:pt idx="160">
                  <c:v>177.77500000000001</c:v>
                </c:pt>
                <c:pt idx="161">
                  <c:v>180</c:v>
                </c:pt>
                <c:pt idx="162">
                  <c:v>179.42500000000001</c:v>
                </c:pt>
                <c:pt idx="163">
                  <c:v>171.625</c:v>
                </c:pt>
                <c:pt idx="164">
                  <c:v>165.92</c:v>
                </c:pt>
                <c:pt idx="165">
                  <c:v>167.10000000000002</c:v>
                </c:pt>
                <c:pt idx="166">
                  <c:v>164.48000000000002</c:v>
                </c:pt>
                <c:pt idx="167">
                  <c:v>171.85000000000002</c:v>
                </c:pt>
                <c:pt idx="168">
                  <c:v>165.82499999999999</c:v>
                </c:pt>
                <c:pt idx="169">
                  <c:v>184.51999999999998</c:v>
                </c:pt>
                <c:pt idx="170">
                  <c:v>169.45</c:v>
                </c:pt>
                <c:pt idx="171">
                  <c:v>177.74999999999997</c:v>
                </c:pt>
                <c:pt idx="172">
                  <c:v>202.04999999999998</c:v>
                </c:pt>
                <c:pt idx="173">
                  <c:v>201.95999999999998</c:v>
                </c:pt>
                <c:pt idx="174">
                  <c:v>206.67500000000001</c:v>
                </c:pt>
                <c:pt idx="175">
                  <c:v>201.96</c:v>
                </c:pt>
                <c:pt idx="176">
                  <c:v>199.57500000000002</c:v>
                </c:pt>
                <c:pt idx="177">
                  <c:v>204.4</c:v>
                </c:pt>
                <c:pt idx="178">
                  <c:v>201.11999999999998</c:v>
                </c:pt>
                <c:pt idx="179">
                  <c:v>210.67499999999998</c:v>
                </c:pt>
                <c:pt idx="180">
                  <c:v>225.375</c:v>
                </c:pt>
                <c:pt idx="181">
                  <c:v>222.69999999999996</c:v>
                </c:pt>
                <c:pt idx="182">
                  <c:v>217.375</c:v>
                </c:pt>
                <c:pt idx="183">
                  <c:v>226.15</c:v>
                </c:pt>
                <c:pt idx="184">
                  <c:v>235.1</c:v>
                </c:pt>
                <c:pt idx="185">
                  <c:v>229.60000000000002</c:v>
                </c:pt>
                <c:pt idx="186">
                  <c:v>239.79999999999998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'Purchase Index'!$P$1</c:f>
              <c:strCache>
                <c:ptCount val="1"/>
                <c:pt idx="0">
                  <c:v>Inventory Adj</c:v>
                </c:pt>
              </c:strCache>
            </c:strRef>
          </c:tx>
          <c:marker>
            <c:symbol val="none"/>
          </c:marker>
          <c:cat>
            <c:numRef>
              <c:f>'Purchase Index'!$M$133:$M$1382</c:f>
              <c:numCache>
                <c:formatCode>m/d/yyyy</c:formatCode>
                <c:ptCount val="1250"/>
                <c:pt idx="0">
                  <c:v>36861</c:v>
                </c:pt>
                <c:pt idx="1">
                  <c:v>36892</c:v>
                </c:pt>
                <c:pt idx="2">
                  <c:v>36923</c:v>
                </c:pt>
                <c:pt idx="3">
                  <c:v>36951</c:v>
                </c:pt>
                <c:pt idx="4">
                  <c:v>36982</c:v>
                </c:pt>
                <c:pt idx="5">
                  <c:v>37012</c:v>
                </c:pt>
                <c:pt idx="6">
                  <c:v>37043</c:v>
                </c:pt>
                <c:pt idx="7">
                  <c:v>37073</c:v>
                </c:pt>
                <c:pt idx="8">
                  <c:v>37104</c:v>
                </c:pt>
                <c:pt idx="9">
                  <c:v>37135</c:v>
                </c:pt>
                <c:pt idx="10">
                  <c:v>37165</c:v>
                </c:pt>
                <c:pt idx="11">
                  <c:v>37196</c:v>
                </c:pt>
                <c:pt idx="12">
                  <c:v>37226</c:v>
                </c:pt>
                <c:pt idx="13">
                  <c:v>37257</c:v>
                </c:pt>
                <c:pt idx="14">
                  <c:v>37288</c:v>
                </c:pt>
                <c:pt idx="15">
                  <c:v>37316</c:v>
                </c:pt>
                <c:pt idx="16">
                  <c:v>37347</c:v>
                </c:pt>
                <c:pt idx="17">
                  <c:v>37377</c:v>
                </c:pt>
                <c:pt idx="18">
                  <c:v>37408</c:v>
                </c:pt>
                <c:pt idx="19">
                  <c:v>37438</c:v>
                </c:pt>
                <c:pt idx="20">
                  <c:v>37469</c:v>
                </c:pt>
                <c:pt idx="21">
                  <c:v>37500</c:v>
                </c:pt>
                <c:pt idx="22">
                  <c:v>37530</c:v>
                </c:pt>
                <c:pt idx="23">
                  <c:v>37561</c:v>
                </c:pt>
                <c:pt idx="24">
                  <c:v>37591</c:v>
                </c:pt>
                <c:pt idx="25">
                  <c:v>37622</c:v>
                </c:pt>
                <c:pt idx="26">
                  <c:v>37653</c:v>
                </c:pt>
                <c:pt idx="27">
                  <c:v>37681</c:v>
                </c:pt>
                <c:pt idx="28">
                  <c:v>37712</c:v>
                </c:pt>
                <c:pt idx="29">
                  <c:v>37742</c:v>
                </c:pt>
                <c:pt idx="30">
                  <c:v>37773</c:v>
                </c:pt>
                <c:pt idx="31">
                  <c:v>37803</c:v>
                </c:pt>
                <c:pt idx="32">
                  <c:v>37834</c:v>
                </c:pt>
                <c:pt idx="33">
                  <c:v>37865</c:v>
                </c:pt>
                <c:pt idx="34">
                  <c:v>37895</c:v>
                </c:pt>
                <c:pt idx="35">
                  <c:v>37926</c:v>
                </c:pt>
                <c:pt idx="36">
                  <c:v>37956</c:v>
                </c:pt>
                <c:pt idx="37">
                  <c:v>37987</c:v>
                </c:pt>
                <c:pt idx="38">
                  <c:v>38018</c:v>
                </c:pt>
                <c:pt idx="39">
                  <c:v>38047</c:v>
                </c:pt>
                <c:pt idx="40">
                  <c:v>38078</c:v>
                </c:pt>
                <c:pt idx="41">
                  <c:v>38108</c:v>
                </c:pt>
                <c:pt idx="42">
                  <c:v>38139</c:v>
                </c:pt>
                <c:pt idx="43">
                  <c:v>38169</c:v>
                </c:pt>
                <c:pt idx="44">
                  <c:v>38200</c:v>
                </c:pt>
                <c:pt idx="45">
                  <c:v>38231</c:v>
                </c:pt>
                <c:pt idx="46">
                  <c:v>38261</c:v>
                </c:pt>
                <c:pt idx="47">
                  <c:v>38292</c:v>
                </c:pt>
                <c:pt idx="48">
                  <c:v>38322</c:v>
                </c:pt>
                <c:pt idx="49">
                  <c:v>38353</c:v>
                </c:pt>
                <c:pt idx="50">
                  <c:v>38384</c:v>
                </c:pt>
                <c:pt idx="51">
                  <c:v>38412</c:v>
                </c:pt>
                <c:pt idx="52">
                  <c:v>38443</c:v>
                </c:pt>
                <c:pt idx="53">
                  <c:v>38473</c:v>
                </c:pt>
                <c:pt idx="54">
                  <c:v>38504</c:v>
                </c:pt>
                <c:pt idx="55">
                  <c:v>38534</c:v>
                </c:pt>
                <c:pt idx="56">
                  <c:v>38565</c:v>
                </c:pt>
                <c:pt idx="57">
                  <c:v>38596</c:v>
                </c:pt>
                <c:pt idx="58">
                  <c:v>38626</c:v>
                </c:pt>
                <c:pt idx="59">
                  <c:v>38657</c:v>
                </c:pt>
                <c:pt idx="60">
                  <c:v>38687</c:v>
                </c:pt>
                <c:pt idx="61">
                  <c:v>38718</c:v>
                </c:pt>
                <c:pt idx="62">
                  <c:v>38749</c:v>
                </c:pt>
                <c:pt idx="63">
                  <c:v>38777</c:v>
                </c:pt>
                <c:pt idx="64">
                  <c:v>38808</c:v>
                </c:pt>
                <c:pt idx="65">
                  <c:v>38838</c:v>
                </c:pt>
                <c:pt idx="66">
                  <c:v>38869</c:v>
                </c:pt>
                <c:pt idx="67">
                  <c:v>38899</c:v>
                </c:pt>
                <c:pt idx="68">
                  <c:v>38930</c:v>
                </c:pt>
                <c:pt idx="69">
                  <c:v>38961</c:v>
                </c:pt>
                <c:pt idx="70">
                  <c:v>38991</c:v>
                </c:pt>
                <c:pt idx="71">
                  <c:v>39022</c:v>
                </c:pt>
                <c:pt idx="72">
                  <c:v>39052</c:v>
                </c:pt>
                <c:pt idx="73">
                  <c:v>39083</c:v>
                </c:pt>
                <c:pt idx="74">
                  <c:v>39114</c:v>
                </c:pt>
                <c:pt idx="75">
                  <c:v>39142</c:v>
                </c:pt>
                <c:pt idx="76">
                  <c:v>39173</c:v>
                </c:pt>
                <c:pt idx="77">
                  <c:v>39203</c:v>
                </c:pt>
                <c:pt idx="78">
                  <c:v>39234</c:v>
                </c:pt>
                <c:pt idx="79">
                  <c:v>39264</c:v>
                </c:pt>
                <c:pt idx="80">
                  <c:v>39295</c:v>
                </c:pt>
                <c:pt idx="81">
                  <c:v>39326</c:v>
                </c:pt>
                <c:pt idx="82">
                  <c:v>39356</c:v>
                </c:pt>
                <c:pt idx="83">
                  <c:v>39387</c:v>
                </c:pt>
                <c:pt idx="84">
                  <c:v>39417</c:v>
                </c:pt>
                <c:pt idx="85">
                  <c:v>39448</c:v>
                </c:pt>
                <c:pt idx="86">
                  <c:v>39479</c:v>
                </c:pt>
                <c:pt idx="87">
                  <c:v>39508</c:v>
                </c:pt>
                <c:pt idx="88">
                  <c:v>39539</c:v>
                </c:pt>
                <c:pt idx="89">
                  <c:v>39569</c:v>
                </c:pt>
                <c:pt idx="90">
                  <c:v>39600</c:v>
                </c:pt>
                <c:pt idx="91">
                  <c:v>39630</c:v>
                </c:pt>
                <c:pt idx="92">
                  <c:v>39661</c:v>
                </c:pt>
                <c:pt idx="93">
                  <c:v>39692</c:v>
                </c:pt>
                <c:pt idx="94">
                  <c:v>39722</c:v>
                </c:pt>
                <c:pt idx="95">
                  <c:v>39753</c:v>
                </c:pt>
                <c:pt idx="96">
                  <c:v>39783</c:v>
                </c:pt>
                <c:pt idx="97">
                  <c:v>39814</c:v>
                </c:pt>
                <c:pt idx="98">
                  <c:v>39845</c:v>
                </c:pt>
                <c:pt idx="99">
                  <c:v>39873</c:v>
                </c:pt>
                <c:pt idx="100">
                  <c:v>39904</c:v>
                </c:pt>
                <c:pt idx="101">
                  <c:v>39934</c:v>
                </c:pt>
                <c:pt idx="102">
                  <c:v>39965</c:v>
                </c:pt>
                <c:pt idx="103">
                  <c:v>39995</c:v>
                </c:pt>
                <c:pt idx="104">
                  <c:v>40026</c:v>
                </c:pt>
                <c:pt idx="105">
                  <c:v>40057</c:v>
                </c:pt>
                <c:pt idx="106">
                  <c:v>40087</c:v>
                </c:pt>
                <c:pt idx="107">
                  <c:v>40118</c:v>
                </c:pt>
                <c:pt idx="108">
                  <c:v>40148</c:v>
                </c:pt>
                <c:pt idx="109">
                  <c:v>40179</c:v>
                </c:pt>
                <c:pt idx="110">
                  <c:v>40210</c:v>
                </c:pt>
                <c:pt idx="111">
                  <c:v>40238</c:v>
                </c:pt>
                <c:pt idx="112">
                  <c:v>40269</c:v>
                </c:pt>
                <c:pt idx="113">
                  <c:v>40299</c:v>
                </c:pt>
                <c:pt idx="114">
                  <c:v>40330</c:v>
                </c:pt>
                <c:pt idx="115">
                  <c:v>40360</c:v>
                </c:pt>
                <c:pt idx="116">
                  <c:v>40391</c:v>
                </c:pt>
                <c:pt idx="117">
                  <c:v>40422</c:v>
                </c:pt>
                <c:pt idx="118">
                  <c:v>40452</c:v>
                </c:pt>
                <c:pt idx="119">
                  <c:v>40483</c:v>
                </c:pt>
                <c:pt idx="120">
                  <c:v>40513</c:v>
                </c:pt>
                <c:pt idx="121">
                  <c:v>40544</c:v>
                </c:pt>
                <c:pt idx="122">
                  <c:v>40575</c:v>
                </c:pt>
                <c:pt idx="123">
                  <c:v>40603</c:v>
                </c:pt>
                <c:pt idx="124">
                  <c:v>40634</c:v>
                </c:pt>
                <c:pt idx="125">
                  <c:v>40664</c:v>
                </c:pt>
                <c:pt idx="126">
                  <c:v>40695</c:v>
                </c:pt>
                <c:pt idx="127">
                  <c:v>40725</c:v>
                </c:pt>
                <c:pt idx="128">
                  <c:v>40756</c:v>
                </c:pt>
                <c:pt idx="129">
                  <c:v>40787</c:v>
                </c:pt>
                <c:pt idx="130">
                  <c:v>40817</c:v>
                </c:pt>
                <c:pt idx="131">
                  <c:v>40848</c:v>
                </c:pt>
                <c:pt idx="132">
                  <c:v>40878</c:v>
                </c:pt>
                <c:pt idx="133">
                  <c:v>40909</c:v>
                </c:pt>
                <c:pt idx="134">
                  <c:v>40940</c:v>
                </c:pt>
                <c:pt idx="135">
                  <c:v>40969</c:v>
                </c:pt>
                <c:pt idx="136">
                  <c:v>41000</c:v>
                </c:pt>
                <c:pt idx="137">
                  <c:v>41030</c:v>
                </c:pt>
                <c:pt idx="138">
                  <c:v>41061</c:v>
                </c:pt>
                <c:pt idx="139">
                  <c:v>41091</c:v>
                </c:pt>
                <c:pt idx="140">
                  <c:v>41122</c:v>
                </c:pt>
                <c:pt idx="141">
                  <c:v>41153</c:v>
                </c:pt>
                <c:pt idx="142">
                  <c:v>41183</c:v>
                </c:pt>
                <c:pt idx="143">
                  <c:v>41214</c:v>
                </c:pt>
                <c:pt idx="144">
                  <c:v>41244</c:v>
                </c:pt>
                <c:pt idx="145">
                  <c:v>41275</c:v>
                </c:pt>
                <c:pt idx="146">
                  <c:v>41306</c:v>
                </c:pt>
                <c:pt idx="147">
                  <c:v>41334</c:v>
                </c:pt>
                <c:pt idx="148">
                  <c:v>41365</c:v>
                </c:pt>
                <c:pt idx="149">
                  <c:v>41395</c:v>
                </c:pt>
                <c:pt idx="150">
                  <c:v>41426</c:v>
                </c:pt>
                <c:pt idx="151">
                  <c:v>41456</c:v>
                </c:pt>
                <c:pt idx="152">
                  <c:v>41487</c:v>
                </c:pt>
                <c:pt idx="153">
                  <c:v>41518</c:v>
                </c:pt>
                <c:pt idx="154">
                  <c:v>41548</c:v>
                </c:pt>
                <c:pt idx="155">
                  <c:v>41579</c:v>
                </c:pt>
                <c:pt idx="156">
                  <c:v>41609</c:v>
                </c:pt>
                <c:pt idx="157">
                  <c:v>41640</c:v>
                </c:pt>
                <c:pt idx="158">
                  <c:v>41671</c:v>
                </c:pt>
                <c:pt idx="159">
                  <c:v>41699</c:v>
                </c:pt>
                <c:pt idx="160">
                  <c:v>41730</c:v>
                </c:pt>
                <c:pt idx="161">
                  <c:v>41760</c:v>
                </c:pt>
                <c:pt idx="162">
                  <c:v>41791</c:v>
                </c:pt>
                <c:pt idx="163">
                  <c:v>41821</c:v>
                </c:pt>
                <c:pt idx="164">
                  <c:v>41852</c:v>
                </c:pt>
                <c:pt idx="165">
                  <c:v>41883</c:v>
                </c:pt>
                <c:pt idx="166">
                  <c:v>41913</c:v>
                </c:pt>
                <c:pt idx="167">
                  <c:v>41944</c:v>
                </c:pt>
                <c:pt idx="168">
                  <c:v>41974</c:v>
                </c:pt>
                <c:pt idx="169">
                  <c:v>42005</c:v>
                </c:pt>
                <c:pt idx="170">
                  <c:v>42036</c:v>
                </c:pt>
                <c:pt idx="171">
                  <c:v>42064</c:v>
                </c:pt>
                <c:pt idx="172">
                  <c:v>42095</c:v>
                </c:pt>
                <c:pt idx="173">
                  <c:v>42125</c:v>
                </c:pt>
                <c:pt idx="174">
                  <c:v>42156</c:v>
                </c:pt>
                <c:pt idx="175">
                  <c:v>42186</c:v>
                </c:pt>
                <c:pt idx="176">
                  <c:v>42217</c:v>
                </c:pt>
                <c:pt idx="177">
                  <c:v>42248</c:v>
                </c:pt>
                <c:pt idx="178">
                  <c:v>42278</c:v>
                </c:pt>
                <c:pt idx="179">
                  <c:v>42309</c:v>
                </c:pt>
                <c:pt idx="180">
                  <c:v>42339</c:v>
                </c:pt>
                <c:pt idx="181">
                  <c:v>42370</c:v>
                </c:pt>
                <c:pt idx="182">
                  <c:v>42401</c:v>
                </c:pt>
                <c:pt idx="183">
                  <c:v>42430</c:v>
                </c:pt>
                <c:pt idx="184">
                  <c:v>42461</c:v>
                </c:pt>
                <c:pt idx="185">
                  <c:v>42491</c:v>
                </c:pt>
                <c:pt idx="186">
                  <c:v>42522</c:v>
                </c:pt>
              </c:numCache>
            </c:numRef>
          </c:cat>
          <c:val>
            <c:numRef>
              <c:f>'Purchase Index'!$P$133:$P$1382</c:f>
              <c:numCache>
                <c:formatCode>0.00</c:formatCode>
                <c:ptCount val="1250"/>
                <c:pt idx="0">
                  <c:v>285.66421620353816</c:v>
                </c:pt>
                <c:pt idx="1">
                  <c:v>303.30014877467528</c:v>
                </c:pt>
                <c:pt idx="2">
                  <c:v>278.41552836617615</c:v>
                </c:pt>
                <c:pt idx="3">
                  <c:v>288.4026080544474</c:v>
                </c:pt>
                <c:pt idx="4">
                  <c:v>290.20713981858847</c:v>
                </c:pt>
                <c:pt idx="5">
                  <c:v>295.79211828286111</c:v>
                </c:pt>
                <c:pt idx="6">
                  <c:v>312.28135304933409</c:v>
                </c:pt>
                <c:pt idx="7">
                  <c:v>298.89419060052217</c:v>
                </c:pt>
                <c:pt idx="8">
                  <c:v>291.79037813041833</c:v>
                </c:pt>
                <c:pt idx="9">
                  <c:v>283.19928415273228</c:v>
                </c:pt>
                <c:pt idx="10">
                  <c:v>259.66713092206498</c:v>
                </c:pt>
                <c:pt idx="11">
                  <c:v>300.308120899995</c:v>
                </c:pt>
                <c:pt idx="12">
                  <c:v>299.92739711761806</c:v>
                </c:pt>
                <c:pt idx="13">
                  <c:v>338.72656654864136</c:v>
                </c:pt>
                <c:pt idx="14">
                  <c:v>300.6844166503235</c:v>
                </c:pt>
                <c:pt idx="15">
                  <c:v>313.86616515438453</c:v>
                </c:pt>
                <c:pt idx="16">
                  <c:v>333.22905200450037</c:v>
                </c:pt>
                <c:pt idx="17">
                  <c:v>354.95933115077918</c:v>
                </c:pt>
                <c:pt idx="18">
                  <c:v>359.82142630341548</c:v>
                </c:pt>
                <c:pt idx="19">
                  <c:v>361.86800904883751</c:v>
                </c:pt>
                <c:pt idx="20">
                  <c:v>349.6482907997709</c:v>
                </c:pt>
                <c:pt idx="21">
                  <c:v>359.31077396668036</c:v>
                </c:pt>
                <c:pt idx="22">
                  <c:v>339.94535328137658</c:v>
                </c:pt>
                <c:pt idx="23">
                  <c:v>349.01901972318257</c:v>
                </c:pt>
                <c:pt idx="24">
                  <c:v>350.70114925778557</c:v>
                </c:pt>
                <c:pt idx="25">
                  <c:v>359.16869637195202</c:v>
                </c:pt>
                <c:pt idx="26">
                  <c:v>323.69769352608074</c:v>
                </c:pt>
                <c:pt idx="27">
                  <c:v>353.56574453137398</c:v>
                </c:pt>
                <c:pt idx="28">
                  <c:v>366.02026527871061</c:v>
                </c:pt>
                <c:pt idx="29">
                  <c:v>408.25517096127851</c:v>
                </c:pt>
                <c:pt idx="30">
                  <c:v>413.03594393028067</c:v>
                </c:pt>
                <c:pt idx="31">
                  <c:v>423.1778953757709</c:v>
                </c:pt>
                <c:pt idx="32">
                  <c:v>396.18655535521765</c:v>
                </c:pt>
                <c:pt idx="33">
                  <c:v>400.56986073839528</c:v>
                </c:pt>
                <c:pt idx="34">
                  <c:v>381.29022209852491</c:v>
                </c:pt>
                <c:pt idx="35">
                  <c:v>414.93133208820331</c:v>
                </c:pt>
                <c:pt idx="36">
                  <c:v>398.90615936157212</c:v>
                </c:pt>
                <c:pt idx="37">
                  <c:v>436.68833597024451</c:v>
                </c:pt>
                <c:pt idx="38">
                  <c:v>403.55369471777448</c:v>
                </c:pt>
                <c:pt idx="39">
                  <c:v>429.86913148705185</c:v>
                </c:pt>
                <c:pt idx="40">
                  <c:v>443.182915816758</c:v>
                </c:pt>
                <c:pt idx="41">
                  <c:v>448.75082930224221</c:v>
                </c:pt>
                <c:pt idx="42">
                  <c:v>427.11407768159006</c:v>
                </c:pt>
                <c:pt idx="43">
                  <c:v>444.14164651271381</c:v>
                </c:pt>
                <c:pt idx="44">
                  <c:v>430.98729559748432</c:v>
                </c:pt>
                <c:pt idx="45">
                  <c:v>445.4691787102426</c:v>
                </c:pt>
                <c:pt idx="46">
                  <c:v>439.40180873628231</c:v>
                </c:pt>
                <c:pt idx="47">
                  <c:v>450.9796897908526</c:v>
                </c:pt>
                <c:pt idx="48">
                  <c:v>448.93688821721412</c:v>
                </c:pt>
                <c:pt idx="49">
                  <c:v>409.7923496432212</c:v>
                </c:pt>
                <c:pt idx="50">
                  <c:v>410.57609613543951</c:v>
                </c:pt>
                <c:pt idx="51">
                  <c:v>435.33756204399367</c:v>
                </c:pt>
                <c:pt idx="52">
                  <c:v>446.62213886574688</c:v>
                </c:pt>
                <c:pt idx="53">
                  <c:v>460.15354494526463</c:v>
                </c:pt>
                <c:pt idx="54">
                  <c:v>465.54470246342044</c:v>
                </c:pt>
                <c:pt idx="55">
                  <c:v>469.07370841434437</c:v>
                </c:pt>
                <c:pt idx="56">
                  <c:v>462.55955755912362</c:v>
                </c:pt>
                <c:pt idx="57">
                  <c:v>466.45711371872778</c:v>
                </c:pt>
                <c:pt idx="58">
                  <c:v>442.74917337855027</c:v>
                </c:pt>
                <c:pt idx="59">
                  <c:v>445.72702547385404</c:v>
                </c:pt>
                <c:pt idx="60">
                  <c:v>428.70600995011517</c:v>
                </c:pt>
                <c:pt idx="61">
                  <c:v>425.61881446756001</c:v>
                </c:pt>
                <c:pt idx="62">
                  <c:v>381.9211439221944</c:v>
                </c:pt>
                <c:pt idx="63">
                  <c:v>382.5119360028562</c:v>
                </c:pt>
                <c:pt idx="64">
                  <c:v>386.25676450228895</c:v>
                </c:pt>
                <c:pt idx="65">
                  <c:v>382.92679064618727</c:v>
                </c:pt>
                <c:pt idx="66">
                  <c:v>379.64038109818853</c:v>
                </c:pt>
                <c:pt idx="67">
                  <c:v>371.37622771504607</c:v>
                </c:pt>
                <c:pt idx="68">
                  <c:v>358.00324724435683</c:v>
                </c:pt>
                <c:pt idx="69">
                  <c:v>369.28067648116178</c:v>
                </c:pt>
                <c:pt idx="70">
                  <c:v>355.73831781917107</c:v>
                </c:pt>
                <c:pt idx="71">
                  <c:v>378.05081725007915</c:v>
                </c:pt>
                <c:pt idx="72">
                  <c:v>395.38942054788305</c:v>
                </c:pt>
                <c:pt idx="73">
                  <c:v>400.60742371981962</c:v>
                </c:pt>
                <c:pt idx="74">
                  <c:v>369.28976534242139</c:v>
                </c:pt>
                <c:pt idx="75">
                  <c:v>380.37235157357776</c:v>
                </c:pt>
                <c:pt idx="76">
                  <c:v>383.54562809700661</c:v>
                </c:pt>
                <c:pt idx="77">
                  <c:v>403.90813599121816</c:v>
                </c:pt>
                <c:pt idx="78">
                  <c:v>412.53072385453618</c:v>
                </c:pt>
                <c:pt idx="79">
                  <c:v>405.38629989570808</c:v>
                </c:pt>
                <c:pt idx="80">
                  <c:v>410.534286970398</c:v>
                </c:pt>
                <c:pt idx="81">
                  <c:v>403.0224993132415</c:v>
                </c:pt>
                <c:pt idx="82">
                  <c:v>390.9823460979801</c:v>
                </c:pt>
                <c:pt idx="83">
                  <c:v>398.40047688812547</c:v>
                </c:pt>
                <c:pt idx="84">
                  <c:v>384.50709876303716</c:v>
                </c:pt>
                <c:pt idx="85">
                  <c:v>391.03659807873976</c:v>
                </c:pt>
                <c:pt idx="86">
                  <c:v>352.02822703822949</c:v>
                </c:pt>
                <c:pt idx="87">
                  <c:v>347.91398514714388</c:v>
                </c:pt>
                <c:pt idx="88">
                  <c:v>340.81835119899807</c:v>
                </c:pt>
                <c:pt idx="89">
                  <c:v>334.88816613837184</c:v>
                </c:pt>
                <c:pt idx="90">
                  <c:v>328.62367051904823</c:v>
                </c:pt>
                <c:pt idx="91">
                  <c:v>318.70939857356109</c:v>
                </c:pt>
                <c:pt idx="92">
                  <c:v>299.23730354117185</c:v>
                </c:pt>
                <c:pt idx="93">
                  <c:v>324.99754729529678</c:v>
                </c:pt>
                <c:pt idx="94">
                  <c:v>273.3313220498448</c:v>
                </c:pt>
                <c:pt idx="95">
                  <c:v>268.23198753170601</c:v>
                </c:pt>
                <c:pt idx="96">
                  <c:v>283.77226244917995</c:v>
                </c:pt>
                <c:pt idx="97">
                  <c:v>278.06522404255884</c:v>
                </c:pt>
                <c:pt idx="98">
                  <c:v>227.43005064883474</c:v>
                </c:pt>
                <c:pt idx="99">
                  <c:v>242.91637318811777</c:v>
                </c:pt>
                <c:pt idx="100">
                  <c:v>247.75759929999467</c:v>
                </c:pt>
                <c:pt idx="101">
                  <c:v>243.31512854527602</c:v>
                </c:pt>
                <c:pt idx="102">
                  <c:v>251.20045628915793</c:v>
                </c:pt>
                <c:pt idx="103">
                  <c:v>248.19309682560768</c:v>
                </c:pt>
                <c:pt idx="104">
                  <c:v>256.8642725665834</c:v>
                </c:pt>
                <c:pt idx="105">
                  <c:v>264.66516031011457</c:v>
                </c:pt>
                <c:pt idx="106">
                  <c:v>255.75629923355334</c:v>
                </c:pt>
                <c:pt idx="107">
                  <c:v>205.30433753628208</c:v>
                </c:pt>
                <c:pt idx="108">
                  <c:v>210.28633060218493</c:v>
                </c:pt>
                <c:pt idx="109">
                  <c:v>205.99065081184844</c:v>
                </c:pt>
                <c:pt idx="110">
                  <c:v>197.4052156520676</c:v>
                </c:pt>
                <c:pt idx="111">
                  <c:v>214.75007924670066</c:v>
                </c:pt>
                <c:pt idx="112">
                  <c:v>233.95513449153361</c:v>
                </c:pt>
                <c:pt idx="113">
                  <c:v>191.61241420876348</c:v>
                </c:pt>
                <c:pt idx="114">
                  <c:v>163.21736293633415</c:v>
                </c:pt>
                <c:pt idx="115">
                  <c:v>158.71901738927269</c:v>
                </c:pt>
                <c:pt idx="116">
                  <c:v>161.21560359534257</c:v>
                </c:pt>
                <c:pt idx="117">
                  <c:v>170.314399633119</c:v>
                </c:pt>
                <c:pt idx="118">
                  <c:v>169.60745389746381</c:v>
                </c:pt>
                <c:pt idx="119">
                  <c:v>182.69413823671565</c:v>
                </c:pt>
                <c:pt idx="120">
                  <c:v>188.84411261926115</c:v>
                </c:pt>
                <c:pt idx="121">
                  <c:v>173.90459213006915</c:v>
                </c:pt>
                <c:pt idx="122">
                  <c:v>168.20150669642857</c:v>
                </c:pt>
                <c:pt idx="123">
                  <c:v>178.23731778036105</c:v>
                </c:pt>
                <c:pt idx="124">
                  <c:v>181.36121737504342</c:v>
                </c:pt>
                <c:pt idx="125">
                  <c:v>179.31170334219067</c:v>
                </c:pt>
                <c:pt idx="126">
                  <c:v>173.12319698061827</c:v>
                </c:pt>
                <c:pt idx="127">
                  <c:v>171.91962477148692</c:v>
                </c:pt>
                <c:pt idx="128">
                  <c:v>156.36382926926876</c:v>
                </c:pt>
                <c:pt idx="129">
                  <c:v>159.72443322532033</c:v>
                </c:pt>
                <c:pt idx="130">
                  <c:v>160.02067892182998</c:v>
                </c:pt>
                <c:pt idx="131">
                  <c:v>174.61197168881012</c:v>
                </c:pt>
                <c:pt idx="132">
                  <c:v>172.908921509072</c:v>
                </c:pt>
                <c:pt idx="133">
                  <c:v>172.46068779880412</c:v>
                </c:pt>
                <c:pt idx="134">
                  <c:v>160.02932420234291</c:v>
                </c:pt>
                <c:pt idx="135">
                  <c:v>176.55879552922198</c:v>
                </c:pt>
                <c:pt idx="136">
                  <c:v>177.59062715667417</c:v>
                </c:pt>
                <c:pt idx="137">
                  <c:v>178.11839426284192</c:v>
                </c:pt>
                <c:pt idx="138">
                  <c:v>177.36944086444927</c:v>
                </c:pt>
                <c:pt idx="139">
                  <c:v>176.27341395174915</c:v>
                </c:pt>
                <c:pt idx="140">
                  <c:v>166.91579299678997</c:v>
                </c:pt>
                <c:pt idx="141">
                  <c:v>178.00903066475962</c:v>
                </c:pt>
                <c:pt idx="142">
                  <c:v>180.34283923168226</c:v>
                </c:pt>
                <c:pt idx="143">
                  <c:v>184.95324899482864</c:v>
                </c:pt>
                <c:pt idx="144">
                  <c:v>179.43394464096272</c:v>
                </c:pt>
                <c:pt idx="145">
                  <c:v>192.75548461188191</c:v>
                </c:pt>
                <c:pt idx="146">
                  <c:v>184.40298121738158</c:v>
                </c:pt>
                <c:pt idx="147">
                  <c:v>193.90653639057814</c:v>
                </c:pt>
                <c:pt idx="148">
                  <c:v>202.35352728101302</c:v>
                </c:pt>
                <c:pt idx="149">
                  <c:v>198.37159977297409</c:v>
                </c:pt>
                <c:pt idx="150">
                  <c:v>199.85389808574104</c:v>
                </c:pt>
                <c:pt idx="151">
                  <c:v>186.79055702739862</c:v>
                </c:pt>
                <c:pt idx="152">
                  <c:v>176.57945717962849</c:v>
                </c:pt>
                <c:pt idx="153">
                  <c:v>179.15311993897691</c:v>
                </c:pt>
                <c:pt idx="154">
                  <c:v>172.19052354597602</c:v>
                </c:pt>
                <c:pt idx="155">
                  <c:v>176.04457812503497</c:v>
                </c:pt>
                <c:pt idx="156">
                  <c:v>165.26874357065702</c:v>
                </c:pt>
                <c:pt idx="157">
                  <c:v>172.6360070941997</c:v>
                </c:pt>
                <c:pt idx="158">
                  <c:v>154.59890866719721</c:v>
                </c:pt>
                <c:pt idx="159">
                  <c:v>161.79814699188302</c:v>
                </c:pt>
                <c:pt idx="160">
                  <c:v>167.27567544892901</c:v>
                </c:pt>
                <c:pt idx="161">
                  <c:v>169.31642512077295</c:v>
                </c:pt>
                <c:pt idx="162">
                  <c:v>168.7229122019767</c:v>
                </c:pt>
                <c:pt idx="163">
                  <c:v>161.33783434920505</c:v>
                </c:pt>
                <c:pt idx="164">
                  <c:v>155.92617269799135</c:v>
                </c:pt>
                <c:pt idx="165">
                  <c:v>156.98616460938445</c:v>
                </c:pt>
                <c:pt idx="166">
                  <c:v>154.4766056708369</c:v>
                </c:pt>
                <c:pt idx="167">
                  <c:v>161.34811310014135</c:v>
                </c:pt>
                <c:pt idx="168">
                  <c:v>155.64283619711378</c:v>
                </c:pt>
                <c:pt idx="169">
                  <c:v>173.13600567558157</c:v>
                </c:pt>
                <c:pt idx="170">
                  <c:v>158.99575201456375</c:v>
                </c:pt>
                <c:pt idx="171">
                  <c:v>166.78368203357155</c:v>
                </c:pt>
                <c:pt idx="172">
                  <c:v>189.58448919765479</c:v>
                </c:pt>
                <c:pt idx="173">
                  <c:v>189.50004176371374</c:v>
                </c:pt>
                <c:pt idx="174">
                  <c:v>193.92414899740317</c:v>
                </c:pt>
                <c:pt idx="175">
                  <c:v>189.50004176371374</c:v>
                </c:pt>
                <c:pt idx="176">
                  <c:v>187.26218476427596</c:v>
                </c:pt>
                <c:pt idx="177">
                  <c:v>191.78950552833774</c:v>
                </c:pt>
                <c:pt idx="178">
                  <c:v>188.71186571359726</c:v>
                </c:pt>
                <c:pt idx="179">
                  <c:v>197.67736828367197</c:v>
                </c:pt>
                <c:pt idx="180">
                  <c:v>211.47044916070996</c:v>
                </c:pt>
                <c:pt idx="181">
                  <c:v>208.96048376301763</c:v>
                </c:pt>
                <c:pt idx="182">
                  <c:v>203.9640105881723</c:v>
                </c:pt>
                <c:pt idx="183">
                  <c:v>212.19763539742456</c:v>
                </c:pt>
                <c:pt idx="184">
                  <c:v>220.59546355045109</c:v>
                </c:pt>
                <c:pt idx="185">
                  <c:v>215.43478703183146</c:v>
                </c:pt>
                <c:pt idx="186">
                  <c:v>#N/A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'Purchase Index'!$Q$1</c:f>
              <c:strCache>
                <c:ptCount val="1"/>
                <c:pt idx="0">
                  <c:v>24Mo MA</c:v>
                </c:pt>
              </c:strCache>
            </c:strRef>
          </c:tx>
          <c:marker>
            <c:symbol val="none"/>
          </c:marker>
          <c:cat>
            <c:numRef>
              <c:f>'Purchase Index'!$M$133:$M$1382</c:f>
              <c:numCache>
                <c:formatCode>m/d/yyyy</c:formatCode>
                <c:ptCount val="1250"/>
                <c:pt idx="0">
                  <c:v>36861</c:v>
                </c:pt>
                <c:pt idx="1">
                  <c:v>36892</c:v>
                </c:pt>
                <c:pt idx="2">
                  <c:v>36923</c:v>
                </c:pt>
                <c:pt idx="3">
                  <c:v>36951</c:v>
                </c:pt>
                <c:pt idx="4">
                  <c:v>36982</c:v>
                </c:pt>
                <c:pt idx="5">
                  <c:v>37012</c:v>
                </c:pt>
                <c:pt idx="6">
                  <c:v>37043</c:v>
                </c:pt>
                <c:pt idx="7">
                  <c:v>37073</c:v>
                </c:pt>
                <c:pt idx="8">
                  <c:v>37104</c:v>
                </c:pt>
                <c:pt idx="9">
                  <c:v>37135</c:v>
                </c:pt>
                <c:pt idx="10">
                  <c:v>37165</c:v>
                </c:pt>
                <c:pt idx="11">
                  <c:v>37196</c:v>
                </c:pt>
                <c:pt idx="12">
                  <c:v>37226</c:v>
                </c:pt>
                <c:pt idx="13">
                  <c:v>37257</c:v>
                </c:pt>
                <c:pt idx="14">
                  <c:v>37288</c:v>
                </c:pt>
                <c:pt idx="15">
                  <c:v>37316</c:v>
                </c:pt>
                <c:pt idx="16">
                  <c:v>37347</c:v>
                </c:pt>
                <c:pt idx="17">
                  <c:v>37377</c:v>
                </c:pt>
                <c:pt idx="18">
                  <c:v>37408</c:v>
                </c:pt>
                <c:pt idx="19">
                  <c:v>37438</c:v>
                </c:pt>
                <c:pt idx="20">
                  <c:v>37469</c:v>
                </c:pt>
                <c:pt idx="21">
                  <c:v>37500</c:v>
                </c:pt>
                <c:pt idx="22">
                  <c:v>37530</c:v>
                </c:pt>
                <c:pt idx="23">
                  <c:v>37561</c:v>
                </c:pt>
                <c:pt idx="24">
                  <c:v>37591</c:v>
                </c:pt>
                <c:pt idx="25">
                  <c:v>37622</c:v>
                </c:pt>
                <c:pt idx="26">
                  <c:v>37653</c:v>
                </c:pt>
                <c:pt idx="27">
                  <c:v>37681</c:v>
                </c:pt>
                <c:pt idx="28">
                  <c:v>37712</c:v>
                </c:pt>
                <c:pt idx="29">
                  <c:v>37742</c:v>
                </c:pt>
                <c:pt idx="30">
                  <c:v>37773</c:v>
                </c:pt>
                <c:pt idx="31">
                  <c:v>37803</c:v>
                </c:pt>
                <c:pt idx="32">
                  <c:v>37834</c:v>
                </c:pt>
                <c:pt idx="33">
                  <c:v>37865</c:v>
                </c:pt>
                <c:pt idx="34">
                  <c:v>37895</c:v>
                </c:pt>
                <c:pt idx="35">
                  <c:v>37926</c:v>
                </c:pt>
                <c:pt idx="36">
                  <c:v>37956</c:v>
                </c:pt>
                <c:pt idx="37">
                  <c:v>37987</c:v>
                </c:pt>
                <c:pt idx="38">
                  <c:v>38018</c:v>
                </c:pt>
                <c:pt idx="39">
                  <c:v>38047</c:v>
                </c:pt>
                <c:pt idx="40">
                  <c:v>38078</c:v>
                </c:pt>
                <c:pt idx="41">
                  <c:v>38108</c:v>
                </c:pt>
                <c:pt idx="42">
                  <c:v>38139</c:v>
                </c:pt>
                <c:pt idx="43">
                  <c:v>38169</c:v>
                </c:pt>
                <c:pt idx="44">
                  <c:v>38200</c:v>
                </c:pt>
                <c:pt idx="45">
                  <c:v>38231</c:v>
                </c:pt>
                <c:pt idx="46">
                  <c:v>38261</c:v>
                </c:pt>
                <c:pt idx="47">
                  <c:v>38292</c:v>
                </c:pt>
                <c:pt idx="48">
                  <c:v>38322</c:v>
                </c:pt>
                <c:pt idx="49">
                  <c:v>38353</c:v>
                </c:pt>
                <c:pt idx="50">
                  <c:v>38384</c:v>
                </c:pt>
                <c:pt idx="51">
                  <c:v>38412</c:v>
                </c:pt>
                <c:pt idx="52">
                  <c:v>38443</c:v>
                </c:pt>
                <c:pt idx="53">
                  <c:v>38473</c:v>
                </c:pt>
                <c:pt idx="54">
                  <c:v>38504</c:v>
                </c:pt>
                <c:pt idx="55">
                  <c:v>38534</c:v>
                </c:pt>
                <c:pt idx="56">
                  <c:v>38565</c:v>
                </c:pt>
                <c:pt idx="57">
                  <c:v>38596</c:v>
                </c:pt>
                <c:pt idx="58">
                  <c:v>38626</c:v>
                </c:pt>
                <c:pt idx="59">
                  <c:v>38657</c:v>
                </c:pt>
                <c:pt idx="60">
                  <c:v>38687</c:v>
                </c:pt>
                <c:pt idx="61">
                  <c:v>38718</c:v>
                </c:pt>
                <c:pt idx="62">
                  <c:v>38749</c:v>
                </c:pt>
                <c:pt idx="63">
                  <c:v>38777</c:v>
                </c:pt>
                <c:pt idx="64">
                  <c:v>38808</c:v>
                </c:pt>
                <c:pt idx="65">
                  <c:v>38838</c:v>
                </c:pt>
                <c:pt idx="66">
                  <c:v>38869</c:v>
                </c:pt>
                <c:pt idx="67">
                  <c:v>38899</c:v>
                </c:pt>
                <c:pt idx="68">
                  <c:v>38930</c:v>
                </c:pt>
                <c:pt idx="69">
                  <c:v>38961</c:v>
                </c:pt>
                <c:pt idx="70">
                  <c:v>38991</c:v>
                </c:pt>
                <c:pt idx="71">
                  <c:v>39022</c:v>
                </c:pt>
                <c:pt idx="72">
                  <c:v>39052</c:v>
                </c:pt>
                <c:pt idx="73">
                  <c:v>39083</c:v>
                </c:pt>
                <c:pt idx="74">
                  <c:v>39114</c:v>
                </c:pt>
                <c:pt idx="75">
                  <c:v>39142</c:v>
                </c:pt>
                <c:pt idx="76">
                  <c:v>39173</c:v>
                </c:pt>
                <c:pt idx="77">
                  <c:v>39203</c:v>
                </c:pt>
                <c:pt idx="78">
                  <c:v>39234</c:v>
                </c:pt>
                <c:pt idx="79">
                  <c:v>39264</c:v>
                </c:pt>
                <c:pt idx="80">
                  <c:v>39295</c:v>
                </c:pt>
                <c:pt idx="81">
                  <c:v>39326</c:v>
                </c:pt>
                <c:pt idx="82">
                  <c:v>39356</c:v>
                </c:pt>
                <c:pt idx="83">
                  <c:v>39387</c:v>
                </c:pt>
                <c:pt idx="84">
                  <c:v>39417</c:v>
                </c:pt>
                <c:pt idx="85">
                  <c:v>39448</c:v>
                </c:pt>
                <c:pt idx="86">
                  <c:v>39479</c:v>
                </c:pt>
                <c:pt idx="87">
                  <c:v>39508</c:v>
                </c:pt>
                <c:pt idx="88">
                  <c:v>39539</c:v>
                </c:pt>
                <c:pt idx="89">
                  <c:v>39569</c:v>
                </c:pt>
                <c:pt idx="90">
                  <c:v>39600</c:v>
                </c:pt>
                <c:pt idx="91">
                  <c:v>39630</c:v>
                </c:pt>
                <c:pt idx="92">
                  <c:v>39661</c:v>
                </c:pt>
                <c:pt idx="93">
                  <c:v>39692</c:v>
                </c:pt>
                <c:pt idx="94">
                  <c:v>39722</c:v>
                </c:pt>
                <c:pt idx="95">
                  <c:v>39753</c:v>
                </c:pt>
                <c:pt idx="96">
                  <c:v>39783</c:v>
                </c:pt>
                <c:pt idx="97">
                  <c:v>39814</c:v>
                </c:pt>
                <c:pt idx="98">
                  <c:v>39845</c:v>
                </c:pt>
                <c:pt idx="99">
                  <c:v>39873</c:v>
                </c:pt>
                <c:pt idx="100">
                  <c:v>39904</c:v>
                </c:pt>
                <c:pt idx="101">
                  <c:v>39934</c:v>
                </c:pt>
                <c:pt idx="102">
                  <c:v>39965</c:v>
                </c:pt>
                <c:pt idx="103">
                  <c:v>39995</c:v>
                </c:pt>
                <c:pt idx="104">
                  <c:v>40026</c:v>
                </c:pt>
                <c:pt idx="105">
                  <c:v>40057</c:v>
                </c:pt>
                <c:pt idx="106">
                  <c:v>40087</c:v>
                </c:pt>
                <c:pt idx="107">
                  <c:v>40118</c:v>
                </c:pt>
                <c:pt idx="108">
                  <c:v>40148</c:v>
                </c:pt>
                <c:pt idx="109">
                  <c:v>40179</c:v>
                </c:pt>
                <c:pt idx="110">
                  <c:v>40210</c:v>
                </c:pt>
                <c:pt idx="111">
                  <c:v>40238</c:v>
                </c:pt>
                <c:pt idx="112">
                  <c:v>40269</c:v>
                </c:pt>
                <c:pt idx="113">
                  <c:v>40299</c:v>
                </c:pt>
                <c:pt idx="114">
                  <c:v>40330</c:v>
                </c:pt>
                <c:pt idx="115">
                  <c:v>40360</c:v>
                </c:pt>
                <c:pt idx="116">
                  <c:v>40391</c:v>
                </c:pt>
                <c:pt idx="117">
                  <c:v>40422</c:v>
                </c:pt>
                <c:pt idx="118">
                  <c:v>40452</c:v>
                </c:pt>
                <c:pt idx="119">
                  <c:v>40483</c:v>
                </c:pt>
                <c:pt idx="120">
                  <c:v>40513</c:v>
                </c:pt>
                <c:pt idx="121">
                  <c:v>40544</c:v>
                </c:pt>
                <c:pt idx="122">
                  <c:v>40575</c:v>
                </c:pt>
                <c:pt idx="123">
                  <c:v>40603</c:v>
                </c:pt>
                <c:pt idx="124">
                  <c:v>40634</c:v>
                </c:pt>
                <c:pt idx="125">
                  <c:v>40664</c:v>
                </c:pt>
                <c:pt idx="126">
                  <c:v>40695</c:v>
                </c:pt>
                <c:pt idx="127">
                  <c:v>40725</c:v>
                </c:pt>
                <c:pt idx="128">
                  <c:v>40756</c:v>
                </c:pt>
                <c:pt idx="129">
                  <c:v>40787</c:v>
                </c:pt>
                <c:pt idx="130">
                  <c:v>40817</c:v>
                </c:pt>
                <c:pt idx="131">
                  <c:v>40848</c:v>
                </c:pt>
                <c:pt idx="132">
                  <c:v>40878</c:v>
                </c:pt>
                <c:pt idx="133">
                  <c:v>40909</c:v>
                </c:pt>
                <c:pt idx="134">
                  <c:v>40940</c:v>
                </c:pt>
                <c:pt idx="135">
                  <c:v>40969</c:v>
                </c:pt>
                <c:pt idx="136">
                  <c:v>41000</c:v>
                </c:pt>
                <c:pt idx="137">
                  <c:v>41030</c:v>
                </c:pt>
                <c:pt idx="138">
                  <c:v>41061</c:v>
                </c:pt>
                <c:pt idx="139">
                  <c:v>41091</c:v>
                </c:pt>
                <c:pt idx="140">
                  <c:v>41122</c:v>
                </c:pt>
                <c:pt idx="141">
                  <c:v>41153</c:v>
                </c:pt>
                <c:pt idx="142">
                  <c:v>41183</c:v>
                </c:pt>
                <c:pt idx="143">
                  <c:v>41214</c:v>
                </c:pt>
                <c:pt idx="144">
                  <c:v>41244</c:v>
                </c:pt>
                <c:pt idx="145">
                  <c:v>41275</c:v>
                </c:pt>
                <c:pt idx="146">
                  <c:v>41306</c:v>
                </c:pt>
                <c:pt idx="147">
                  <c:v>41334</c:v>
                </c:pt>
                <c:pt idx="148">
                  <c:v>41365</c:v>
                </c:pt>
                <c:pt idx="149">
                  <c:v>41395</c:v>
                </c:pt>
                <c:pt idx="150">
                  <c:v>41426</c:v>
                </c:pt>
                <c:pt idx="151">
                  <c:v>41456</c:v>
                </c:pt>
                <c:pt idx="152">
                  <c:v>41487</c:v>
                </c:pt>
                <c:pt idx="153">
                  <c:v>41518</c:v>
                </c:pt>
                <c:pt idx="154">
                  <c:v>41548</c:v>
                </c:pt>
                <c:pt idx="155">
                  <c:v>41579</c:v>
                </c:pt>
                <c:pt idx="156">
                  <c:v>41609</c:v>
                </c:pt>
                <c:pt idx="157">
                  <c:v>41640</c:v>
                </c:pt>
                <c:pt idx="158">
                  <c:v>41671</c:v>
                </c:pt>
                <c:pt idx="159">
                  <c:v>41699</c:v>
                </c:pt>
                <c:pt idx="160">
                  <c:v>41730</c:v>
                </c:pt>
                <c:pt idx="161">
                  <c:v>41760</c:v>
                </c:pt>
                <c:pt idx="162">
                  <c:v>41791</c:v>
                </c:pt>
                <c:pt idx="163">
                  <c:v>41821</c:v>
                </c:pt>
                <c:pt idx="164">
                  <c:v>41852</c:v>
                </c:pt>
                <c:pt idx="165">
                  <c:v>41883</c:v>
                </c:pt>
                <c:pt idx="166">
                  <c:v>41913</c:v>
                </c:pt>
                <c:pt idx="167">
                  <c:v>41944</c:v>
                </c:pt>
                <c:pt idx="168">
                  <c:v>41974</c:v>
                </c:pt>
                <c:pt idx="169">
                  <c:v>42005</c:v>
                </c:pt>
                <c:pt idx="170">
                  <c:v>42036</c:v>
                </c:pt>
                <c:pt idx="171">
                  <c:v>42064</c:v>
                </c:pt>
                <c:pt idx="172">
                  <c:v>42095</c:v>
                </c:pt>
                <c:pt idx="173">
                  <c:v>42125</c:v>
                </c:pt>
                <c:pt idx="174">
                  <c:v>42156</c:v>
                </c:pt>
                <c:pt idx="175">
                  <c:v>42186</c:v>
                </c:pt>
                <c:pt idx="176">
                  <c:v>42217</c:v>
                </c:pt>
                <c:pt idx="177">
                  <c:v>42248</c:v>
                </c:pt>
                <c:pt idx="178">
                  <c:v>42278</c:v>
                </c:pt>
                <c:pt idx="179">
                  <c:v>42309</c:v>
                </c:pt>
                <c:pt idx="180">
                  <c:v>42339</c:v>
                </c:pt>
                <c:pt idx="181">
                  <c:v>42370</c:v>
                </c:pt>
                <c:pt idx="182">
                  <c:v>42401</c:v>
                </c:pt>
                <c:pt idx="183">
                  <c:v>42430</c:v>
                </c:pt>
                <c:pt idx="184">
                  <c:v>42461</c:v>
                </c:pt>
                <c:pt idx="185">
                  <c:v>42491</c:v>
                </c:pt>
                <c:pt idx="186">
                  <c:v>42522</c:v>
                </c:pt>
              </c:numCache>
            </c:numRef>
          </c:cat>
          <c:val>
            <c:numRef>
              <c:f>'Purchase Index'!$Q$133:$Q$1382</c:f>
              <c:numCache>
                <c:formatCode>0.00</c:formatCode>
                <c:ptCount val="1250"/>
                <c:pt idx="0">
                  <c:v>284.43369760384161</c:v>
                </c:pt>
                <c:pt idx="1">
                  <c:v>285.97620380278636</c:v>
                </c:pt>
                <c:pt idx="2">
                  <c:v>287.30031207134851</c:v>
                </c:pt>
                <c:pt idx="3">
                  <c:v>288.62971951004846</c:v>
                </c:pt>
                <c:pt idx="4">
                  <c:v>289.21898459513153</c:v>
                </c:pt>
                <c:pt idx="5">
                  <c:v>289.59769610448336</c:v>
                </c:pt>
                <c:pt idx="6">
                  <c:v>289.79722875208034</c:v>
                </c:pt>
                <c:pt idx="7">
                  <c:v>290.43747943503672</c:v>
                </c:pt>
                <c:pt idx="8">
                  <c:v>291.14486362843752</c:v>
                </c:pt>
                <c:pt idx="9">
                  <c:v>292.02911624077814</c:v>
                </c:pt>
                <c:pt idx="10">
                  <c:v>291.63771592517901</c:v>
                </c:pt>
                <c:pt idx="11">
                  <c:v>292.00556965028926</c:v>
                </c:pt>
                <c:pt idx="12">
                  <c:v>293.42539814447923</c:v>
                </c:pt>
                <c:pt idx="13">
                  <c:v>296.00681881207612</c:v>
                </c:pt>
                <c:pt idx="14">
                  <c:v>297.08876717211746</c:v>
                </c:pt>
                <c:pt idx="15">
                  <c:v>298.06341787016828</c:v>
                </c:pt>
                <c:pt idx="16">
                  <c:v>299.50800024720752</c:v>
                </c:pt>
                <c:pt idx="17">
                  <c:v>301.92325761847917</c:v>
                </c:pt>
                <c:pt idx="18">
                  <c:v>304.11115568063082</c:v>
                </c:pt>
                <c:pt idx="19">
                  <c:v>306.50963538176671</c:v>
                </c:pt>
                <c:pt idx="20">
                  <c:v>308.57273676235729</c:v>
                </c:pt>
                <c:pt idx="21">
                  <c:v>310.76008365594492</c:v>
                </c:pt>
                <c:pt idx="22">
                  <c:v>312.62437136778391</c:v>
                </c:pt>
                <c:pt idx="23">
                  <c:v>314.53866745853594</c:v>
                </c:pt>
                <c:pt idx="24">
                  <c:v>317.24853966912963</c:v>
                </c:pt>
                <c:pt idx="25">
                  <c:v>319.57639581901617</c:v>
                </c:pt>
                <c:pt idx="26">
                  <c:v>321.46315270067885</c:v>
                </c:pt>
                <c:pt idx="27">
                  <c:v>324.17828338721745</c:v>
                </c:pt>
                <c:pt idx="28">
                  <c:v>327.3371636147225</c:v>
                </c:pt>
                <c:pt idx="29">
                  <c:v>332.0231241429899</c:v>
                </c:pt>
                <c:pt idx="30">
                  <c:v>336.22123209636271</c:v>
                </c:pt>
                <c:pt idx="31">
                  <c:v>341.39971979533146</c:v>
                </c:pt>
                <c:pt idx="32">
                  <c:v>345.74956051303144</c:v>
                </c:pt>
                <c:pt idx="33">
                  <c:v>350.64000120410066</c:v>
                </c:pt>
                <c:pt idx="34">
                  <c:v>355.70763000311985</c:v>
                </c:pt>
                <c:pt idx="35">
                  <c:v>360.48359713596187</c:v>
                </c:pt>
                <c:pt idx="36">
                  <c:v>364.60771222945999</c:v>
                </c:pt>
                <c:pt idx="37">
                  <c:v>368.68945262202675</c:v>
                </c:pt>
                <c:pt idx="38">
                  <c:v>372.97567254150391</c:v>
                </c:pt>
                <c:pt idx="39">
                  <c:v>377.80912947203177</c:v>
                </c:pt>
                <c:pt idx="40">
                  <c:v>382.39054046420921</c:v>
                </c:pt>
                <c:pt idx="41">
                  <c:v>386.2985195538534</c:v>
                </c:pt>
                <c:pt idx="42">
                  <c:v>389.10238002794404</c:v>
                </c:pt>
                <c:pt idx="43">
                  <c:v>392.53044825560551</c:v>
                </c:pt>
                <c:pt idx="44">
                  <c:v>395.91957345551026</c:v>
                </c:pt>
                <c:pt idx="45">
                  <c:v>399.50950698649194</c:v>
                </c:pt>
                <c:pt idx="46">
                  <c:v>403.65352596377966</c:v>
                </c:pt>
                <c:pt idx="47">
                  <c:v>407.90188721659928</c:v>
                </c:pt>
                <c:pt idx="48">
                  <c:v>411.99504300657549</c:v>
                </c:pt>
                <c:pt idx="49">
                  <c:v>414.10436189287839</c:v>
                </c:pt>
                <c:pt idx="50">
                  <c:v>417.72429533493499</c:v>
                </c:pt>
                <c:pt idx="51">
                  <c:v>421.13145439796079</c:v>
                </c:pt>
                <c:pt idx="52">
                  <c:v>424.48986579742063</c:v>
                </c:pt>
                <c:pt idx="53">
                  <c:v>426.65229804675329</c:v>
                </c:pt>
                <c:pt idx="54">
                  <c:v>428.84016298563421</c:v>
                </c:pt>
                <c:pt idx="55">
                  <c:v>430.75248852890809</c:v>
                </c:pt>
                <c:pt idx="56">
                  <c:v>433.5180302874042</c:v>
                </c:pt>
                <c:pt idx="57">
                  <c:v>436.26333249491807</c:v>
                </c:pt>
                <c:pt idx="58">
                  <c:v>438.82412213158585</c:v>
                </c:pt>
                <c:pt idx="59">
                  <c:v>440.10727602265462</c:v>
                </c:pt>
                <c:pt idx="60">
                  <c:v>441.34893646384393</c:v>
                </c:pt>
                <c:pt idx="61">
                  <c:v>440.88770640123215</c:v>
                </c:pt>
                <c:pt idx="62">
                  <c:v>439.98635011808284</c:v>
                </c:pt>
                <c:pt idx="63">
                  <c:v>438.01313363957479</c:v>
                </c:pt>
                <c:pt idx="64">
                  <c:v>435.64121066813846</c:v>
                </c:pt>
                <c:pt idx="65">
                  <c:v>432.89854239080279</c:v>
                </c:pt>
                <c:pt idx="66">
                  <c:v>430.92047169982771</c:v>
                </c:pt>
                <c:pt idx="67">
                  <c:v>427.88857924992482</c:v>
                </c:pt>
                <c:pt idx="68">
                  <c:v>424.84757723521119</c:v>
                </c:pt>
                <c:pt idx="69">
                  <c:v>421.67305630899949</c:v>
                </c:pt>
                <c:pt idx="70">
                  <c:v>418.18707752078649</c:v>
                </c:pt>
                <c:pt idx="71">
                  <c:v>415.14837449825433</c:v>
                </c:pt>
                <c:pt idx="72">
                  <c:v>412.91723001203223</c:v>
                </c:pt>
                <c:pt idx="73">
                  <c:v>412.53452476522381</c:v>
                </c:pt>
                <c:pt idx="74">
                  <c:v>410.81426098218145</c:v>
                </c:pt>
                <c:pt idx="75">
                  <c:v>408.52404387924747</c:v>
                </c:pt>
                <c:pt idx="76">
                  <c:v>405.89585593055</c:v>
                </c:pt>
                <c:pt idx="77">
                  <c:v>403.55229722413145</c:v>
                </c:pt>
                <c:pt idx="78">
                  <c:v>401.34338144876119</c:v>
                </c:pt>
                <c:pt idx="79">
                  <c:v>398.68973942715138</c:v>
                </c:pt>
                <c:pt idx="80">
                  <c:v>396.52201981928783</c:v>
                </c:pt>
                <c:pt idx="81">
                  <c:v>393.87891088572587</c:v>
                </c:pt>
                <c:pt idx="82">
                  <c:v>391.72195974903548</c:v>
                </c:pt>
                <c:pt idx="83">
                  <c:v>389.75002022463013</c:v>
                </c:pt>
                <c:pt idx="84">
                  <c:v>387.90839892516851</c:v>
                </c:pt>
                <c:pt idx="85">
                  <c:v>386.46747324230097</c:v>
                </c:pt>
                <c:pt idx="86">
                  <c:v>385.22193503880243</c:v>
                </c:pt>
                <c:pt idx="87">
                  <c:v>383.78035375314784</c:v>
                </c:pt>
                <c:pt idx="88">
                  <c:v>381.88708653217736</c:v>
                </c:pt>
                <c:pt idx="89">
                  <c:v>379.885477177685</c:v>
                </c:pt>
                <c:pt idx="90">
                  <c:v>377.75978090355414</c:v>
                </c:pt>
                <c:pt idx="91">
                  <c:v>375.56532968932561</c:v>
                </c:pt>
                <c:pt idx="92">
                  <c:v>373.11674870169287</c:v>
                </c:pt>
                <c:pt idx="93">
                  <c:v>371.27161831894858</c:v>
                </c:pt>
                <c:pt idx="94">
                  <c:v>367.83799349522656</c:v>
                </c:pt>
                <c:pt idx="95">
                  <c:v>363.26220892362767</c:v>
                </c:pt>
                <c:pt idx="96">
                  <c:v>358.61149400284836</c:v>
                </c:pt>
                <c:pt idx="97">
                  <c:v>353.50556901629596</c:v>
                </c:pt>
                <c:pt idx="98">
                  <c:v>347.59474757072979</c:v>
                </c:pt>
                <c:pt idx="99">
                  <c:v>341.86741513800229</c:v>
                </c:pt>
                <c:pt idx="100">
                  <c:v>336.20958060479342</c:v>
                </c:pt>
                <c:pt idx="101">
                  <c:v>329.51820529454585</c:v>
                </c:pt>
                <c:pt idx="102">
                  <c:v>322.79611081265506</c:v>
                </c:pt>
                <c:pt idx="103">
                  <c:v>316.24639401806758</c:v>
                </c:pt>
                <c:pt idx="104">
                  <c:v>309.84347675124189</c:v>
                </c:pt>
                <c:pt idx="105">
                  <c:v>304.07858762611164</c:v>
                </c:pt>
                <c:pt idx="106">
                  <c:v>298.44416900676055</c:v>
                </c:pt>
                <c:pt idx="107">
                  <c:v>290.39849653376706</c:v>
                </c:pt>
                <c:pt idx="108">
                  <c:v>283.13929786039819</c:v>
                </c:pt>
                <c:pt idx="109">
                  <c:v>275.42905005761105</c:v>
                </c:pt>
                <c:pt idx="110">
                  <c:v>268.98642458318767</c:v>
                </c:pt>
                <c:pt idx="111">
                  <c:v>263.43792850400251</c:v>
                </c:pt>
                <c:pt idx="112">
                  <c:v>258.98529447452484</c:v>
                </c:pt>
                <c:pt idx="113">
                  <c:v>253.01547147745785</c:v>
                </c:pt>
                <c:pt idx="114">
                  <c:v>246.12354199484477</c:v>
                </c:pt>
                <c:pt idx="115">
                  <c:v>239.45727611216606</c:v>
                </c:pt>
                <c:pt idx="116">
                  <c:v>233.70637194775654</c:v>
                </c:pt>
                <c:pt idx="117">
                  <c:v>227.2612407951658</c:v>
                </c:pt>
                <c:pt idx="118">
                  <c:v>222.93941295548322</c:v>
                </c:pt>
                <c:pt idx="119">
                  <c:v>219.37533590152529</c:v>
                </c:pt>
                <c:pt idx="120">
                  <c:v>215.41999632527867</c:v>
                </c:pt>
                <c:pt idx="121">
                  <c:v>211.0799699955916</c:v>
                </c:pt>
                <c:pt idx="122">
                  <c:v>208.61211399757471</c:v>
                </c:pt>
                <c:pt idx="123">
                  <c:v>205.91715335558487</c:v>
                </c:pt>
                <c:pt idx="124">
                  <c:v>203.15063744204522</c:v>
                </c:pt>
                <c:pt idx="125">
                  <c:v>200.48382805858333</c:v>
                </c:pt>
                <c:pt idx="126">
                  <c:v>197.23060892072749</c:v>
                </c:pt>
                <c:pt idx="127">
                  <c:v>194.05254758513914</c:v>
                </c:pt>
                <c:pt idx="128">
                  <c:v>189.86502911441769</c:v>
                </c:pt>
                <c:pt idx="129">
                  <c:v>185.49249881921796</c:v>
                </c:pt>
                <c:pt idx="130">
                  <c:v>181.50351463956281</c:v>
                </c:pt>
                <c:pt idx="131">
                  <c:v>180.22466606258479</c:v>
                </c:pt>
                <c:pt idx="132">
                  <c:v>178.66727401703838</c:v>
                </c:pt>
                <c:pt idx="133">
                  <c:v>177.27019222482826</c:v>
                </c:pt>
                <c:pt idx="134">
                  <c:v>175.71286341442305</c:v>
                </c:pt>
                <c:pt idx="135">
                  <c:v>174.12155992619478</c:v>
                </c:pt>
                <c:pt idx="136">
                  <c:v>171.77303878724231</c:v>
                </c:pt>
                <c:pt idx="137">
                  <c:v>171.21078795616222</c:v>
                </c:pt>
                <c:pt idx="138">
                  <c:v>171.80045786983371</c:v>
                </c:pt>
                <c:pt idx="139">
                  <c:v>172.5318910599369</c:v>
                </c:pt>
                <c:pt idx="140">
                  <c:v>172.76939895166387</c:v>
                </c:pt>
                <c:pt idx="141">
                  <c:v>173.09000857798222</c:v>
                </c:pt>
                <c:pt idx="142">
                  <c:v>173.53731630024132</c:v>
                </c:pt>
                <c:pt idx="143">
                  <c:v>173.63144591516269</c:v>
                </c:pt>
                <c:pt idx="144">
                  <c:v>173.23935558273362</c:v>
                </c:pt>
                <c:pt idx="145">
                  <c:v>174.02480943614248</c:v>
                </c:pt>
                <c:pt idx="146">
                  <c:v>174.69987087451548</c:v>
                </c:pt>
                <c:pt idx="147">
                  <c:v>175.35275498327454</c:v>
                </c:pt>
                <c:pt idx="148">
                  <c:v>176.22743456268995</c:v>
                </c:pt>
                <c:pt idx="149">
                  <c:v>177.02159691397262</c:v>
                </c:pt>
                <c:pt idx="150">
                  <c:v>178.13537612668605</c:v>
                </c:pt>
                <c:pt idx="151">
                  <c:v>178.75499830401569</c:v>
                </c:pt>
                <c:pt idx="152">
                  <c:v>179.59731613361404</c:v>
                </c:pt>
                <c:pt idx="153">
                  <c:v>180.40684474668305</c:v>
                </c:pt>
                <c:pt idx="154">
                  <c:v>180.91392160602246</c:v>
                </c:pt>
                <c:pt idx="155">
                  <c:v>180.97361354086513</c:v>
                </c:pt>
                <c:pt idx="156">
                  <c:v>180.65527279343118</c:v>
                </c:pt>
                <c:pt idx="157">
                  <c:v>180.66257776407272</c:v>
                </c:pt>
                <c:pt idx="158">
                  <c:v>180.43631045010829</c:v>
                </c:pt>
                <c:pt idx="159">
                  <c:v>179.82128342771918</c:v>
                </c:pt>
                <c:pt idx="160">
                  <c:v>179.39149377322977</c:v>
                </c:pt>
                <c:pt idx="161">
                  <c:v>179.02474505897689</c:v>
                </c:pt>
                <c:pt idx="162">
                  <c:v>178.66447303137394</c:v>
                </c:pt>
                <c:pt idx="163">
                  <c:v>178.04215721460125</c:v>
                </c:pt>
                <c:pt idx="164">
                  <c:v>177.58425636881796</c:v>
                </c:pt>
                <c:pt idx="165">
                  <c:v>176.70830361651065</c:v>
                </c:pt>
                <c:pt idx="166">
                  <c:v>175.63054388480873</c:v>
                </c:pt>
                <c:pt idx="167">
                  <c:v>174.64699655586344</c:v>
                </c:pt>
                <c:pt idx="168">
                  <c:v>173.65570037070304</c:v>
                </c:pt>
                <c:pt idx="169">
                  <c:v>172.83822208169056</c:v>
                </c:pt>
                <c:pt idx="170">
                  <c:v>171.77958753157316</c:v>
                </c:pt>
                <c:pt idx="171">
                  <c:v>170.64946860003118</c:v>
                </c:pt>
                <c:pt idx="172">
                  <c:v>170.11742534655792</c:v>
                </c:pt>
                <c:pt idx="173">
                  <c:v>169.74777709617209</c:v>
                </c:pt>
                <c:pt idx="174">
                  <c:v>169.50070421749135</c:v>
                </c:pt>
                <c:pt idx="175">
                  <c:v>169.61359941483781</c:v>
                </c:pt>
                <c:pt idx="176">
                  <c:v>170.05871306419809</c:v>
                </c:pt>
                <c:pt idx="177">
                  <c:v>170.58522913042148</c:v>
                </c:pt>
                <c:pt idx="178">
                  <c:v>171.27361838740572</c:v>
                </c:pt>
                <c:pt idx="179">
                  <c:v>172.17498464401558</c:v>
                </c:pt>
                <c:pt idx="180">
                  <c:v>174.10005571026781</c:v>
                </c:pt>
                <c:pt idx="181">
                  <c:v>175.61357557146857</c:v>
                </c:pt>
                <c:pt idx="182">
                  <c:v>177.67045481817584</c:v>
                </c:pt>
                <c:pt idx="183">
                  <c:v>179.77043350174006</c:v>
                </c:pt>
                <c:pt idx="184">
                  <c:v>181.99209133930347</c:v>
                </c:pt>
                <c:pt idx="185">
                  <c:v>183.91368975226428</c:v>
                </c:pt>
                <c:pt idx="186">
                  <c:v>#N/A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'Purchase Index'!$R$1</c:f>
              <c:strCache>
                <c:ptCount val="1"/>
                <c:pt idx="0">
                  <c:v>18Mo MA</c:v>
                </c:pt>
              </c:strCache>
            </c:strRef>
          </c:tx>
          <c:marker>
            <c:symbol val="none"/>
          </c:marker>
          <c:cat>
            <c:numRef>
              <c:f>'Purchase Index'!$M$133:$M$1382</c:f>
              <c:numCache>
                <c:formatCode>m/d/yyyy</c:formatCode>
                <c:ptCount val="1250"/>
                <c:pt idx="0">
                  <c:v>36861</c:v>
                </c:pt>
                <c:pt idx="1">
                  <c:v>36892</c:v>
                </c:pt>
                <c:pt idx="2">
                  <c:v>36923</c:v>
                </c:pt>
                <c:pt idx="3">
                  <c:v>36951</c:v>
                </c:pt>
                <c:pt idx="4">
                  <c:v>36982</c:v>
                </c:pt>
                <c:pt idx="5">
                  <c:v>37012</c:v>
                </c:pt>
                <c:pt idx="6">
                  <c:v>37043</c:v>
                </c:pt>
                <c:pt idx="7">
                  <c:v>37073</c:v>
                </c:pt>
                <c:pt idx="8">
                  <c:v>37104</c:v>
                </c:pt>
                <c:pt idx="9">
                  <c:v>37135</c:v>
                </c:pt>
                <c:pt idx="10">
                  <c:v>37165</c:v>
                </c:pt>
                <c:pt idx="11">
                  <c:v>37196</c:v>
                </c:pt>
                <c:pt idx="12">
                  <c:v>37226</c:v>
                </c:pt>
                <c:pt idx="13">
                  <c:v>37257</c:v>
                </c:pt>
                <c:pt idx="14">
                  <c:v>37288</c:v>
                </c:pt>
                <c:pt idx="15">
                  <c:v>37316</c:v>
                </c:pt>
                <c:pt idx="16">
                  <c:v>37347</c:v>
                </c:pt>
                <c:pt idx="17">
                  <c:v>37377</c:v>
                </c:pt>
                <c:pt idx="18">
                  <c:v>37408</c:v>
                </c:pt>
                <c:pt idx="19">
                  <c:v>37438</c:v>
                </c:pt>
                <c:pt idx="20">
                  <c:v>37469</c:v>
                </c:pt>
                <c:pt idx="21">
                  <c:v>37500</c:v>
                </c:pt>
                <c:pt idx="22">
                  <c:v>37530</c:v>
                </c:pt>
                <c:pt idx="23">
                  <c:v>37561</c:v>
                </c:pt>
                <c:pt idx="24">
                  <c:v>37591</c:v>
                </c:pt>
                <c:pt idx="25">
                  <c:v>37622</c:v>
                </c:pt>
                <c:pt idx="26">
                  <c:v>37653</c:v>
                </c:pt>
                <c:pt idx="27">
                  <c:v>37681</c:v>
                </c:pt>
                <c:pt idx="28">
                  <c:v>37712</c:v>
                </c:pt>
                <c:pt idx="29">
                  <c:v>37742</c:v>
                </c:pt>
                <c:pt idx="30">
                  <c:v>37773</c:v>
                </c:pt>
                <c:pt idx="31">
                  <c:v>37803</c:v>
                </c:pt>
                <c:pt idx="32">
                  <c:v>37834</c:v>
                </c:pt>
                <c:pt idx="33">
                  <c:v>37865</c:v>
                </c:pt>
                <c:pt idx="34">
                  <c:v>37895</c:v>
                </c:pt>
                <c:pt idx="35">
                  <c:v>37926</c:v>
                </c:pt>
                <c:pt idx="36">
                  <c:v>37956</c:v>
                </c:pt>
                <c:pt idx="37">
                  <c:v>37987</c:v>
                </c:pt>
                <c:pt idx="38">
                  <c:v>38018</c:v>
                </c:pt>
                <c:pt idx="39">
                  <c:v>38047</c:v>
                </c:pt>
                <c:pt idx="40">
                  <c:v>38078</c:v>
                </c:pt>
                <c:pt idx="41">
                  <c:v>38108</c:v>
                </c:pt>
                <c:pt idx="42">
                  <c:v>38139</c:v>
                </c:pt>
                <c:pt idx="43">
                  <c:v>38169</c:v>
                </c:pt>
                <c:pt idx="44">
                  <c:v>38200</c:v>
                </c:pt>
                <c:pt idx="45">
                  <c:v>38231</c:v>
                </c:pt>
                <c:pt idx="46">
                  <c:v>38261</c:v>
                </c:pt>
                <c:pt idx="47">
                  <c:v>38292</c:v>
                </c:pt>
                <c:pt idx="48">
                  <c:v>38322</c:v>
                </c:pt>
                <c:pt idx="49">
                  <c:v>38353</c:v>
                </c:pt>
                <c:pt idx="50">
                  <c:v>38384</c:v>
                </c:pt>
                <c:pt idx="51">
                  <c:v>38412</c:v>
                </c:pt>
                <c:pt idx="52">
                  <c:v>38443</c:v>
                </c:pt>
                <c:pt idx="53">
                  <c:v>38473</c:v>
                </c:pt>
                <c:pt idx="54">
                  <c:v>38504</c:v>
                </c:pt>
                <c:pt idx="55">
                  <c:v>38534</c:v>
                </c:pt>
                <c:pt idx="56">
                  <c:v>38565</c:v>
                </c:pt>
                <c:pt idx="57">
                  <c:v>38596</c:v>
                </c:pt>
                <c:pt idx="58">
                  <c:v>38626</c:v>
                </c:pt>
                <c:pt idx="59">
                  <c:v>38657</c:v>
                </c:pt>
                <c:pt idx="60">
                  <c:v>38687</c:v>
                </c:pt>
                <c:pt idx="61">
                  <c:v>38718</c:v>
                </c:pt>
                <c:pt idx="62">
                  <c:v>38749</c:v>
                </c:pt>
                <c:pt idx="63">
                  <c:v>38777</c:v>
                </c:pt>
                <c:pt idx="64">
                  <c:v>38808</c:v>
                </c:pt>
                <c:pt idx="65">
                  <c:v>38838</c:v>
                </c:pt>
                <c:pt idx="66">
                  <c:v>38869</c:v>
                </c:pt>
                <c:pt idx="67">
                  <c:v>38899</c:v>
                </c:pt>
                <c:pt idx="68">
                  <c:v>38930</c:v>
                </c:pt>
                <c:pt idx="69">
                  <c:v>38961</c:v>
                </c:pt>
                <c:pt idx="70">
                  <c:v>38991</c:v>
                </c:pt>
                <c:pt idx="71">
                  <c:v>39022</c:v>
                </c:pt>
                <c:pt idx="72">
                  <c:v>39052</c:v>
                </c:pt>
                <c:pt idx="73">
                  <c:v>39083</c:v>
                </c:pt>
                <c:pt idx="74">
                  <c:v>39114</c:v>
                </c:pt>
                <c:pt idx="75">
                  <c:v>39142</c:v>
                </c:pt>
                <c:pt idx="76">
                  <c:v>39173</c:v>
                </c:pt>
                <c:pt idx="77">
                  <c:v>39203</c:v>
                </c:pt>
                <c:pt idx="78">
                  <c:v>39234</c:v>
                </c:pt>
                <c:pt idx="79">
                  <c:v>39264</c:v>
                </c:pt>
                <c:pt idx="80">
                  <c:v>39295</c:v>
                </c:pt>
                <c:pt idx="81">
                  <c:v>39326</c:v>
                </c:pt>
                <c:pt idx="82">
                  <c:v>39356</c:v>
                </c:pt>
                <c:pt idx="83">
                  <c:v>39387</c:v>
                </c:pt>
                <c:pt idx="84">
                  <c:v>39417</c:v>
                </c:pt>
                <c:pt idx="85">
                  <c:v>39448</c:v>
                </c:pt>
                <c:pt idx="86">
                  <c:v>39479</c:v>
                </c:pt>
                <c:pt idx="87">
                  <c:v>39508</c:v>
                </c:pt>
                <c:pt idx="88">
                  <c:v>39539</c:v>
                </c:pt>
                <c:pt idx="89">
                  <c:v>39569</c:v>
                </c:pt>
                <c:pt idx="90">
                  <c:v>39600</c:v>
                </c:pt>
                <c:pt idx="91">
                  <c:v>39630</c:v>
                </c:pt>
                <c:pt idx="92">
                  <c:v>39661</c:v>
                </c:pt>
                <c:pt idx="93">
                  <c:v>39692</c:v>
                </c:pt>
                <c:pt idx="94">
                  <c:v>39722</c:v>
                </c:pt>
                <c:pt idx="95">
                  <c:v>39753</c:v>
                </c:pt>
                <c:pt idx="96">
                  <c:v>39783</c:v>
                </c:pt>
                <c:pt idx="97">
                  <c:v>39814</c:v>
                </c:pt>
                <c:pt idx="98">
                  <c:v>39845</c:v>
                </c:pt>
                <c:pt idx="99">
                  <c:v>39873</c:v>
                </c:pt>
                <c:pt idx="100">
                  <c:v>39904</c:v>
                </c:pt>
                <c:pt idx="101">
                  <c:v>39934</c:v>
                </c:pt>
                <c:pt idx="102">
                  <c:v>39965</c:v>
                </c:pt>
                <c:pt idx="103">
                  <c:v>39995</c:v>
                </c:pt>
                <c:pt idx="104">
                  <c:v>40026</c:v>
                </c:pt>
                <c:pt idx="105">
                  <c:v>40057</c:v>
                </c:pt>
                <c:pt idx="106">
                  <c:v>40087</c:v>
                </c:pt>
                <c:pt idx="107">
                  <c:v>40118</c:v>
                </c:pt>
                <c:pt idx="108">
                  <c:v>40148</c:v>
                </c:pt>
                <c:pt idx="109">
                  <c:v>40179</c:v>
                </c:pt>
                <c:pt idx="110">
                  <c:v>40210</c:v>
                </c:pt>
                <c:pt idx="111">
                  <c:v>40238</c:v>
                </c:pt>
                <c:pt idx="112">
                  <c:v>40269</c:v>
                </c:pt>
                <c:pt idx="113">
                  <c:v>40299</c:v>
                </c:pt>
                <c:pt idx="114">
                  <c:v>40330</c:v>
                </c:pt>
                <c:pt idx="115">
                  <c:v>40360</c:v>
                </c:pt>
                <c:pt idx="116">
                  <c:v>40391</c:v>
                </c:pt>
                <c:pt idx="117">
                  <c:v>40422</c:v>
                </c:pt>
                <c:pt idx="118">
                  <c:v>40452</c:v>
                </c:pt>
                <c:pt idx="119">
                  <c:v>40483</c:v>
                </c:pt>
                <c:pt idx="120">
                  <c:v>40513</c:v>
                </c:pt>
                <c:pt idx="121">
                  <c:v>40544</c:v>
                </c:pt>
                <c:pt idx="122">
                  <c:v>40575</c:v>
                </c:pt>
                <c:pt idx="123">
                  <c:v>40603</c:v>
                </c:pt>
                <c:pt idx="124">
                  <c:v>40634</c:v>
                </c:pt>
                <c:pt idx="125">
                  <c:v>40664</c:v>
                </c:pt>
                <c:pt idx="126">
                  <c:v>40695</c:v>
                </c:pt>
                <c:pt idx="127">
                  <c:v>40725</c:v>
                </c:pt>
                <c:pt idx="128">
                  <c:v>40756</c:v>
                </c:pt>
                <c:pt idx="129">
                  <c:v>40787</c:v>
                </c:pt>
                <c:pt idx="130">
                  <c:v>40817</c:v>
                </c:pt>
                <c:pt idx="131">
                  <c:v>40848</c:v>
                </c:pt>
                <c:pt idx="132">
                  <c:v>40878</c:v>
                </c:pt>
                <c:pt idx="133">
                  <c:v>40909</c:v>
                </c:pt>
                <c:pt idx="134">
                  <c:v>40940</c:v>
                </c:pt>
                <c:pt idx="135">
                  <c:v>40969</c:v>
                </c:pt>
                <c:pt idx="136">
                  <c:v>41000</c:v>
                </c:pt>
                <c:pt idx="137">
                  <c:v>41030</c:v>
                </c:pt>
                <c:pt idx="138">
                  <c:v>41061</c:v>
                </c:pt>
                <c:pt idx="139">
                  <c:v>41091</c:v>
                </c:pt>
                <c:pt idx="140">
                  <c:v>41122</c:v>
                </c:pt>
                <c:pt idx="141">
                  <c:v>41153</c:v>
                </c:pt>
                <c:pt idx="142">
                  <c:v>41183</c:v>
                </c:pt>
                <c:pt idx="143">
                  <c:v>41214</c:v>
                </c:pt>
                <c:pt idx="144">
                  <c:v>41244</c:v>
                </c:pt>
                <c:pt idx="145">
                  <c:v>41275</c:v>
                </c:pt>
                <c:pt idx="146">
                  <c:v>41306</c:v>
                </c:pt>
                <c:pt idx="147">
                  <c:v>41334</c:v>
                </c:pt>
                <c:pt idx="148">
                  <c:v>41365</c:v>
                </c:pt>
                <c:pt idx="149">
                  <c:v>41395</c:v>
                </c:pt>
                <c:pt idx="150">
                  <c:v>41426</c:v>
                </c:pt>
                <c:pt idx="151">
                  <c:v>41456</c:v>
                </c:pt>
                <c:pt idx="152">
                  <c:v>41487</c:v>
                </c:pt>
                <c:pt idx="153">
                  <c:v>41518</c:v>
                </c:pt>
                <c:pt idx="154">
                  <c:v>41548</c:v>
                </c:pt>
                <c:pt idx="155">
                  <c:v>41579</c:v>
                </c:pt>
                <c:pt idx="156">
                  <c:v>41609</c:v>
                </c:pt>
                <c:pt idx="157">
                  <c:v>41640</c:v>
                </c:pt>
                <c:pt idx="158">
                  <c:v>41671</c:v>
                </c:pt>
                <c:pt idx="159">
                  <c:v>41699</c:v>
                </c:pt>
                <c:pt idx="160">
                  <c:v>41730</c:v>
                </c:pt>
                <c:pt idx="161">
                  <c:v>41760</c:v>
                </c:pt>
                <c:pt idx="162">
                  <c:v>41791</c:v>
                </c:pt>
                <c:pt idx="163">
                  <c:v>41821</c:v>
                </c:pt>
                <c:pt idx="164">
                  <c:v>41852</c:v>
                </c:pt>
                <c:pt idx="165">
                  <c:v>41883</c:v>
                </c:pt>
                <c:pt idx="166">
                  <c:v>41913</c:v>
                </c:pt>
                <c:pt idx="167">
                  <c:v>41944</c:v>
                </c:pt>
                <c:pt idx="168">
                  <c:v>41974</c:v>
                </c:pt>
                <c:pt idx="169">
                  <c:v>42005</c:v>
                </c:pt>
                <c:pt idx="170">
                  <c:v>42036</c:v>
                </c:pt>
                <c:pt idx="171">
                  <c:v>42064</c:v>
                </c:pt>
                <c:pt idx="172">
                  <c:v>42095</c:v>
                </c:pt>
                <c:pt idx="173">
                  <c:v>42125</c:v>
                </c:pt>
                <c:pt idx="174">
                  <c:v>42156</c:v>
                </c:pt>
                <c:pt idx="175">
                  <c:v>42186</c:v>
                </c:pt>
                <c:pt idx="176">
                  <c:v>42217</c:v>
                </c:pt>
                <c:pt idx="177">
                  <c:v>42248</c:v>
                </c:pt>
                <c:pt idx="178">
                  <c:v>42278</c:v>
                </c:pt>
                <c:pt idx="179">
                  <c:v>42309</c:v>
                </c:pt>
                <c:pt idx="180">
                  <c:v>42339</c:v>
                </c:pt>
                <c:pt idx="181">
                  <c:v>42370</c:v>
                </c:pt>
                <c:pt idx="182">
                  <c:v>42401</c:v>
                </c:pt>
                <c:pt idx="183">
                  <c:v>42430</c:v>
                </c:pt>
                <c:pt idx="184">
                  <c:v>42461</c:v>
                </c:pt>
                <c:pt idx="185">
                  <c:v>42491</c:v>
                </c:pt>
                <c:pt idx="186">
                  <c:v>42522</c:v>
                </c:pt>
              </c:numCache>
            </c:numRef>
          </c:cat>
          <c:val>
            <c:numRef>
              <c:f>'Purchase Index'!$R$133:$R$1382</c:f>
              <c:numCache>
                <c:formatCode>0.00</c:formatCode>
                <c:ptCount val="1250"/>
                <c:pt idx="0">
                  <c:v>288.15192187243588</c:v>
                </c:pt>
                <c:pt idx="1">
                  <c:v>289.2503649038307</c:v>
                </c:pt>
                <c:pt idx="2">
                  <c:v>289.45049661924054</c:v>
                </c:pt>
                <c:pt idx="3">
                  <c:v>290.91857365245659</c:v>
                </c:pt>
                <c:pt idx="4">
                  <c:v>292.09337372590903</c:v>
                </c:pt>
                <c:pt idx="5">
                  <c:v>292.33295632510425</c:v>
                </c:pt>
                <c:pt idx="6">
                  <c:v>294.91239186911952</c:v>
                </c:pt>
                <c:pt idx="7">
                  <c:v>296.14137631768654</c:v>
                </c:pt>
                <c:pt idx="8">
                  <c:v>297.08986087996914</c:v>
                </c:pt>
                <c:pt idx="9">
                  <c:v>296.68567953283406</c:v>
                </c:pt>
                <c:pt idx="10">
                  <c:v>294.52501597541766</c:v>
                </c:pt>
                <c:pt idx="11">
                  <c:v>294.70918078984744</c:v>
                </c:pt>
                <c:pt idx="12">
                  <c:v>294.29893214017198</c:v>
                </c:pt>
                <c:pt idx="13">
                  <c:v>296.21126938056454</c:v>
                </c:pt>
                <c:pt idx="14">
                  <c:v>296.2418559908271</c:v>
                </c:pt>
                <c:pt idx="15">
                  <c:v>296.63361802603856</c:v>
                </c:pt>
                <c:pt idx="16">
                  <c:v>298.74620712644196</c:v>
                </c:pt>
                <c:pt idx="17">
                  <c:v>301.62861921564445</c:v>
                </c:pt>
                <c:pt idx="18">
                  <c:v>305.74846422119322</c:v>
                </c:pt>
                <c:pt idx="19">
                  <c:v>309.00223423642444</c:v>
                </c:pt>
                <c:pt idx="20">
                  <c:v>312.95960992717966</c:v>
                </c:pt>
                <c:pt idx="21">
                  <c:v>316.89895247785927</c:v>
                </c:pt>
                <c:pt idx="22">
                  <c:v>319.6621865591253</c:v>
                </c:pt>
                <c:pt idx="23">
                  <c:v>322.61923663914314</c:v>
                </c:pt>
                <c:pt idx="24">
                  <c:v>324.75366976183494</c:v>
                </c:pt>
                <c:pt idx="25">
                  <c:v>328.10225341580326</c:v>
                </c:pt>
                <c:pt idx="26">
                  <c:v>329.87488204889564</c:v>
                </c:pt>
                <c:pt idx="27">
                  <c:v>333.78412984770904</c:v>
                </c:pt>
                <c:pt idx="28">
                  <c:v>339.69263731196708</c:v>
                </c:pt>
                <c:pt idx="29">
                  <c:v>345.68969564870508</c:v>
                </c:pt>
                <c:pt idx="30">
                  <c:v>351.97350380496414</c:v>
                </c:pt>
                <c:pt idx="31">
                  <c:v>356.66524429536025</c:v>
                </c:pt>
                <c:pt idx="32">
                  <c:v>361.97091866785439</c:v>
                </c:pt>
                <c:pt idx="33">
                  <c:v>366.78779064474389</c:v>
                </c:pt>
                <c:pt idx="34">
                  <c:v>369.45785564996754</c:v>
                </c:pt>
                <c:pt idx="35">
                  <c:v>372.78963347982443</c:v>
                </c:pt>
                <c:pt idx="36">
                  <c:v>374.96100753861089</c:v>
                </c:pt>
                <c:pt idx="37">
                  <c:v>379.11769236757789</c:v>
                </c:pt>
                <c:pt idx="38">
                  <c:v>382.11243702968915</c:v>
                </c:pt>
                <c:pt idx="39">
                  <c:v>386.03234578082089</c:v>
                </c:pt>
                <c:pt idx="40">
                  <c:v>391.76776592167539</c:v>
                </c:pt>
                <c:pt idx="41">
                  <c:v>397.30842200940094</c:v>
                </c:pt>
                <c:pt idx="42">
                  <c:v>401.55358469961232</c:v>
                </c:pt>
                <c:pt idx="43">
                  <c:v>406.27430415187683</c:v>
                </c:pt>
                <c:pt idx="44">
                  <c:v>412.23483760028813</c:v>
                </c:pt>
                <c:pt idx="45">
                  <c:v>417.34058394355873</c:v>
                </c:pt>
                <c:pt idx="46">
                  <c:v>421.41733635786818</c:v>
                </c:pt>
                <c:pt idx="47">
                  <c:v>423.79092073728896</c:v>
                </c:pt>
                <c:pt idx="48">
                  <c:v>425.7854176421186</c:v>
                </c:pt>
                <c:pt idx="49">
                  <c:v>425.04177621253251</c:v>
                </c:pt>
                <c:pt idx="50">
                  <c:v>425.84119514476714</c:v>
                </c:pt>
                <c:pt idx="51">
                  <c:v>427.77273410618926</c:v>
                </c:pt>
                <c:pt idx="52">
                  <c:v>431.40228503770157</c:v>
                </c:pt>
                <c:pt idx="53">
                  <c:v>433.9146301964272</c:v>
                </c:pt>
                <c:pt idx="54">
                  <c:v>437.61677147986325</c:v>
                </c:pt>
                <c:pt idx="55">
                  <c:v>439.4159588378688</c:v>
                </c:pt>
                <c:pt idx="56">
                  <c:v>442.69406232905482</c:v>
                </c:pt>
                <c:pt idx="57">
                  <c:v>444.72672800859237</c:v>
                </c:pt>
                <c:pt idx="58">
                  <c:v>444.70263120646973</c:v>
                </c:pt>
                <c:pt idx="59">
                  <c:v>444.53464210489255</c:v>
                </c:pt>
                <c:pt idx="60">
                  <c:v>444.62308278647731</c:v>
                </c:pt>
                <c:pt idx="61">
                  <c:v>443.59403656174646</c:v>
                </c:pt>
                <c:pt idx="62">
                  <c:v>440.86813924645259</c:v>
                </c:pt>
                <c:pt idx="63">
                  <c:v>437.37051465159783</c:v>
                </c:pt>
                <c:pt idx="64">
                  <c:v>434.41801219415379</c:v>
                </c:pt>
                <c:pt idx="65">
                  <c:v>430.63729557500568</c:v>
                </c:pt>
                <c:pt idx="66">
                  <c:v>426.78748962394872</c:v>
                </c:pt>
                <c:pt idx="67">
                  <c:v>424.65326062793901</c:v>
                </c:pt>
                <c:pt idx="68">
                  <c:v>421.73254680065668</c:v>
                </c:pt>
                <c:pt idx="69">
                  <c:v>418.06271982494377</c:v>
                </c:pt>
                <c:pt idx="70">
                  <c:v>413.01361865568958</c:v>
                </c:pt>
                <c:pt idx="71">
                  <c:v>408.45235600595709</c:v>
                </c:pt>
                <c:pt idx="72">
                  <c:v>404.55484034398273</c:v>
                </c:pt>
                <c:pt idx="73">
                  <c:v>400.75115786095358</c:v>
                </c:pt>
                <c:pt idx="74">
                  <c:v>395.56950273780353</c:v>
                </c:pt>
                <c:pt idx="75">
                  <c:v>390.78701595196185</c:v>
                </c:pt>
                <c:pt idx="76">
                  <c:v>387.49793010298714</c:v>
                </c:pt>
                <c:pt idx="77">
                  <c:v>385.17465846506292</c:v>
                </c:pt>
                <c:pt idx="78">
                  <c:v>384.27603145975297</c:v>
                </c:pt>
                <c:pt idx="79">
                  <c:v>383.15200287242783</c:v>
                </c:pt>
                <c:pt idx="80">
                  <c:v>384.74162193066138</c:v>
                </c:pt>
                <c:pt idx="81">
                  <c:v>385.88109767012725</c:v>
                </c:pt>
                <c:pt idx="82">
                  <c:v>386.14362998099904</c:v>
                </c:pt>
                <c:pt idx="83">
                  <c:v>387.00327921666224</c:v>
                </c:pt>
                <c:pt idx="84">
                  <c:v>387.27365242026491</c:v>
                </c:pt>
                <c:pt idx="85">
                  <c:v>388.36589521824794</c:v>
                </c:pt>
                <c:pt idx="86">
                  <c:v>388.03394965124085</c:v>
                </c:pt>
                <c:pt idx="87">
                  <c:v>386.84691124379538</c:v>
                </c:pt>
                <c:pt idx="88">
                  <c:v>386.01802420934132</c:v>
                </c:pt>
                <c:pt idx="89">
                  <c:v>383.62009914757977</c:v>
                </c:pt>
                <c:pt idx="90">
                  <c:v>379.91089081264454</c:v>
                </c:pt>
                <c:pt idx="91">
                  <c:v>375.36100052674129</c:v>
                </c:pt>
                <c:pt idx="92">
                  <c:v>371.46919709333855</c:v>
                </c:pt>
                <c:pt idx="93">
                  <c:v>368.39281907787847</c:v>
                </c:pt>
                <c:pt idx="94">
                  <c:v>362.26980207525838</c:v>
                </c:pt>
                <c:pt idx="95">
                  <c:v>354.73223827195216</c:v>
                </c:pt>
                <c:pt idx="96">
                  <c:v>347.57899041609903</c:v>
                </c:pt>
                <c:pt idx="97">
                  <c:v>340.50559731314632</c:v>
                </c:pt>
                <c:pt idx="98">
                  <c:v>330.33313973972605</c:v>
                </c:pt>
                <c:pt idx="99">
                  <c:v>321.43835495499701</c:v>
                </c:pt>
                <c:pt idx="100">
                  <c:v>313.48142457733115</c:v>
                </c:pt>
                <c:pt idx="101">
                  <c:v>304.86557189161726</c:v>
                </c:pt>
                <c:pt idx="102">
                  <c:v>297.45964730973509</c:v>
                </c:pt>
                <c:pt idx="103">
                  <c:v>289.52389724011664</c:v>
                </c:pt>
                <c:pt idx="104">
                  <c:v>284.23701088058073</c:v>
                </c:pt>
                <c:pt idx="105">
                  <c:v>279.6120761674124</c:v>
                </c:pt>
                <c:pt idx="106">
                  <c:v>274.88640661377661</c:v>
                </c:pt>
                <c:pt idx="107">
                  <c:v>267.68730502477166</c:v>
                </c:pt>
                <c:pt idx="108">
                  <c:v>261.11300836272369</c:v>
                </c:pt>
                <c:pt idx="109">
                  <c:v>254.85085570929519</c:v>
                </c:pt>
                <c:pt idx="110">
                  <c:v>249.19351749323388</c:v>
                </c:pt>
                <c:pt idx="111">
                  <c:v>243.06865815720079</c:v>
                </c:pt>
                <c:pt idx="112">
                  <c:v>240.88109218173901</c:v>
                </c:pt>
                <c:pt idx="113">
                  <c:v>236.62444921935332</c:v>
                </c:pt>
                <c:pt idx="114">
                  <c:v>229.92695480197301</c:v>
                </c:pt>
                <c:pt idx="115">
                  <c:v>223.29660998790152</c:v>
                </c:pt>
                <c:pt idx="116">
                  <c:v>219.61802959604086</c:v>
                </c:pt>
                <c:pt idx="117">
                  <c:v>215.58458662076316</c:v>
                </c:pt>
                <c:pt idx="118">
                  <c:v>211.24291187617811</c:v>
                </c:pt>
                <c:pt idx="119">
                  <c:v>207.87507908125812</c:v>
                </c:pt>
                <c:pt idx="120">
                  <c:v>204.41083776626385</c:v>
                </c:pt>
                <c:pt idx="121">
                  <c:v>200.28369861651169</c:v>
                </c:pt>
                <c:pt idx="122">
                  <c:v>195.35798940150309</c:v>
                </c:pt>
                <c:pt idx="123">
                  <c:v>190.55644259429457</c:v>
                </c:pt>
                <c:pt idx="124">
                  <c:v>186.42338249104401</c:v>
                </c:pt>
                <c:pt idx="125">
                  <c:v>184.97934725803896</c:v>
                </c:pt>
                <c:pt idx="126">
                  <c:v>182.91472872350744</c:v>
                </c:pt>
                <c:pt idx="127">
                  <c:v>181.02189394348733</c:v>
                </c:pt>
                <c:pt idx="128">
                  <c:v>178.74181692222075</c:v>
                </c:pt>
                <c:pt idx="129">
                  <c:v>175.68483658769961</c:v>
                </c:pt>
                <c:pt idx="130">
                  <c:v>171.5773668338272</c:v>
                </c:pt>
                <c:pt idx="131">
                  <c:v>170.63289780494088</c:v>
                </c:pt>
                <c:pt idx="132">
                  <c:v>171.17131772564855</c:v>
                </c:pt>
                <c:pt idx="133">
                  <c:v>171.93474385951143</c:v>
                </c:pt>
                <c:pt idx="134">
                  <c:v>171.86883944878926</c:v>
                </c:pt>
                <c:pt idx="135">
                  <c:v>172.21575033190609</c:v>
                </c:pt>
                <c:pt idx="136">
                  <c:v>172.65925995741776</c:v>
                </c:pt>
                <c:pt idx="137">
                  <c:v>172.40505195886919</c:v>
                </c:pt>
                <c:pt idx="138">
                  <c:v>171.76757019471299</c:v>
                </c:pt>
                <c:pt idx="139">
                  <c:v>171.89917140702855</c:v>
                </c:pt>
                <c:pt idx="140">
                  <c:v>171.82774286815976</c:v>
                </c:pt>
                <c:pt idx="141">
                  <c:v>171.81506025062632</c:v>
                </c:pt>
                <c:pt idx="142">
                  <c:v>171.75848368710626</c:v>
                </c:pt>
                <c:pt idx="143">
                  <c:v>172.07190289003063</c:v>
                </c:pt>
                <c:pt idx="144">
                  <c:v>172.42249998227194</c:v>
                </c:pt>
                <c:pt idx="145">
                  <c:v>173.58004775118278</c:v>
                </c:pt>
                <c:pt idx="146">
                  <c:v>175.13777841496685</c:v>
                </c:pt>
                <c:pt idx="147">
                  <c:v>177.03678414637002</c:v>
                </c:pt>
                <c:pt idx="148">
                  <c:v>179.38860905521355</c:v>
                </c:pt>
                <c:pt idx="149">
                  <c:v>180.70858839322261</c:v>
                </c:pt>
                <c:pt idx="150">
                  <c:v>182.20553153637093</c:v>
                </c:pt>
                <c:pt idx="151">
                  <c:v>183.001635382404</c:v>
                </c:pt>
                <c:pt idx="152">
                  <c:v>183.92108721447539</c:v>
                </c:pt>
                <c:pt idx="153">
                  <c:v>184.06521634835065</c:v>
                </c:pt>
                <c:pt idx="154">
                  <c:v>183.76521059220079</c:v>
                </c:pt>
                <c:pt idx="155">
                  <c:v>183.64999858454482</c:v>
                </c:pt>
                <c:pt idx="156">
                  <c:v>182.97773762377861</c:v>
                </c:pt>
                <c:pt idx="157">
                  <c:v>182.77565946502583</c:v>
                </c:pt>
                <c:pt idx="158">
                  <c:v>182.09138811338181</c:v>
                </c:pt>
                <c:pt idx="159">
                  <c:v>181.19078346488865</c:v>
                </c:pt>
                <c:pt idx="160">
                  <c:v>180.46482992140236</c:v>
                </c:pt>
                <c:pt idx="161">
                  <c:v>179.5961174839548</c:v>
                </c:pt>
                <c:pt idx="162">
                  <c:v>179.00106012623337</c:v>
                </c:pt>
                <c:pt idx="163">
                  <c:v>177.25563511164023</c:v>
                </c:pt>
                <c:pt idx="164">
                  <c:v>175.6735901938963</c:v>
                </c:pt>
                <c:pt idx="165">
                  <c:v>173.62245842827443</c:v>
                </c:pt>
                <c:pt idx="166">
                  <c:v>170.96262944993131</c:v>
                </c:pt>
                <c:pt idx="167">
                  <c:v>168.90576907921837</c:v>
                </c:pt>
                <c:pt idx="168">
                  <c:v>166.44959897429464</c:v>
                </c:pt>
                <c:pt idx="169">
                  <c:v>165.69101278808256</c:v>
                </c:pt>
                <c:pt idx="170">
                  <c:v>164.71414027891228</c:v>
                </c:pt>
                <c:pt idx="171">
                  <c:v>164.02694928416753</c:v>
                </c:pt>
                <c:pt idx="172">
                  <c:v>164.99328070926083</c:v>
                </c:pt>
                <c:pt idx="173">
                  <c:v>165.74080646696518</c:v>
                </c:pt>
                <c:pt idx="174">
                  <c:v>167.33277343511779</c:v>
                </c:pt>
                <c:pt idx="175">
                  <c:v>168.26966425009084</c:v>
                </c:pt>
                <c:pt idx="176">
                  <c:v>170.08429069992852</c:v>
                </c:pt>
                <c:pt idx="177">
                  <c:v>171.7504772852871</c:v>
                </c:pt>
                <c:pt idx="178">
                  <c:v>172.94137674443533</c:v>
                </c:pt>
                <c:pt idx="179">
                  <c:v>174.51698469792973</c:v>
                </c:pt>
                <c:pt idx="180">
                  <c:v>176.89184786230376</c:v>
                </c:pt>
                <c:pt idx="181">
                  <c:v>179.53755060751558</c:v>
                </c:pt>
                <c:pt idx="182">
                  <c:v>182.20631937919231</c:v>
                </c:pt>
                <c:pt idx="183">
                  <c:v>185.27362331186123</c:v>
                </c:pt>
                <c:pt idx="184">
                  <c:v>188.946893194062</c:v>
                </c:pt>
                <c:pt idx="185">
                  <c:v>191.95170841248921</c:v>
                </c:pt>
                <c:pt idx="186">
                  <c:v>#N/A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'Purchase Index'!$S$1</c:f>
              <c:strCache>
                <c:ptCount val="1"/>
                <c:pt idx="0">
                  <c:v>12Mo MA</c:v>
                </c:pt>
              </c:strCache>
            </c:strRef>
          </c:tx>
          <c:marker>
            <c:symbol val="none"/>
          </c:marker>
          <c:cat>
            <c:numRef>
              <c:f>'Purchase Index'!$M$133:$M$1382</c:f>
              <c:numCache>
                <c:formatCode>m/d/yyyy</c:formatCode>
                <c:ptCount val="1250"/>
                <c:pt idx="0">
                  <c:v>36861</c:v>
                </c:pt>
                <c:pt idx="1">
                  <c:v>36892</c:v>
                </c:pt>
                <c:pt idx="2">
                  <c:v>36923</c:v>
                </c:pt>
                <c:pt idx="3">
                  <c:v>36951</c:v>
                </c:pt>
                <c:pt idx="4">
                  <c:v>36982</c:v>
                </c:pt>
                <c:pt idx="5">
                  <c:v>37012</c:v>
                </c:pt>
                <c:pt idx="6">
                  <c:v>37043</c:v>
                </c:pt>
                <c:pt idx="7">
                  <c:v>37073</c:v>
                </c:pt>
                <c:pt idx="8">
                  <c:v>37104</c:v>
                </c:pt>
                <c:pt idx="9">
                  <c:v>37135</c:v>
                </c:pt>
                <c:pt idx="10">
                  <c:v>37165</c:v>
                </c:pt>
                <c:pt idx="11">
                  <c:v>37196</c:v>
                </c:pt>
                <c:pt idx="12">
                  <c:v>37226</c:v>
                </c:pt>
                <c:pt idx="13">
                  <c:v>37257</c:v>
                </c:pt>
                <c:pt idx="14">
                  <c:v>37288</c:v>
                </c:pt>
                <c:pt idx="15">
                  <c:v>37316</c:v>
                </c:pt>
                <c:pt idx="16">
                  <c:v>37347</c:v>
                </c:pt>
                <c:pt idx="17">
                  <c:v>37377</c:v>
                </c:pt>
                <c:pt idx="18">
                  <c:v>37408</c:v>
                </c:pt>
                <c:pt idx="19">
                  <c:v>37438</c:v>
                </c:pt>
                <c:pt idx="20">
                  <c:v>37469</c:v>
                </c:pt>
                <c:pt idx="21">
                  <c:v>37500</c:v>
                </c:pt>
                <c:pt idx="22">
                  <c:v>37530</c:v>
                </c:pt>
                <c:pt idx="23">
                  <c:v>37561</c:v>
                </c:pt>
                <c:pt idx="24">
                  <c:v>37591</c:v>
                </c:pt>
                <c:pt idx="25">
                  <c:v>37622</c:v>
                </c:pt>
                <c:pt idx="26">
                  <c:v>37653</c:v>
                </c:pt>
                <c:pt idx="27">
                  <c:v>37681</c:v>
                </c:pt>
                <c:pt idx="28">
                  <c:v>37712</c:v>
                </c:pt>
                <c:pt idx="29">
                  <c:v>37742</c:v>
                </c:pt>
                <c:pt idx="30">
                  <c:v>37773</c:v>
                </c:pt>
                <c:pt idx="31">
                  <c:v>37803</c:v>
                </c:pt>
                <c:pt idx="32">
                  <c:v>37834</c:v>
                </c:pt>
                <c:pt idx="33">
                  <c:v>37865</c:v>
                </c:pt>
                <c:pt idx="34">
                  <c:v>37895</c:v>
                </c:pt>
                <c:pt idx="35">
                  <c:v>37926</c:v>
                </c:pt>
                <c:pt idx="36">
                  <c:v>37956</c:v>
                </c:pt>
                <c:pt idx="37">
                  <c:v>37987</c:v>
                </c:pt>
                <c:pt idx="38">
                  <c:v>38018</c:v>
                </c:pt>
                <c:pt idx="39">
                  <c:v>38047</c:v>
                </c:pt>
                <c:pt idx="40">
                  <c:v>38078</c:v>
                </c:pt>
                <c:pt idx="41">
                  <c:v>38108</c:v>
                </c:pt>
                <c:pt idx="42">
                  <c:v>38139</c:v>
                </c:pt>
                <c:pt idx="43">
                  <c:v>38169</c:v>
                </c:pt>
                <c:pt idx="44">
                  <c:v>38200</c:v>
                </c:pt>
                <c:pt idx="45">
                  <c:v>38231</c:v>
                </c:pt>
                <c:pt idx="46">
                  <c:v>38261</c:v>
                </c:pt>
                <c:pt idx="47">
                  <c:v>38292</c:v>
                </c:pt>
                <c:pt idx="48">
                  <c:v>38322</c:v>
                </c:pt>
                <c:pt idx="49">
                  <c:v>38353</c:v>
                </c:pt>
                <c:pt idx="50">
                  <c:v>38384</c:v>
                </c:pt>
                <c:pt idx="51">
                  <c:v>38412</c:v>
                </c:pt>
                <c:pt idx="52">
                  <c:v>38443</c:v>
                </c:pt>
                <c:pt idx="53">
                  <c:v>38473</c:v>
                </c:pt>
                <c:pt idx="54">
                  <c:v>38504</c:v>
                </c:pt>
                <c:pt idx="55">
                  <c:v>38534</c:v>
                </c:pt>
                <c:pt idx="56">
                  <c:v>38565</c:v>
                </c:pt>
                <c:pt idx="57">
                  <c:v>38596</c:v>
                </c:pt>
                <c:pt idx="58">
                  <c:v>38626</c:v>
                </c:pt>
                <c:pt idx="59">
                  <c:v>38657</c:v>
                </c:pt>
                <c:pt idx="60">
                  <c:v>38687</c:v>
                </c:pt>
                <c:pt idx="61">
                  <c:v>38718</c:v>
                </c:pt>
                <c:pt idx="62">
                  <c:v>38749</c:v>
                </c:pt>
                <c:pt idx="63">
                  <c:v>38777</c:v>
                </c:pt>
                <c:pt idx="64">
                  <c:v>38808</c:v>
                </c:pt>
                <c:pt idx="65">
                  <c:v>38838</c:v>
                </c:pt>
                <c:pt idx="66">
                  <c:v>38869</c:v>
                </c:pt>
                <c:pt idx="67">
                  <c:v>38899</c:v>
                </c:pt>
                <c:pt idx="68">
                  <c:v>38930</c:v>
                </c:pt>
                <c:pt idx="69">
                  <c:v>38961</c:v>
                </c:pt>
                <c:pt idx="70">
                  <c:v>38991</c:v>
                </c:pt>
                <c:pt idx="71">
                  <c:v>39022</c:v>
                </c:pt>
                <c:pt idx="72">
                  <c:v>39052</c:v>
                </c:pt>
                <c:pt idx="73">
                  <c:v>39083</c:v>
                </c:pt>
                <c:pt idx="74">
                  <c:v>39114</c:v>
                </c:pt>
                <c:pt idx="75">
                  <c:v>39142</c:v>
                </c:pt>
                <c:pt idx="76">
                  <c:v>39173</c:v>
                </c:pt>
                <c:pt idx="77">
                  <c:v>39203</c:v>
                </c:pt>
                <c:pt idx="78">
                  <c:v>39234</c:v>
                </c:pt>
                <c:pt idx="79">
                  <c:v>39264</c:v>
                </c:pt>
                <c:pt idx="80">
                  <c:v>39295</c:v>
                </c:pt>
                <c:pt idx="81">
                  <c:v>39326</c:v>
                </c:pt>
                <c:pt idx="82">
                  <c:v>39356</c:v>
                </c:pt>
                <c:pt idx="83">
                  <c:v>39387</c:v>
                </c:pt>
                <c:pt idx="84">
                  <c:v>39417</c:v>
                </c:pt>
                <c:pt idx="85">
                  <c:v>39448</c:v>
                </c:pt>
                <c:pt idx="86">
                  <c:v>39479</c:v>
                </c:pt>
                <c:pt idx="87">
                  <c:v>39508</c:v>
                </c:pt>
                <c:pt idx="88">
                  <c:v>39539</c:v>
                </c:pt>
                <c:pt idx="89">
                  <c:v>39569</c:v>
                </c:pt>
                <c:pt idx="90">
                  <c:v>39600</c:v>
                </c:pt>
                <c:pt idx="91">
                  <c:v>39630</c:v>
                </c:pt>
                <c:pt idx="92">
                  <c:v>39661</c:v>
                </c:pt>
                <c:pt idx="93">
                  <c:v>39692</c:v>
                </c:pt>
                <c:pt idx="94">
                  <c:v>39722</c:v>
                </c:pt>
                <c:pt idx="95">
                  <c:v>39753</c:v>
                </c:pt>
                <c:pt idx="96">
                  <c:v>39783</c:v>
                </c:pt>
                <c:pt idx="97">
                  <c:v>39814</c:v>
                </c:pt>
                <c:pt idx="98">
                  <c:v>39845</c:v>
                </c:pt>
                <c:pt idx="99">
                  <c:v>39873</c:v>
                </c:pt>
                <c:pt idx="100">
                  <c:v>39904</c:v>
                </c:pt>
                <c:pt idx="101">
                  <c:v>39934</c:v>
                </c:pt>
                <c:pt idx="102">
                  <c:v>39965</c:v>
                </c:pt>
                <c:pt idx="103">
                  <c:v>39995</c:v>
                </c:pt>
                <c:pt idx="104">
                  <c:v>40026</c:v>
                </c:pt>
                <c:pt idx="105">
                  <c:v>40057</c:v>
                </c:pt>
                <c:pt idx="106">
                  <c:v>40087</c:v>
                </c:pt>
                <c:pt idx="107">
                  <c:v>40118</c:v>
                </c:pt>
                <c:pt idx="108">
                  <c:v>40148</c:v>
                </c:pt>
                <c:pt idx="109">
                  <c:v>40179</c:v>
                </c:pt>
                <c:pt idx="110">
                  <c:v>40210</c:v>
                </c:pt>
                <c:pt idx="111">
                  <c:v>40238</c:v>
                </c:pt>
                <c:pt idx="112">
                  <c:v>40269</c:v>
                </c:pt>
                <c:pt idx="113">
                  <c:v>40299</c:v>
                </c:pt>
                <c:pt idx="114">
                  <c:v>40330</c:v>
                </c:pt>
                <c:pt idx="115">
                  <c:v>40360</c:v>
                </c:pt>
                <c:pt idx="116">
                  <c:v>40391</c:v>
                </c:pt>
                <c:pt idx="117">
                  <c:v>40422</c:v>
                </c:pt>
                <c:pt idx="118">
                  <c:v>40452</c:v>
                </c:pt>
                <c:pt idx="119">
                  <c:v>40483</c:v>
                </c:pt>
                <c:pt idx="120">
                  <c:v>40513</c:v>
                </c:pt>
                <c:pt idx="121">
                  <c:v>40544</c:v>
                </c:pt>
                <c:pt idx="122">
                  <c:v>40575</c:v>
                </c:pt>
                <c:pt idx="123">
                  <c:v>40603</c:v>
                </c:pt>
                <c:pt idx="124">
                  <c:v>40634</c:v>
                </c:pt>
                <c:pt idx="125">
                  <c:v>40664</c:v>
                </c:pt>
                <c:pt idx="126">
                  <c:v>40695</c:v>
                </c:pt>
                <c:pt idx="127">
                  <c:v>40725</c:v>
                </c:pt>
                <c:pt idx="128">
                  <c:v>40756</c:v>
                </c:pt>
                <c:pt idx="129">
                  <c:v>40787</c:v>
                </c:pt>
                <c:pt idx="130">
                  <c:v>40817</c:v>
                </c:pt>
                <c:pt idx="131">
                  <c:v>40848</c:v>
                </c:pt>
                <c:pt idx="132">
                  <c:v>40878</c:v>
                </c:pt>
                <c:pt idx="133">
                  <c:v>40909</c:v>
                </c:pt>
                <c:pt idx="134">
                  <c:v>40940</c:v>
                </c:pt>
                <c:pt idx="135">
                  <c:v>40969</c:v>
                </c:pt>
                <c:pt idx="136">
                  <c:v>41000</c:v>
                </c:pt>
                <c:pt idx="137">
                  <c:v>41030</c:v>
                </c:pt>
                <c:pt idx="138">
                  <c:v>41061</c:v>
                </c:pt>
                <c:pt idx="139">
                  <c:v>41091</c:v>
                </c:pt>
                <c:pt idx="140">
                  <c:v>41122</c:v>
                </c:pt>
                <c:pt idx="141">
                  <c:v>41153</c:v>
                </c:pt>
                <c:pt idx="142">
                  <c:v>41183</c:v>
                </c:pt>
                <c:pt idx="143">
                  <c:v>41214</c:v>
                </c:pt>
                <c:pt idx="144">
                  <c:v>41244</c:v>
                </c:pt>
                <c:pt idx="145">
                  <c:v>41275</c:v>
                </c:pt>
                <c:pt idx="146">
                  <c:v>41306</c:v>
                </c:pt>
                <c:pt idx="147">
                  <c:v>41334</c:v>
                </c:pt>
                <c:pt idx="148">
                  <c:v>41365</c:v>
                </c:pt>
                <c:pt idx="149">
                  <c:v>41395</c:v>
                </c:pt>
                <c:pt idx="150">
                  <c:v>41426</c:v>
                </c:pt>
                <c:pt idx="151">
                  <c:v>41456</c:v>
                </c:pt>
                <c:pt idx="152">
                  <c:v>41487</c:v>
                </c:pt>
                <c:pt idx="153">
                  <c:v>41518</c:v>
                </c:pt>
                <c:pt idx="154">
                  <c:v>41548</c:v>
                </c:pt>
                <c:pt idx="155">
                  <c:v>41579</c:v>
                </c:pt>
                <c:pt idx="156">
                  <c:v>41609</c:v>
                </c:pt>
                <c:pt idx="157">
                  <c:v>41640</c:v>
                </c:pt>
                <c:pt idx="158">
                  <c:v>41671</c:v>
                </c:pt>
                <c:pt idx="159">
                  <c:v>41699</c:v>
                </c:pt>
                <c:pt idx="160">
                  <c:v>41730</c:v>
                </c:pt>
                <c:pt idx="161">
                  <c:v>41760</c:v>
                </c:pt>
                <c:pt idx="162">
                  <c:v>41791</c:v>
                </c:pt>
                <c:pt idx="163">
                  <c:v>41821</c:v>
                </c:pt>
                <c:pt idx="164">
                  <c:v>41852</c:v>
                </c:pt>
                <c:pt idx="165">
                  <c:v>41883</c:v>
                </c:pt>
                <c:pt idx="166">
                  <c:v>41913</c:v>
                </c:pt>
                <c:pt idx="167">
                  <c:v>41944</c:v>
                </c:pt>
                <c:pt idx="168">
                  <c:v>41974</c:v>
                </c:pt>
                <c:pt idx="169">
                  <c:v>42005</c:v>
                </c:pt>
                <c:pt idx="170">
                  <c:v>42036</c:v>
                </c:pt>
                <c:pt idx="171">
                  <c:v>42064</c:v>
                </c:pt>
                <c:pt idx="172">
                  <c:v>42095</c:v>
                </c:pt>
                <c:pt idx="173">
                  <c:v>42125</c:v>
                </c:pt>
                <c:pt idx="174">
                  <c:v>42156</c:v>
                </c:pt>
                <c:pt idx="175">
                  <c:v>42186</c:v>
                </c:pt>
                <c:pt idx="176">
                  <c:v>42217</c:v>
                </c:pt>
                <c:pt idx="177">
                  <c:v>42248</c:v>
                </c:pt>
                <c:pt idx="178">
                  <c:v>42278</c:v>
                </c:pt>
                <c:pt idx="179">
                  <c:v>42309</c:v>
                </c:pt>
                <c:pt idx="180">
                  <c:v>42339</c:v>
                </c:pt>
                <c:pt idx="181">
                  <c:v>42370</c:v>
                </c:pt>
                <c:pt idx="182">
                  <c:v>42401</c:v>
                </c:pt>
                <c:pt idx="183">
                  <c:v>42430</c:v>
                </c:pt>
                <c:pt idx="184">
                  <c:v>42461</c:v>
                </c:pt>
                <c:pt idx="185">
                  <c:v>42491</c:v>
                </c:pt>
                <c:pt idx="186">
                  <c:v>42522</c:v>
                </c:pt>
              </c:numCache>
            </c:numRef>
          </c:cat>
          <c:val>
            <c:numRef>
              <c:f>'Purchase Index'!$S$133:$S$1382</c:f>
              <c:numCache>
                <c:formatCode>0.00</c:formatCode>
                <c:ptCount val="1250"/>
                <c:pt idx="0">
                  <c:v>295.00201310817243</c:v>
                </c:pt>
                <c:pt idx="1">
                  <c:v>297.21265296220241</c:v>
                </c:pt>
                <c:pt idx="2">
                  <c:v>297.52080899193936</c:v>
                </c:pt>
                <c:pt idx="3">
                  <c:v>297.34814729637969</c:v>
                </c:pt>
                <c:pt idx="4">
                  <c:v>296.65215270163208</c:v>
                </c:pt>
                <c:pt idx="5">
                  <c:v>296.55206637184892</c:v>
                </c:pt>
                <c:pt idx="6">
                  <c:v>296.96618972497873</c:v>
                </c:pt>
                <c:pt idx="7">
                  <c:v>296.51533092322433</c:v>
                </c:pt>
                <c:pt idx="8">
                  <c:v>295.82004096195942</c:v>
                </c:pt>
                <c:pt idx="9">
                  <c:v>293.85211059797223</c:v>
                </c:pt>
                <c:pt idx="10">
                  <c:v>290.89083415837433</c:v>
                </c:pt>
                <c:pt idx="11">
                  <c:v>290.66018477127949</c:v>
                </c:pt>
                <c:pt idx="12">
                  <c:v>291.84878318078614</c:v>
                </c:pt>
                <c:pt idx="13">
                  <c:v>294.80098466195</c:v>
                </c:pt>
                <c:pt idx="14">
                  <c:v>296.65672535229555</c:v>
                </c:pt>
                <c:pt idx="15">
                  <c:v>298.77868844395698</c:v>
                </c:pt>
                <c:pt idx="16">
                  <c:v>302.36384779278291</c:v>
                </c:pt>
                <c:pt idx="17">
                  <c:v>307.29444886510947</c:v>
                </c:pt>
                <c:pt idx="18">
                  <c:v>311.2561216362829</c:v>
                </c:pt>
                <c:pt idx="19">
                  <c:v>316.50393984030922</c:v>
                </c:pt>
                <c:pt idx="20">
                  <c:v>321.32543256275528</c:v>
                </c:pt>
                <c:pt idx="21">
                  <c:v>327.66805671391762</c:v>
                </c:pt>
                <c:pt idx="22">
                  <c:v>334.35790857719354</c:v>
                </c:pt>
                <c:pt idx="23">
                  <c:v>338.41715014579256</c:v>
                </c:pt>
                <c:pt idx="24">
                  <c:v>342.64829615747317</c:v>
                </c:pt>
                <c:pt idx="25">
                  <c:v>344.3518069760824</c:v>
                </c:pt>
                <c:pt idx="26">
                  <c:v>346.26958004906214</c:v>
                </c:pt>
                <c:pt idx="27">
                  <c:v>349.57787833047792</c:v>
                </c:pt>
                <c:pt idx="28">
                  <c:v>352.31047943666221</c:v>
                </c:pt>
                <c:pt idx="29">
                  <c:v>356.75179942087044</c:v>
                </c:pt>
                <c:pt idx="30">
                  <c:v>361.18634255644253</c:v>
                </c:pt>
                <c:pt idx="31">
                  <c:v>366.29549975035366</c:v>
                </c:pt>
                <c:pt idx="32">
                  <c:v>370.17368846330754</c:v>
                </c:pt>
                <c:pt idx="33">
                  <c:v>373.61194569428375</c:v>
                </c:pt>
                <c:pt idx="34">
                  <c:v>377.05735142904609</c:v>
                </c:pt>
                <c:pt idx="35">
                  <c:v>382.55004412613113</c:v>
                </c:pt>
                <c:pt idx="36">
                  <c:v>386.5671283014467</c:v>
                </c:pt>
                <c:pt idx="37">
                  <c:v>393.02709826797104</c:v>
                </c:pt>
                <c:pt idx="38">
                  <c:v>399.68176503394551</c:v>
                </c:pt>
                <c:pt idx="39">
                  <c:v>406.04038061358546</c:v>
                </c:pt>
                <c:pt idx="40">
                  <c:v>412.47060149175604</c:v>
                </c:pt>
                <c:pt idx="41">
                  <c:v>415.84523968683629</c:v>
                </c:pt>
                <c:pt idx="42">
                  <c:v>417.01841749944543</c:v>
                </c:pt>
                <c:pt idx="43">
                  <c:v>418.76539676085736</c:v>
                </c:pt>
                <c:pt idx="44">
                  <c:v>421.66545844771298</c:v>
                </c:pt>
                <c:pt idx="45">
                  <c:v>425.40706827870025</c:v>
                </c:pt>
                <c:pt idx="46">
                  <c:v>430.24970049851328</c:v>
                </c:pt>
                <c:pt idx="47">
                  <c:v>433.25373030706743</c:v>
                </c:pt>
                <c:pt idx="48">
                  <c:v>437.42295771170421</c:v>
                </c:pt>
                <c:pt idx="49">
                  <c:v>435.18162551778568</c:v>
                </c:pt>
                <c:pt idx="50">
                  <c:v>435.76682563592436</c:v>
                </c:pt>
                <c:pt idx="51">
                  <c:v>436.22252818233625</c:v>
                </c:pt>
                <c:pt idx="52">
                  <c:v>436.50913010308528</c:v>
                </c:pt>
                <c:pt idx="53">
                  <c:v>437.45935640667045</c:v>
                </c:pt>
                <c:pt idx="54">
                  <c:v>440.6619084718231</c:v>
                </c:pt>
                <c:pt idx="55">
                  <c:v>442.73958029695888</c:v>
                </c:pt>
                <c:pt idx="56">
                  <c:v>445.37060212709548</c:v>
                </c:pt>
                <c:pt idx="57">
                  <c:v>447.1195967111359</c:v>
                </c:pt>
                <c:pt idx="58">
                  <c:v>447.3985437646582</c:v>
                </c:pt>
                <c:pt idx="59">
                  <c:v>446.96082173824169</c:v>
                </c:pt>
                <c:pt idx="60">
                  <c:v>445.27491521598341</c:v>
                </c:pt>
                <c:pt idx="61">
                  <c:v>446.59378728467829</c:v>
                </c:pt>
                <c:pt idx="62">
                  <c:v>444.20587460024126</c:v>
                </c:pt>
                <c:pt idx="63">
                  <c:v>439.80373909681316</c:v>
                </c:pt>
                <c:pt idx="64">
                  <c:v>434.77329123319169</c:v>
                </c:pt>
                <c:pt idx="65">
                  <c:v>428.33772837493524</c:v>
                </c:pt>
                <c:pt idx="66">
                  <c:v>421.17903492783245</c:v>
                </c:pt>
                <c:pt idx="67">
                  <c:v>413.03757820289098</c:v>
                </c:pt>
                <c:pt idx="68">
                  <c:v>404.32455234332724</c:v>
                </c:pt>
                <c:pt idx="69">
                  <c:v>396.22651590686337</c:v>
                </c:pt>
                <c:pt idx="70">
                  <c:v>388.97561127691506</c:v>
                </c:pt>
                <c:pt idx="71">
                  <c:v>383.33592725826719</c:v>
                </c:pt>
                <c:pt idx="72">
                  <c:v>380.55954480808117</c:v>
                </c:pt>
                <c:pt idx="73">
                  <c:v>378.47526224576944</c:v>
                </c:pt>
                <c:pt idx="74">
                  <c:v>377.4226473641217</c:v>
                </c:pt>
                <c:pt idx="75">
                  <c:v>377.24434866168173</c:v>
                </c:pt>
                <c:pt idx="76">
                  <c:v>377.01842062790826</c:v>
                </c:pt>
                <c:pt idx="77">
                  <c:v>378.76686607332749</c:v>
                </c:pt>
                <c:pt idx="78">
                  <c:v>381.50772796968982</c:v>
                </c:pt>
                <c:pt idx="79">
                  <c:v>384.34190065141166</c:v>
                </c:pt>
                <c:pt idx="80">
                  <c:v>388.71948729524843</c:v>
                </c:pt>
                <c:pt idx="81">
                  <c:v>391.53130586458838</c:v>
                </c:pt>
                <c:pt idx="82">
                  <c:v>394.46830822115572</c:v>
                </c:pt>
                <c:pt idx="83">
                  <c:v>396.16411319099296</c:v>
                </c:pt>
                <c:pt idx="84">
                  <c:v>395.2572530422558</c:v>
                </c:pt>
                <c:pt idx="85">
                  <c:v>394.45968423883255</c:v>
                </c:pt>
                <c:pt idx="86">
                  <c:v>393.02122271348321</c:v>
                </c:pt>
                <c:pt idx="87">
                  <c:v>390.31635884461366</c:v>
                </c:pt>
                <c:pt idx="88">
                  <c:v>386.7557524364463</c:v>
                </c:pt>
                <c:pt idx="89">
                  <c:v>381.00408828204246</c:v>
                </c:pt>
                <c:pt idx="90">
                  <c:v>374.01183383741846</c:v>
                </c:pt>
                <c:pt idx="91">
                  <c:v>366.78875872723961</c:v>
                </c:pt>
                <c:pt idx="92">
                  <c:v>357.51401010813737</c:v>
                </c:pt>
                <c:pt idx="93">
                  <c:v>351.01193077330868</c:v>
                </c:pt>
                <c:pt idx="94">
                  <c:v>341.20767876929739</c:v>
                </c:pt>
                <c:pt idx="95">
                  <c:v>330.36030465626243</c:v>
                </c:pt>
                <c:pt idx="96">
                  <c:v>321.96573496344098</c:v>
                </c:pt>
                <c:pt idx="97">
                  <c:v>312.55145379375926</c:v>
                </c:pt>
                <c:pt idx="98">
                  <c:v>302.16827242797638</c:v>
                </c:pt>
                <c:pt idx="99">
                  <c:v>293.4184714313908</c:v>
                </c:pt>
                <c:pt idx="100">
                  <c:v>285.66340877314053</c:v>
                </c:pt>
                <c:pt idx="101">
                  <c:v>278.03232230704924</c:v>
                </c:pt>
                <c:pt idx="102">
                  <c:v>271.58038778789165</c:v>
                </c:pt>
                <c:pt idx="103">
                  <c:v>265.7040293088956</c:v>
                </c:pt>
                <c:pt idx="104">
                  <c:v>262.17294339434653</c:v>
                </c:pt>
                <c:pt idx="105">
                  <c:v>257.14524447891472</c:v>
                </c:pt>
                <c:pt idx="106">
                  <c:v>255.68065924422376</c:v>
                </c:pt>
                <c:pt idx="107">
                  <c:v>250.43668841127177</c:v>
                </c:pt>
                <c:pt idx="108">
                  <c:v>244.31286075735554</c:v>
                </c:pt>
                <c:pt idx="109">
                  <c:v>238.30664632146295</c:v>
                </c:pt>
                <c:pt idx="110">
                  <c:v>235.80457673839905</c:v>
                </c:pt>
                <c:pt idx="111">
                  <c:v>233.45738557661426</c:v>
                </c:pt>
                <c:pt idx="112">
                  <c:v>232.30718017590917</c:v>
                </c:pt>
                <c:pt idx="113">
                  <c:v>227.99862064786646</c:v>
                </c:pt>
                <c:pt idx="114">
                  <c:v>220.66669620179781</c:v>
                </c:pt>
                <c:pt idx="115">
                  <c:v>213.21052291543654</c:v>
                </c:pt>
                <c:pt idx="116">
                  <c:v>205.23980050116651</c:v>
                </c:pt>
                <c:pt idx="117">
                  <c:v>197.37723711141689</c:v>
                </c:pt>
                <c:pt idx="118">
                  <c:v>190.19816666674276</c:v>
                </c:pt>
                <c:pt idx="119">
                  <c:v>188.31398339177892</c:v>
                </c:pt>
                <c:pt idx="120">
                  <c:v>186.52713189320193</c:v>
                </c:pt>
                <c:pt idx="121">
                  <c:v>183.85329366972027</c:v>
                </c:pt>
                <c:pt idx="122">
                  <c:v>181.41965125675037</c:v>
                </c:pt>
                <c:pt idx="123">
                  <c:v>178.37692113455537</c:v>
                </c:pt>
                <c:pt idx="124">
                  <c:v>173.99409470818122</c:v>
                </c:pt>
                <c:pt idx="125">
                  <c:v>172.96903546930017</c:v>
                </c:pt>
                <c:pt idx="126">
                  <c:v>173.79452163965718</c:v>
                </c:pt>
                <c:pt idx="127">
                  <c:v>174.89457225484171</c:v>
                </c:pt>
                <c:pt idx="128">
                  <c:v>174.4902577276689</c:v>
                </c:pt>
                <c:pt idx="129">
                  <c:v>173.607760527019</c:v>
                </c:pt>
                <c:pt idx="130">
                  <c:v>172.80886261238285</c:v>
                </c:pt>
                <c:pt idx="131">
                  <c:v>172.13534873339071</c:v>
                </c:pt>
                <c:pt idx="132">
                  <c:v>170.80741614087495</c:v>
                </c:pt>
                <c:pt idx="133">
                  <c:v>170.68709077993617</c:v>
                </c:pt>
                <c:pt idx="134">
                  <c:v>170.00607557209574</c:v>
                </c:pt>
                <c:pt idx="135">
                  <c:v>169.86619871783415</c:v>
                </c:pt>
                <c:pt idx="136">
                  <c:v>169.55198286630338</c:v>
                </c:pt>
                <c:pt idx="137">
                  <c:v>169.4525404430243</c:v>
                </c:pt>
                <c:pt idx="138">
                  <c:v>169.80639410001021</c:v>
                </c:pt>
                <c:pt idx="139">
                  <c:v>170.16920986503206</c:v>
                </c:pt>
                <c:pt idx="140">
                  <c:v>171.04854017565881</c:v>
                </c:pt>
                <c:pt idx="141">
                  <c:v>172.57225662894544</c:v>
                </c:pt>
                <c:pt idx="142">
                  <c:v>174.26576998809978</c:v>
                </c:pt>
                <c:pt idx="143">
                  <c:v>175.12754309693466</c:v>
                </c:pt>
                <c:pt idx="144">
                  <c:v>175.67129502459224</c:v>
                </c:pt>
                <c:pt idx="145">
                  <c:v>177.36252809234873</c:v>
                </c:pt>
                <c:pt idx="146">
                  <c:v>179.39366617693528</c:v>
                </c:pt>
                <c:pt idx="147">
                  <c:v>180.83931124871492</c:v>
                </c:pt>
                <c:pt idx="148">
                  <c:v>182.9028862590765</c:v>
                </c:pt>
                <c:pt idx="149">
                  <c:v>184.59065338492087</c:v>
                </c:pt>
                <c:pt idx="150">
                  <c:v>186.46435815336187</c:v>
                </c:pt>
                <c:pt idx="151">
                  <c:v>187.34078674299931</c:v>
                </c:pt>
                <c:pt idx="152">
                  <c:v>188.14609209156922</c:v>
                </c:pt>
                <c:pt idx="153">
                  <c:v>188.24143286442063</c:v>
                </c:pt>
                <c:pt idx="154">
                  <c:v>187.56207322394508</c:v>
                </c:pt>
                <c:pt idx="155">
                  <c:v>186.8196839847956</c:v>
                </c:pt>
                <c:pt idx="156">
                  <c:v>185.63925056227015</c:v>
                </c:pt>
                <c:pt idx="157">
                  <c:v>183.96262743579666</c:v>
                </c:pt>
                <c:pt idx="158">
                  <c:v>181.47895472328128</c:v>
                </c:pt>
                <c:pt idx="159">
                  <c:v>178.80325560672335</c:v>
                </c:pt>
                <c:pt idx="160">
                  <c:v>175.88010128738301</c:v>
                </c:pt>
                <c:pt idx="161">
                  <c:v>173.45883673303294</c:v>
                </c:pt>
                <c:pt idx="162">
                  <c:v>170.8645879093859</c:v>
                </c:pt>
                <c:pt idx="163">
                  <c:v>168.74352768620307</c:v>
                </c:pt>
                <c:pt idx="164">
                  <c:v>167.02242064606665</c:v>
                </c:pt>
                <c:pt idx="165">
                  <c:v>165.17517436860058</c:v>
                </c:pt>
                <c:pt idx="166">
                  <c:v>163.69901454567236</c:v>
                </c:pt>
                <c:pt idx="167">
                  <c:v>162.47430912693122</c:v>
                </c:pt>
                <c:pt idx="168">
                  <c:v>161.67215017913597</c:v>
                </c:pt>
                <c:pt idx="169">
                  <c:v>161.71381672758449</c:v>
                </c:pt>
                <c:pt idx="170">
                  <c:v>162.08022033986501</c:v>
                </c:pt>
                <c:pt idx="171">
                  <c:v>162.49568159333904</c:v>
                </c:pt>
                <c:pt idx="172">
                  <c:v>164.35474940573286</c:v>
                </c:pt>
                <c:pt idx="173">
                  <c:v>166.03671745931126</c:v>
                </c:pt>
                <c:pt idx="174">
                  <c:v>168.13682052559676</c:v>
                </c:pt>
                <c:pt idx="175">
                  <c:v>170.48367114347249</c:v>
                </c:pt>
                <c:pt idx="176">
                  <c:v>173.09500548232953</c:v>
                </c:pt>
                <c:pt idx="177">
                  <c:v>175.99528389224236</c:v>
                </c:pt>
                <c:pt idx="178">
                  <c:v>178.848222229139</c:v>
                </c:pt>
                <c:pt idx="179">
                  <c:v>181.87566016109989</c:v>
                </c:pt>
                <c:pt idx="180">
                  <c:v>186.52796124139957</c:v>
                </c:pt>
                <c:pt idx="181">
                  <c:v>189.51333441535257</c:v>
                </c:pt>
                <c:pt idx="182">
                  <c:v>193.26068929648662</c:v>
                </c:pt>
                <c:pt idx="183">
                  <c:v>197.04518541014104</c:v>
                </c:pt>
                <c:pt idx="184">
                  <c:v>199.62943327287408</c:v>
                </c:pt>
                <c:pt idx="185">
                  <c:v>201.79066204521723</c:v>
                </c:pt>
                <c:pt idx="186">
                  <c:v>#N/A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'Purchase Index'!$T$1</c:f>
              <c:strCache>
                <c:ptCount val="1"/>
                <c:pt idx="0">
                  <c:v>6Mo MA</c:v>
                </c:pt>
              </c:strCache>
            </c:strRef>
          </c:tx>
          <c:marker>
            <c:symbol val="none"/>
          </c:marker>
          <c:cat>
            <c:numRef>
              <c:f>'Purchase Index'!$M$133:$M$1382</c:f>
              <c:numCache>
                <c:formatCode>m/d/yyyy</c:formatCode>
                <c:ptCount val="1250"/>
                <c:pt idx="0">
                  <c:v>36861</c:v>
                </c:pt>
                <c:pt idx="1">
                  <c:v>36892</c:v>
                </c:pt>
                <c:pt idx="2">
                  <c:v>36923</c:v>
                </c:pt>
                <c:pt idx="3">
                  <c:v>36951</c:v>
                </c:pt>
                <c:pt idx="4">
                  <c:v>36982</c:v>
                </c:pt>
                <c:pt idx="5">
                  <c:v>37012</c:v>
                </c:pt>
                <c:pt idx="6">
                  <c:v>37043</c:v>
                </c:pt>
                <c:pt idx="7">
                  <c:v>37073</c:v>
                </c:pt>
                <c:pt idx="8">
                  <c:v>37104</c:v>
                </c:pt>
                <c:pt idx="9">
                  <c:v>37135</c:v>
                </c:pt>
                <c:pt idx="10">
                  <c:v>37165</c:v>
                </c:pt>
                <c:pt idx="11">
                  <c:v>37196</c:v>
                </c:pt>
                <c:pt idx="12">
                  <c:v>37226</c:v>
                </c:pt>
                <c:pt idx="13">
                  <c:v>37257</c:v>
                </c:pt>
                <c:pt idx="14">
                  <c:v>37288</c:v>
                </c:pt>
                <c:pt idx="15">
                  <c:v>37316</c:v>
                </c:pt>
                <c:pt idx="16">
                  <c:v>37347</c:v>
                </c:pt>
                <c:pt idx="17">
                  <c:v>37377</c:v>
                </c:pt>
                <c:pt idx="18">
                  <c:v>37408</c:v>
                </c:pt>
                <c:pt idx="19">
                  <c:v>37438</c:v>
                </c:pt>
                <c:pt idx="20">
                  <c:v>37469</c:v>
                </c:pt>
                <c:pt idx="21">
                  <c:v>37500</c:v>
                </c:pt>
                <c:pt idx="22">
                  <c:v>37530</c:v>
                </c:pt>
                <c:pt idx="23">
                  <c:v>37561</c:v>
                </c:pt>
                <c:pt idx="24">
                  <c:v>37591</c:v>
                </c:pt>
                <c:pt idx="25">
                  <c:v>37622</c:v>
                </c:pt>
                <c:pt idx="26">
                  <c:v>37653</c:v>
                </c:pt>
                <c:pt idx="27">
                  <c:v>37681</c:v>
                </c:pt>
                <c:pt idx="28">
                  <c:v>37712</c:v>
                </c:pt>
                <c:pt idx="29">
                  <c:v>37742</c:v>
                </c:pt>
                <c:pt idx="30">
                  <c:v>37773</c:v>
                </c:pt>
                <c:pt idx="31">
                  <c:v>37803</c:v>
                </c:pt>
                <c:pt idx="32">
                  <c:v>37834</c:v>
                </c:pt>
                <c:pt idx="33">
                  <c:v>37865</c:v>
                </c:pt>
                <c:pt idx="34">
                  <c:v>37895</c:v>
                </c:pt>
                <c:pt idx="35">
                  <c:v>37926</c:v>
                </c:pt>
                <c:pt idx="36">
                  <c:v>37956</c:v>
                </c:pt>
                <c:pt idx="37">
                  <c:v>37987</c:v>
                </c:pt>
                <c:pt idx="38">
                  <c:v>38018</c:v>
                </c:pt>
                <c:pt idx="39">
                  <c:v>38047</c:v>
                </c:pt>
                <c:pt idx="40">
                  <c:v>38078</c:v>
                </c:pt>
                <c:pt idx="41">
                  <c:v>38108</c:v>
                </c:pt>
                <c:pt idx="42">
                  <c:v>38139</c:v>
                </c:pt>
                <c:pt idx="43">
                  <c:v>38169</c:v>
                </c:pt>
                <c:pt idx="44">
                  <c:v>38200</c:v>
                </c:pt>
                <c:pt idx="45">
                  <c:v>38231</c:v>
                </c:pt>
                <c:pt idx="46">
                  <c:v>38261</c:v>
                </c:pt>
                <c:pt idx="47">
                  <c:v>38292</c:v>
                </c:pt>
                <c:pt idx="48">
                  <c:v>38322</c:v>
                </c:pt>
                <c:pt idx="49">
                  <c:v>38353</c:v>
                </c:pt>
                <c:pt idx="50">
                  <c:v>38384</c:v>
                </c:pt>
                <c:pt idx="51">
                  <c:v>38412</c:v>
                </c:pt>
                <c:pt idx="52">
                  <c:v>38443</c:v>
                </c:pt>
                <c:pt idx="53">
                  <c:v>38473</c:v>
                </c:pt>
                <c:pt idx="54">
                  <c:v>38504</c:v>
                </c:pt>
                <c:pt idx="55">
                  <c:v>38534</c:v>
                </c:pt>
                <c:pt idx="56">
                  <c:v>38565</c:v>
                </c:pt>
                <c:pt idx="57">
                  <c:v>38596</c:v>
                </c:pt>
                <c:pt idx="58">
                  <c:v>38626</c:v>
                </c:pt>
                <c:pt idx="59">
                  <c:v>38657</c:v>
                </c:pt>
                <c:pt idx="60">
                  <c:v>38687</c:v>
                </c:pt>
                <c:pt idx="61">
                  <c:v>38718</c:v>
                </c:pt>
                <c:pt idx="62">
                  <c:v>38749</c:v>
                </c:pt>
                <c:pt idx="63">
                  <c:v>38777</c:v>
                </c:pt>
                <c:pt idx="64">
                  <c:v>38808</c:v>
                </c:pt>
                <c:pt idx="65">
                  <c:v>38838</c:v>
                </c:pt>
                <c:pt idx="66">
                  <c:v>38869</c:v>
                </c:pt>
                <c:pt idx="67">
                  <c:v>38899</c:v>
                </c:pt>
                <c:pt idx="68">
                  <c:v>38930</c:v>
                </c:pt>
                <c:pt idx="69">
                  <c:v>38961</c:v>
                </c:pt>
                <c:pt idx="70">
                  <c:v>38991</c:v>
                </c:pt>
                <c:pt idx="71">
                  <c:v>39022</c:v>
                </c:pt>
                <c:pt idx="72">
                  <c:v>39052</c:v>
                </c:pt>
                <c:pt idx="73">
                  <c:v>39083</c:v>
                </c:pt>
                <c:pt idx="74">
                  <c:v>39114</c:v>
                </c:pt>
                <c:pt idx="75">
                  <c:v>39142</c:v>
                </c:pt>
                <c:pt idx="76">
                  <c:v>39173</c:v>
                </c:pt>
                <c:pt idx="77">
                  <c:v>39203</c:v>
                </c:pt>
                <c:pt idx="78">
                  <c:v>39234</c:v>
                </c:pt>
                <c:pt idx="79">
                  <c:v>39264</c:v>
                </c:pt>
                <c:pt idx="80">
                  <c:v>39295</c:v>
                </c:pt>
                <c:pt idx="81">
                  <c:v>39326</c:v>
                </c:pt>
                <c:pt idx="82">
                  <c:v>39356</c:v>
                </c:pt>
                <c:pt idx="83">
                  <c:v>39387</c:v>
                </c:pt>
                <c:pt idx="84">
                  <c:v>39417</c:v>
                </c:pt>
                <c:pt idx="85">
                  <c:v>39448</c:v>
                </c:pt>
                <c:pt idx="86">
                  <c:v>39479</c:v>
                </c:pt>
                <c:pt idx="87">
                  <c:v>39508</c:v>
                </c:pt>
                <c:pt idx="88">
                  <c:v>39539</c:v>
                </c:pt>
                <c:pt idx="89">
                  <c:v>39569</c:v>
                </c:pt>
                <c:pt idx="90">
                  <c:v>39600</c:v>
                </c:pt>
                <c:pt idx="91">
                  <c:v>39630</c:v>
                </c:pt>
                <c:pt idx="92">
                  <c:v>39661</c:v>
                </c:pt>
                <c:pt idx="93">
                  <c:v>39692</c:v>
                </c:pt>
                <c:pt idx="94">
                  <c:v>39722</c:v>
                </c:pt>
                <c:pt idx="95">
                  <c:v>39753</c:v>
                </c:pt>
                <c:pt idx="96">
                  <c:v>39783</c:v>
                </c:pt>
                <c:pt idx="97">
                  <c:v>39814</c:v>
                </c:pt>
                <c:pt idx="98">
                  <c:v>39845</c:v>
                </c:pt>
                <c:pt idx="99">
                  <c:v>39873</c:v>
                </c:pt>
                <c:pt idx="100">
                  <c:v>39904</c:v>
                </c:pt>
                <c:pt idx="101">
                  <c:v>39934</c:v>
                </c:pt>
                <c:pt idx="102">
                  <c:v>39965</c:v>
                </c:pt>
                <c:pt idx="103">
                  <c:v>39995</c:v>
                </c:pt>
                <c:pt idx="104">
                  <c:v>40026</c:v>
                </c:pt>
                <c:pt idx="105">
                  <c:v>40057</c:v>
                </c:pt>
                <c:pt idx="106">
                  <c:v>40087</c:v>
                </c:pt>
                <c:pt idx="107">
                  <c:v>40118</c:v>
                </c:pt>
                <c:pt idx="108">
                  <c:v>40148</c:v>
                </c:pt>
                <c:pt idx="109">
                  <c:v>40179</c:v>
                </c:pt>
                <c:pt idx="110">
                  <c:v>40210</c:v>
                </c:pt>
                <c:pt idx="111">
                  <c:v>40238</c:v>
                </c:pt>
                <c:pt idx="112">
                  <c:v>40269</c:v>
                </c:pt>
                <c:pt idx="113">
                  <c:v>40299</c:v>
                </c:pt>
                <c:pt idx="114">
                  <c:v>40330</c:v>
                </c:pt>
                <c:pt idx="115">
                  <c:v>40360</c:v>
                </c:pt>
                <c:pt idx="116">
                  <c:v>40391</c:v>
                </c:pt>
                <c:pt idx="117">
                  <c:v>40422</c:v>
                </c:pt>
                <c:pt idx="118">
                  <c:v>40452</c:v>
                </c:pt>
                <c:pt idx="119">
                  <c:v>40483</c:v>
                </c:pt>
                <c:pt idx="120">
                  <c:v>40513</c:v>
                </c:pt>
                <c:pt idx="121">
                  <c:v>40544</c:v>
                </c:pt>
                <c:pt idx="122">
                  <c:v>40575</c:v>
                </c:pt>
                <c:pt idx="123">
                  <c:v>40603</c:v>
                </c:pt>
                <c:pt idx="124">
                  <c:v>40634</c:v>
                </c:pt>
                <c:pt idx="125">
                  <c:v>40664</c:v>
                </c:pt>
                <c:pt idx="126">
                  <c:v>40695</c:v>
                </c:pt>
                <c:pt idx="127">
                  <c:v>40725</c:v>
                </c:pt>
                <c:pt idx="128">
                  <c:v>40756</c:v>
                </c:pt>
                <c:pt idx="129">
                  <c:v>40787</c:v>
                </c:pt>
                <c:pt idx="130">
                  <c:v>40817</c:v>
                </c:pt>
                <c:pt idx="131">
                  <c:v>40848</c:v>
                </c:pt>
                <c:pt idx="132">
                  <c:v>40878</c:v>
                </c:pt>
                <c:pt idx="133">
                  <c:v>40909</c:v>
                </c:pt>
                <c:pt idx="134">
                  <c:v>40940</c:v>
                </c:pt>
                <c:pt idx="135">
                  <c:v>40969</c:v>
                </c:pt>
                <c:pt idx="136">
                  <c:v>41000</c:v>
                </c:pt>
                <c:pt idx="137">
                  <c:v>41030</c:v>
                </c:pt>
                <c:pt idx="138">
                  <c:v>41061</c:v>
                </c:pt>
                <c:pt idx="139">
                  <c:v>41091</c:v>
                </c:pt>
                <c:pt idx="140">
                  <c:v>41122</c:v>
                </c:pt>
                <c:pt idx="141">
                  <c:v>41153</c:v>
                </c:pt>
                <c:pt idx="142">
                  <c:v>41183</c:v>
                </c:pt>
                <c:pt idx="143">
                  <c:v>41214</c:v>
                </c:pt>
                <c:pt idx="144">
                  <c:v>41244</c:v>
                </c:pt>
                <c:pt idx="145">
                  <c:v>41275</c:v>
                </c:pt>
                <c:pt idx="146">
                  <c:v>41306</c:v>
                </c:pt>
                <c:pt idx="147">
                  <c:v>41334</c:v>
                </c:pt>
                <c:pt idx="148">
                  <c:v>41365</c:v>
                </c:pt>
                <c:pt idx="149">
                  <c:v>41395</c:v>
                </c:pt>
                <c:pt idx="150">
                  <c:v>41426</c:v>
                </c:pt>
                <c:pt idx="151">
                  <c:v>41456</c:v>
                </c:pt>
                <c:pt idx="152">
                  <c:v>41487</c:v>
                </c:pt>
                <c:pt idx="153">
                  <c:v>41518</c:v>
                </c:pt>
                <c:pt idx="154">
                  <c:v>41548</c:v>
                </c:pt>
                <c:pt idx="155">
                  <c:v>41579</c:v>
                </c:pt>
                <c:pt idx="156">
                  <c:v>41609</c:v>
                </c:pt>
                <c:pt idx="157">
                  <c:v>41640</c:v>
                </c:pt>
                <c:pt idx="158">
                  <c:v>41671</c:v>
                </c:pt>
                <c:pt idx="159">
                  <c:v>41699</c:v>
                </c:pt>
                <c:pt idx="160">
                  <c:v>41730</c:v>
                </c:pt>
                <c:pt idx="161">
                  <c:v>41760</c:v>
                </c:pt>
                <c:pt idx="162">
                  <c:v>41791</c:v>
                </c:pt>
                <c:pt idx="163">
                  <c:v>41821</c:v>
                </c:pt>
                <c:pt idx="164">
                  <c:v>41852</c:v>
                </c:pt>
                <c:pt idx="165">
                  <c:v>41883</c:v>
                </c:pt>
                <c:pt idx="166">
                  <c:v>41913</c:v>
                </c:pt>
                <c:pt idx="167">
                  <c:v>41944</c:v>
                </c:pt>
                <c:pt idx="168">
                  <c:v>41974</c:v>
                </c:pt>
                <c:pt idx="169">
                  <c:v>42005</c:v>
                </c:pt>
                <c:pt idx="170">
                  <c:v>42036</c:v>
                </c:pt>
                <c:pt idx="171">
                  <c:v>42064</c:v>
                </c:pt>
                <c:pt idx="172">
                  <c:v>42095</c:v>
                </c:pt>
                <c:pt idx="173">
                  <c:v>42125</c:v>
                </c:pt>
                <c:pt idx="174">
                  <c:v>42156</c:v>
                </c:pt>
                <c:pt idx="175">
                  <c:v>42186</c:v>
                </c:pt>
                <c:pt idx="176">
                  <c:v>42217</c:v>
                </c:pt>
                <c:pt idx="177">
                  <c:v>42248</c:v>
                </c:pt>
                <c:pt idx="178">
                  <c:v>42278</c:v>
                </c:pt>
                <c:pt idx="179">
                  <c:v>42309</c:v>
                </c:pt>
                <c:pt idx="180">
                  <c:v>42339</c:v>
                </c:pt>
                <c:pt idx="181">
                  <c:v>42370</c:v>
                </c:pt>
                <c:pt idx="182">
                  <c:v>42401</c:v>
                </c:pt>
                <c:pt idx="183">
                  <c:v>42430</c:v>
                </c:pt>
                <c:pt idx="184">
                  <c:v>42461</c:v>
                </c:pt>
                <c:pt idx="185">
                  <c:v>42491</c:v>
                </c:pt>
                <c:pt idx="186">
                  <c:v>42522</c:v>
                </c:pt>
              </c:numCache>
            </c:numRef>
          </c:cat>
          <c:val>
            <c:numRef>
              <c:f>'Purchase Index'!$T$133:$T$1382</c:f>
              <c:numCache>
                <c:formatCode>0.00</c:formatCode>
                <c:ptCount val="1250"/>
                <c:pt idx="0">
                  <c:v>299.19923005894373</c:v>
                </c:pt>
                <c:pt idx="1">
                  <c:v>299.03183881779375</c:v>
                </c:pt>
                <c:pt idx="2">
                  <c:v>295.41211726789027</c:v>
                </c:pt>
                <c:pt idx="3">
                  <c:v>292.34347719020167</c:v>
                </c:pt>
                <c:pt idx="4">
                  <c:v>291.51092579375978</c:v>
                </c:pt>
                <c:pt idx="5">
                  <c:v>290.29695991671446</c:v>
                </c:pt>
                <c:pt idx="6">
                  <c:v>294.73314939101374</c:v>
                </c:pt>
                <c:pt idx="7">
                  <c:v>293.9988230286549</c:v>
                </c:pt>
                <c:pt idx="8">
                  <c:v>296.22796465602858</c:v>
                </c:pt>
                <c:pt idx="9">
                  <c:v>295.36074400574279</c:v>
                </c:pt>
                <c:pt idx="10">
                  <c:v>290.27074252298888</c:v>
                </c:pt>
                <c:pt idx="11">
                  <c:v>291.02340962584447</c:v>
                </c:pt>
                <c:pt idx="12">
                  <c:v>288.96441697055849</c:v>
                </c:pt>
                <c:pt idx="13">
                  <c:v>295.60314629524504</c:v>
                </c:pt>
                <c:pt idx="14">
                  <c:v>297.08548604856253</c:v>
                </c:pt>
                <c:pt idx="15">
                  <c:v>302.19663288217129</c:v>
                </c:pt>
                <c:pt idx="16">
                  <c:v>314.45695306257716</c:v>
                </c:pt>
                <c:pt idx="17">
                  <c:v>323.56548810437454</c:v>
                </c:pt>
                <c:pt idx="18">
                  <c:v>333.54782630200742</c:v>
                </c:pt>
                <c:pt idx="19">
                  <c:v>337.40473338537345</c:v>
                </c:pt>
                <c:pt idx="20">
                  <c:v>345.56537907694798</c:v>
                </c:pt>
                <c:pt idx="21">
                  <c:v>353.13948054566396</c:v>
                </c:pt>
                <c:pt idx="22">
                  <c:v>354.25886409181004</c:v>
                </c:pt>
                <c:pt idx="23">
                  <c:v>353.26881218721059</c:v>
                </c:pt>
                <c:pt idx="24">
                  <c:v>351.74876601293892</c:v>
                </c:pt>
                <c:pt idx="25">
                  <c:v>351.2988805667913</c:v>
                </c:pt>
                <c:pt idx="26">
                  <c:v>346.97378102117636</c:v>
                </c:pt>
                <c:pt idx="27">
                  <c:v>346.01627611529187</c:v>
                </c:pt>
                <c:pt idx="28">
                  <c:v>350.36209478151426</c:v>
                </c:pt>
                <c:pt idx="29">
                  <c:v>360.2347866545303</c:v>
                </c:pt>
                <c:pt idx="30">
                  <c:v>370.62391909994608</c:v>
                </c:pt>
                <c:pt idx="31">
                  <c:v>381.2921189339159</c:v>
                </c:pt>
                <c:pt idx="32">
                  <c:v>393.37359590543866</c:v>
                </c:pt>
                <c:pt idx="33">
                  <c:v>401.20761527327562</c:v>
                </c:pt>
                <c:pt idx="34">
                  <c:v>403.75260807657793</c:v>
                </c:pt>
                <c:pt idx="35">
                  <c:v>404.86530159773207</c:v>
                </c:pt>
                <c:pt idx="36">
                  <c:v>402.51033750294738</c:v>
                </c:pt>
                <c:pt idx="37">
                  <c:v>404.7620776020263</c:v>
                </c:pt>
                <c:pt idx="38">
                  <c:v>405.98993416245247</c:v>
                </c:pt>
                <c:pt idx="39">
                  <c:v>410.87314595389518</c:v>
                </c:pt>
                <c:pt idx="40">
                  <c:v>421.18859490693399</c:v>
                </c:pt>
                <c:pt idx="41">
                  <c:v>426.82517777594057</c:v>
                </c:pt>
                <c:pt idx="42">
                  <c:v>431.52649749594349</c:v>
                </c:pt>
                <c:pt idx="43">
                  <c:v>432.76871591968847</c:v>
                </c:pt>
                <c:pt idx="44">
                  <c:v>437.34098273297332</c:v>
                </c:pt>
                <c:pt idx="45">
                  <c:v>439.9409906035051</c:v>
                </c:pt>
                <c:pt idx="46">
                  <c:v>439.31080609009251</c:v>
                </c:pt>
                <c:pt idx="47">
                  <c:v>439.68228283819434</c:v>
                </c:pt>
                <c:pt idx="48">
                  <c:v>443.31941792746494</c:v>
                </c:pt>
                <c:pt idx="49">
                  <c:v>437.59453511588282</c:v>
                </c:pt>
                <c:pt idx="50">
                  <c:v>434.19266853887535</c:v>
                </c:pt>
                <c:pt idx="51">
                  <c:v>432.50406576116728</c:v>
                </c:pt>
                <c:pt idx="52">
                  <c:v>433.707454116078</c:v>
                </c:pt>
                <c:pt idx="53">
                  <c:v>435.23642997514662</c:v>
                </c:pt>
                <c:pt idx="54">
                  <c:v>438.00439901618103</c:v>
                </c:pt>
                <c:pt idx="55">
                  <c:v>447.88462547803488</c:v>
                </c:pt>
                <c:pt idx="56">
                  <c:v>456.54853571531567</c:v>
                </c:pt>
                <c:pt idx="57">
                  <c:v>461.73512766110457</c:v>
                </c:pt>
                <c:pt idx="58">
                  <c:v>461.08963341323852</c:v>
                </c:pt>
                <c:pt idx="59">
                  <c:v>458.6852135013367</c:v>
                </c:pt>
                <c:pt idx="60">
                  <c:v>452.5454314157858</c:v>
                </c:pt>
                <c:pt idx="61">
                  <c:v>445.30294909132181</c:v>
                </c:pt>
                <c:pt idx="62">
                  <c:v>431.86321348516702</c:v>
                </c:pt>
                <c:pt idx="63">
                  <c:v>417.87235053252169</c:v>
                </c:pt>
                <c:pt idx="64">
                  <c:v>408.45694905314485</c:v>
                </c:pt>
                <c:pt idx="65">
                  <c:v>397.99024324853366</c:v>
                </c:pt>
                <c:pt idx="66">
                  <c:v>389.81263843987927</c:v>
                </c:pt>
                <c:pt idx="67">
                  <c:v>380.77220731446022</c:v>
                </c:pt>
                <c:pt idx="68">
                  <c:v>376.78589120148735</c:v>
                </c:pt>
                <c:pt idx="69">
                  <c:v>374.58068128120493</c:v>
                </c:pt>
                <c:pt idx="70">
                  <c:v>369.49427350068527</c:v>
                </c:pt>
                <c:pt idx="71">
                  <c:v>368.68161126800055</c:v>
                </c:pt>
                <c:pt idx="72">
                  <c:v>371.30645117628302</c:v>
                </c:pt>
                <c:pt idx="73">
                  <c:v>376.17831717707855</c:v>
                </c:pt>
                <c:pt idx="74">
                  <c:v>378.05940352675606</c:v>
                </c:pt>
                <c:pt idx="75">
                  <c:v>379.90801604215864</c:v>
                </c:pt>
                <c:pt idx="76">
                  <c:v>384.5425677551313</c:v>
                </c:pt>
                <c:pt idx="77">
                  <c:v>388.85212087865443</c:v>
                </c:pt>
                <c:pt idx="78">
                  <c:v>391.70900476309663</c:v>
                </c:pt>
                <c:pt idx="79">
                  <c:v>392.50548412574466</c:v>
                </c:pt>
                <c:pt idx="80">
                  <c:v>399.3795710637408</c:v>
                </c:pt>
                <c:pt idx="81">
                  <c:v>403.15459568701812</c:v>
                </c:pt>
                <c:pt idx="82">
                  <c:v>404.39404868718037</c:v>
                </c:pt>
                <c:pt idx="83">
                  <c:v>403.47610550333155</c:v>
                </c:pt>
                <c:pt idx="84">
                  <c:v>398.80550132141502</c:v>
                </c:pt>
                <c:pt idx="85">
                  <c:v>396.41388435192033</c:v>
                </c:pt>
                <c:pt idx="86">
                  <c:v>386.66287436322563</c:v>
                </c:pt>
                <c:pt idx="87">
                  <c:v>377.47812200220932</c:v>
                </c:pt>
                <c:pt idx="88">
                  <c:v>369.11745618571234</c:v>
                </c:pt>
                <c:pt idx="89">
                  <c:v>358.53207106075337</c:v>
                </c:pt>
                <c:pt idx="90">
                  <c:v>349.21816635342185</c:v>
                </c:pt>
                <c:pt idx="91">
                  <c:v>337.16363310255878</c:v>
                </c:pt>
                <c:pt idx="92">
                  <c:v>328.36514585304917</c:v>
                </c:pt>
                <c:pt idx="93">
                  <c:v>324.54573954440792</c:v>
                </c:pt>
                <c:pt idx="94">
                  <c:v>313.29790135288243</c:v>
                </c:pt>
                <c:pt idx="95">
                  <c:v>302.18853825177149</c:v>
                </c:pt>
                <c:pt idx="96">
                  <c:v>294.71330357346005</c:v>
                </c:pt>
                <c:pt idx="97">
                  <c:v>287.9392744849597</c:v>
                </c:pt>
                <c:pt idx="98">
                  <c:v>275.97139900290352</c:v>
                </c:pt>
                <c:pt idx="99">
                  <c:v>262.29120331837373</c:v>
                </c:pt>
                <c:pt idx="100">
                  <c:v>258.02891619339869</c:v>
                </c:pt>
                <c:pt idx="101">
                  <c:v>253.87610636232702</c:v>
                </c:pt>
                <c:pt idx="102">
                  <c:v>248.44747200232334</c:v>
                </c:pt>
                <c:pt idx="103">
                  <c:v>243.46878413283147</c:v>
                </c:pt>
                <c:pt idx="104">
                  <c:v>248.3744877857896</c:v>
                </c:pt>
                <c:pt idx="105">
                  <c:v>251.99928563945571</c:v>
                </c:pt>
                <c:pt idx="106">
                  <c:v>253.33240229504884</c:v>
                </c:pt>
                <c:pt idx="107">
                  <c:v>246.99727046021647</c:v>
                </c:pt>
                <c:pt idx="108">
                  <c:v>240.17824951238765</c:v>
                </c:pt>
                <c:pt idx="109">
                  <c:v>233.14450851009443</c:v>
                </c:pt>
                <c:pt idx="110">
                  <c:v>223.23466569100847</c:v>
                </c:pt>
                <c:pt idx="111">
                  <c:v>214.91548551377284</c:v>
                </c:pt>
                <c:pt idx="112">
                  <c:v>211.28195805676955</c:v>
                </c:pt>
                <c:pt idx="113">
                  <c:v>208.99997083551645</c:v>
                </c:pt>
                <c:pt idx="114">
                  <c:v>201.15514289120802</c:v>
                </c:pt>
                <c:pt idx="115">
                  <c:v>193.27653732077871</c:v>
                </c:pt>
                <c:pt idx="116">
                  <c:v>187.24493531132455</c:v>
                </c:pt>
                <c:pt idx="117">
                  <c:v>179.83898870906091</c:v>
                </c:pt>
                <c:pt idx="118">
                  <c:v>169.11437527671595</c:v>
                </c:pt>
                <c:pt idx="119">
                  <c:v>167.6279959480413</c:v>
                </c:pt>
                <c:pt idx="120">
                  <c:v>171.89912089519578</c:v>
                </c:pt>
                <c:pt idx="121">
                  <c:v>174.43005001866189</c:v>
                </c:pt>
                <c:pt idx="122">
                  <c:v>175.59436720217624</c:v>
                </c:pt>
                <c:pt idx="123">
                  <c:v>176.91485356004992</c:v>
                </c:pt>
                <c:pt idx="124">
                  <c:v>178.8738141396465</c:v>
                </c:pt>
                <c:pt idx="125">
                  <c:v>178.310074990559</c:v>
                </c:pt>
                <c:pt idx="126">
                  <c:v>175.68992238411852</c:v>
                </c:pt>
                <c:pt idx="127">
                  <c:v>175.35909449102147</c:v>
                </c:pt>
                <c:pt idx="128">
                  <c:v>173.38614825316154</c:v>
                </c:pt>
                <c:pt idx="129">
                  <c:v>170.30066749398807</c:v>
                </c:pt>
                <c:pt idx="130">
                  <c:v>166.74391108511918</c:v>
                </c:pt>
                <c:pt idx="131">
                  <c:v>165.9606224762224</c:v>
                </c:pt>
                <c:pt idx="132">
                  <c:v>165.92490989763138</c:v>
                </c:pt>
                <c:pt idx="133">
                  <c:v>166.01508706885087</c:v>
                </c:pt>
                <c:pt idx="134">
                  <c:v>166.62600289102991</c:v>
                </c:pt>
                <c:pt idx="135">
                  <c:v>169.43172994168017</c:v>
                </c:pt>
                <c:pt idx="136">
                  <c:v>172.36005464748754</c:v>
                </c:pt>
                <c:pt idx="137">
                  <c:v>172.94445840982618</c:v>
                </c:pt>
                <c:pt idx="138">
                  <c:v>173.68787830238907</c:v>
                </c:pt>
                <c:pt idx="139">
                  <c:v>174.32333266121324</c:v>
                </c:pt>
                <c:pt idx="140">
                  <c:v>175.47107746028777</c:v>
                </c:pt>
                <c:pt idx="141">
                  <c:v>175.71278331621068</c:v>
                </c:pt>
                <c:pt idx="142">
                  <c:v>176.17148532871204</c:v>
                </c:pt>
                <c:pt idx="143">
                  <c:v>177.31062778404316</c:v>
                </c:pt>
                <c:pt idx="144">
                  <c:v>177.65471174679541</c:v>
                </c:pt>
                <c:pt idx="145">
                  <c:v>180.40172352348418</c:v>
                </c:pt>
                <c:pt idx="146">
                  <c:v>183.31625489358279</c:v>
                </c:pt>
                <c:pt idx="147">
                  <c:v>185.9658391812192</c:v>
                </c:pt>
                <c:pt idx="148">
                  <c:v>189.63428718944101</c:v>
                </c:pt>
                <c:pt idx="149">
                  <c:v>191.87067898579858</c:v>
                </c:pt>
                <c:pt idx="150">
                  <c:v>195.27400455992833</c:v>
                </c:pt>
                <c:pt idx="151">
                  <c:v>194.27984996251442</c:v>
                </c:pt>
                <c:pt idx="152">
                  <c:v>192.97592928955555</c:v>
                </c:pt>
                <c:pt idx="153">
                  <c:v>190.51702654762201</c:v>
                </c:pt>
                <c:pt idx="154">
                  <c:v>185.4898592584492</c:v>
                </c:pt>
                <c:pt idx="155">
                  <c:v>181.76868898379269</c:v>
                </c:pt>
                <c:pt idx="156">
                  <c:v>176.00449656461203</c:v>
                </c:pt>
                <c:pt idx="157">
                  <c:v>173.64540490907882</c:v>
                </c:pt>
                <c:pt idx="158">
                  <c:v>169.98198015700697</c:v>
                </c:pt>
                <c:pt idx="159">
                  <c:v>167.08948466582464</c:v>
                </c:pt>
                <c:pt idx="160">
                  <c:v>166.27034331631683</c:v>
                </c:pt>
                <c:pt idx="161">
                  <c:v>165.14898448227314</c:v>
                </c:pt>
                <c:pt idx="162">
                  <c:v>165.72467925415975</c:v>
                </c:pt>
                <c:pt idx="163">
                  <c:v>163.84165046332734</c:v>
                </c:pt>
                <c:pt idx="164">
                  <c:v>164.06286113512633</c:v>
                </c:pt>
                <c:pt idx="165">
                  <c:v>163.26086407137657</c:v>
                </c:pt>
                <c:pt idx="166">
                  <c:v>161.12768577502789</c:v>
                </c:pt>
                <c:pt idx="167">
                  <c:v>159.79963377158927</c:v>
                </c:pt>
                <c:pt idx="168">
                  <c:v>157.61962110411213</c:v>
                </c:pt>
                <c:pt idx="169">
                  <c:v>159.58598299184158</c:v>
                </c:pt>
                <c:pt idx="170">
                  <c:v>160.09757954460363</c:v>
                </c:pt>
                <c:pt idx="171">
                  <c:v>161.73049911530151</c:v>
                </c:pt>
                <c:pt idx="172">
                  <c:v>167.58181303643781</c:v>
                </c:pt>
                <c:pt idx="173">
                  <c:v>172.2738011470332</c:v>
                </c:pt>
                <c:pt idx="174">
                  <c:v>178.65401994708142</c:v>
                </c:pt>
                <c:pt idx="175">
                  <c:v>181.38135929510341</c:v>
                </c:pt>
                <c:pt idx="176">
                  <c:v>186.0924314200555</c:v>
                </c:pt>
                <c:pt idx="177">
                  <c:v>190.26006866918317</c:v>
                </c:pt>
                <c:pt idx="178">
                  <c:v>190.11463142184024</c:v>
                </c:pt>
                <c:pt idx="179">
                  <c:v>191.47751917516663</c:v>
                </c:pt>
                <c:pt idx="180">
                  <c:v>194.40190253571777</c:v>
                </c:pt>
                <c:pt idx="181">
                  <c:v>197.64530953560177</c:v>
                </c:pt>
                <c:pt idx="182">
                  <c:v>200.42894717291779</c:v>
                </c:pt>
                <c:pt idx="183">
                  <c:v>203.83030215109895</c:v>
                </c:pt>
                <c:pt idx="184">
                  <c:v>209.14423512390792</c:v>
                </c:pt>
                <c:pt idx="185">
                  <c:v>212.10380491526783</c:v>
                </c:pt>
                <c:pt idx="186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6109056"/>
        <c:axId val="346110592"/>
      </c:lineChart>
      <c:dateAx>
        <c:axId val="34610905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46110592"/>
        <c:crosses val="autoZero"/>
        <c:auto val="1"/>
        <c:lblOffset val="100"/>
        <c:baseTimeUnit val="months"/>
      </c:dateAx>
      <c:valAx>
        <c:axId val="3461105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4610905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'Hosing Inventory'!$C$1</c:f>
              <c:strCache>
                <c:ptCount val="1"/>
                <c:pt idx="0">
                  <c:v>Total Housing Inventory (K)</c:v>
                </c:pt>
              </c:strCache>
            </c:strRef>
          </c:tx>
          <c:marker>
            <c:symbol val="none"/>
          </c:marker>
          <c:cat>
            <c:numRef>
              <c:f>'Hosing Inventory'!$A$2:$A$206</c:f>
              <c:numCache>
                <c:formatCode>m/d/yyyy</c:formatCode>
                <c:ptCount val="205"/>
                <c:pt idx="0">
                  <c:v>36191</c:v>
                </c:pt>
                <c:pt idx="1">
                  <c:v>36219</c:v>
                </c:pt>
                <c:pt idx="2">
                  <c:v>36250</c:v>
                </c:pt>
                <c:pt idx="3">
                  <c:v>36280</c:v>
                </c:pt>
                <c:pt idx="4">
                  <c:v>36311</c:v>
                </c:pt>
                <c:pt idx="5">
                  <c:v>36341</c:v>
                </c:pt>
                <c:pt idx="6">
                  <c:v>36372</c:v>
                </c:pt>
                <c:pt idx="7">
                  <c:v>36403</c:v>
                </c:pt>
                <c:pt idx="8">
                  <c:v>36433</c:v>
                </c:pt>
                <c:pt idx="9">
                  <c:v>36464</c:v>
                </c:pt>
                <c:pt idx="10">
                  <c:v>36494</c:v>
                </c:pt>
                <c:pt idx="11">
                  <c:v>36525</c:v>
                </c:pt>
                <c:pt idx="12">
                  <c:v>36556</c:v>
                </c:pt>
                <c:pt idx="13">
                  <c:v>36585</c:v>
                </c:pt>
                <c:pt idx="14">
                  <c:v>36616</c:v>
                </c:pt>
                <c:pt idx="15">
                  <c:v>36646</c:v>
                </c:pt>
                <c:pt idx="16">
                  <c:v>36677</c:v>
                </c:pt>
                <c:pt idx="17">
                  <c:v>36707</c:v>
                </c:pt>
                <c:pt idx="18">
                  <c:v>36738</c:v>
                </c:pt>
                <c:pt idx="19">
                  <c:v>36769</c:v>
                </c:pt>
                <c:pt idx="20">
                  <c:v>36799</c:v>
                </c:pt>
                <c:pt idx="21">
                  <c:v>36830</c:v>
                </c:pt>
                <c:pt idx="22">
                  <c:v>36860</c:v>
                </c:pt>
                <c:pt idx="23">
                  <c:v>36891</c:v>
                </c:pt>
                <c:pt idx="24">
                  <c:v>36922</c:v>
                </c:pt>
                <c:pt idx="25">
                  <c:v>36950</c:v>
                </c:pt>
                <c:pt idx="26">
                  <c:v>36981</c:v>
                </c:pt>
                <c:pt idx="27">
                  <c:v>37011</c:v>
                </c:pt>
                <c:pt idx="28">
                  <c:v>37042</c:v>
                </c:pt>
                <c:pt idx="29">
                  <c:v>37072</c:v>
                </c:pt>
                <c:pt idx="30">
                  <c:v>37103</c:v>
                </c:pt>
                <c:pt idx="31">
                  <c:v>37134</c:v>
                </c:pt>
                <c:pt idx="32">
                  <c:v>37164</c:v>
                </c:pt>
                <c:pt idx="33">
                  <c:v>37195</c:v>
                </c:pt>
                <c:pt idx="34">
                  <c:v>37225</c:v>
                </c:pt>
                <c:pt idx="35">
                  <c:v>37256</c:v>
                </c:pt>
                <c:pt idx="36">
                  <c:v>37287</c:v>
                </c:pt>
                <c:pt idx="37">
                  <c:v>37315</c:v>
                </c:pt>
                <c:pt idx="38">
                  <c:v>37346</c:v>
                </c:pt>
                <c:pt idx="39">
                  <c:v>37376</c:v>
                </c:pt>
                <c:pt idx="40">
                  <c:v>37407</c:v>
                </c:pt>
                <c:pt idx="41">
                  <c:v>37437</c:v>
                </c:pt>
                <c:pt idx="42">
                  <c:v>37468</c:v>
                </c:pt>
                <c:pt idx="43">
                  <c:v>37499</c:v>
                </c:pt>
                <c:pt idx="44">
                  <c:v>37529</c:v>
                </c:pt>
                <c:pt idx="45">
                  <c:v>37560</c:v>
                </c:pt>
                <c:pt idx="46">
                  <c:v>37590</c:v>
                </c:pt>
                <c:pt idx="47">
                  <c:v>37621</c:v>
                </c:pt>
                <c:pt idx="48">
                  <c:v>37652</c:v>
                </c:pt>
                <c:pt idx="49">
                  <c:v>37680</c:v>
                </c:pt>
                <c:pt idx="50">
                  <c:v>37711</c:v>
                </c:pt>
                <c:pt idx="51">
                  <c:v>37741</c:v>
                </c:pt>
                <c:pt idx="52">
                  <c:v>37772</c:v>
                </c:pt>
                <c:pt idx="53">
                  <c:v>37802</c:v>
                </c:pt>
                <c:pt idx="54">
                  <c:v>37833</c:v>
                </c:pt>
                <c:pt idx="55">
                  <c:v>37864</c:v>
                </c:pt>
                <c:pt idx="56">
                  <c:v>37894</c:v>
                </c:pt>
                <c:pt idx="57">
                  <c:v>37925</c:v>
                </c:pt>
                <c:pt idx="58">
                  <c:v>37955</c:v>
                </c:pt>
                <c:pt idx="59">
                  <c:v>37986</c:v>
                </c:pt>
                <c:pt idx="60">
                  <c:v>38017</c:v>
                </c:pt>
                <c:pt idx="61">
                  <c:v>38046</c:v>
                </c:pt>
                <c:pt idx="62">
                  <c:v>38077</c:v>
                </c:pt>
                <c:pt idx="63">
                  <c:v>38107</c:v>
                </c:pt>
                <c:pt idx="64">
                  <c:v>38138</c:v>
                </c:pt>
                <c:pt idx="65">
                  <c:v>38168</c:v>
                </c:pt>
                <c:pt idx="66">
                  <c:v>38199</c:v>
                </c:pt>
                <c:pt idx="67">
                  <c:v>38230</c:v>
                </c:pt>
                <c:pt idx="68">
                  <c:v>38260</c:v>
                </c:pt>
                <c:pt idx="69">
                  <c:v>38291</c:v>
                </c:pt>
                <c:pt idx="70">
                  <c:v>38321</c:v>
                </c:pt>
                <c:pt idx="71">
                  <c:v>38352</c:v>
                </c:pt>
                <c:pt idx="72">
                  <c:v>38383</c:v>
                </c:pt>
                <c:pt idx="73">
                  <c:v>38411</c:v>
                </c:pt>
                <c:pt idx="74">
                  <c:v>38442</c:v>
                </c:pt>
                <c:pt idx="75">
                  <c:v>38472</c:v>
                </c:pt>
                <c:pt idx="76">
                  <c:v>38503</c:v>
                </c:pt>
                <c:pt idx="77">
                  <c:v>38533</c:v>
                </c:pt>
                <c:pt idx="78">
                  <c:v>38564</c:v>
                </c:pt>
                <c:pt idx="79">
                  <c:v>38595</c:v>
                </c:pt>
                <c:pt idx="80">
                  <c:v>38625</c:v>
                </c:pt>
                <c:pt idx="81">
                  <c:v>38656</c:v>
                </c:pt>
                <c:pt idx="82">
                  <c:v>38686</c:v>
                </c:pt>
                <c:pt idx="83">
                  <c:v>38717</c:v>
                </c:pt>
                <c:pt idx="84">
                  <c:v>38748</c:v>
                </c:pt>
                <c:pt idx="85">
                  <c:v>38776</c:v>
                </c:pt>
                <c:pt idx="86">
                  <c:v>38807</c:v>
                </c:pt>
                <c:pt idx="87">
                  <c:v>38837</c:v>
                </c:pt>
                <c:pt idx="88">
                  <c:v>38868</c:v>
                </c:pt>
                <c:pt idx="89">
                  <c:v>38898</c:v>
                </c:pt>
                <c:pt idx="90">
                  <c:v>38929</c:v>
                </c:pt>
                <c:pt idx="91">
                  <c:v>38960</c:v>
                </c:pt>
                <c:pt idx="92">
                  <c:v>38990</c:v>
                </c:pt>
                <c:pt idx="93">
                  <c:v>39021</c:v>
                </c:pt>
                <c:pt idx="94">
                  <c:v>39051</c:v>
                </c:pt>
                <c:pt idx="95">
                  <c:v>39082</c:v>
                </c:pt>
                <c:pt idx="96">
                  <c:v>39113</c:v>
                </c:pt>
                <c:pt idx="97">
                  <c:v>39141</c:v>
                </c:pt>
                <c:pt idx="98">
                  <c:v>39172</c:v>
                </c:pt>
                <c:pt idx="99">
                  <c:v>39202</c:v>
                </c:pt>
                <c:pt idx="100">
                  <c:v>39233</c:v>
                </c:pt>
                <c:pt idx="101">
                  <c:v>39263</c:v>
                </c:pt>
                <c:pt idx="102">
                  <c:v>39294</c:v>
                </c:pt>
                <c:pt idx="103">
                  <c:v>39325</c:v>
                </c:pt>
                <c:pt idx="104">
                  <c:v>39355</c:v>
                </c:pt>
                <c:pt idx="105">
                  <c:v>39386</c:v>
                </c:pt>
                <c:pt idx="106">
                  <c:v>39416</c:v>
                </c:pt>
                <c:pt idx="107">
                  <c:v>39447</c:v>
                </c:pt>
                <c:pt idx="108">
                  <c:v>39478</c:v>
                </c:pt>
                <c:pt idx="109">
                  <c:v>39507</c:v>
                </c:pt>
                <c:pt idx="110">
                  <c:v>39538</c:v>
                </c:pt>
                <c:pt idx="111">
                  <c:v>39568</c:v>
                </c:pt>
                <c:pt idx="112">
                  <c:v>39599</c:v>
                </c:pt>
                <c:pt idx="113">
                  <c:v>39629</c:v>
                </c:pt>
                <c:pt idx="114">
                  <c:v>39660</c:v>
                </c:pt>
                <c:pt idx="115">
                  <c:v>39691</c:v>
                </c:pt>
                <c:pt idx="116">
                  <c:v>39721</c:v>
                </c:pt>
                <c:pt idx="117">
                  <c:v>39752</c:v>
                </c:pt>
                <c:pt idx="118">
                  <c:v>39782</c:v>
                </c:pt>
                <c:pt idx="119">
                  <c:v>39813</c:v>
                </c:pt>
                <c:pt idx="120">
                  <c:v>39844</c:v>
                </c:pt>
                <c:pt idx="121">
                  <c:v>39872</c:v>
                </c:pt>
                <c:pt idx="122">
                  <c:v>39903</c:v>
                </c:pt>
                <c:pt idx="123">
                  <c:v>39933</c:v>
                </c:pt>
                <c:pt idx="124">
                  <c:v>39964</c:v>
                </c:pt>
                <c:pt idx="125">
                  <c:v>39994</c:v>
                </c:pt>
                <c:pt idx="126">
                  <c:v>40025</c:v>
                </c:pt>
                <c:pt idx="127">
                  <c:v>40056</c:v>
                </c:pt>
                <c:pt idx="128">
                  <c:v>40086</c:v>
                </c:pt>
                <c:pt idx="129">
                  <c:v>40117</c:v>
                </c:pt>
                <c:pt idx="130">
                  <c:v>40147</c:v>
                </c:pt>
                <c:pt idx="131">
                  <c:v>40178</c:v>
                </c:pt>
                <c:pt idx="132">
                  <c:v>40209</c:v>
                </c:pt>
                <c:pt idx="133">
                  <c:v>40237</c:v>
                </c:pt>
                <c:pt idx="134">
                  <c:v>40268</c:v>
                </c:pt>
                <c:pt idx="135">
                  <c:v>40298</c:v>
                </c:pt>
                <c:pt idx="136">
                  <c:v>40329</c:v>
                </c:pt>
                <c:pt idx="137">
                  <c:v>40359</c:v>
                </c:pt>
                <c:pt idx="138">
                  <c:v>40390</c:v>
                </c:pt>
                <c:pt idx="139">
                  <c:v>40421</c:v>
                </c:pt>
                <c:pt idx="140">
                  <c:v>40451</c:v>
                </c:pt>
                <c:pt idx="141">
                  <c:v>40482</c:v>
                </c:pt>
                <c:pt idx="142">
                  <c:v>40512</c:v>
                </c:pt>
                <c:pt idx="143">
                  <c:v>40543</c:v>
                </c:pt>
                <c:pt idx="144">
                  <c:v>40574</c:v>
                </c:pt>
                <c:pt idx="145">
                  <c:v>40602</c:v>
                </c:pt>
                <c:pt idx="146">
                  <c:v>40633</c:v>
                </c:pt>
                <c:pt idx="147">
                  <c:v>40663</c:v>
                </c:pt>
                <c:pt idx="148">
                  <c:v>40694</c:v>
                </c:pt>
                <c:pt idx="149">
                  <c:v>40724</c:v>
                </c:pt>
                <c:pt idx="150">
                  <c:v>40755</c:v>
                </c:pt>
                <c:pt idx="151">
                  <c:v>40786</c:v>
                </c:pt>
                <c:pt idx="152">
                  <c:v>40816</c:v>
                </c:pt>
                <c:pt idx="153">
                  <c:v>40847</c:v>
                </c:pt>
                <c:pt idx="154">
                  <c:v>40877</c:v>
                </c:pt>
                <c:pt idx="155">
                  <c:v>40908</c:v>
                </c:pt>
                <c:pt idx="156">
                  <c:v>40939</c:v>
                </c:pt>
                <c:pt idx="157">
                  <c:v>40968</c:v>
                </c:pt>
                <c:pt idx="158">
                  <c:v>40999</c:v>
                </c:pt>
                <c:pt idx="159">
                  <c:v>41029</c:v>
                </c:pt>
                <c:pt idx="160">
                  <c:v>41060</c:v>
                </c:pt>
                <c:pt idx="161">
                  <c:v>41090</c:v>
                </c:pt>
                <c:pt idx="162">
                  <c:v>41121</c:v>
                </c:pt>
                <c:pt idx="163">
                  <c:v>41152</c:v>
                </c:pt>
                <c:pt idx="164">
                  <c:v>41182</c:v>
                </c:pt>
                <c:pt idx="165">
                  <c:v>41213</c:v>
                </c:pt>
                <c:pt idx="166">
                  <c:v>41243</c:v>
                </c:pt>
                <c:pt idx="167">
                  <c:v>41274</c:v>
                </c:pt>
                <c:pt idx="168">
                  <c:v>41305</c:v>
                </c:pt>
                <c:pt idx="169">
                  <c:v>41333</c:v>
                </c:pt>
                <c:pt idx="170">
                  <c:v>41364</c:v>
                </c:pt>
                <c:pt idx="171">
                  <c:v>41394</c:v>
                </c:pt>
                <c:pt idx="172">
                  <c:v>41425</c:v>
                </c:pt>
                <c:pt idx="173">
                  <c:v>41455</c:v>
                </c:pt>
                <c:pt idx="174">
                  <c:v>41486</c:v>
                </c:pt>
                <c:pt idx="175">
                  <c:v>41517</c:v>
                </c:pt>
                <c:pt idx="176">
                  <c:v>41547</c:v>
                </c:pt>
                <c:pt idx="177">
                  <c:v>41578</c:v>
                </c:pt>
                <c:pt idx="178">
                  <c:v>41608</c:v>
                </c:pt>
                <c:pt idx="179">
                  <c:v>41639</c:v>
                </c:pt>
                <c:pt idx="180">
                  <c:v>41670</c:v>
                </c:pt>
                <c:pt idx="181">
                  <c:v>41698</c:v>
                </c:pt>
                <c:pt idx="182">
                  <c:v>41729</c:v>
                </c:pt>
                <c:pt idx="183">
                  <c:v>41759</c:v>
                </c:pt>
                <c:pt idx="184">
                  <c:v>41790</c:v>
                </c:pt>
                <c:pt idx="185">
                  <c:v>41820</c:v>
                </c:pt>
                <c:pt idx="186">
                  <c:v>41851</c:v>
                </c:pt>
                <c:pt idx="187">
                  <c:v>41882</c:v>
                </c:pt>
                <c:pt idx="188">
                  <c:v>41912</c:v>
                </c:pt>
                <c:pt idx="189">
                  <c:v>41943</c:v>
                </c:pt>
                <c:pt idx="190">
                  <c:v>41973</c:v>
                </c:pt>
                <c:pt idx="191">
                  <c:v>42004</c:v>
                </c:pt>
                <c:pt idx="192">
                  <c:v>42035</c:v>
                </c:pt>
                <c:pt idx="193">
                  <c:v>42063</c:v>
                </c:pt>
                <c:pt idx="194">
                  <c:v>42094</c:v>
                </c:pt>
                <c:pt idx="195">
                  <c:v>42124</c:v>
                </c:pt>
                <c:pt idx="196">
                  <c:v>42155</c:v>
                </c:pt>
                <c:pt idx="197">
                  <c:v>42185</c:v>
                </c:pt>
                <c:pt idx="198">
                  <c:v>42216</c:v>
                </c:pt>
                <c:pt idx="199">
                  <c:v>42247</c:v>
                </c:pt>
                <c:pt idx="200">
                  <c:v>42277</c:v>
                </c:pt>
                <c:pt idx="201">
                  <c:v>42308</c:v>
                </c:pt>
                <c:pt idx="202">
                  <c:v>42338</c:v>
                </c:pt>
                <c:pt idx="203">
                  <c:v>42369</c:v>
                </c:pt>
                <c:pt idx="204">
                  <c:v>42400</c:v>
                </c:pt>
              </c:numCache>
            </c:numRef>
          </c:cat>
          <c:val>
            <c:numRef>
              <c:f>'Hosing Inventory'!$C$2:$C$206</c:f>
              <c:numCache>
                <c:formatCode>0.00</c:formatCode>
                <c:ptCount val="205"/>
                <c:pt idx="0">
                  <c:v>70097</c:v>
                </c:pt>
                <c:pt idx="1">
                  <c:v>70193.083333333328</c:v>
                </c:pt>
                <c:pt idx="2">
                  <c:v>70289.166666666672</c:v>
                </c:pt>
                <c:pt idx="3">
                  <c:v>70385.25</c:v>
                </c:pt>
                <c:pt idx="4">
                  <c:v>70481.333333333328</c:v>
                </c:pt>
                <c:pt idx="5">
                  <c:v>70577.416666666672</c:v>
                </c:pt>
                <c:pt idx="6">
                  <c:v>70673.5</c:v>
                </c:pt>
                <c:pt idx="7">
                  <c:v>70769.583333333328</c:v>
                </c:pt>
                <c:pt idx="8">
                  <c:v>70865.666666666672</c:v>
                </c:pt>
                <c:pt idx="9">
                  <c:v>70961.75</c:v>
                </c:pt>
                <c:pt idx="10">
                  <c:v>71057.833333333328</c:v>
                </c:pt>
                <c:pt idx="11">
                  <c:v>71153.916666666672</c:v>
                </c:pt>
                <c:pt idx="12">
                  <c:v>71250</c:v>
                </c:pt>
                <c:pt idx="13">
                  <c:v>71361.916666666672</c:v>
                </c:pt>
                <c:pt idx="14">
                  <c:v>71473.833333333328</c:v>
                </c:pt>
                <c:pt idx="15">
                  <c:v>71585.75</c:v>
                </c:pt>
                <c:pt idx="16">
                  <c:v>71697.666666666672</c:v>
                </c:pt>
                <c:pt idx="17">
                  <c:v>71809.583333333328</c:v>
                </c:pt>
                <c:pt idx="18">
                  <c:v>71921.5</c:v>
                </c:pt>
                <c:pt idx="19">
                  <c:v>72033.416666666672</c:v>
                </c:pt>
                <c:pt idx="20">
                  <c:v>72145.333333333328</c:v>
                </c:pt>
                <c:pt idx="21">
                  <c:v>72257.25</c:v>
                </c:pt>
                <c:pt idx="22">
                  <c:v>72369.166666666672</c:v>
                </c:pt>
                <c:pt idx="23">
                  <c:v>72481.083333333328</c:v>
                </c:pt>
                <c:pt idx="24">
                  <c:v>72593</c:v>
                </c:pt>
                <c:pt idx="25">
                  <c:v>72686.333333333328</c:v>
                </c:pt>
                <c:pt idx="26">
                  <c:v>72779.666666666672</c:v>
                </c:pt>
                <c:pt idx="27">
                  <c:v>72873</c:v>
                </c:pt>
                <c:pt idx="28">
                  <c:v>72966.333333333328</c:v>
                </c:pt>
                <c:pt idx="29">
                  <c:v>73059.666666666672</c:v>
                </c:pt>
                <c:pt idx="30">
                  <c:v>73153</c:v>
                </c:pt>
                <c:pt idx="31">
                  <c:v>73246.333333333328</c:v>
                </c:pt>
                <c:pt idx="32">
                  <c:v>73339.666666666672</c:v>
                </c:pt>
                <c:pt idx="33">
                  <c:v>73433</c:v>
                </c:pt>
                <c:pt idx="34">
                  <c:v>73526.333333333328</c:v>
                </c:pt>
                <c:pt idx="35">
                  <c:v>73619.666666666672</c:v>
                </c:pt>
                <c:pt idx="36">
                  <c:v>73713</c:v>
                </c:pt>
                <c:pt idx="37">
                  <c:v>73510.083333333328</c:v>
                </c:pt>
                <c:pt idx="38">
                  <c:v>73307.166666666672</c:v>
                </c:pt>
                <c:pt idx="39">
                  <c:v>73104.25</c:v>
                </c:pt>
                <c:pt idx="40">
                  <c:v>72901.333333333328</c:v>
                </c:pt>
                <c:pt idx="41">
                  <c:v>72698.416666666672</c:v>
                </c:pt>
                <c:pt idx="42">
                  <c:v>72495.5</c:v>
                </c:pt>
                <c:pt idx="43">
                  <c:v>72292.583333333328</c:v>
                </c:pt>
                <c:pt idx="44">
                  <c:v>72089.666666666672</c:v>
                </c:pt>
                <c:pt idx="45">
                  <c:v>71886.75</c:v>
                </c:pt>
                <c:pt idx="46">
                  <c:v>71683.833333333328</c:v>
                </c:pt>
                <c:pt idx="47">
                  <c:v>71480.916666666672</c:v>
                </c:pt>
                <c:pt idx="48">
                  <c:v>71278</c:v>
                </c:pt>
                <c:pt idx="49">
                  <c:v>71342.666666666672</c:v>
                </c:pt>
                <c:pt idx="50">
                  <c:v>71407.333333333328</c:v>
                </c:pt>
                <c:pt idx="51">
                  <c:v>71472</c:v>
                </c:pt>
                <c:pt idx="52">
                  <c:v>71536.666666666672</c:v>
                </c:pt>
                <c:pt idx="53">
                  <c:v>71601.333333333328</c:v>
                </c:pt>
                <c:pt idx="54">
                  <c:v>71666</c:v>
                </c:pt>
                <c:pt idx="55">
                  <c:v>71730.666666666672</c:v>
                </c:pt>
                <c:pt idx="56">
                  <c:v>71795.333333333328</c:v>
                </c:pt>
                <c:pt idx="57">
                  <c:v>71860</c:v>
                </c:pt>
                <c:pt idx="58">
                  <c:v>71924.666666666672</c:v>
                </c:pt>
                <c:pt idx="59">
                  <c:v>71989.333333333328</c:v>
                </c:pt>
                <c:pt idx="60">
                  <c:v>72054</c:v>
                </c:pt>
                <c:pt idx="61">
                  <c:v>72180.75</c:v>
                </c:pt>
                <c:pt idx="62">
                  <c:v>72307.5</c:v>
                </c:pt>
                <c:pt idx="63">
                  <c:v>72434.25</c:v>
                </c:pt>
                <c:pt idx="64">
                  <c:v>72561</c:v>
                </c:pt>
                <c:pt idx="65">
                  <c:v>72687.75</c:v>
                </c:pt>
                <c:pt idx="66">
                  <c:v>72814.5</c:v>
                </c:pt>
                <c:pt idx="67">
                  <c:v>72941.25</c:v>
                </c:pt>
                <c:pt idx="68">
                  <c:v>73068</c:v>
                </c:pt>
                <c:pt idx="69">
                  <c:v>73194.75</c:v>
                </c:pt>
                <c:pt idx="70">
                  <c:v>73321.5</c:v>
                </c:pt>
                <c:pt idx="71">
                  <c:v>73448.25</c:v>
                </c:pt>
                <c:pt idx="72">
                  <c:v>73575</c:v>
                </c:pt>
                <c:pt idx="73">
                  <c:v>73656.5</c:v>
                </c:pt>
                <c:pt idx="74">
                  <c:v>73738</c:v>
                </c:pt>
                <c:pt idx="75">
                  <c:v>73819.5</c:v>
                </c:pt>
                <c:pt idx="76">
                  <c:v>73901</c:v>
                </c:pt>
                <c:pt idx="77">
                  <c:v>73982.5</c:v>
                </c:pt>
                <c:pt idx="78">
                  <c:v>74064</c:v>
                </c:pt>
                <c:pt idx="79">
                  <c:v>74145.5</c:v>
                </c:pt>
                <c:pt idx="80">
                  <c:v>74227</c:v>
                </c:pt>
                <c:pt idx="81">
                  <c:v>74308.5</c:v>
                </c:pt>
                <c:pt idx="82">
                  <c:v>74390</c:v>
                </c:pt>
                <c:pt idx="83">
                  <c:v>74471.5</c:v>
                </c:pt>
                <c:pt idx="84">
                  <c:v>74553</c:v>
                </c:pt>
                <c:pt idx="85">
                  <c:v>74621.916666666672</c:v>
                </c:pt>
                <c:pt idx="86">
                  <c:v>74690.833333333328</c:v>
                </c:pt>
                <c:pt idx="87">
                  <c:v>74759.75</c:v>
                </c:pt>
                <c:pt idx="88">
                  <c:v>74828.666666666672</c:v>
                </c:pt>
                <c:pt idx="89">
                  <c:v>74897.583333333328</c:v>
                </c:pt>
                <c:pt idx="90">
                  <c:v>74966.5</c:v>
                </c:pt>
                <c:pt idx="91">
                  <c:v>75035.416666666672</c:v>
                </c:pt>
                <c:pt idx="92">
                  <c:v>75104.333333333328</c:v>
                </c:pt>
                <c:pt idx="93">
                  <c:v>75173.25</c:v>
                </c:pt>
                <c:pt idx="94">
                  <c:v>75242.166666666672</c:v>
                </c:pt>
                <c:pt idx="95">
                  <c:v>75311.083333333328</c:v>
                </c:pt>
                <c:pt idx="96">
                  <c:v>75380</c:v>
                </c:pt>
                <c:pt idx="97">
                  <c:v>75361.583333333328</c:v>
                </c:pt>
                <c:pt idx="98">
                  <c:v>75343.166666666672</c:v>
                </c:pt>
                <c:pt idx="99">
                  <c:v>75324.75</c:v>
                </c:pt>
                <c:pt idx="100">
                  <c:v>75306.333333333328</c:v>
                </c:pt>
                <c:pt idx="101">
                  <c:v>75287.916666666672</c:v>
                </c:pt>
                <c:pt idx="102">
                  <c:v>75269.5</c:v>
                </c:pt>
                <c:pt idx="103">
                  <c:v>75251.083333333328</c:v>
                </c:pt>
                <c:pt idx="104">
                  <c:v>75232.666666666672</c:v>
                </c:pt>
                <c:pt idx="105">
                  <c:v>75214.25</c:v>
                </c:pt>
                <c:pt idx="106">
                  <c:v>75195.833333333328</c:v>
                </c:pt>
                <c:pt idx="107">
                  <c:v>75177.416666666672</c:v>
                </c:pt>
                <c:pt idx="108">
                  <c:v>75159</c:v>
                </c:pt>
                <c:pt idx="109">
                  <c:v>75192.916666666672</c:v>
                </c:pt>
                <c:pt idx="110">
                  <c:v>75226.833333333328</c:v>
                </c:pt>
                <c:pt idx="111">
                  <c:v>75260.75</c:v>
                </c:pt>
                <c:pt idx="112">
                  <c:v>75294.666666666672</c:v>
                </c:pt>
                <c:pt idx="113">
                  <c:v>75328.583333333328</c:v>
                </c:pt>
                <c:pt idx="114">
                  <c:v>75362.5</c:v>
                </c:pt>
                <c:pt idx="115">
                  <c:v>75396.416666666672</c:v>
                </c:pt>
                <c:pt idx="116">
                  <c:v>75430.333333333328</c:v>
                </c:pt>
                <c:pt idx="117">
                  <c:v>75464.25</c:v>
                </c:pt>
                <c:pt idx="118">
                  <c:v>75498.166666666672</c:v>
                </c:pt>
                <c:pt idx="119">
                  <c:v>75532.083333333328</c:v>
                </c:pt>
                <c:pt idx="120">
                  <c:v>75566</c:v>
                </c:pt>
                <c:pt idx="121">
                  <c:v>75520</c:v>
                </c:pt>
                <c:pt idx="122">
                  <c:v>75474</c:v>
                </c:pt>
                <c:pt idx="123">
                  <c:v>75428</c:v>
                </c:pt>
                <c:pt idx="124">
                  <c:v>75382</c:v>
                </c:pt>
                <c:pt idx="125">
                  <c:v>75336</c:v>
                </c:pt>
                <c:pt idx="126">
                  <c:v>75290</c:v>
                </c:pt>
                <c:pt idx="127">
                  <c:v>75244</c:v>
                </c:pt>
                <c:pt idx="128">
                  <c:v>75198</c:v>
                </c:pt>
                <c:pt idx="129">
                  <c:v>75152</c:v>
                </c:pt>
                <c:pt idx="130">
                  <c:v>75106</c:v>
                </c:pt>
                <c:pt idx="131">
                  <c:v>75060</c:v>
                </c:pt>
                <c:pt idx="132">
                  <c:v>75014</c:v>
                </c:pt>
                <c:pt idx="133">
                  <c:v>74995.416666666672</c:v>
                </c:pt>
                <c:pt idx="134">
                  <c:v>74976.833333333328</c:v>
                </c:pt>
                <c:pt idx="135">
                  <c:v>74958.25</c:v>
                </c:pt>
                <c:pt idx="136">
                  <c:v>74939.666666666672</c:v>
                </c:pt>
                <c:pt idx="137">
                  <c:v>74921.083333333328</c:v>
                </c:pt>
                <c:pt idx="138">
                  <c:v>74902.5</c:v>
                </c:pt>
                <c:pt idx="139">
                  <c:v>74883.916666666672</c:v>
                </c:pt>
                <c:pt idx="140">
                  <c:v>74865.333333333328</c:v>
                </c:pt>
                <c:pt idx="141">
                  <c:v>74846.75</c:v>
                </c:pt>
                <c:pt idx="142">
                  <c:v>74828.166666666672</c:v>
                </c:pt>
                <c:pt idx="143">
                  <c:v>74809.583333333328</c:v>
                </c:pt>
                <c:pt idx="144">
                  <c:v>74791</c:v>
                </c:pt>
                <c:pt idx="145">
                  <c:v>74816</c:v>
                </c:pt>
                <c:pt idx="146">
                  <c:v>74841</c:v>
                </c:pt>
                <c:pt idx="147">
                  <c:v>74866</c:v>
                </c:pt>
                <c:pt idx="148">
                  <c:v>74891</c:v>
                </c:pt>
                <c:pt idx="149">
                  <c:v>74916</c:v>
                </c:pt>
                <c:pt idx="150">
                  <c:v>74941</c:v>
                </c:pt>
                <c:pt idx="151">
                  <c:v>74966</c:v>
                </c:pt>
                <c:pt idx="152">
                  <c:v>74991</c:v>
                </c:pt>
                <c:pt idx="153">
                  <c:v>75016</c:v>
                </c:pt>
                <c:pt idx="154">
                  <c:v>75041</c:v>
                </c:pt>
                <c:pt idx="155">
                  <c:v>75066</c:v>
                </c:pt>
                <c:pt idx="156">
                  <c:v>75091</c:v>
                </c:pt>
                <c:pt idx="157">
                  <c:v>75055.75</c:v>
                </c:pt>
                <c:pt idx="158">
                  <c:v>75020.5</c:v>
                </c:pt>
                <c:pt idx="159">
                  <c:v>74985.25</c:v>
                </c:pt>
                <c:pt idx="160">
                  <c:v>74950</c:v>
                </c:pt>
                <c:pt idx="161">
                  <c:v>74914.75</c:v>
                </c:pt>
                <c:pt idx="162">
                  <c:v>74879.5</c:v>
                </c:pt>
                <c:pt idx="163">
                  <c:v>74844.25</c:v>
                </c:pt>
                <c:pt idx="164">
                  <c:v>74809</c:v>
                </c:pt>
                <c:pt idx="165">
                  <c:v>74773.75</c:v>
                </c:pt>
                <c:pt idx="166">
                  <c:v>74738.5</c:v>
                </c:pt>
                <c:pt idx="167">
                  <c:v>74703.25</c:v>
                </c:pt>
                <c:pt idx="168">
                  <c:v>74668</c:v>
                </c:pt>
                <c:pt idx="169">
                  <c:v>74647.916666666672</c:v>
                </c:pt>
                <c:pt idx="170">
                  <c:v>74627.833333333328</c:v>
                </c:pt>
                <c:pt idx="171">
                  <c:v>74607.75</c:v>
                </c:pt>
                <c:pt idx="172">
                  <c:v>74587.666666666672</c:v>
                </c:pt>
                <c:pt idx="173">
                  <c:v>74567.583333333328</c:v>
                </c:pt>
                <c:pt idx="174">
                  <c:v>74547.5</c:v>
                </c:pt>
                <c:pt idx="175">
                  <c:v>74527.416666666672</c:v>
                </c:pt>
                <c:pt idx="176">
                  <c:v>74507.333333333328</c:v>
                </c:pt>
                <c:pt idx="177">
                  <c:v>74487.25</c:v>
                </c:pt>
                <c:pt idx="178">
                  <c:v>74467.166666666672</c:v>
                </c:pt>
                <c:pt idx="179">
                  <c:v>74447.083333333328</c:v>
                </c:pt>
                <c:pt idx="180">
                  <c:v>74427</c:v>
                </c:pt>
                <c:pt idx="181">
                  <c:v>74450.25</c:v>
                </c:pt>
                <c:pt idx="182">
                  <c:v>74473.5</c:v>
                </c:pt>
                <c:pt idx="183">
                  <c:v>74496.75</c:v>
                </c:pt>
                <c:pt idx="184">
                  <c:v>74520</c:v>
                </c:pt>
                <c:pt idx="185">
                  <c:v>74543.25</c:v>
                </c:pt>
                <c:pt idx="186">
                  <c:v>74566.5</c:v>
                </c:pt>
                <c:pt idx="187">
                  <c:v>74589.75</c:v>
                </c:pt>
                <c:pt idx="188">
                  <c:v>74613</c:v>
                </c:pt>
                <c:pt idx="189">
                  <c:v>74636.25</c:v>
                </c:pt>
                <c:pt idx="190">
                  <c:v>74659.5</c:v>
                </c:pt>
                <c:pt idx="191">
                  <c:v>74682.75</c:v>
                </c:pt>
                <c:pt idx="192">
                  <c:v>74706</c:v>
                </c:pt>
                <c:pt idx="193">
                  <c:v>74706</c:v>
                </c:pt>
                <c:pt idx="194">
                  <c:v>74706</c:v>
                </c:pt>
                <c:pt idx="195">
                  <c:v>74706</c:v>
                </c:pt>
                <c:pt idx="196">
                  <c:v>74706</c:v>
                </c:pt>
                <c:pt idx="197">
                  <c:v>74706</c:v>
                </c:pt>
                <c:pt idx="198">
                  <c:v>74706</c:v>
                </c:pt>
                <c:pt idx="199">
                  <c:v>74706</c:v>
                </c:pt>
                <c:pt idx="200">
                  <c:v>74706</c:v>
                </c:pt>
                <c:pt idx="201">
                  <c:v>74706</c:v>
                </c:pt>
                <c:pt idx="202">
                  <c:v>74706</c:v>
                </c:pt>
                <c:pt idx="203">
                  <c:v>74706</c:v>
                </c:pt>
                <c:pt idx="204">
                  <c:v>74706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8006272"/>
        <c:axId val="348057600"/>
      </c:lineChart>
      <c:lineChart>
        <c:grouping val="standard"/>
        <c:varyColors val="0"/>
        <c:ser>
          <c:idx val="1"/>
          <c:order val="1"/>
          <c:tx>
            <c:strRef>
              <c:f>'Hosing Inventory'!$D$1</c:f>
              <c:strCache>
                <c:ptCount val="1"/>
                <c:pt idx="0">
                  <c:v>Normalized</c:v>
                </c:pt>
              </c:strCache>
            </c:strRef>
          </c:tx>
          <c:marker>
            <c:symbol val="none"/>
          </c:marker>
          <c:cat>
            <c:numRef>
              <c:f>'Hosing Inventory'!$A$2:$A$206</c:f>
              <c:numCache>
                <c:formatCode>m/d/yyyy</c:formatCode>
                <c:ptCount val="205"/>
                <c:pt idx="0">
                  <c:v>36191</c:v>
                </c:pt>
                <c:pt idx="1">
                  <c:v>36219</c:v>
                </c:pt>
                <c:pt idx="2">
                  <c:v>36250</c:v>
                </c:pt>
                <c:pt idx="3">
                  <c:v>36280</c:v>
                </c:pt>
                <c:pt idx="4">
                  <c:v>36311</c:v>
                </c:pt>
                <c:pt idx="5">
                  <c:v>36341</c:v>
                </c:pt>
                <c:pt idx="6">
                  <c:v>36372</c:v>
                </c:pt>
                <c:pt idx="7">
                  <c:v>36403</c:v>
                </c:pt>
                <c:pt idx="8">
                  <c:v>36433</c:v>
                </c:pt>
                <c:pt idx="9">
                  <c:v>36464</c:v>
                </c:pt>
                <c:pt idx="10">
                  <c:v>36494</c:v>
                </c:pt>
                <c:pt idx="11">
                  <c:v>36525</c:v>
                </c:pt>
                <c:pt idx="12">
                  <c:v>36556</c:v>
                </c:pt>
                <c:pt idx="13">
                  <c:v>36585</c:v>
                </c:pt>
                <c:pt idx="14">
                  <c:v>36616</c:v>
                </c:pt>
                <c:pt idx="15">
                  <c:v>36646</c:v>
                </c:pt>
                <c:pt idx="16">
                  <c:v>36677</c:v>
                </c:pt>
                <c:pt idx="17">
                  <c:v>36707</c:v>
                </c:pt>
                <c:pt idx="18">
                  <c:v>36738</c:v>
                </c:pt>
                <c:pt idx="19">
                  <c:v>36769</c:v>
                </c:pt>
                <c:pt idx="20">
                  <c:v>36799</c:v>
                </c:pt>
                <c:pt idx="21">
                  <c:v>36830</c:v>
                </c:pt>
                <c:pt idx="22">
                  <c:v>36860</c:v>
                </c:pt>
                <c:pt idx="23">
                  <c:v>36891</c:v>
                </c:pt>
                <c:pt idx="24">
                  <c:v>36922</c:v>
                </c:pt>
                <c:pt idx="25">
                  <c:v>36950</c:v>
                </c:pt>
                <c:pt idx="26">
                  <c:v>36981</c:v>
                </c:pt>
                <c:pt idx="27">
                  <c:v>37011</c:v>
                </c:pt>
                <c:pt idx="28">
                  <c:v>37042</c:v>
                </c:pt>
                <c:pt idx="29">
                  <c:v>37072</c:v>
                </c:pt>
                <c:pt idx="30">
                  <c:v>37103</c:v>
                </c:pt>
                <c:pt idx="31">
                  <c:v>37134</c:v>
                </c:pt>
                <c:pt idx="32">
                  <c:v>37164</c:v>
                </c:pt>
                <c:pt idx="33">
                  <c:v>37195</c:v>
                </c:pt>
                <c:pt idx="34">
                  <c:v>37225</c:v>
                </c:pt>
                <c:pt idx="35">
                  <c:v>37256</c:v>
                </c:pt>
                <c:pt idx="36">
                  <c:v>37287</c:v>
                </c:pt>
                <c:pt idx="37">
                  <c:v>37315</c:v>
                </c:pt>
                <c:pt idx="38">
                  <c:v>37346</c:v>
                </c:pt>
                <c:pt idx="39">
                  <c:v>37376</c:v>
                </c:pt>
                <c:pt idx="40">
                  <c:v>37407</c:v>
                </c:pt>
                <c:pt idx="41">
                  <c:v>37437</c:v>
                </c:pt>
                <c:pt idx="42">
                  <c:v>37468</c:v>
                </c:pt>
                <c:pt idx="43">
                  <c:v>37499</c:v>
                </c:pt>
                <c:pt idx="44">
                  <c:v>37529</c:v>
                </c:pt>
                <c:pt idx="45">
                  <c:v>37560</c:v>
                </c:pt>
                <c:pt idx="46">
                  <c:v>37590</c:v>
                </c:pt>
                <c:pt idx="47">
                  <c:v>37621</c:v>
                </c:pt>
                <c:pt idx="48">
                  <c:v>37652</c:v>
                </c:pt>
                <c:pt idx="49">
                  <c:v>37680</c:v>
                </c:pt>
                <c:pt idx="50">
                  <c:v>37711</c:v>
                </c:pt>
                <c:pt idx="51">
                  <c:v>37741</c:v>
                </c:pt>
                <c:pt idx="52">
                  <c:v>37772</c:v>
                </c:pt>
                <c:pt idx="53">
                  <c:v>37802</c:v>
                </c:pt>
                <c:pt idx="54">
                  <c:v>37833</c:v>
                </c:pt>
                <c:pt idx="55">
                  <c:v>37864</c:v>
                </c:pt>
                <c:pt idx="56">
                  <c:v>37894</c:v>
                </c:pt>
                <c:pt idx="57">
                  <c:v>37925</c:v>
                </c:pt>
                <c:pt idx="58">
                  <c:v>37955</c:v>
                </c:pt>
                <c:pt idx="59">
                  <c:v>37986</c:v>
                </c:pt>
                <c:pt idx="60">
                  <c:v>38017</c:v>
                </c:pt>
                <c:pt idx="61">
                  <c:v>38046</c:v>
                </c:pt>
                <c:pt idx="62">
                  <c:v>38077</c:v>
                </c:pt>
                <c:pt idx="63">
                  <c:v>38107</c:v>
                </c:pt>
                <c:pt idx="64">
                  <c:v>38138</c:v>
                </c:pt>
                <c:pt idx="65">
                  <c:v>38168</c:v>
                </c:pt>
                <c:pt idx="66">
                  <c:v>38199</c:v>
                </c:pt>
                <c:pt idx="67">
                  <c:v>38230</c:v>
                </c:pt>
                <c:pt idx="68">
                  <c:v>38260</c:v>
                </c:pt>
                <c:pt idx="69">
                  <c:v>38291</c:v>
                </c:pt>
                <c:pt idx="70">
                  <c:v>38321</c:v>
                </c:pt>
                <c:pt idx="71">
                  <c:v>38352</c:v>
                </c:pt>
                <c:pt idx="72">
                  <c:v>38383</c:v>
                </c:pt>
                <c:pt idx="73">
                  <c:v>38411</c:v>
                </c:pt>
                <c:pt idx="74">
                  <c:v>38442</c:v>
                </c:pt>
                <c:pt idx="75">
                  <c:v>38472</c:v>
                </c:pt>
                <c:pt idx="76">
                  <c:v>38503</c:v>
                </c:pt>
                <c:pt idx="77">
                  <c:v>38533</c:v>
                </c:pt>
                <c:pt idx="78">
                  <c:v>38564</c:v>
                </c:pt>
                <c:pt idx="79">
                  <c:v>38595</c:v>
                </c:pt>
                <c:pt idx="80">
                  <c:v>38625</c:v>
                </c:pt>
                <c:pt idx="81">
                  <c:v>38656</c:v>
                </c:pt>
                <c:pt idx="82">
                  <c:v>38686</c:v>
                </c:pt>
                <c:pt idx="83">
                  <c:v>38717</c:v>
                </c:pt>
                <c:pt idx="84">
                  <c:v>38748</c:v>
                </c:pt>
                <c:pt idx="85">
                  <c:v>38776</c:v>
                </c:pt>
                <c:pt idx="86">
                  <c:v>38807</c:v>
                </c:pt>
                <c:pt idx="87">
                  <c:v>38837</c:v>
                </c:pt>
                <c:pt idx="88">
                  <c:v>38868</c:v>
                </c:pt>
                <c:pt idx="89">
                  <c:v>38898</c:v>
                </c:pt>
                <c:pt idx="90">
                  <c:v>38929</c:v>
                </c:pt>
                <c:pt idx="91">
                  <c:v>38960</c:v>
                </c:pt>
                <c:pt idx="92">
                  <c:v>38990</c:v>
                </c:pt>
                <c:pt idx="93">
                  <c:v>39021</c:v>
                </c:pt>
                <c:pt idx="94">
                  <c:v>39051</c:v>
                </c:pt>
                <c:pt idx="95">
                  <c:v>39082</c:v>
                </c:pt>
                <c:pt idx="96">
                  <c:v>39113</c:v>
                </c:pt>
                <c:pt idx="97">
                  <c:v>39141</c:v>
                </c:pt>
                <c:pt idx="98">
                  <c:v>39172</c:v>
                </c:pt>
                <c:pt idx="99">
                  <c:v>39202</c:v>
                </c:pt>
                <c:pt idx="100">
                  <c:v>39233</c:v>
                </c:pt>
                <c:pt idx="101">
                  <c:v>39263</c:v>
                </c:pt>
                <c:pt idx="102">
                  <c:v>39294</c:v>
                </c:pt>
                <c:pt idx="103">
                  <c:v>39325</c:v>
                </c:pt>
                <c:pt idx="104">
                  <c:v>39355</c:v>
                </c:pt>
                <c:pt idx="105">
                  <c:v>39386</c:v>
                </c:pt>
                <c:pt idx="106">
                  <c:v>39416</c:v>
                </c:pt>
                <c:pt idx="107">
                  <c:v>39447</c:v>
                </c:pt>
                <c:pt idx="108">
                  <c:v>39478</c:v>
                </c:pt>
                <c:pt idx="109">
                  <c:v>39507</c:v>
                </c:pt>
                <c:pt idx="110">
                  <c:v>39538</c:v>
                </c:pt>
                <c:pt idx="111">
                  <c:v>39568</c:v>
                </c:pt>
                <c:pt idx="112">
                  <c:v>39599</c:v>
                </c:pt>
                <c:pt idx="113">
                  <c:v>39629</c:v>
                </c:pt>
                <c:pt idx="114">
                  <c:v>39660</c:v>
                </c:pt>
                <c:pt idx="115">
                  <c:v>39691</c:v>
                </c:pt>
                <c:pt idx="116">
                  <c:v>39721</c:v>
                </c:pt>
                <c:pt idx="117">
                  <c:v>39752</c:v>
                </c:pt>
                <c:pt idx="118">
                  <c:v>39782</c:v>
                </c:pt>
                <c:pt idx="119">
                  <c:v>39813</c:v>
                </c:pt>
                <c:pt idx="120">
                  <c:v>39844</c:v>
                </c:pt>
                <c:pt idx="121">
                  <c:v>39872</c:v>
                </c:pt>
                <c:pt idx="122">
                  <c:v>39903</c:v>
                </c:pt>
                <c:pt idx="123">
                  <c:v>39933</c:v>
                </c:pt>
                <c:pt idx="124">
                  <c:v>39964</c:v>
                </c:pt>
                <c:pt idx="125">
                  <c:v>39994</c:v>
                </c:pt>
                <c:pt idx="126">
                  <c:v>40025</c:v>
                </c:pt>
                <c:pt idx="127">
                  <c:v>40056</c:v>
                </c:pt>
                <c:pt idx="128">
                  <c:v>40086</c:v>
                </c:pt>
                <c:pt idx="129">
                  <c:v>40117</c:v>
                </c:pt>
                <c:pt idx="130">
                  <c:v>40147</c:v>
                </c:pt>
                <c:pt idx="131">
                  <c:v>40178</c:v>
                </c:pt>
                <c:pt idx="132">
                  <c:v>40209</c:v>
                </c:pt>
                <c:pt idx="133">
                  <c:v>40237</c:v>
                </c:pt>
                <c:pt idx="134">
                  <c:v>40268</c:v>
                </c:pt>
                <c:pt idx="135">
                  <c:v>40298</c:v>
                </c:pt>
                <c:pt idx="136">
                  <c:v>40329</c:v>
                </c:pt>
                <c:pt idx="137">
                  <c:v>40359</c:v>
                </c:pt>
                <c:pt idx="138">
                  <c:v>40390</c:v>
                </c:pt>
                <c:pt idx="139">
                  <c:v>40421</c:v>
                </c:pt>
                <c:pt idx="140">
                  <c:v>40451</c:v>
                </c:pt>
                <c:pt idx="141">
                  <c:v>40482</c:v>
                </c:pt>
                <c:pt idx="142">
                  <c:v>40512</c:v>
                </c:pt>
                <c:pt idx="143">
                  <c:v>40543</c:v>
                </c:pt>
                <c:pt idx="144">
                  <c:v>40574</c:v>
                </c:pt>
                <c:pt idx="145">
                  <c:v>40602</c:v>
                </c:pt>
                <c:pt idx="146">
                  <c:v>40633</c:v>
                </c:pt>
                <c:pt idx="147">
                  <c:v>40663</c:v>
                </c:pt>
                <c:pt idx="148">
                  <c:v>40694</c:v>
                </c:pt>
                <c:pt idx="149">
                  <c:v>40724</c:v>
                </c:pt>
                <c:pt idx="150">
                  <c:v>40755</c:v>
                </c:pt>
                <c:pt idx="151">
                  <c:v>40786</c:v>
                </c:pt>
                <c:pt idx="152">
                  <c:v>40816</c:v>
                </c:pt>
                <c:pt idx="153">
                  <c:v>40847</c:v>
                </c:pt>
                <c:pt idx="154">
                  <c:v>40877</c:v>
                </c:pt>
                <c:pt idx="155">
                  <c:v>40908</c:v>
                </c:pt>
                <c:pt idx="156">
                  <c:v>40939</c:v>
                </c:pt>
                <c:pt idx="157">
                  <c:v>40968</c:v>
                </c:pt>
                <c:pt idx="158">
                  <c:v>40999</c:v>
                </c:pt>
                <c:pt idx="159">
                  <c:v>41029</c:v>
                </c:pt>
                <c:pt idx="160">
                  <c:v>41060</c:v>
                </c:pt>
                <c:pt idx="161">
                  <c:v>41090</c:v>
                </c:pt>
                <c:pt idx="162">
                  <c:v>41121</c:v>
                </c:pt>
                <c:pt idx="163">
                  <c:v>41152</c:v>
                </c:pt>
                <c:pt idx="164">
                  <c:v>41182</c:v>
                </c:pt>
                <c:pt idx="165">
                  <c:v>41213</c:v>
                </c:pt>
                <c:pt idx="166">
                  <c:v>41243</c:v>
                </c:pt>
                <c:pt idx="167">
                  <c:v>41274</c:v>
                </c:pt>
                <c:pt idx="168">
                  <c:v>41305</c:v>
                </c:pt>
                <c:pt idx="169">
                  <c:v>41333</c:v>
                </c:pt>
                <c:pt idx="170">
                  <c:v>41364</c:v>
                </c:pt>
                <c:pt idx="171">
                  <c:v>41394</c:v>
                </c:pt>
                <c:pt idx="172">
                  <c:v>41425</c:v>
                </c:pt>
                <c:pt idx="173">
                  <c:v>41455</c:v>
                </c:pt>
                <c:pt idx="174">
                  <c:v>41486</c:v>
                </c:pt>
                <c:pt idx="175">
                  <c:v>41517</c:v>
                </c:pt>
                <c:pt idx="176">
                  <c:v>41547</c:v>
                </c:pt>
                <c:pt idx="177">
                  <c:v>41578</c:v>
                </c:pt>
                <c:pt idx="178">
                  <c:v>41608</c:v>
                </c:pt>
                <c:pt idx="179">
                  <c:v>41639</c:v>
                </c:pt>
                <c:pt idx="180">
                  <c:v>41670</c:v>
                </c:pt>
                <c:pt idx="181">
                  <c:v>41698</c:v>
                </c:pt>
                <c:pt idx="182">
                  <c:v>41729</c:v>
                </c:pt>
                <c:pt idx="183">
                  <c:v>41759</c:v>
                </c:pt>
                <c:pt idx="184">
                  <c:v>41790</c:v>
                </c:pt>
                <c:pt idx="185">
                  <c:v>41820</c:v>
                </c:pt>
                <c:pt idx="186">
                  <c:v>41851</c:v>
                </c:pt>
                <c:pt idx="187">
                  <c:v>41882</c:v>
                </c:pt>
                <c:pt idx="188">
                  <c:v>41912</c:v>
                </c:pt>
                <c:pt idx="189">
                  <c:v>41943</c:v>
                </c:pt>
                <c:pt idx="190">
                  <c:v>41973</c:v>
                </c:pt>
                <c:pt idx="191">
                  <c:v>42004</c:v>
                </c:pt>
                <c:pt idx="192">
                  <c:v>42035</c:v>
                </c:pt>
                <c:pt idx="193">
                  <c:v>42063</c:v>
                </c:pt>
                <c:pt idx="194">
                  <c:v>42094</c:v>
                </c:pt>
                <c:pt idx="195">
                  <c:v>42124</c:v>
                </c:pt>
                <c:pt idx="196">
                  <c:v>42155</c:v>
                </c:pt>
                <c:pt idx="197">
                  <c:v>42185</c:v>
                </c:pt>
                <c:pt idx="198">
                  <c:v>42216</c:v>
                </c:pt>
                <c:pt idx="199">
                  <c:v>42247</c:v>
                </c:pt>
                <c:pt idx="200">
                  <c:v>42277</c:v>
                </c:pt>
                <c:pt idx="201">
                  <c:v>42308</c:v>
                </c:pt>
                <c:pt idx="202">
                  <c:v>42338</c:v>
                </c:pt>
                <c:pt idx="203">
                  <c:v>42369</c:v>
                </c:pt>
                <c:pt idx="204">
                  <c:v>42400</c:v>
                </c:pt>
              </c:numCache>
            </c:numRef>
          </c:cat>
          <c:val>
            <c:numRef>
              <c:f>'Hosing Inventory'!$D$2:$D$206</c:f>
              <c:numCache>
                <c:formatCode>General</c:formatCode>
                <c:ptCount val="205"/>
                <c:pt idx="0">
                  <c:v>1</c:v>
                </c:pt>
                <c:pt idx="1">
                  <c:v>1.0013707196218573</c:v>
                </c:pt>
                <c:pt idx="2">
                  <c:v>1.0027414392437148</c:v>
                </c:pt>
                <c:pt idx="3">
                  <c:v>1.0041121588655719</c:v>
                </c:pt>
                <c:pt idx="4">
                  <c:v>1.0054828784874292</c:v>
                </c:pt>
                <c:pt idx="5">
                  <c:v>1.0068535981092868</c:v>
                </c:pt>
                <c:pt idx="6">
                  <c:v>1.0082243177311441</c:v>
                </c:pt>
                <c:pt idx="7">
                  <c:v>1.0095950373530012</c:v>
                </c:pt>
                <c:pt idx="8">
                  <c:v>1.0109657569748587</c:v>
                </c:pt>
                <c:pt idx="9">
                  <c:v>1.012336476596716</c:v>
                </c:pt>
                <c:pt idx="10">
                  <c:v>1.0137071962185733</c:v>
                </c:pt>
                <c:pt idx="11">
                  <c:v>1.0150779158404306</c:v>
                </c:pt>
                <c:pt idx="12">
                  <c:v>1.0164486354622879</c:v>
                </c:pt>
                <c:pt idx="13">
                  <c:v>1.0180452325586926</c:v>
                </c:pt>
                <c:pt idx="14">
                  <c:v>1.0196418296550969</c:v>
                </c:pt>
                <c:pt idx="15">
                  <c:v>1.0212384267515016</c:v>
                </c:pt>
                <c:pt idx="16">
                  <c:v>1.022835023847906</c:v>
                </c:pt>
                <c:pt idx="17">
                  <c:v>1.0244316209443105</c:v>
                </c:pt>
                <c:pt idx="18">
                  <c:v>1.026028218040715</c:v>
                </c:pt>
                <c:pt idx="19">
                  <c:v>1.0276248151371197</c:v>
                </c:pt>
                <c:pt idx="20">
                  <c:v>1.0292214122335239</c:v>
                </c:pt>
                <c:pt idx="21">
                  <c:v>1.0308180093299286</c:v>
                </c:pt>
                <c:pt idx="22">
                  <c:v>1.0324146064263331</c:v>
                </c:pt>
                <c:pt idx="23">
                  <c:v>1.0340112035227376</c:v>
                </c:pt>
                <c:pt idx="24">
                  <c:v>1.035607800619142</c:v>
                </c:pt>
                <c:pt idx="25">
                  <c:v>1.036939288890157</c:v>
                </c:pt>
                <c:pt idx="26">
                  <c:v>1.0382707771611719</c:v>
                </c:pt>
                <c:pt idx="27">
                  <c:v>1.0396022654321868</c:v>
                </c:pt>
                <c:pt idx="28">
                  <c:v>1.0409337537032017</c:v>
                </c:pt>
                <c:pt idx="29">
                  <c:v>1.0422652419742167</c:v>
                </c:pt>
                <c:pt idx="30">
                  <c:v>1.0435967302452316</c:v>
                </c:pt>
                <c:pt idx="31">
                  <c:v>1.0449282185162465</c:v>
                </c:pt>
                <c:pt idx="32">
                  <c:v>1.0462597067872614</c:v>
                </c:pt>
                <c:pt idx="33">
                  <c:v>1.0475911950582764</c:v>
                </c:pt>
                <c:pt idx="34">
                  <c:v>1.0489226833292913</c:v>
                </c:pt>
                <c:pt idx="35">
                  <c:v>1.0502541716003062</c:v>
                </c:pt>
                <c:pt idx="36">
                  <c:v>1.0515856598713211</c:v>
                </c:pt>
                <c:pt idx="37">
                  <c:v>1.0486908617106769</c:v>
                </c:pt>
                <c:pt idx="38">
                  <c:v>1.0457960635500332</c:v>
                </c:pt>
                <c:pt idx="39">
                  <c:v>1.042901265389389</c:v>
                </c:pt>
                <c:pt idx="40">
                  <c:v>1.0400064672287448</c:v>
                </c:pt>
                <c:pt idx="41">
                  <c:v>1.037111669068101</c:v>
                </c:pt>
                <c:pt idx="42">
                  <c:v>1.0342168709074568</c:v>
                </c:pt>
                <c:pt idx="43">
                  <c:v>1.0313220727468126</c:v>
                </c:pt>
                <c:pt idx="44">
                  <c:v>1.0284272745861687</c:v>
                </c:pt>
                <c:pt idx="45">
                  <c:v>1.0255324764255247</c:v>
                </c:pt>
                <c:pt idx="46">
                  <c:v>1.0226376782648805</c:v>
                </c:pt>
                <c:pt idx="47">
                  <c:v>1.0197428801042365</c:v>
                </c:pt>
                <c:pt idx="48">
                  <c:v>1.0168480819435926</c:v>
                </c:pt>
                <c:pt idx="49">
                  <c:v>1.0177706131027957</c:v>
                </c:pt>
                <c:pt idx="50">
                  <c:v>1.0186931442619989</c:v>
                </c:pt>
                <c:pt idx="51">
                  <c:v>1.019615675421202</c:v>
                </c:pt>
                <c:pt idx="52">
                  <c:v>1.0205382065804054</c:v>
                </c:pt>
                <c:pt idx="53">
                  <c:v>1.0214607377396083</c:v>
                </c:pt>
                <c:pt idx="54">
                  <c:v>1.0223832688988117</c:v>
                </c:pt>
                <c:pt idx="55">
                  <c:v>1.0233058000580149</c:v>
                </c:pt>
                <c:pt idx="56">
                  <c:v>1.024228331217218</c:v>
                </c:pt>
                <c:pt idx="57">
                  <c:v>1.0251508623764212</c:v>
                </c:pt>
                <c:pt idx="58">
                  <c:v>1.0260733935356245</c:v>
                </c:pt>
                <c:pt idx="59">
                  <c:v>1.0269959246948275</c:v>
                </c:pt>
                <c:pt idx="60">
                  <c:v>1.0279184558540309</c:v>
                </c:pt>
                <c:pt idx="61">
                  <c:v>1.0297266644792216</c:v>
                </c:pt>
                <c:pt idx="62">
                  <c:v>1.0315348731044125</c:v>
                </c:pt>
                <c:pt idx="63">
                  <c:v>1.0333430817296032</c:v>
                </c:pt>
                <c:pt idx="64">
                  <c:v>1.0351512903547941</c:v>
                </c:pt>
                <c:pt idx="65">
                  <c:v>1.0369594989799849</c:v>
                </c:pt>
                <c:pt idx="66">
                  <c:v>1.0387677076051758</c:v>
                </c:pt>
                <c:pt idx="67">
                  <c:v>1.0405759162303665</c:v>
                </c:pt>
                <c:pt idx="68">
                  <c:v>1.0423841248555572</c:v>
                </c:pt>
                <c:pt idx="69">
                  <c:v>1.0441923334807481</c:v>
                </c:pt>
                <c:pt idx="70">
                  <c:v>1.0460005421059388</c:v>
                </c:pt>
                <c:pt idx="71">
                  <c:v>1.0478087507311298</c:v>
                </c:pt>
                <c:pt idx="72">
                  <c:v>1.0496169593563205</c:v>
                </c:pt>
                <c:pt idx="73">
                  <c:v>1.0507796339358317</c:v>
                </c:pt>
                <c:pt idx="74">
                  <c:v>1.051942308515343</c:v>
                </c:pt>
                <c:pt idx="75">
                  <c:v>1.0531049830948542</c:v>
                </c:pt>
                <c:pt idx="76">
                  <c:v>1.0542676576743655</c:v>
                </c:pt>
                <c:pt idx="77">
                  <c:v>1.0554303322538767</c:v>
                </c:pt>
                <c:pt idx="78">
                  <c:v>1.056593006833388</c:v>
                </c:pt>
                <c:pt idx="79">
                  <c:v>1.0577556814128992</c:v>
                </c:pt>
                <c:pt idx="80">
                  <c:v>1.0589183559924105</c:v>
                </c:pt>
                <c:pt idx="81">
                  <c:v>1.0600810305719217</c:v>
                </c:pt>
                <c:pt idx="82">
                  <c:v>1.061243705151433</c:v>
                </c:pt>
                <c:pt idx="83">
                  <c:v>1.0624063797309442</c:v>
                </c:pt>
                <c:pt idx="84">
                  <c:v>1.0635690543104555</c:v>
                </c:pt>
                <c:pt idx="85">
                  <c:v>1.0645522157391425</c:v>
                </c:pt>
                <c:pt idx="86">
                  <c:v>1.0655353771678293</c:v>
                </c:pt>
                <c:pt idx="87">
                  <c:v>1.0665185385965164</c:v>
                </c:pt>
                <c:pt idx="88">
                  <c:v>1.0675017000252032</c:v>
                </c:pt>
                <c:pt idx="89">
                  <c:v>1.06848486145389</c:v>
                </c:pt>
                <c:pt idx="90">
                  <c:v>1.069468022882577</c:v>
                </c:pt>
                <c:pt idx="91">
                  <c:v>1.0704511843112641</c:v>
                </c:pt>
                <c:pt idx="92">
                  <c:v>1.0714343457399507</c:v>
                </c:pt>
                <c:pt idx="93">
                  <c:v>1.0724175071686377</c:v>
                </c:pt>
                <c:pt idx="94">
                  <c:v>1.0734006685973247</c:v>
                </c:pt>
                <c:pt idx="95">
                  <c:v>1.0743838300260116</c:v>
                </c:pt>
                <c:pt idx="96">
                  <c:v>1.0753669914546984</c:v>
                </c:pt>
                <c:pt idx="97">
                  <c:v>1.0751042602869356</c:v>
                </c:pt>
                <c:pt idx="98">
                  <c:v>1.0748415291191731</c:v>
                </c:pt>
                <c:pt idx="99">
                  <c:v>1.0745787979514101</c:v>
                </c:pt>
                <c:pt idx="100">
                  <c:v>1.0743160667836473</c:v>
                </c:pt>
                <c:pt idx="101">
                  <c:v>1.0740533356158848</c:v>
                </c:pt>
                <c:pt idx="102">
                  <c:v>1.0737906044481218</c:v>
                </c:pt>
                <c:pt idx="103">
                  <c:v>1.073527873280359</c:v>
                </c:pt>
                <c:pt idx="104">
                  <c:v>1.0732651421125965</c:v>
                </c:pt>
                <c:pt idx="105">
                  <c:v>1.0730024109448335</c:v>
                </c:pt>
                <c:pt idx="106">
                  <c:v>1.0727396797770707</c:v>
                </c:pt>
                <c:pt idx="107">
                  <c:v>1.0724769486093082</c:v>
                </c:pt>
                <c:pt idx="108">
                  <c:v>1.0722142174415452</c:v>
                </c:pt>
                <c:pt idx="109">
                  <c:v>1.0726980707686016</c:v>
                </c:pt>
                <c:pt idx="110">
                  <c:v>1.0731819240956579</c:v>
                </c:pt>
                <c:pt idx="111">
                  <c:v>1.0736657774227143</c:v>
                </c:pt>
                <c:pt idx="112">
                  <c:v>1.0741496307497707</c:v>
                </c:pt>
                <c:pt idx="113">
                  <c:v>1.0746334840768268</c:v>
                </c:pt>
                <c:pt idx="114">
                  <c:v>1.0751173374038832</c:v>
                </c:pt>
                <c:pt idx="115">
                  <c:v>1.0756011907309395</c:v>
                </c:pt>
                <c:pt idx="116">
                  <c:v>1.0760850440579957</c:v>
                </c:pt>
                <c:pt idx="117">
                  <c:v>1.0765688973850522</c:v>
                </c:pt>
                <c:pt idx="118">
                  <c:v>1.0770527507121086</c:v>
                </c:pt>
                <c:pt idx="119">
                  <c:v>1.0775366040391647</c:v>
                </c:pt>
                <c:pt idx="120">
                  <c:v>1.0780204573662211</c:v>
                </c:pt>
                <c:pt idx="121">
                  <c:v>1.0773642238612209</c:v>
                </c:pt>
                <c:pt idx="122">
                  <c:v>1.0767079903562207</c:v>
                </c:pt>
                <c:pt idx="123">
                  <c:v>1.0760517568512205</c:v>
                </c:pt>
                <c:pt idx="124">
                  <c:v>1.0753955233462202</c:v>
                </c:pt>
                <c:pt idx="125">
                  <c:v>1.07473928984122</c:v>
                </c:pt>
                <c:pt idx="126">
                  <c:v>1.0740830563362198</c:v>
                </c:pt>
                <c:pt idx="127">
                  <c:v>1.0734268228312196</c:v>
                </c:pt>
                <c:pt idx="128">
                  <c:v>1.0727705893262194</c:v>
                </c:pt>
                <c:pt idx="129">
                  <c:v>1.0721143558212192</c:v>
                </c:pt>
                <c:pt idx="130">
                  <c:v>1.071458122316219</c:v>
                </c:pt>
                <c:pt idx="131">
                  <c:v>1.0708018888112187</c:v>
                </c:pt>
                <c:pt idx="132">
                  <c:v>1.0701456553062185</c:v>
                </c:pt>
                <c:pt idx="133">
                  <c:v>1.069880546480829</c:v>
                </c:pt>
                <c:pt idx="134">
                  <c:v>1.0696154376554392</c:v>
                </c:pt>
                <c:pt idx="135">
                  <c:v>1.0693503288300499</c:v>
                </c:pt>
                <c:pt idx="136">
                  <c:v>1.0690852200046603</c:v>
                </c:pt>
                <c:pt idx="137">
                  <c:v>1.0688201111792706</c:v>
                </c:pt>
                <c:pt idx="138">
                  <c:v>1.068555002353881</c:v>
                </c:pt>
                <c:pt idx="139">
                  <c:v>1.0682898935284915</c:v>
                </c:pt>
                <c:pt idx="140">
                  <c:v>1.0680247847031019</c:v>
                </c:pt>
                <c:pt idx="141">
                  <c:v>1.0677596758777124</c:v>
                </c:pt>
                <c:pt idx="142">
                  <c:v>1.0674945670523228</c:v>
                </c:pt>
                <c:pt idx="143">
                  <c:v>1.067229458226933</c:v>
                </c:pt>
                <c:pt idx="144">
                  <c:v>1.0669643494015435</c:v>
                </c:pt>
                <c:pt idx="145">
                  <c:v>1.0673209980455654</c:v>
                </c:pt>
                <c:pt idx="146">
                  <c:v>1.0676776466895872</c:v>
                </c:pt>
                <c:pt idx="147">
                  <c:v>1.0680342953336091</c:v>
                </c:pt>
                <c:pt idx="148">
                  <c:v>1.0683909439776309</c:v>
                </c:pt>
                <c:pt idx="149">
                  <c:v>1.0687475926216528</c:v>
                </c:pt>
                <c:pt idx="150">
                  <c:v>1.0691042412656746</c:v>
                </c:pt>
                <c:pt idx="151">
                  <c:v>1.0694608899096965</c:v>
                </c:pt>
                <c:pt idx="152">
                  <c:v>1.0698175385537185</c:v>
                </c:pt>
                <c:pt idx="153">
                  <c:v>1.0701741871977404</c:v>
                </c:pt>
                <c:pt idx="154">
                  <c:v>1.0705308358417622</c:v>
                </c:pt>
                <c:pt idx="155">
                  <c:v>1.0708874844857841</c:v>
                </c:pt>
                <c:pt idx="156">
                  <c:v>1.0712441331298059</c:v>
                </c:pt>
                <c:pt idx="157">
                  <c:v>1.0707412585417351</c:v>
                </c:pt>
                <c:pt idx="158">
                  <c:v>1.0702383839536642</c:v>
                </c:pt>
                <c:pt idx="159">
                  <c:v>1.0697355093655934</c:v>
                </c:pt>
                <c:pt idx="160">
                  <c:v>1.0692326347775225</c:v>
                </c:pt>
                <c:pt idx="161">
                  <c:v>1.0687297601894516</c:v>
                </c:pt>
                <c:pt idx="162">
                  <c:v>1.068226885601381</c:v>
                </c:pt>
                <c:pt idx="163">
                  <c:v>1.0677240110133102</c:v>
                </c:pt>
                <c:pt idx="164">
                  <c:v>1.0672211364252393</c:v>
                </c:pt>
                <c:pt idx="165">
                  <c:v>1.0667182618371684</c:v>
                </c:pt>
                <c:pt idx="166">
                  <c:v>1.0662153872490976</c:v>
                </c:pt>
                <c:pt idx="167">
                  <c:v>1.065712512661027</c:v>
                </c:pt>
                <c:pt idx="168">
                  <c:v>1.0652096380729561</c:v>
                </c:pt>
                <c:pt idx="169">
                  <c:v>1.0649231303289253</c:v>
                </c:pt>
                <c:pt idx="170">
                  <c:v>1.0646366225848942</c:v>
                </c:pt>
                <c:pt idx="171">
                  <c:v>1.0643501148408634</c:v>
                </c:pt>
                <c:pt idx="172">
                  <c:v>1.0640636070968326</c:v>
                </c:pt>
                <c:pt idx="173">
                  <c:v>1.0637770993528015</c:v>
                </c:pt>
                <c:pt idx="174">
                  <c:v>1.0634905916087707</c:v>
                </c:pt>
                <c:pt idx="175">
                  <c:v>1.0632040838647399</c:v>
                </c:pt>
                <c:pt idx="176">
                  <c:v>1.0629175761207088</c:v>
                </c:pt>
                <c:pt idx="177">
                  <c:v>1.062631068376678</c:v>
                </c:pt>
                <c:pt idx="178">
                  <c:v>1.0623445606326472</c:v>
                </c:pt>
                <c:pt idx="179">
                  <c:v>1.0620580528886161</c:v>
                </c:pt>
                <c:pt idx="180">
                  <c:v>1.0617715451445853</c:v>
                </c:pt>
                <c:pt idx="181">
                  <c:v>1.0621032283835257</c:v>
                </c:pt>
                <c:pt idx="182">
                  <c:v>1.0624349116224661</c:v>
                </c:pt>
                <c:pt idx="183">
                  <c:v>1.0627665948614062</c:v>
                </c:pt>
                <c:pt idx="184">
                  <c:v>1.0630982781003466</c:v>
                </c:pt>
                <c:pt idx="185">
                  <c:v>1.063429961339287</c:v>
                </c:pt>
                <c:pt idx="186">
                  <c:v>1.0637616445782274</c:v>
                </c:pt>
                <c:pt idx="187">
                  <c:v>1.0640933278171676</c:v>
                </c:pt>
                <c:pt idx="188">
                  <c:v>1.064425011056108</c:v>
                </c:pt>
                <c:pt idx="189">
                  <c:v>1.0647566942950484</c:v>
                </c:pt>
                <c:pt idx="190">
                  <c:v>1.0650883775339886</c:v>
                </c:pt>
                <c:pt idx="191">
                  <c:v>1.0654200607729289</c:v>
                </c:pt>
                <c:pt idx="192">
                  <c:v>1.0657517440118693</c:v>
                </c:pt>
                <c:pt idx="193">
                  <c:v>1.0657517440118693</c:v>
                </c:pt>
                <c:pt idx="194">
                  <c:v>1.0657517440118693</c:v>
                </c:pt>
                <c:pt idx="195">
                  <c:v>1.0657517440118693</c:v>
                </c:pt>
                <c:pt idx="196">
                  <c:v>1.0657517440118693</c:v>
                </c:pt>
                <c:pt idx="197">
                  <c:v>1.0657517440118693</c:v>
                </c:pt>
                <c:pt idx="198">
                  <c:v>1.0657517440118693</c:v>
                </c:pt>
                <c:pt idx="199">
                  <c:v>1.0657517440118693</c:v>
                </c:pt>
                <c:pt idx="200">
                  <c:v>1.0657517440118693</c:v>
                </c:pt>
                <c:pt idx="201">
                  <c:v>1.0657517440118693</c:v>
                </c:pt>
                <c:pt idx="202">
                  <c:v>1.0657517440118693</c:v>
                </c:pt>
                <c:pt idx="203">
                  <c:v>1.0657517440118693</c:v>
                </c:pt>
                <c:pt idx="204">
                  <c:v>1.0657517440118693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8061056"/>
        <c:axId val="348059520"/>
      </c:lineChart>
      <c:dateAx>
        <c:axId val="34800627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48057600"/>
        <c:crosses val="autoZero"/>
        <c:auto val="1"/>
        <c:lblOffset val="100"/>
        <c:baseTimeUnit val="months"/>
      </c:dateAx>
      <c:valAx>
        <c:axId val="348057600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348006272"/>
        <c:crosses val="autoZero"/>
        <c:crossBetween val="between"/>
      </c:valAx>
      <c:valAx>
        <c:axId val="34805952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348061056"/>
        <c:crosses val="max"/>
        <c:crossBetween val="between"/>
      </c:valAx>
      <c:dateAx>
        <c:axId val="348061056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348059520"/>
        <c:crosses val="autoZero"/>
        <c:auto val="1"/>
        <c:lblOffset val="100"/>
        <c:baseTimeUnit val="months"/>
      </c:date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Cello!$C$1</c:f>
              <c:strCache>
                <c:ptCount val="1"/>
                <c:pt idx="0">
                  <c:v>24Mo MA</c:v>
                </c:pt>
              </c:strCache>
            </c:strRef>
          </c:tx>
          <c:marker>
            <c:symbol val="none"/>
          </c:marker>
          <c:cat>
            <c:numRef>
              <c:f>Cello!$A$2:$A$154</c:f>
              <c:numCache>
                <c:formatCode>m/d/yyyy</c:formatCode>
                <c:ptCount val="153"/>
                <c:pt idx="0">
                  <c:v>37742</c:v>
                </c:pt>
                <c:pt idx="1">
                  <c:v>37773</c:v>
                </c:pt>
                <c:pt idx="2">
                  <c:v>37803</c:v>
                </c:pt>
                <c:pt idx="3">
                  <c:v>37834</c:v>
                </c:pt>
                <c:pt idx="4">
                  <c:v>37865</c:v>
                </c:pt>
                <c:pt idx="5">
                  <c:v>37895</c:v>
                </c:pt>
                <c:pt idx="6">
                  <c:v>37926</c:v>
                </c:pt>
                <c:pt idx="7">
                  <c:v>37956</c:v>
                </c:pt>
                <c:pt idx="8">
                  <c:v>37987</c:v>
                </c:pt>
                <c:pt idx="9">
                  <c:v>38018</c:v>
                </c:pt>
                <c:pt idx="10">
                  <c:v>38047</c:v>
                </c:pt>
                <c:pt idx="11">
                  <c:v>38078</c:v>
                </c:pt>
                <c:pt idx="12">
                  <c:v>38108</c:v>
                </c:pt>
                <c:pt idx="13">
                  <c:v>38139</c:v>
                </c:pt>
                <c:pt idx="14">
                  <c:v>38169</c:v>
                </c:pt>
                <c:pt idx="15">
                  <c:v>38200</c:v>
                </c:pt>
                <c:pt idx="16">
                  <c:v>38231</c:v>
                </c:pt>
                <c:pt idx="17">
                  <c:v>38261</c:v>
                </c:pt>
                <c:pt idx="18">
                  <c:v>38292</c:v>
                </c:pt>
                <c:pt idx="19">
                  <c:v>38322</c:v>
                </c:pt>
                <c:pt idx="20">
                  <c:v>38353</c:v>
                </c:pt>
                <c:pt idx="21">
                  <c:v>38384</c:v>
                </c:pt>
                <c:pt idx="22">
                  <c:v>38412</c:v>
                </c:pt>
                <c:pt idx="23">
                  <c:v>38443</c:v>
                </c:pt>
                <c:pt idx="24">
                  <c:v>38473</c:v>
                </c:pt>
                <c:pt idx="25">
                  <c:v>38504</c:v>
                </c:pt>
                <c:pt idx="26">
                  <c:v>38534</c:v>
                </c:pt>
                <c:pt idx="27">
                  <c:v>38565</c:v>
                </c:pt>
                <c:pt idx="28">
                  <c:v>38596</c:v>
                </c:pt>
                <c:pt idx="29">
                  <c:v>38626</c:v>
                </c:pt>
                <c:pt idx="30">
                  <c:v>38657</c:v>
                </c:pt>
                <c:pt idx="31">
                  <c:v>38687</c:v>
                </c:pt>
                <c:pt idx="32">
                  <c:v>38718</c:v>
                </c:pt>
                <c:pt idx="33">
                  <c:v>38749</c:v>
                </c:pt>
                <c:pt idx="34">
                  <c:v>38777</c:v>
                </c:pt>
                <c:pt idx="35">
                  <c:v>38808</c:v>
                </c:pt>
                <c:pt idx="36">
                  <c:v>38838</c:v>
                </c:pt>
                <c:pt idx="37">
                  <c:v>38869</c:v>
                </c:pt>
                <c:pt idx="38">
                  <c:v>38899</c:v>
                </c:pt>
                <c:pt idx="39">
                  <c:v>38930</c:v>
                </c:pt>
                <c:pt idx="40">
                  <c:v>38961</c:v>
                </c:pt>
                <c:pt idx="41">
                  <c:v>38991</c:v>
                </c:pt>
                <c:pt idx="42">
                  <c:v>39022</c:v>
                </c:pt>
                <c:pt idx="43">
                  <c:v>39052</c:v>
                </c:pt>
                <c:pt idx="44">
                  <c:v>39083</c:v>
                </c:pt>
                <c:pt idx="45">
                  <c:v>39114</c:v>
                </c:pt>
                <c:pt idx="46">
                  <c:v>39142</c:v>
                </c:pt>
                <c:pt idx="47">
                  <c:v>39173</c:v>
                </c:pt>
                <c:pt idx="48">
                  <c:v>39203</c:v>
                </c:pt>
                <c:pt idx="49">
                  <c:v>39234</c:v>
                </c:pt>
                <c:pt idx="50">
                  <c:v>39264</c:v>
                </c:pt>
                <c:pt idx="51">
                  <c:v>39295</c:v>
                </c:pt>
                <c:pt idx="52">
                  <c:v>39326</c:v>
                </c:pt>
                <c:pt idx="53">
                  <c:v>39356</c:v>
                </c:pt>
                <c:pt idx="54">
                  <c:v>39387</c:v>
                </c:pt>
                <c:pt idx="55">
                  <c:v>39417</c:v>
                </c:pt>
                <c:pt idx="56">
                  <c:v>39448</c:v>
                </c:pt>
                <c:pt idx="57">
                  <c:v>39479</c:v>
                </c:pt>
                <c:pt idx="58">
                  <c:v>39508</c:v>
                </c:pt>
                <c:pt idx="59">
                  <c:v>39539</c:v>
                </c:pt>
                <c:pt idx="60">
                  <c:v>39569</c:v>
                </c:pt>
                <c:pt idx="61">
                  <c:v>39600</c:v>
                </c:pt>
                <c:pt idx="62">
                  <c:v>39630</c:v>
                </c:pt>
                <c:pt idx="63">
                  <c:v>39661</c:v>
                </c:pt>
                <c:pt idx="64">
                  <c:v>39692</c:v>
                </c:pt>
                <c:pt idx="65">
                  <c:v>39722</c:v>
                </c:pt>
                <c:pt idx="66">
                  <c:v>39753</c:v>
                </c:pt>
                <c:pt idx="67">
                  <c:v>39783</c:v>
                </c:pt>
                <c:pt idx="68">
                  <c:v>39814</c:v>
                </c:pt>
                <c:pt idx="69">
                  <c:v>39845</c:v>
                </c:pt>
                <c:pt idx="70">
                  <c:v>39873</c:v>
                </c:pt>
                <c:pt idx="71">
                  <c:v>39904</c:v>
                </c:pt>
                <c:pt idx="72">
                  <c:v>39934</c:v>
                </c:pt>
                <c:pt idx="73">
                  <c:v>39965</c:v>
                </c:pt>
                <c:pt idx="74">
                  <c:v>39995</c:v>
                </c:pt>
                <c:pt idx="75">
                  <c:v>40026</c:v>
                </c:pt>
                <c:pt idx="76">
                  <c:v>40057</c:v>
                </c:pt>
                <c:pt idx="77">
                  <c:v>40087</c:v>
                </c:pt>
                <c:pt idx="78">
                  <c:v>40118</c:v>
                </c:pt>
                <c:pt idx="79">
                  <c:v>40148</c:v>
                </c:pt>
                <c:pt idx="80">
                  <c:v>40179</c:v>
                </c:pt>
                <c:pt idx="81">
                  <c:v>40210</c:v>
                </c:pt>
                <c:pt idx="82">
                  <c:v>40238</c:v>
                </c:pt>
                <c:pt idx="83">
                  <c:v>40269</c:v>
                </c:pt>
                <c:pt idx="84">
                  <c:v>40299</c:v>
                </c:pt>
                <c:pt idx="85">
                  <c:v>40330</c:v>
                </c:pt>
                <c:pt idx="86">
                  <c:v>40360</c:v>
                </c:pt>
                <c:pt idx="87">
                  <c:v>40391</c:v>
                </c:pt>
                <c:pt idx="88">
                  <c:v>40422</c:v>
                </c:pt>
                <c:pt idx="89">
                  <c:v>40452</c:v>
                </c:pt>
                <c:pt idx="90">
                  <c:v>40483</c:v>
                </c:pt>
                <c:pt idx="91">
                  <c:v>40513</c:v>
                </c:pt>
                <c:pt idx="92">
                  <c:v>40544</c:v>
                </c:pt>
                <c:pt idx="93">
                  <c:v>40575</c:v>
                </c:pt>
                <c:pt idx="94">
                  <c:v>40603</c:v>
                </c:pt>
                <c:pt idx="95">
                  <c:v>40634</c:v>
                </c:pt>
                <c:pt idx="96">
                  <c:v>40664</c:v>
                </c:pt>
                <c:pt idx="97">
                  <c:v>40695</c:v>
                </c:pt>
                <c:pt idx="98">
                  <c:v>40725</c:v>
                </c:pt>
                <c:pt idx="99">
                  <c:v>40756</c:v>
                </c:pt>
                <c:pt idx="100">
                  <c:v>40787</c:v>
                </c:pt>
                <c:pt idx="101">
                  <c:v>40817</c:v>
                </c:pt>
                <c:pt idx="102">
                  <c:v>40848</c:v>
                </c:pt>
                <c:pt idx="103">
                  <c:v>40878</c:v>
                </c:pt>
                <c:pt idx="104">
                  <c:v>40909</c:v>
                </c:pt>
                <c:pt idx="105">
                  <c:v>40940</c:v>
                </c:pt>
                <c:pt idx="106">
                  <c:v>40969</c:v>
                </c:pt>
                <c:pt idx="107">
                  <c:v>41000</c:v>
                </c:pt>
                <c:pt idx="108">
                  <c:v>41030</c:v>
                </c:pt>
                <c:pt idx="109">
                  <c:v>41061</c:v>
                </c:pt>
                <c:pt idx="110">
                  <c:v>41091</c:v>
                </c:pt>
                <c:pt idx="111">
                  <c:v>41122</c:v>
                </c:pt>
                <c:pt idx="112">
                  <c:v>41153</c:v>
                </c:pt>
                <c:pt idx="113">
                  <c:v>41183</c:v>
                </c:pt>
                <c:pt idx="114">
                  <c:v>41214</c:v>
                </c:pt>
                <c:pt idx="115">
                  <c:v>41244</c:v>
                </c:pt>
                <c:pt idx="116">
                  <c:v>41275</c:v>
                </c:pt>
                <c:pt idx="117">
                  <c:v>41306</c:v>
                </c:pt>
                <c:pt idx="118">
                  <c:v>41334</c:v>
                </c:pt>
                <c:pt idx="119">
                  <c:v>41365</c:v>
                </c:pt>
                <c:pt idx="120">
                  <c:v>41395</c:v>
                </c:pt>
                <c:pt idx="121">
                  <c:v>41426</c:v>
                </c:pt>
                <c:pt idx="122">
                  <c:v>41456</c:v>
                </c:pt>
                <c:pt idx="123">
                  <c:v>41487</c:v>
                </c:pt>
                <c:pt idx="124">
                  <c:v>41518</c:v>
                </c:pt>
                <c:pt idx="125">
                  <c:v>41548</c:v>
                </c:pt>
                <c:pt idx="126">
                  <c:v>41579</c:v>
                </c:pt>
                <c:pt idx="127">
                  <c:v>41609</c:v>
                </c:pt>
                <c:pt idx="128">
                  <c:v>41640</c:v>
                </c:pt>
                <c:pt idx="129">
                  <c:v>41671</c:v>
                </c:pt>
                <c:pt idx="130">
                  <c:v>41699</c:v>
                </c:pt>
                <c:pt idx="131">
                  <c:v>41730</c:v>
                </c:pt>
                <c:pt idx="132">
                  <c:v>41760</c:v>
                </c:pt>
                <c:pt idx="133">
                  <c:v>41791</c:v>
                </c:pt>
                <c:pt idx="134">
                  <c:v>41821</c:v>
                </c:pt>
                <c:pt idx="135">
                  <c:v>41852</c:v>
                </c:pt>
                <c:pt idx="136">
                  <c:v>41883</c:v>
                </c:pt>
                <c:pt idx="137">
                  <c:v>41913</c:v>
                </c:pt>
                <c:pt idx="138">
                  <c:v>41944</c:v>
                </c:pt>
                <c:pt idx="139">
                  <c:v>41974</c:v>
                </c:pt>
                <c:pt idx="140">
                  <c:v>42005</c:v>
                </c:pt>
                <c:pt idx="141">
                  <c:v>42036</c:v>
                </c:pt>
                <c:pt idx="142">
                  <c:v>42064</c:v>
                </c:pt>
                <c:pt idx="143">
                  <c:v>42095</c:v>
                </c:pt>
                <c:pt idx="144">
                  <c:v>42125</c:v>
                </c:pt>
                <c:pt idx="145">
                  <c:v>42156</c:v>
                </c:pt>
                <c:pt idx="146">
                  <c:v>42186</c:v>
                </c:pt>
                <c:pt idx="147">
                  <c:v>42217</c:v>
                </c:pt>
                <c:pt idx="148">
                  <c:v>42248</c:v>
                </c:pt>
                <c:pt idx="149">
                  <c:v>42278</c:v>
                </c:pt>
                <c:pt idx="150">
                  <c:v>42309</c:v>
                </c:pt>
                <c:pt idx="151">
                  <c:v>42339</c:v>
                </c:pt>
                <c:pt idx="152">
                  <c:v>42370</c:v>
                </c:pt>
              </c:numCache>
            </c:numRef>
          </c:cat>
          <c:val>
            <c:numRef>
              <c:f>Cello!$C$2:$C$154</c:f>
              <c:numCache>
                <c:formatCode>0.00%</c:formatCode>
                <c:ptCount val="153"/>
                <c:pt idx="0">
                  <c:v>3.1505553453999857E-2</c:v>
                </c:pt>
                <c:pt idx="1">
                  <c:v>3.0458344569883847E-2</c:v>
                </c:pt>
                <c:pt idx="2">
                  <c:v>3.0869624754100333E-2</c:v>
                </c:pt>
                <c:pt idx="3">
                  <c:v>3.1003680527098718E-2</c:v>
                </c:pt>
                <c:pt idx="4">
                  <c:v>2.9772293042627455E-2</c:v>
                </c:pt>
                <c:pt idx="5">
                  <c:v>2.8568854754671552E-2</c:v>
                </c:pt>
                <c:pt idx="6">
                  <c:v>2.8786272127584136E-2</c:v>
                </c:pt>
                <c:pt idx="7">
                  <c:v>2.9066892754036715E-2</c:v>
                </c:pt>
                <c:pt idx="8">
                  <c:v>3.1534340106091505E-2</c:v>
                </c:pt>
                <c:pt idx="9">
                  <c:v>3.343333955609936E-2</c:v>
                </c:pt>
                <c:pt idx="10">
                  <c:v>3.5072057315301157E-2</c:v>
                </c:pt>
                <c:pt idx="11">
                  <c:v>3.6599225160582269E-2</c:v>
                </c:pt>
                <c:pt idx="12">
                  <c:v>3.8078818998575896E-2</c:v>
                </c:pt>
                <c:pt idx="13">
                  <c:v>3.8679396867097302E-2</c:v>
                </c:pt>
                <c:pt idx="14">
                  <c:v>3.8983227437278681E-2</c:v>
                </c:pt>
                <c:pt idx="15">
                  <c:v>3.9712397272637374E-2</c:v>
                </c:pt>
                <c:pt idx="16">
                  <c:v>4.0627429809320673E-2</c:v>
                </c:pt>
                <c:pt idx="17">
                  <c:v>4.133601707899745E-2</c:v>
                </c:pt>
                <c:pt idx="18">
                  <c:v>4.2050928000794116E-2</c:v>
                </c:pt>
                <c:pt idx="19">
                  <c:v>4.2560723325491261E-2</c:v>
                </c:pt>
                <c:pt idx="20">
                  <c:v>4.3337830099086663E-2</c:v>
                </c:pt>
                <c:pt idx="21">
                  <c:v>4.3968400798478559E-2</c:v>
                </c:pt>
                <c:pt idx="22">
                  <c:v>4.4545306149544828E-2</c:v>
                </c:pt>
                <c:pt idx="23">
                  <c:v>4.5086579139714693E-2</c:v>
                </c:pt>
                <c:pt idx="24">
                  <c:v>4.5889424813709688E-2</c:v>
                </c:pt>
                <c:pt idx="25">
                  <c:v>4.7027059094736617E-2</c:v>
                </c:pt>
                <c:pt idx="26">
                  <c:v>4.8119863074387925E-2</c:v>
                </c:pt>
                <c:pt idx="27">
                  <c:v>4.9294381066960026E-2</c:v>
                </c:pt>
                <c:pt idx="28">
                  <c:v>5.0469409072253606E-2</c:v>
                </c:pt>
                <c:pt idx="29">
                  <c:v>5.1866429849335392E-2</c:v>
                </c:pt>
                <c:pt idx="30">
                  <c:v>5.2993477787380734E-2</c:v>
                </c:pt>
                <c:pt idx="31">
                  <c:v>5.3846702478032409E-2</c:v>
                </c:pt>
                <c:pt idx="32">
                  <c:v>5.40436135249176E-2</c:v>
                </c:pt>
                <c:pt idx="33">
                  <c:v>5.4360117278744312E-2</c:v>
                </c:pt>
                <c:pt idx="34">
                  <c:v>5.4733459672567715E-2</c:v>
                </c:pt>
                <c:pt idx="35">
                  <c:v>5.4967954513491062E-2</c:v>
                </c:pt>
                <c:pt idx="36">
                  <c:v>5.5117331196521867E-2</c:v>
                </c:pt>
                <c:pt idx="37">
                  <c:v>5.555624634422509E-2</c:v>
                </c:pt>
                <c:pt idx="38">
                  <c:v>5.6295828332869752E-2</c:v>
                </c:pt>
                <c:pt idx="39">
                  <c:v>5.6795361541435246E-2</c:v>
                </c:pt>
                <c:pt idx="40">
                  <c:v>5.7357866347209734E-2</c:v>
                </c:pt>
                <c:pt idx="41">
                  <c:v>5.8166228277898489E-2</c:v>
                </c:pt>
                <c:pt idx="42">
                  <c:v>5.8692070208300917E-2</c:v>
                </c:pt>
                <c:pt idx="43">
                  <c:v>5.9497534490533577E-2</c:v>
                </c:pt>
                <c:pt idx="44">
                  <c:v>5.9014497992003971E-2</c:v>
                </c:pt>
                <c:pt idx="45">
                  <c:v>5.8563877612835824E-2</c:v>
                </c:pt>
                <c:pt idx="46">
                  <c:v>5.8042074140492013E-2</c:v>
                </c:pt>
                <c:pt idx="47">
                  <c:v>5.7679413462338763E-2</c:v>
                </c:pt>
                <c:pt idx="48">
                  <c:v>5.7603602252524755E-2</c:v>
                </c:pt>
                <c:pt idx="49">
                  <c:v>5.7313690054488768E-2</c:v>
                </c:pt>
                <c:pt idx="50">
                  <c:v>5.7059918797987962E-2</c:v>
                </c:pt>
                <c:pt idx="51">
                  <c:v>5.6442260407256049E-2</c:v>
                </c:pt>
                <c:pt idx="52">
                  <c:v>5.6319603231566838E-2</c:v>
                </c:pt>
                <c:pt idx="53">
                  <c:v>5.635222954192335E-2</c:v>
                </c:pt>
                <c:pt idx="54">
                  <c:v>5.6311905415065013E-2</c:v>
                </c:pt>
                <c:pt idx="55">
                  <c:v>5.6438454000434492E-2</c:v>
                </c:pt>
                <c:pt idx="56">
                  <c:v>5.594882427438274E-2</c:v>
                </c:pt>
                <c:pt idx="57">
                  <c:v>5.5301873866497965E-2</c:v>
                </c:pt>
                <c:pt idx="58">
                  <c:v>5.4705841583464893E-2</c:v>
                </c:pt>
                <c:pt idx="59">
                  <c:v>5.3860452143266409E-2</c:v>
                </c:pt>
                <c:pt idx="60">
                  <c:v>5.297984728361687E-2</c:v>
                </c:pt>
                <c:pt idx="61">
                  <c:v>5.201761081446693E-2</c:v>
                </c:pt>
                <c:pt idx="62">
                  <c:v>5.078562890378046E-2</c:v>
                </c:pt>
                <c:pt idx="63">
                  <c:v>4.9395095584556764E-2</c:v>
                </c:pt>
                <c:pt idx="64">
                  <c:v>4.7766816580674998E-2</c:v>
                </c:pt>
                <c:pt idx="65">
                  <c:v>4.5987369992685663E-2</c:v>
                </c:pt>
                <c:pt idx="66">
                  <c:v>4.4634223415112008E-2</c:v>
                </c:pt>
                <c:pt idx="67">
                  <c:v>4.2831976465565351E-2</c:v>
                </c:pt>
                <c:pt idx="68">
                  <c:v>4.2131411268574608E-2</c:v>
                </c:pt>
                <c:pt idx="69">
                  <c:v>4.1563268010294002E-2</c:v>
                </c:pt>
                <c:pt idx="70">
                  <c:v>4.0812613175581804E-2</c:v>
                </c:pt>
                <c:pt idx="71">
                  <c:v>3.9794059344018688E-2</c:v>
                </c:pt>
                <c:pt idx="72">
                  <c:v>3.8836163946385956E-2</c:v>
                </c:pt>
                <c:pt idx="73">
                  <c:v>3.7713784201250544E-2</c:v>
                </c:pt>
                <c:pt idx="74">
                  <c:v>3.6452832459389801E-2</c:v>
                </c:pt>
                <c:pt idx="75">
                  <c:v>3.5385694422232293E-2</c:v>
                </c:pt>
                <c:pt idx="76">
                  <c:v>3.4243403415130089E-2</c:v>
                </c:pt>
                <c:pt idx="77">
                  <c:v>3.2851511238204859E-2</c:v>
                </c:pt>
                <c:pt idx="78">
                  <c:v>3.1529442750609232E-2</c:v>
                </c:pt>
                <c:pt idx="79">
                  <c:v>3.0230082500266708E-2</c:v>
                </c:pt>
                <c:pt idx="80">
                  <c:v>2.9301740662062994E-2</c:v>
                </c:pt>
                <c:pt idx="81">
                  <c:v>2.8319849413814189E-2</c:v>
                </c:pt>
                <c:pt idx="82">
                  <c:v>2.7154789384008508E-2</c:v>
                </c:pt>
                <c:pt idx="83">
                  <c:v>2.6315107059853318E-2</c:v>
                </c:pt>
                <c:pt idx="84">
                  <c:v>2.5491102943243856E-2</c:v>
                </c:pt>
                <c:pt idx="85">
                  <c:v>2.4822604287072034E-2</c:v>
                </c:pt>
                <c:pt idx="86">
                  <c:v>2.4333795764231374E-2</c:v>
                </c:pt>
                <c:pt idx="87">
                  <c:v>2.3957154082505112E-2</c:v>
                </c:pt>
                <c:pt idx="88">
                  <c:v>2.3523937859912216E-2</c:v>
                </c:pt>
                <c:pt idx="89">
                  <c:v>2.3048564025435456E-2</c:v>
                </c:pt>
                <c:pt idx="90">
                  <c:v>2.2344853528562383E-2</c:v>
                </c:pt>
                <c:pt idx="91">
                  <c:v>2.1938426207931187E-2</c:v>
                </c:pt>
                <c:pt idx="92">
                  <c:v>2.1355849530881484E-2</c:v>
                </c:pt>
                <c:pt idx="93">
                  <c:v>2.0608605242034939E-2</c:v>
                </c:pt>
                <c:pt idx="94">
                  <c:v>2.0188595009639841E-2</c:v>
                </c:pt>
                <c:pt idx="95">
                  <c:v>1.9859056523241801E-2</c:v>
                </c:pt>
                <c:pt idx="96">
                  <c:v>1.9531275391850279E-2</c:v>
                </c:pt>
                <c:pt idx="97">
                  <c:v>1.9326018321147855E-2</c:v>
                </c:pt>
                <c:pt idx="98">
                  <c:v>1.9232795519397421E-2</c:v>
                </c:pt>
                <c:pt idx="99">
                  <c:v>1.9231790476405226E-2</c:v>
                </c:pt>
                <c:pt idx="100">
                  <c:v>1.9060944208060201E-2</c:v>
                </c:pt>
                <c:pt idx="101">
                  <c:v>1.893436427584828E-2</c:v>
                </c:pt>
                <c:pt idx="102">
                  <c:v>1.8747889883620989E-2</c:v>
                </c:pt>
                <c:pt idx="103">
                  <c:v>1.8549413120486743E-2</c:v>
                </c:pt>
                <c:pt idx="104">
                  <c:v>1.8396388191413818E-2</c:v>
                </c:pt>
                <c:pt idx="105">
                  <c:v>1.8362650212857521E-2</c:v>
                </c:pt>
                <c:pt idx="106">
                  <c:v>1.8363095328641631E-2</c:v>
                </c:pt>
                <c:pt idx="107">
                  <c:v>1.8331546737129636E-2</c:v>
                </c:pt>
                <c:pt idx="108">
                  <c:v>1.827920800917146E-2</c:v>
                </c:pt>
                <c:pt idx="109">
                  <c:v>1.8286701997320066E-2</c:v>
                </c:pt>
                <c:pt idx="110">
                  <c:v>1.8239768086781672E-2</c:v>
                </c:pt>
                <c:pt idx="111">
                  <c:v>1.8179487914817809E-2</c:v>
                </c:pt>
                <c:pt idx="112">
                  <c:v>1.8177368768087936E-2</c:v>
                </c:pt>
                <c:pt idx="113">
                  <c:v>1.8181908129182828E-2</c:v>
                </c:pt>
                <c:pt idx="114">
                  <c:v>1.8242835308396526E-2</c:v>
                </c:pt>
                <c:pt idx="115">
                  <c:v>1.8289178603453644E-2</c:v>
                </c:pt>
                <c:pt idx="116">
                  <c:v>1.8399042307628132E-2</c:v>
                </c:pt>
                <c:pt idx="117">
                  <c:v>1.8575334147311932E-2</c:v>
                </c:pt>
                <c:pt idx="118">
                  <c:v>1.868522945968909E-2</c:v>
                </c:pt>
                <c:pt idx="119">
                  <c:v>1.8805300634410854E-2</c:v>
                </c:pt>
                <c:pt idx="120">
                  <c:v>1.8886226550804779E-2</c:v>
                </c:pt>
                <c:pt idx="121">
                  <c:v>1.9027033854326022E-2</c:v>
                </c:pt>
                <c:pt idx="122">
                  <c:v>1.9050318919901419E-2</c:v>
                </c:pt>
                <c:pt idx="123">
                  <c:v>1.8981249123042224E-2</c:v>
                </c:pt>
                <c:pt idx="124">
                  <c:v>1.8999028271587774E-2</c:v>
                </c:pt>
                <c:pt idx="125">
                  <c:v>1.9025009547695097E-2</c:v>
                </c:pt>
                <c:pt idx="126">
                  <c:v>1.9123146828633749E-2</c:v>
                </c:pt>
                <c:pt idx="127">
                  <c:v>1.9373691826791044E-2</c:v>
                </c:pt>
                <c:pt idx="128">
                  <c:v>1.9599891988768176E-2</c:v>
                </c:pt>
                <c:pt idx="129">
                  <c:v>1.9777971340308013E-2</c:v>
                </c:pt>
                <c:pt idx="130">
                  <c:v>2.0030842653157053E-2</c:v>
                </c:pt>
                <c:pt idx="131">
                  <c:v>2.0344149091795865E-2</c:v>
                </c:pt>
                <c:pt idx="132">
                  <c:v>2.0660531262532675E-2</c:v>
                </c:pt>
                <c:pt idx="133">
                  <c:v>2.0963875298682651E-2</c:v>
                </c:pt>
                <c:pt idx="134">
                  <c:v>2.1308738969300189E-2</c:v>
                </c:pt>
                <c:pt idx="135">
                  <c:v>2.1607471222313348E-2</c:v>
                </c:pt>
                <c:pt idx="136">
                  <c:v>2.1890397413118278E-2</c:v>
                </c:pt>
                <c:pt idx="137">
                  <c:v>2.221752758485783E-2</c:v>
                </c:pt>
                <c:pt idx="138">
                  <c:v>2.2506900153828033E-2</c:v>
                </c:pt>
                <c:pt idx="139">
                  <c:v>2.2844944907433943E-2</c:v>
                </c:pt>
                <c:pt idx="140">
                  <c:v>2.3185117590930938E-2</c:v>
                </c:pt>
                <c:pt idx="141">
                  <c:v>2.3569405243298754E-2</c:v>
                </c:pt>
                <c:pt idx="142">
                  <c:v>2.3994332442581669E-2</c:v>
                </c:pt>
                <c:pt idx="143">
                  <c:v>2.4305645234578944E-2</c:v>
                </c:pt>
                <c:pt idx="144">
                  <c:v>2.4575328655260215E-2</c:v>
                </c:pt>
                <c:pt idx="145">
                  <c:v>2.4829168845050941E-2</c:v>
                </c:pt>
                <c:pt idx="146">
                  <c:v>2.5034724887621634E-2</c:v>
                </c:pt>
                <c:pt idx="147">
                  <c:v>2.5326639672177974E-2</c:v>
                </c:pt>
                <c:pt idx="148">
                  <c:v>2.5596092963328987E-2</c:v>
                </c:pt>
                <c:pt idx="149">
                  <c:v>2.5836480558405459E-2</c:v>
                </c:pt>
                <c:pt idx="150">
                  <c:v>2.6022221283650147E-2</c:v>
                </c:pt>
                <c:pt idx="151">
                  <c:v>2.6148148051835098E-2</c:v>
                </c:pt>
                <c:pt idx="152">
                  <c:v>2.6198903217321965E-2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Cello!$D$1</c:f>
              <c:strCache>
                <c:ptCount val="1"/>
                <c:pt idx="0">
                  <c:v>18Mo MA</c:v>
                </c:pt>
              </c:strCache>
            </c:strRef>
          </c:tx>
          <c:marker>
            <c:symbol val="none"/>
          </c:marker>
          <c:cat>
            <c:numRef>
              <c:f>Cello!$A$2:$A$154</c:f>
              <c:numCache>
                <c:formatCode>m/d/yyyy</c:formatCode>
                <c:ptCount val="153"/>
                <c:pt idx="0">
                  <c:v>37742</c:v>
                </c:pt>
                <c:pt idx="1">
                  <c:v>37773</c:v>
                </c:pt>
                <c:pt idx="2">
                  <c:v>37803</c:v>
                </c:pt>
                <c:pt idx="3">
                  <c:v>37834</c:v>
                </c:pt>
                <c:pt idx="4">
                  <c:v>37865</c:v>
                </c:pt>
                <c:pt idx="5">
                  <c:v>37895</c:v>
                </c:pt>
                <c:pt idx="6">
                  <c:v>37926</c:v>
                </c:pt>
                <c:pt idx="7">
                  <c:v>37956</c:v>
                </c:pt>
                <c:pt idx="8">
                  <c:v>37987</c:v>
                </c:pt>
                <c:pt idx="9">
                  <c:v>38018</c:v>
                </c:pt>
                <c:pt idx="10">
                  <c:v>38047</c:v>
                </c:pt>
                <c:pt idx="11">
                  <c:v>38078</c:v>
                </c:pt>
                <c:pt idx="12">
                  <c:v>38108</c:v>
                </c:pt>
                <c:pt idx="13">
                  <c:v>38139</c:v>
                </c:pt>
                <c:pt idx="14">
                  <c:v>38169</c:v>
                </c:pt>
                <c:pt idx="15">
                  <c:v>38200</c:v>
                </c:pt>
                <c:pt idx="16">
                  <c:v>38231</c:v>
                </c:pt>
                <c:pt idx="17">
                  <c:v>38261</c:v>
                </c:pt>
                <c:pt idx="18">
                  <c:v>38292</c:v>
                </c:pt>
                <c:pt idx="19">
                  <c:v>38322</c:v>
                </c:pt>
                <c:pt idx="20">
                  <c:v>38353</c:v>
                </c:pt>
                <c:pt idx="21">
                  <c:v>38384</c:v>
                </c:pt>
                <c:pt idx="22">
                  <c:v>38412</c:v>
                </c:pt>
                <c:pt idx="23">
                  <c:v>38443</c:v>
                </c:pt>
                <c:pt idx="24">
                  <c:v>38473</c:v>
                </c:pt>
                <c:pt idx="25">
                  <c:v>38504</c:v>
                </c:pt>
                <c:pt idx="26">
                  <c:v>38534</c:v>
                </c:pt>
                <c:pt idx="27">
                  <c:v>38565</c:v>
                </c:pt>
                <c:pt idx="28">
                  <c:v>38596</c:v>
                </c:pt>
                <c:pt idx="29">
                  <c:v>38626</c:v>
                </c:pt>
                <c:pt idx="30">
                  <c:v>38657</c:v>
                </c:pt>
                <c:pt idx="31">
                  <c:v>38687</c:v>
                </c:pt>
                <c:pt idx="32">
                  <c:v>38718</c:v>
                </c:pt>
                <c:pt idx="33">
                  <c:v>38749</c:v>
                </c:pt>
                <c:pt idx="34">
                  <c:v>38777</c:v>
                </c:pt>
                <c:pt idx="35">
                  <c:v>38808</c:v>
                </c:pt>
                <c:pt idx="36">
                  <c:v>38838</c:v>
                </c:pt>
                <c:pt idx="37">
                  <c:v>38869</c:v>
                </c:pt>
                <c:pt idx="38">
                  <c:v>38899</c:v>
                </c:pt>
                <c:pt idx="39">
                  <c:v>38930</c:v>
                </c:pt>
                <c:pt idx="40">
                  <c:v>38961</c:v>
                </c:pt>
                <c:pt idx="41">
                  <c:v>38991</c:v>
                </c:pt>
                <c:pt idx="42">
                  <c:v>39022</c:v>
                </c:pt>
                <c:pt idx="43">
                  <c:v>39052</c:v>
                </c:pt>
                <c:pt idx="44">
                  <c:v>39083</c:v>
                </c:pt>
                <c:pt idx="45">
                  <c:v>39114</c:v>
                </c:pt>
                <c:pt idx="46">
                  <c:v>39142</c:v>
                </c:pt>
                <c:pt idx="47">
                  <c:v>39173</c:v>
                </c:pt>
                <c:pt idx="48">
                  <c:v>39203</c:v>
                </c:pt>
                <c:pt idx="49">
                  <c:v>39234</c:v>
                </c:pt>
                <c:pt idx="50">
                  <c:v>39264</c:v>
                </c:pt>
                <c:pt idx="51">
                  <c:v>39295</c:v>
                </c:pt>
                <c:pt idx="52">
                  <c:v>39326</c:v>
                </c:pt>
                <c:pt idx="53">
                  <c:v>39356</c:v>
                </c:pt>
                <c:pt idx="54">
                  <c:v>39387</c:v>
                </c:pt>
                <c:pt idx="55">
                  <c:v>39417</c:v>
                </c:pt>
                <c:pt idx="56">
                  <c:v>39448</c:v>
                </c:pt>
                <c:pt idx="57">
                  <c:v>39479</c:v>
                </c:pt>
                <c:pt idx="58">
                  <c:v>39508</c:v>
                </c:pt>
                <c:pt idx="59">
                  <c:v>39539</c:v>
                </c:pt>
                <c:pt idx="60">
                  <c:v>39569</c:v>
                </c:pt>
                <c:pt idx="61">
                  <c:v>39600</c:v>
                </c:pt>
                <c:pt idx="62">
                  <c:v>39630</c:v>
                </c:pt>
                <c:pt idx="63">
                  <c:v>39661</c:v>
                </c:pt>
                <c:pt idx="64">
                  <c:v>39692</c:v>
                </c:pt>
                <c:pt idx="65">
                  <c:v>39722</c:v>
                </c:pt>
                <c:pt idx="66">
                  <c:v>39753</c:v>
                </c:pt>
                <c:pt idx="67">
                  <c:v>39783</c:v>
                </c:pt>
                <c:pt idx="68">
                  <c:v>39814</c:v>
                </c:pt>
                <c:pt idx="69">
                  <c:v>39845</c:v>
                </c:pt>
                <c:pt idx="70">
                  <c:v>39873</c:v>
                </c:pt>
                <c:pt idx="71">
                  <c:v>39904</c:v>
                </c:pt>
                <c:pt idx="72">
                  <c:v>39934</c:v>
                </c:pt>
                <c:pt idx="73">
                  <c:v>39965</c:v>
                </c:pt>
                <c:pt idx="74">
                  <c:v>39995</c:v>
                </c:pt>
                <c:pt idx="75">
                  <c:v>40026</c:v>
                </c:pt>
                <c:pt idx="76">
                  <c:v>40057</c:v>
                </c:pt>
                <c:pt idx="77">
                  <c:v>40087</c:v>
                </c:pt>
                <c:pt idx="78">
                  <c:v>40118</c:v>
                </c:pt>
                <c:pt idx="79">
                  <c:v>40148</c:v>
                </c:pt>
                <c:pt idx="80">
                  <c:v>40179</c:v>
                </c:pt>
                <c:pt idx="81">
                  <c:v>40210</c:v>
                </c:pt>
                <c:pt idx="82">
                  <c:v>40238</c:v>
                </c:pt>
                <c:pt idx="83">
                  <c:v>40269</c:v>
                </c:pt>
                <c:pt idx="84">
                  <c:v>40299</c:v>
                </c:pt>
                <c:pt idx="85">
                  <c:v>40330</c:v>
                </c:pt>
                <c:pt idx="86">
                  <c:v>40360</c:v>
                </c:pt>
                <c:pt idx="87">
                  <c:v>40391</c:v>
                </c:pt>
                <c:pt idx="88">
                  <c:v>40422</c:v>
                </c:pt>
                <c:pt idx="89">
                  <c:v>40452</c:v>
                </c:pt>
                <c:pt idx="90">
                  <c:v>40483</c:v>
                </c:pt>
                <c:pt idx="91">
                  <c:v>40513</c:v>
                </c:pt>
                <c:pt idx="92">
                  <c:v>40544</c:v>
                </c:pt>
                <c:pt idx="93">
                  <c:v>40575</c:v>
                </c:pt>
                <c:pt idx="94">
                  <c:v>40603</c:v>
                </c:pt>
                <c:pt idx="95">
                  <c:v>40634</c:v>
                </c:pt>
                <c:pt idx="96">
                  <c:v>40664</c:v>
                </c:pt>
                <c:pt idx="97">
                  <c:v>40695</c:v>
                </c:pt>
                <c:pt idx="98">
                  <c:v>40725</c:v>
                </c:pt>
                <c:pt idx="99">
                  <c:v>40756</c:v>
                </c:pt>
                <c:pt idx="100">
                  <c:v>40787</c:v>
                </c:pt>
                <c:pt idx="101">
                  <c:v>40817</c:v>
                </c:pt>
                <c:pt idx="102">
                  <c:v>40848</c:v>
                </c:pt>
                <c:pt idx="103">
                  <c:v>40878</c:v>
                </c:pt>
                <c:pt idx="104">
                  <c:v>40909</c:v>
                </c:pt>
                <c:pt idx="105">
                  <c:v>40940</c:v>
                </c:pt>
                <c:pt idx="106">
                  <c:v>40969</c:v>
                </c:pt>
                <c:pt idx="107">
                  <c:v>41000</c:v>
                </c:pt>
                <c:pt idx="108">
                  <c:v>41030</c:v>
                </c:pt>
                <c:pt idx="109">
                  <c:v>41061</c:v>
                </c:pt>
                <c:pt idx="110">
                  <c:v>41091</c:v>
                </c:pt>
                <c:pt idx="111">
                  <c:v>41122</c:v>
                </c:pt>
                <c:pt idx="112">
                  <c:v>41153</c:v>
                </c:pt>
                <c:pt idx="113">
                  <c:v>41183</c:v>
                </c:pt>
                <c:pt idx="114">
                  <c:v>41214</c:v>
                </c:pt>
                <c:pt idx="115">
                  <c:v>41244</c:v>
                </c:pt>
                <c:pt idx="116">
                  <c:v>41275</c:v>
                </c:pt>
                <c:pt idx="117">
                  <c:v>41306</c:v>
                </c:pt>
                <c:pt idx="118">
                  <c:v>41334</c:v>
                </c:pt>
                <c:pt idx="119">
                  <c:v>41365</c:v>
                </c:pt>
                <c:pt idx="120">
                  <c:v>41395</c:v>
                </c:pt>
                <c:pt idx="121">
                  <c:v>41426</c:v>
                </c:pt>
                <c:pt idx="122">
                  <c:v>41456</c:v>
                </c:pt>
                <c:pt idx="123">
                  <c:v>41487</c:v>
                </c:pt>
                <c:pt idx="124">
                  <c:v>41518</c:v>
                </c:pt>
                <c:pt idx="125">
                  <c:v>41548</c:v>
                </c:pt>
                <c:pt idx="126">
                  <c:v>41579</c:v>
                </c:pt>
                <c:pt idx="127">
                  <c:v>41609</c:v>
                </c:pt>
                <c:pt idx="128">
                  <c:v>41640</c:v>
                </c:pt>
                <c:pt idx="129">
                  <c:v>41671</c:v>
                </c:pt>
                <c:pt idx="130">
                  <c:v>41699</c:v>
                </c:pt>
                <c:pt idx="131">
                  <c:v>41730</c:v>
                </c:pt>
                <c:pt idx="132">
                  <c:v>41760</c:v>
                </c:pt>
                <c:pt idx="133">
                  <c:v>41791</c:v>
                </c:pt>
                <c:pt idx="134">
                  <c:v>41821</c:v>
                </c:pt>
                <c:pt idx="135">
                  <c:v>41852</c:v>
                </c:pt>
                <c:pt idx="136">
                  <c:v>41883</c:v>
                </c:pt>
                <c:pt idx="137">
                  <c:v>41913</c:v>
                </c:pt>
                <c:pt idx="138">
                  <c:v>41944</c:v>
                </c:pt>
                <c:pt idx="139">
                  <c:v>41974</c:v>
                </c:pt>
                <c:pt idx="140">
                  <c:v>42005</c:v>
                </c:pt>
                <c:pt idx="141">
                  <c:v>42036</c:v>
                </c:pt>
                <c:pt idx="142">
                  <c:v>42064</c:v>
                </c:pt>
                <c:pt idx="143">
                  <c:v>42095</c:v>
                </c:pt>
                <c:pt idx="144">
                  <c:v>42125</c:v>
                </c:pt>
                <c:pt idx="145">
                  <c:v>42156</c:v>
                </c:pt>
                <c:pt idx="146">
                  <c:v>42186</c:v>
                </c:pt>
                <c:pt idx="147">
                  <c:v>42217</c:v>
                </c:pt>
                <c:pt idx="148">
                  <c:v>42248</c:v>
                </c:pt>
                <c:pt idx="149">
                  <c:v>42278</c:v>
                </c:pt>
                <c:pt idx="150">
                  <c:v>42309</c:v>
                </c:pt>
                <c:pt idx="151">
                  <c:v>42339</c:v>
                </c:pt>
                <c:pt idx="152">
                  <c:v>42370</c:v>
                </c:pt>
              </c:numCache>
            </c:numRef>
          </c:cat>
          <c:val>
            <c:numRef>
              <c:f>Cello!$D$2:$D$154</c:f>
              <c:numCache>
                <c:formatCode>0.00%</c:formatCode>
                <c:ptCount val="153"/>
                <c:pt idx="0">
                  <c:v>3.1505553453999857E-2</c:v>
                </c:pt>
                <c:pt idx="1">
                  <c:v>3.0458344569883847E-2</c:v>
                </c:pt>
                <c:pt idx="2">
                  <c:v>3.0869624754100333E-2</c:v>
                </c:pt>
                <c:pt idx="3">
                  <c:v>3.1003680527098718E-2</c:v>
                </c:pt>
                <c:pt idx="4">
                  <c:v>2.9772293042627455E-2</c:v>
                </c:pt>
                <c:pt idx="5">
                  <c:v>2.8568854754671552E-2</c:v>
                </c:pt>
                <c:pt idx="6">
                  <c:v>2.8786272127584136E-2</c:v>
                </c:pt>
                <c:pt idx="7">
                  <c:v>2.9066892754036715E-2</c:v>
                </c:pt>
                <c:pt idx="8">
                  <c:v>3.1534340106091505E-2</c:v>
                </c:pt>
                <c:pt idx="9">
                  <c:v>3.343333955609936E-2</c:v>
                </c:pt>
                <c:pt idx="10">
                  <c:v>3.5072057315301157E-2</c:v>
                </c:pt>
                <c:pt idx="11">
                  <c:v>3.6599225160582269E-2</c:v>
                </c:pt>
                <c:pt idx="12">
                  <c:v>3.8078818998575896E-2</c:v>
                </c:pt>
                <c:pt idx="13">
                  <c:v>3.8679396867097302E-2</c:v>
                </c:pt>
                <c:pt idx="14">
                  <c:v>3.8983227437278681E-2</c:v>
                </c:pt>
                <c:pt idx="15">
                  <c:v>3.9712397272637374E-2</c:v>
                </c:pt>
                <c:pt idx="16">
                  <c:v>4.0627429809320673E-2</c:v>
                </c:pt>
                <c:pt idx="17">
                  <c:v>4.133601707899745E-2</c:v>
                </c:pt>
                <c:pt idx="18">
                  <c:v>4.2636782142282691E-2</c:v>
                </c:pt>
                <c:pt idx="19">
                  <c:v>4.3905432076114317E-2</c:v>
                </c:pt>
                <c:pt idx="20">
                  <c:v>4.5415864323251058E-2</c:v>
                </c:pt>
                <c:pt idx="21">
                  <c:v>4.6849449747674091E-2</c:v>
                </c:pt>
                <c:pt idx="22">
                  <c:v>4.864892090146633E-2</c:v>
                </c:pt>
                <c:pt idx="23">
                  <c:v>5.0592487268062425E-2</c:v>
                </c:pt>
                <c:pt idx="24">
                  <c:v>5.174154689388575E-2</c:v>
                </c:pt>
                <c:pt idx="25">
                  <c:v>5.3168386965619617E-2</c:v>
                </c:pt>
                <c:pt idx="26">
                  <c:v>5.3537584838488202E-2</c:v>
                </c:pt>
                <c:pt idx="27">
                  <c:v>5.4041470675246769E-2</c:v>
                </c:pt>
                <c:pt idx="28">
                  <c:v>5.412970291549505E-2</c:v>
                </c:pt>
                <c:pt idx="29">
                  <c:v>5.4278707943616195E-2</c:v>
                </c:pt>
                <c:pt idx="30">
                  <c:v>5.4351262489374448E-2</c:v>
                </c:pt>
                <c:pt idx="31">
                  <c:v>5.4630246964761625E-2</c:v>
                </c:pt>
                <c:pt idx="32">
                  <c:v>5.5339298555203642E-2</c:v>
                </c:pt>
                <c:pt idx="33">
                  <c:v>5.5754325216036599E-2</c:v>
                </c:pt>
                <c:pt idx="34">
                  <c:v>5.6040519769527015E-2</c:v>
                </c:pt>
                <c:pt idx="35">
                  <c:v>5.635407237937879E-2</c:v>
                </c:pt>
                <c:pt idx="36">
                  <c:v>5.6604053537940152E-2</c:v>
                </c:pt>
                <c:pt idx="37">
                  <c:v>5.686927788282993E-2</c:v>
                </c:pt>
                <c:pt idx="38">
                  <c:v>5.6986325525957469E-2</c:v>
                </c:pt>
                <c:pt idx="39">
                  <c:v>5.7287900877228647E-2</c:v>
                </c:pt>
                <c:pt idx="40">
                  <c:v>5.7928503202886325E-2</c:v>
                </c:pt>
                <c:pt idx="41">
                  <c:v>5.8775549263242501E-2</c:v>
                </c:pt>
                <c:pt idx="42">
                  <c:v>5.9706976001737661E-2</c:v>
                </c:pt>
                <c:pt idx="43">
                  <c:v>6.0532732603843592E-2</c:v>
                </c:pt>
                <c:pt idx="44">
                  <c:v>5.9942044213405793E-2</c:v>
                </c:pt>
                <c:pt idx="45">
                  <c:v>5.920877847550849E-2</c:v>
                </c:pt>
                <c:pt idx="46">
                  <c:v>5.8745807659117556E-2</c:v>
                </c:pt>
                <c:pt idx="47">
                  <c:v>5.8343132085400234E-2</c:v>
                </c:pt>
                <c:pt idx="48">
                  <c:v>5.7888379514077756E-2</c:v>
                </c:pt>
                <c:pt idx="49">
                  <c:v>5.7791037067561404E-2</c:v>
                </c:pt>
                <c:pt idx="50">
                  <c:v>5.7559325202581987E-2</c:v>
                </c:pt>
                <c:pt idx="51">
                  <c:v>5.681766151326241E-2</c:v>
                </c:pt>
                <c:pt idx="52">
                  <c:v>5.6244560994160517E-2</c:v>
                </c:pt>
                <c:pt idx="53">
                  <c:v>5.6124407981525924E-2</c:v>
                </c:pt>
                <c:pt idx="54">
                  <c:v>5.5944028114098647E-2</c:v>
                </c:pt>
                <c:pt idx="55">
                  <c:v>5.5806523839707488E-2</c:v>
                </c:pt>
                <c:pt idx="56">
                  <c:v>5.4876626477220941E-2</c:v>
                </c:pt>
                <c:pt idx="57">
                  <c:v>5.3763008316120228E-2</c:v>
                </c:pt>
                <c:pt idx="58">
                  <c:v>5.2504486751200556E-2</c:v>
                </c:pt>
                <c:pt idx="59">
                  <c:v>5.0613037533202676E-2</c:v>
                </c:pt>
                <c:pt idx="60">
                  <c:v>4.898775630502808E-2</c:v>
                </c:pt>
                <c:pt idx="61">
                  <c:v>4.6896046314741063E-2</c:v>
                </c:pt>
                <c:pt idx="62">
                  <c:v>4.6014500074992797E-2</c:v>
                </c:pt>
                <c:pt idx="63">
                  <c:v>4.5062858172856567E-2</c:v>
                </c:pt>
                <c:pt idx="64">
                  <c:v>4.4228159789796995E-2</c:v>
                </c:pt>
                <c:pt idx="65">
                  <c:v>4.318615797037173E-2</c:v>
                </c:pt>
                <c:pt idx="66">
                  <c:v>4.2414470885187378E-2</c:v>
                </c:pt>
                <c:pt idx="67">
                  <c:v>4.1223781151945742E-2</c:v>
                </c:pt>
                <c:pt idx="68">
                  <c:v>4.0037367507521328E-2</c:v>
                </c:pt>
                <c:pt idx="69">
                  <c:v>3.9370121946225765E-2</c:v>
                </c:pt>
                <c:pt idx="70">
                  <c:v>3.8069820917804177E-2</c:v>
                </c:pt>
                <c:pt idx="71">
                  <c:v>3.6265571821527336E-2</c:v>
                </c:pt>
                <c:pt idx="72">
                  <c:v>3.4587390889172336E-2</c:v>
                </c:pt>
                <c:pt idx="73">
                  <c:v>3.2824810668649465E-2</c:v>
                </c:pt>
                <c:pt idx="74">
                  <c:v>3.1564669449258079E-2</c:v>
                </c:pt>
                <c:pt idx="75">
                  <c:v>3.0262755587574838E-2</c:v>
                </c:pt>
                <c:pt idx="76">
                  <c:v>2.896131010304746E-2</c:v>
                </c:pt>
                <c:pt idx="77">
                  <c:v>2.8112486774777193E-2</c:v>
                </c:pt>
                <c:pt idx="78">
                  <c:v>2.7343488736755135E-2</c:v>
                </c:pt>
                <c:pt idx="79">
                  <c:v>2.6756486087440527E-2</c:v>
                </c:pt>
                <c:pt idx="80">
                  <c:v>2.6231442154930999E-2</c:v>
                </c:pt>
                <c:pt idx="81">
                  <c:v>2.5662680088463483E-2</c:v>
                </c:pt>
                <c:pt idx="82">
                  <c:v>2.5021783822311905E-2</c:v>
                </c:pt>
                <c:pt idx="83">
                  <c:v>2.4383353622759559E-2</c:v>
                </c:pt>
                <c:pt idx="84">
                  <c:v>2.3463595675870554E-2</c:v>
                </c:pt>
                <c:pt idx="85">
                  <c:v>2.2883550076749987E-2</c:v>
                </c:pt>
                <c:pt idx="86">
                  <c:v>2.2284346069201825E-2</c:v>
                </c:pt>
                <c:pt idx="87">
                  <c:v>2.1588039602471375E-2</c:v>
                </c:pt>
                <c:pt idx="88">
                  <c:v>2.117659270223754E-2</c:v>
                </c:pt>
                <c:pt idx="89">
                  <c:v>2.0858830878927429E-2</c:v>
                </c:pt>
                <c:pt idx="90">
                  <c:v>2.0426056994755935E-2</c:v>
                </c:pt>
                <c:pt idx="91">
                  <c:v>2.0189970494186599E-2</c:v>
                </c:pt>
                <c:pt idx="92">
                  <c:v>1.9908056936176904E-2</c:v>
                </c:pt>
                <c:pt idx="93">
                  <c:v>1.9667336372629296E-2</c:v>
                </c:pt>
                <c:pt idx="94">
                  <c:v>1.9330076377150521E-2</c:v>
                </c:pt>
                <c:pt idx="95">
                  <c:v>1.8942298868243265E-2</c:v>
                </c:pt>
                <c:pt idx="96">
                  <c:v>1.858983441082707E-2</c:v>
                </c:pt>
                <c:pt idx="97">
                  <c:v>1.8286058429824326E-2</c:v>
                </c:pt>
                <c:pt idx="98">
                  <c:v>1.8139409259037315E-2</c:v>
                </c:pt>
                <c:pt idx="99">
                  <c:v>1.8145343671029553E-2</c:v>
                </c:pt>
                <c:pt idx="100">
                  <c:v>1.8169516535116378E-2</c:v>
                </c:pt>
                <c:pt idx="101">
                  <c:v>1.8271496396103804E-2</c:v>
                </c:pt>
                <c:pt idx="102">
                  <c:v>1.8352537990591306E-2</c:v>
                </c:pt>
                <c:pt idx="103">
                  <c:v>1.8392231198660132E-2</c:v>
                </c:pt>
                <c:pt idx="104">
                  <c:v>1.8314898724507592E-2</c:v>
                </c:pt>
                <c:pt idx="105">
                  <c:v>1.8203341595600026E-2</c:v>
                </c:pt>
                <c:pt idx="106">
                  <c:v>1.8140660447284455E-2</c:v>
                </c:pt>
                <c:pt idx="107">
                  <c:v>1.809399723835179E-2</c:v>
                </c:pt>
                <c:pt idx="108">
                  <c:v>1.8042734983349323E-2</c:v>
                </c:pt>
                <c:pt idx="109">
                  <c:v>1.8014584462601825E-2</c:v>
                </c:pt>
                <c:pt idx="110">
                  <c:v>1.8129570810402076E-2</c:v>
                </c:pt>
                <c:pt idx="111">
                  <c:v>1.8349216499515198E-2</c:v>
                </c:pt>
                <c:pt idx="112">
                  <c:v>1.8494957713501667E-2</c:v>
                </c:pt>
                <c:pt idx="113">
                  <c:v>1.8622633020182133E-2</c:v>
                </c:pt>
                <c:pt idx="114">
                  <c:v>1.8708136883484265E-2</c:v>
                </c:pt>
                <c:pt idx="115">
                  <c:v>1.8807517537260992E-2</c:v>
                </c:pt>
                <c:pt idx="116">
                  <c:v>1.8796385987151183E-2</c:v>
                </c:pt>
                <c:pt idx="117">
                  <c:v>1.8792061267171575E-2</c:v>
                </c:pt>
                <c:pt idx="118">
                  <c:v>1.8829123379322372E-2</c:v>
                </c:pt>
                <c:pt idx="119">
                  <c:v>1.8770214012993353E-2</c:v>
                </c:pt>
                <c:pt idx="120">
                  <c:v>1.877428330040545E-2</c:v>
                </c:pt>
                <c:pt idx="121">
                  <c:v>1.892288607494336E-2</c:v>
                </c:pt>
                <c:pt idx="122">
                  <c:v>1.9011316897020777E-2</c:v>
                </c:pt>
                <c:pt idx="123">
                  <c:v>1.8970142217942486E-2</c:v>
                </c:pt>
                <c:pt idx="124">
                  <c:v>1.9017427125711237E-2</c:v>
                </c:pt>
                <c:pt idx="125">
                  <c:v>1.9196113476857752E-2</c:v>
                </c:pt>
                <c:pt idx="126">
                  <c:v>1.9477789749874356E-2</c:v>
                </c:pt>
                <c:pt idx="127">
                  <c:v>1.9841550971288101E-2</c:v>
                </c:pt>
                <c:pt idx="128">
                  <c:v>2.0128397260489594E-2</c:v>
                </c:pt>
                <c:pt idx="129">
                  <c:v>2.033465282958696E-2</c:v>
                </c:pt>
                <c:pt idx="130">
                  <c:v>2.0611958960709945E-2</c:v>
                </c:pt>
                <c:pt idx="131">
                  <c:v>2.0976985188502509E-2</c:v>
                </c:pt>
                <c:pt idx="132">
                  <c:v>2.1266329588864194E-2</c:v>
                </c:pt>
                <c:pt idx="133">
                  <c:v>2.1580846722907165E-2</c:v>
                </c:pt>
                <c:pt idx="134">
                  <c:v>2.200916635929815E-2</c:v>
                </c:pt>
                <c:pt idx="135">
                  <c:v>2.2392065932850418E-2</c:v>
                </c:pt>
                <c:pt idx="136">
                  <c:v>2.2768514984740581E-2</c:v>
                </c:pt>
                <c:pt idx="137">
                  <c:v>2.3172268954111432E-2</c:v>
                </c:pt>
                <c:pt idx="138">
                  <c:v>2.3535701687515276E-2</c:v>
                </c:pt>
                <c:pt idx="139">
                  <c:v>2.3898065608071548E-2</c:v>
                </c:pt>
                <c:pt idx="140">
                  <c:v>2.4309450881857212E-2</c:v>
                </c:pt>
                <c:pt idx="141">
                  <c:v>2.4909602760846944E-2</c:v>
                </c:pt>
                <c:pt idx="142">
                  <c:v>2.5489528940647571E-2</c:v>
                </c:pt>
                <c:pt idx="143">
                  <c:v>2.5811061595505159E-2</c:v>
                </c:pt>
                <c:pt idx="144">
                  <c:v>2.6043859069240744E-2</c:v>
                </c:pt>
                <c:pt idx="145">
                  <c:v>2.6196855432623223E-2</c:v>
                </c:pt>
                <c:pt idx="146">
                  <c:v>2.625776076215872E-2</c:v>
                </c:pt>
                <c:pt idx="147">
                  <c:v>2.6368366660435776E-2</c:v>
                </c:pt>
                <c:pt idx="148">
                  <c:v>2.6437760872607144E-2</c:v>
                </c:pt>
                <c:pt idx="149">
                  <c:v>2.6519222099003883E-2</c:v>
                </c:pt>
                <c:pt idx="150">
                  <c:v>2.6626709778030985E-2</c:v>
                </c:pt>
                <c:pt idx="151">
                  <c:v>2.6753914642158032E-2</c:v>
                </c:pt>
                <c:pt idx="152">
                  <c:v>2.6648616257851962E-2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Cello!$E$1</c:f>
              <c:strCache>
                <c:ptCount val="1"/>
                <c:pt idx="0">
                  <c:v>12Mo MA</c:v>
                </c:pt>
              </c:strCache>
            </c:strRef>
          </c:tx>
          <c:marker>
            <c:symbol val="none"/>
          </c:marker>
          <c:cat>
            <c:numRef>
              <c:f>Cello!$A$2:$A$154</c:f>
              <c:numCache>
                <c:formatCode>m/d/yyyy</c:formatCode>
                <c:ptCount val="153"/>
                <c:pt idx="0">
                  <c:v>37742</c:v>
                </c:pt>
                <c:pt idx="1">
                  <c:v>37773</c:v>
                </c:pt>
                <c:pt idx="2">
                  <c:v>37803</c:v>
                </c:pt>
                <c:pt idx="3">
                  <c:v>37834</c:v>
                </c:pt>
                <c:pt idx="4">
                  <c:v>37865</c:v>
                </c:pt>
                <c:pt idx="5">
                  <c:v>37895</c:v>
                </c:pt>
                <c:pt idx="6">
                  <c:v>37926</c:v>
                </c:pt>
                <c:pt idx="7">
                  <c:v>37956</c:v>
                </c:pt>
                <c:pt idx="8">
                  <c:v>37987</c:v>
                </c:pt>
                <c:pt idx="9">
                  <c:v>38018</c:v>
                </c:pt>
                <c:pt idx="10">
                  <c:v>38047</c:v>
                </c:pt>
                <c:pt idx="11">
                  <c:v>38078</c:v>
                </c:pt>
                <c:pt idx="12">
                  <c:v>38108</c:v>
                </c:pt>
                <c:pt idx="13">
                  <c:v>38139</c:v>
                </c:pt>
                <c:pt idx="14">
                  <c:v>38169</c:v>
                </c:pt>
                <c:pt idx="15">
                  <c:v>38200</c:v>
                </c:pt>
                <c:pt idx="16">
                  <c:v>38231</c:v>
                </c:pt>
                <c:pt idx="17">
                  <c:v>38261</c:v>
                </c:pt>
                <c:pt idx="18">
                  <c:v>38292</c:v>
                </c:pt>
                <c:pt idx="19">
                  <c:v>38322</c:v>
                </c:pt>
                <c:pt idx="20">
                  <c:v>38353</c:v>
                </c:pt>
                <c:pt idx="21">
                  <c:v>38384</c:v>
                </c:pt>
                <c:pt idx="22">
                  <c:v>38412</c:v>
                </c:pt>
                <c:pt idx="23">
                  <c:v>38443</c:v>
                </c:pt>
                <c:pt idx="24">
                  <c:v>38473</c:v>
                </c:pt>
                <c:pt idx="25">
                  <c:v>38504</c:v>
                </c:pt>
                <c:pt idx="26">
                  <c:v>38534</c:v>
                </c:pt>
                <c:pt idx="27">
                  <c:v>38565</c:v>
                </c:pt>
                <c:pt idx="28">
                  <c:v>38596</c:v>
                </c:pt>
                <c:pt idx="29">
                  <c:v>38626</c:v>
                </c:pt>
                <c:pt idx="30">
                  <c:v>38657</c:v>
                </c:pt>
                <c:pt idx="31">
                  <c:v>38687</c:v>
                </c:pt>
                <c:pt idx="32">
                  <c:v>38718</c:v>
                </c:pt>
                <c:pt idx="33">
                  <c:v>38749</c:v>
                </c:pt>
                <c:pt idx="34">
                  <c:v>38777</c:v>
                </c:pt>
                <c:pt idx="35">
                  <c:v>38808</c:v>
                </c:pt>
                <c:pt idx="36">
                  <c:v>38838</c:v>
                </c:pt>
                <c:pt idx="37">
                  <c:v>38869</c:v>
                </c:pt>
                <c:pt idx="38">
                  <c:v>38899</c:v>
                </c:pt>
                <c:pt idx="39">
                  <c:v>38930</c:v>
                </c:pt>
                <c:pt idx="40">
                  <c:v>38961</c:v>
                </c:pt>
                <c:pt idx="41">
                  <c:v>38991</c:v>
                </c:pt>
                <c:pt idx="42">
                  <c:v>39022</c:v>
                </c:pt>
                <c:pt idx="43">
                  <c:v>39052</c:v>
                </c:pt>
                <c:pt idx="44">
                  <c:v>39083</c:v>
                </c:pt>
                <c:pt idx="45">
                  <c:v>39114</c:v>
                </c:pt>
                <c:pt idx="46">
                  <c:v>39142</c:v>
                </c:pt>
                <c:pt idx="47">
                  <c:v>39173</c:v>
                </c:pt>
                <c:pt idx="48">
                  <c:v>39203</c:v>
                </c:pt>
                <c:pt idx="49">
                  <c:v>39234</c:v>
                </c:pt>
                <c:pt idx="50">
                  <c:v>39264</c:v>
                </c:pt>
                <c:pt idx="51">
                  <c:v>39295</c:v>
                </c:pt>
                <c:pt idx="52">
                  <c:v>39326</c:v>
                </c:pt>
                <c:pt idx="53">
                  <c:v>39356</c:v>
                </c:pt>
                <c:pt idx="54">
                  <c:v>39387</c:v>
                </c:pt>
                <c:pt idx="55">
                  <c:v>39417</c:v>
                </c:pt>
                <c:pt idx="56">
                  <c:v>39448</c:v>
                </c:pt>
                <c:pt idx="57">
                  <c:v>39479</c:v>
                </c:pt>
                <c:pt idx="58">
                  <c:v>39508</c:v>
                </c:pt>
                <c:pt idx="59">
                  <c:v>39539</c:v>
                </c:pt>
                <c:pt idx="60">
                  <c:v>39569</c:v>
                </c:pt>
                <c:pt idx="61">
                  <c:v>39600</c:v>
                </c:pt>
                <c:pt idx="62">
                  <c:v>39630</c:v>
                </c:pt>
                <c:pt idx="63">
                  <c:v>39661</c:v>
                </c:pt>
                <c:pt idx="64">
                  <c:v>39692</c:v>
                </c:pt>
                <c:pt idx="65">
                  <c:v>39722</c:v>
                </c:pt>
                <c:pt idx="66">
                  <c:v>39753</c:v>
                </c:pt>
                <c:pt idx="67">
                  <c:v>39783</c:v>
                </c:pt>
                <c:pt idx="68">
                  <c:v>39814</c:v>
                </c:pt>
                <c:pt idx="69">
                  <c:v>39845</c:v>
                </c:pt>
                <c:pt idx="70">
                  <c:v>39873</c:v>
                </c:pt>
                <c:pt idx="71">
                  <c:v>39904</c:v>
                </c:pt>
                <c:pt idx="72">
                  <c:v>39934</c:v>
                </c:pt>
                <c:pt idx="73">
                  <c:v>39965</c:v>
                </c:pt>
                <c:pt idx="74">
                  <c:v>39995</c:v>
                </c:pt>
                <c:pt idx="75">
                  <c:v>40026</c:v>
                </c:pt>
                <c:pt idx="76">
                  <c:v>40057</c:v>
                </c:pt>
                <c:pt idx="77">
                  <c:v>40087</c:v>
                </c:pt>
                <c:pt idx="78">
                  <c:v>40118</c:v>
                </c:pt>
                <c:pt idx="79">
                  <c:v>40148</c:v>
                </c:pt>
                <c:pt idx="80">
                  <c:v>40179</c:v>
                </c:pt>
                <c:pt idx="81">
                  <c:v>40210</c:v>
                </c:pt>
                <c:pt idx="82">
                  <c:v>40238</c:v>
                </c:pt>
                <c:pt idx="83">
                  <c:v>40269</c:v>
                </c:pt>
                <c:pt idx="84">
                  <c:v>40299</c:v>
                </c:pt>
                <c:pt idx="85">
                  <c:v>40330</c:v>
                </c:pt>
                <c:pt idx="86">
                  <c:v>40360</c:v>
                </c:pt>
                <c:pt idx="87">
                  <c:v>40391</c:v>
                </c:pt>
                <c:pt idx="88">
                  <c:v>40422</c:v>
                </c:pt>
                <c:pt idx="89">
                  <c:v>40452</c:v>
                </c:pt>
                <c:pt idx="90">
                  <c:v>40483</c:v>
                </c:pt>
                <c:pt idx="91">
                  <c:v>40513</c:v>
                </c:pt>
                <c:pt idx="92">
                  <c:v>40544</c:v>
                </c:pt>
                <c:pt idx="93">
                  <c:v>40575</c:v>
                </c:pt>
                <c:pt idx="94">
                  <c:v>40603</c:v>
                </c:pt>
                <c:pt idx="95">
                  <c:v>40634</c:v>
                </c:pt>
                <c:pt idx="96">
                  <c:v>40664</c:v>
                </c:pt>
                <c:pt idx="97">
                  <c:v>40695</c:v>
                </c:pt>
                <c:pt idx="98">
                  <c:v>40725</c:v>
                </c:pt>
                <c:pt idx="99">
                  <c:v>40756</c:v>
                </c:pt>
                <c:pt idx="100">
                  <c:v>40787</c:v>
                </c:pt>
                <c:pt idx="101">
                  <c:v>40817</c:v>
                </c:pt>
                <c:pt idx="102">
                  <c:v>40848</c:v>
                </c:pt>
                <c:pt idx="103">
                  <c:v>40878</c:v>
                </c:pt>
                <c:pt idx="104">
                  <c:v>40909</c:v>
                </c:pt>
                <c:pt idx="105">
                  <c:v>40940</c:v>
                </c:pt>
                <c:pt idx="106">
                  <c:v>40969</c:v>
                </c:pt>
                <c:pt idx="107">
                  <c:v>41000</c:v>
                </c:pt>
                <c:pt idx="108">
                  <c:v>41030</c:v>
                </c:pt>
                <c:pt idx="109">
                  <c:v>41061</c:v>
                </c:pt>
                <c:pt idx="110">
                  <c:v>41091</c:v>
                </c:pt>
                <c:pt idx="111">
                  <c:v>41122</c:v>
                </c:pt>
                <c:pt idx="112">
                  <c:v>41153</c:v>
                </c:pt>
                <c:pt idx="113">
                  <c:v>41183</c:v>
                </c:pt>
                <c:pt idx="114">
                  <c:v>41214</c:v>
                </c:pt>
                <c:pt idx="115">
                  <c:v>41244</c:v>
                </c:pt>
                <c:pt idx="116">
                  <c:v>41275</c:v>
                </c:pt>
                <c:pt idx="117">
                  <c:v>41306</c:v>
                </c:pt>
                <c:pt idx="118">
                  <c:v>41334</c:v>
                </c:pt>
                <c:pt idx="119">
                  <c:v>41365</c:v>
                </c:pt>
                <c:pt idx="120">
                  <c:v>41395</c:v>
                </c:pt>
                <c:pt idx="121">
                  <c:v>41426</c:v>
                </c:pt>
                <c:pt idx="122">
                  <c:v>41456</c:v>
                </c:pt>
                <c:pt idx="123">
                  <c:v>41487</c:v>
                </c:pt>
                <c:pt idx="124">
                  <c:v>41518</c:v>
                </c:pt>
                <c:pt idx="125">
                  <c:v>41548</c:v>
                </c:pt>
                <c:pt idx="126">
                  <c:v>41579</c:v>
                </c:pt>
                <c:pt idx="127">
                  <c:v>41609</c:v>
                </c:pt>
                <c:pt idx="128">
                  <c:v>41640</c:v>
                </c:pt>
                <c:pt idx="129">
                  <c:v>41671</c:v>
                </c:pt>
                <c:pt idx="130">
                  <c:v>41699</c:v>
                </c:pt>
                <c:pt idx="131">
                  <c:v>41730</c:v>
                </c:pt>
                <c:pt idx="132">
                  <c:v>41760</c:v>
                </c:pt>
                <c:pt idx="133">
                  <c:v>41791</c:v>
                </c:pt>
                <c:pt idx="134">
                  <c:v>41821</c:v>
                </c:pt>
                <c:pt idx="135">
                  <c:v>41852</c:v>
                </c:pt>
                <c:pt idx="136">
                  <c:v>41883</c:v>
                </c:pt>
                <c:pt idx="137">
                  <c:v>41913</c:v>
                </c:pt>
                <c:pt idx="138">
                  <c:v>41944</c:v>
                </c:pt>
                <c:pt idx="139">
                  <c:v>41974</c:v>
                </c:pt>
                <c:pt idx="140">
                  <c:v>42005</c:v>
                </c:pt>
                <c:pt idx="141">
                  <c:v>42036</c:v>
                </c:pt>
                <c:pt idx="142">
                  <c:v>42064</c:v>
                </c:pt>
                <c:pt idx="143">
                  <c:v>42095</c:v>
                </c:pt>
                <c:pt idx="144">
                  <c:v>42125</c:v>
                </c:pt>
                <c:pt idx="145">
                  <c:v>42156</c:v>
                </c:pt>
                <c:pt idx="146">
                  <c:v>42186</c:v>
                </c:pt>
                <c:pt idx="147">
                  <c:v>42217</c:v>
                </c:pt>
                <c:pt idx="148">
                  <c:v>42248</c:v>
                </c:pt>
                <c:pt idx="149">
                  <c:v>42278</c:v>
                </c:pt>
                <c:pt idx="150">
                  <c:v>42309</c:v>
                </c:pt>
                <c:pt idx="151">
                  <c:v>42339</c:v>
                </c:pt>
                <c:pt idx="152">
                  <c:v>42370</c:v>
                </c:pt>
              </c:numCache>
            </c:numRef>
          </c:cat>
          <c:val>
            <c:numRef>
              <c:f>Cello!$E$2:$E$154</c:f>
              <c:numCache>
                <c:formatCode>0.00%</c:formatCode>
                <c:ptCount val="153"/>
                <c:pt idx="0">
                  <c:v>3.1505553453999857E-2</c:v>
                </c:pt>
                <c:pt idx="1">
                  <c:v>3.0458344569883847E-2</c:v>
                </c:pt>
                <c:pt idx="2">
                  <c:v>3.0869624754100333E-2</c:v>
                </c:pt>
                <c:pt idx="3">
                  <c:v>3.1003680527098718E-2</c:v>
                </c:pt>
                <c:pt idx="4">
                  <c:v>2.9772293042627455E-2</c:v>
                </c:pt>
                <c:pt idx="5">
                  <c:v>2.8568854754671552E-2</c:v>
                </c:pt>
                <c:pt idx="6">
                  <c:v>2.8786272127584136E-2</c:v>
                </c:pt>
                <c:pt idx="7">
                  <c:v>2.9066892754036715E-2</c:v>
                </c:pt>
                <c:pt idx="8">
                  <c:v>3.1534340106091505E-2</c:v>
                </c:pt>
                <c:pt idx="9">
                  <c:v>3.343333955609936E-2</c:v>
                </c:pt>
                <c:pt idx="10">
                  <c:v>3.5072057315301157E-2</c:v>
                </c:pt>
                <c:pt idx="11">
                  <c:v>3.6599225160582269E-2</c:v>
                </c:pt>
                <c:pt idx="12">
                  <c:v>3.8626591127290562E-2</c:v>
                </c:pt>
                <c:pt idx="13">
                  <c:v>4.0049572249966213E-2</c:v>
                </c:pt>
                <c:pt idx="14">
                  <c:v>4.1011628108073288E-2</c:v>
                </c:pt>
                <c:pt idx="15">
                  <c:v>4.261530285448361E-2</c:v>
                </c:pt>
                <c:pt idx="16">
                  <c:v>4.5150403462109523E-2</c:v>
                </c:pt>
                <c:pt idx="17">
                  <c:v>4.7719598241160406E-2</c:v>
                </c:pt>
                <c:pt idx="18">
                  <c:v>4.9788643926833291E-2</c:v>
                </c:pt>
                <c:pt idx="19">
                  <c:v>5.1556610373127643E-2</c:v>
                </c:pt>
                <c:pt idx="20">
                  <c:v>5.2190447593833039E-2</c:v>
                </c:pt>
                <c:pt idx="21">
                  <c:v>5.2747618500461231E-2</c:v>
                </c:pt>
                <c:pt idx="22">
                  <c:v>5.3229117580934876E-2</c:v>
                </c:pt>
                <c:pt idx="23">
                  <c:v>5.3573933118847145E-2</c:v>
                </c:pt>
                <c:pt idx="24">
                  <c:v>5.3152258500128814E-2</c:v>
                </c:pt>
                <c:pt idx="25">
                  <c:v>5.4004545939507043E-2</c:v>
                </c:pt>
                <c:pt idx="26">
                  <c:v>5.5228098040702563E-2</c:v>
                </c:pt>
                <c:pt idx="27">
                  <c:v>5.5973459279436449E-2</c:v>
                </c:pt>
                <c:pt idx="28">
                  <c:v>5.5788414682397675E-2</c:v>
                </c:pt>
                <c:pt idx="29">
                  <c:v>5.6013261457510372E-2</c:v>
                </c:pt>
                <c:pt idx="30">
                  <c:v>5.6198311647928191E-2</c:v>
                </c:pt>
                <c:pt idx="31">
                  <c:v>5.6136794582937168E-2</c:v>
                </c:pt>
                <c:pt idx="32">
                  <c:v>5.589677945600216E-2</c:v>
                </c:pt>
                <c:pt idx="33">
                  <c:v>5.5972616057027386E-2</c:v>
                </c:pt>
                <c:pt idx="34">
                  <c:v>5.6237801764200547E-2</c:v>
                </c:pt>
                <c:pt idx="35">
                  <c:v>5.6361975908134965E-2</c:v>
                </c:pt>
                <c:pt idx="36">
                  <c:v>5.7082403892914892E-2</c:v>
                </c:pt>
                <c:pt idx="37">
                  <c:v>5.7107946748943129E-2</c:v>
                </c:pt>
                <c:pt idx="38">
                  <c:v>5.7363558625036948E-2</c:v>
                </c:pt>
                <c:pt idx="39">
                  <c:v>5.761726380343405E-2</c:v>
                </c:pt>
                <c:pt idx="40">
                  <c:v>5.89273180120218E-2</c:v>
                </c:pt>
                <c:pt idx="41">
                  <c:v>6.03191950982866E-2</c:v>
                </c:pt>
                <c:pt idx="42">
                  <c:v>6.118582876867365E-2</c:v>
                </c:pt>
                <c:pt idx="43">
                  <c:v>6.2858274398129993E-2</c:v>
                </c:pt>
                <c:pt idx="44">
                  <c:v>6.2132216528005768E-2</c:v>
                </c:pt>
                <c:pt idx="45">
                  <c:v>6.1155139168644242E-2</c:v>
                </c:pt>
                <c:pt idx="46">
                  <c:v>5.9846346516783451E-2</c:v>
                </c:pt>
                <c:pt idx="47">
                  <c:v>5.8996851016542534E-2</c:v>
                </c:pt>
                <c:pt idx="48">
                  <c:v>5.8124800612134576E-2</c:v>
                </c:pt>
                <c:pt idx="49">
                  <c:v>5.7519433360034344E-2</c:v>
                </c:pt>
                <c:pt idx="50">
                  <c:v>5.6756278970938913E-2</c:v>
                </c:pt>
                <c:pt idx="51">
                  <c:v>5.5267257011078014E-2</c:v>
                </c:pt>
                <c:pt idx="52">
                  <c:v>5.3711888451111835E-2</c:v>
                </c:pt>
                <c:pt idx="53">
                  <c:v>5.2385263985560114E-2</c:v>
                </c:pt>
                <c:pt idx="54">
                  <c:v>5.1437982061456382E-2</c:v>
                </c:pt>
                <c:pt idx="55">
                  <c:v>5.0018633602738984E-2</c:v>
                </c:pt>
                <c:pt idx="56">
                  <c:v>4.9765432020759705E-2</c:v>
                </c:pt>
                <c:pt idx="57">
                  <c:v>4.9448608564351682E-2</c:v>
                </c:pt>
                <c:pt idx="58">
                  <c:v>4.956533665014632E-2</c:v>
                </c:pt>
                <c:pt idx="59">
                  <c:v>4.8724053269990276E-2</c:v>
                </c:pt>
                <c:pt idx="60">
                  <c:v>4.7834893955099156E-2</c:v>
                </c:pt>
                <c:pt idx="61">
                  <c:v>4.6515788268899516E-2</c:v>
                </c:pt>
                <c:pt idx="62">
                  <c:v>4.4814978836621978E-2</c:v>
                </c:pt>
                <c:pt idx="63">
                  <c:v>4.3522934158035487E-2</c:v>
                </c:pt>
                <c:pt idx="64">
                  <c:v>4.1821744710238147E-2</c:v>
                </c:pt>
                <c:pt idx="65">
                  <c:v>3.9589475999811226E-2</c:v>
                </c:pt>
                <c:pt idx="66">
                  <c:v>3.7830464768767648E-2</c:v>
                </c:pt>
                <c:pt idx="67">
                  <c:v>3.5645319328391718E-2</c:v>
                </c:pt>
                <c:pt idx="68">
                  <c:v>3.4497390516389503E-2</c:v>
                </c:pt>
                <c:pt idx="69">
                  <c:v>3.367792745623633E-2</c:v>
                </c:pt>
                <c:pt idx="70">
                  <c:v>3.2059889701017287E-2</c:v>
                </c:pt>
                <c:pt idx="71">
                  <c:v>3.086406541804709E-2</c:v>
                </c:pt>
                <c:pt idx="72">
                  <c:v>2.9837433937672745E-2</c:v>
                </c:pt>
                <c:pt idx="73">
                  <c:v>2.8911780133601569E-2</c:v>
                </c:pt>
                <c:pt idx="74">
                  <c:v>2.8090686082157621E-2</c:v>
                </c:pt>
                <c:pt idx="75">
                  <c:v>2.7248454686429096E-2</c:v>
                </c:pt>
                <c:pt idx="76">
                  <c:v>2.6665062120022013E-2</c:v>
                </c:pt>
                <c:pt idx="77">
                  <c:v>2.6113546476598481E-2</c:v>
                </c:pt>
                <c:pt idx="78">
                  <c:v>2.5228420732450806E-2</c:v>
                </c:pt>
                <c:pt idx="79">
                  <c:v>2.4814845672141692E-2</c:v>
                </c:pt>
                <c:pt idx="80">
                  <c:v>2.4106090807736485E-2</c:v>
                </c:pt>
                <c:pt idx="81">
                  <c:v>2.2961771371392062E-2</c:v>
                </c:pt>
                <c:pt idx="82">
                  <c:v>2.2249689066999739E-2</c:v>
                </c:pt>
                <c:pt idx="83">
                  <c:v>2.1766148701659563E-2</c:v>
                </c:pt>
                <c:pt idx="84">
                  <c:v>2.1144771948814978E-2</c:v>
                </c:pt>
                <c:pt idx="85">
                  <c:v>2.0733428440542507E-2</c:v>
                </c:pt>
                <c:pt idx="86">
                  <c:v>2.0576905446305128E-2</c:v>
                </c:pt>
                <c:pt idx="87">
                  <c:v>2.0665853478581128E-2</c:v>
                </c:pt>
                <c:pt idx="88">
                  <c:v>2.0382813599802412E-2</c:v>
                </c:pt>
                <c:pt idx="89">
                  <c:v>1.9983581574272435E-2</c:v>
                </c:pt>
                <c:pt idx="90">
                  <c:v>1.9461286324673949E-2</c:v>
                </c:pt>
                <c:pt idx="91">
                  <c:v>1.9062006743720682E-2</c:v>
                </c:pt>
                <c:pt idx="92">
                  <c:v>1.860560825402648E-2</c:v>
                </c:pt>
                <c:pt idx="93">
                  <c:v>1.825543911267782E-2</c:v>
                </c:pt>
                <c:pt idx="94">
                  <c:v>1.8127500952279951E-2</c:v>
                </c:pt>
                <c:pt idx="95">
                  <c:v>1.7951964344824042E-2</c:v>
                </c:pt>
                <c:pt idx="96">
                  <c:v>1.7917778834885583E-2</c:v>
                </c:pt>
                <c:pt idx="97">
                  <c:v>1.7918608201753203E-2</c:v>
                </c:pt>
                <c:pt idx="98">
                  <c:v>1.7888685592489722E-2</c:v>
                </c:pt>
                <c:pt idx="99">
                  <c:v>1.7797727474229325E-2</c:v>
                </c:pt>
                <c:pt idx="100">
                  <c:v>1.7739074816317996E-2</c:v>
                </c:pt>
                <c:pt idx="101">
                  <c:v>1.7885146977424129E-2</c:v>
                </c:pt>
                <c:pt idx="102">
                  <c:v>1.8034493442568026E-2</c:v>
                </c:pt>
                <c:pt idx="103">
                  <c:v>1.8036819497252801E-2</c:v>
                </c:pt>
                <c:pt idx="104">
                  <c:v>1.8187168128801157E-2</c:v>
                </c:pt>
                <c:pt idx="105">
                  <c:v>1.8469861313037215E-2</c:v>
                </c:pt>
                <c:pt idx="106">
                  <c:v>1.8598689705003304E-2</c:v>
                </c:pt>
                <c:pt idx="107">
                  <c:v>1.871112912943523E-2</c:v>
                </c:pt>
                <c:pt idx="108">
                  <c:v>1.8640637183457334E-2</c:v>
                </c:pt>
                <c:pt idx="109">
                  <c:v>1.8654795792886932E-2</c:v>
                </c:pt>
                <c:pt idx="110">
                  <c:v>1.8590850581073619E-2</c:v>
                </c:pt>
                <c:pt idx="111">
                  <c:v>1.8561248355406294E-2</c:v>
                </c:pt>
                <c:pt idx="112">
                  <c:v>1.861566271985788E-2</c:v>
                </c:pt>
                <c:pt idx="113">
                  <c:v>1.8478669280941527E-2</c:v>
                </c:pt>
                <c:pt idx="114">
                  <c:v>1.8451177174225026E-2</c:v>
                </c:pt>
                <c:pt idx="115">
                  <c:v>1.8541537709654488E-2</c:v>
                </c:pt>
                <c:pt idx="116">
                  <c:v>1.8610916486455107E-2</c:v>
                </c:pt>
                <c:pt idx="117">
                  <c:v>1.8680806981586643E-2</c:v>
                </c:pt>
                <c:pt idx="118">
                  <c:v>1.8771769214374869E-2</c:v>
                </c:pt>
                <c:pt idx="119">
                  <c:v>1.8899472139386472E-2</c:v>
                </c:pt>
                <c:pt idx="120">
                  <c:v>1.9131815918152214E-2</c:v>
                </c:pt>
                <c:pt idx="121">
                  <c:v>1.9399271915765102E-2</c:v>
                </c:pt>
                <c:pt idx="122">
                  <c:v>1.9509787258729209E-2</c:v>
                </c:pt>
                <c:pt idx="123">
                  <c:v>1.9401249890678145E-2</c:v>
                </c:pt>
                <c:pt idx="124">
                  <c:v>1.9382393823317672E-2</c:v>
                </c:pt>
                <c:pt idx="125">
                  <c:v>1.957134981444866E-2</c:v>
                </c:pt>
                <c:pt idx="126">
                  <c:v>1.9795116483042469E-2</c:v>
                </c:pt>
                <c:pt idx="127">
                  <c:v>2.0205845943927599E-2</c:v>
                </c:pt>
                <c:pt idx="128">
                  <c:v>2.0588867491081245E-2</c:v>
                </c:pt>
                <c:pt idx="129">
                  <c:v>2.0875135699029376E-2</c:v>
                </c:pt>
                <c:pt idx="130">
                  <c:v>2.1289916091939236E-2</c:v>
                </c:pt>
                <c:pt idx="131">
                  <c:v>2.1788826044205251E-2</c:v>
                </c:pt>
                <c:pt idx="132">
                  <c:v>2.2189246606913137E-2</c:v>
                </c:pt>
                <c:pt idx="133">
                  <c:v>2.2528478681600187E-2</c:v>
                </c:pt>
                <c:pt idx="134">
                  <c:v>2.310769067987117E-2</c:v>
                </c:pt>
                <c:pt idx="135">
                  <c:v>2.3813692553948541E-2</c:v>
                </c:pt>
                <c:pt idx="136">
                  <c:v>2.4398401002918887E-2</c:v>
                </c:pt>
                <c:pt idx="137">
                  <c:v>2.4863705355266993E-2</c:v>
                </c:pt>
                <c:pt idx="138">
                  <c:v>2.5218683824613595E-2</c:v>
                </c:pt>
                <c:pt idx="139">
                  <c:v>2.548404387094028E-2</c:v>
                </c:pt>
                <c:pt idx="140">
                  <c:v>2.5781367690780627E-2</c:v>
                </c:pt>
                <c:pt idx="141">
                  <c:v>2.6263674787568126E-2</c:v>
                </c:pt>
                <c:pt idx="142">
                  <c:v>2.6698748793224102E-2</c:v>
                </c:pt>
                <c:pt idx="143">
                  <c:v>2.6822464424952643E-2</c:v>
                </c:pt>
                <c:pt idx="144">
                  <c:v>2.6961410703607303E-2</c:v>
                </c:pt>
                <c:pt idx="145">
                  <c:v>2.7129859008501692E-2</c:v>
                </c:pt>
                <c:pt idx="146">
                  <c:v>2.6961759095372091E-2</c:v>
                </c:pt>
                <c:pt idx="147">
                  <c:v>2.6839586790407405E-2</c:v>
                </c:pt>
                <c:pt idx="148">
                  <c:v>2.6793784923739083E-2</c:v>
                </c:pt>
                <c:pt idx="149">
                  <c:v>2.6809255761543926E-2</c:v>
                </c:pt>
                <c:pt idx="150">
                  <c:v>2.6825758742686692E-2</c:v>
                </c:pt>
                <c:pt idx="151">
                  <c:v>2.6812252232729913E-2</c:v>
                </c:pt>
                <c:pt idx="152">
                  <c:v>2.66164387438633E-2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Cello!$F$1</c:f>
              <c:strCache>
                <c:ptCount val="1"/>
                <c:pt idx="0">
                  <c:v>6Mo MA</c:v>
                </c:pt>
              </c:strCache>
            </c:strRef>
          </c:tx>
          <c:marker>
            <c:symbol val="none"/>
          </c:marker>
          <c:cat>
            <c:numRef>
              <c:f>Cello!$A$2:$A$154</c:f>
              <c:numCache>
                <c:formatCode>m/d/yyyy</c:formatCode>
                <c:ptCount val="153"/>
                <c:pt idx="0">
                  <c:v>37742</c:v>
                </c:pt>
                <c:pt idx="1">
                  <c:v>37773</c:v>
                </c:pt>
                <c:pt idx="2">
                  <c:v>37803</c:v>
                </c:pt>
                <c:pt idx="3">
                  <c:v>37834</c:v>
                </c:pt>
                <c:pt idx="4">
                  <c:v>37865</c:v>
                </c:pt>
                <c:pt idx="5">
                  <c:v>37895</c:v>
                </c:pt>
                <c:pt idx="6">
                  <c:v>37926</c:v>
                </c:pt>
                <c:pt idx="7">
                  <c:v>37956</c:v>
                </c:pt>
                <c:pt idx="8">
                  <c:v>37987</c:v>
                </c:pt>
                <c:pt idx="9">
                  <c:v>38018</c:v>
                </c:pt>
                <c:pt idx="10">
                  <c:v>38047</c:v>
                </c:pt>
                <c:pt idx="11">
                  <c:v>38078</c:v>
                </c:pt>
                <c:pt idx="12">
                  <c:v>38108</c:v>
                </c:pt>
                <c:pt idx="13">
                  <c:v>38139</c:v>
                </c:pt>
                <c:pt idx="14">
                  <c:v>38169</c:v>
                </c:pt>
                <c:pt idx="15">
                  <c:v>38200</c:v>
                </c:pt>
                <c:pt idx="16">
                  <c:v>38231</c:v>
                </c:pt>
                <c:pt idx="17">
                  <c:v>38261</c:v>
                </c:pt>
                <c:pt idx="18">
                  <c:v>38292</c:v>
                </c:pt>
                <c:pt idx="19">
                  <c:v>38322</c:v>
                </c:pt>
                <c:pt idx="20">
                  <c:v>38353</c:v>
                </c:pt>
                <c:pt idx="21">
                  <c:v>38384</c:v>
                </c:pt>
                <c:pt idx="22">
                  <c:v>38412</c:v>
                </c:pt>
                <c:pt idx="23">
                  <c:v>38443</c:v>
                </c:pt>
                <c:pt idx="24">
                  <c:v>38473</c:v>
                </c:pt>
                <c:pt idx="25">
                  <c:v>38504</c:v>
                </c:pt>
                <c:pt idx="26">
                  <c:v>38534</c:v>
                </c:pt>
                <c:pt idx="27">
                  <c:v>38565</c:v>
                </c:pt>
                <c:pt idx="28">
                  <c:v>38596</c:v>
                </c:pt>
                <c:pt idx="29">
                  <c:v>38626</c:v>
                </c:pt>
                <c:pt idx="30">
                  <c:v>38657</c:v>
                </c:pt>
                <c:pt idx="31">
                  <c:v>38687</c:v>
                </c:pt>
                <c:pt idx="32">
                  <c:v>38718</c:v>
                </c:pt>
                <c:pt idx="33">
                  <c:v>38749</c:v>
                </c:pt>
                <c:pt idx="34">
                  <c:v>38777</c:v>
                </c:pt>
                <c:pt idx="35">
                  <c:v>38808</c:v>
                </c:pt>
                <c:pt idx="36">
                  <c:v>38838</c:v>
                </c:pt>
                <c:pt idx="37">
                  <c:v>38869</c:v>
                </c:pt>
                <c:pt idx="38">
                  <c:v>38899</c:v>
                </c:pt>
                <c:pt idx="39">
                  <c:v>38930</c:v>
                </c:pt>
                <c:pt idx="40">
                  <c:v>38961</c:v>
                </c:pt>
                <c:pt idx="41">
                  <c:v>38991</c:v>
                </c:pt>
                <c:pt idx="42">
                  <c:v>39022</c:v>
                </c:pt>
                <c:pt idx="43">
                  <c:v>39052</c:v>
                </c:pt>
                <c:pt idx="44">
                  <c:v>39083</c:v>
                </c:pt>
                <c:pt idx="45">
                  <c:v>39114</c:v>
                </c:pt>
                <c:pt idx="46">
                  <c:v>39142</c:v>
                </c:pt>
                <c:pt idx="47">
                  <c:v>39173</c:v>
                </c:pt>
                <c:pt idx="48">
                  <c:v>39203</c:v>
                </c:pt>
                <c:pt idx="49">
                  <c:v>39234</c:v>
                </c:pt>
                <c:pt idx="50">
                  <c:v>39264</c:v>
                </c:pt>
                <c:pt idx="51">
                  <c:v>39295</c:v>
                </c:pt>
                <c:pt idx="52">
                  <c:v>39326</c:v>
                </c:pt>
                <c:pt idx="53">
                  <c:v>39356</c:v>
                </c:pt>
                <c:pt idx="54">
                  <c:v>39387</c:v>
                </c:pt>
                <c:pt idx="55">
                  <c:v>39417</c:v>
                </c:pt>
                <c:pt idx="56">
                  <c:v>39448</c:v>
                </c:pt>
                <c:pt idx="57">
                  <c:v>39479</c:v>
                </c:pt>
                <c:pt idx="58">
                  <c:v>39508</c:v>
                </c:pt>
                <c:pt idx="59">
                  <c:v>39539</c:v>
                </c:pt>
                <c:pt idx="60">
                  <c:v>39569</c:v>
                </c:pt>
                <c:pt idx="61">
                  <c:v>39600</c:v>
                </c:pt>
                <c:pt idx="62">
                  <c:v>39630</c:v>
                </c:pt>
                <c:pt idx="63">
                  <c:v>39661</c:v>
                </c:pt>
                <c:pt idx="64">
                  <c:v>39692</c:v>
                </c:pt>
                <c:pt idx="65">
                  <c:v>39722</c:v>
                </c:pt>
                <c:pt idx="66">
                  <c:v>39753</c:v>
                </c:pt>
                <c:pt idx="67">
                  <c:v>39783</c:v>
                </c:pt>
                <c:pt idx="68">
                  <c:v>39814</c:v>
                </c:pt>
                <c:pt idx="69">
                  <c:v>39845</c:v>
                </c:pt>
                <c:pt idx="70">
                  <c:v>39873</c:v>
                </c:pt>
                <c:pt idx="71">
                  <c:v>39904</c:v>
                </c:pt>
                <c:pt idx="72">
                  <c:v>39934</c:v>
                </c:pt>
                <c:pt idx="73">
                  <c:v>39965</c:v>
                </c:pt>
                <c:pt idx="74">
                  <c:v>39995</c:v>
                </c:pt>
                <c:pt idx="75">
                  <c:v>40026</c:v>
                </c:pt>
                <c:pt idx="76">
                  <c:v>40057</c:v>
                </c:pt>
                <c:pt idx="77">
                  <c:v>40087</c:v>
                </c:pt>
                <c:pt idx="78">
                  <c:v>40118</c:v>
                </c:pt>
                <c:pt idx="79">
                  <c:v>40148</c:v>
                </c:pt>
                <c:pt idx="80">
                  <c:v>40179</c:v>
                </c:pt>
                <c:pt idx="81">
                  <c:v>40210</c:v>
                </c:pt>
                <c:pt idx="82">
                  <c:v>40238</c:v>
                </c:pt>
                <c:pt idx="83">
                  <c:v>40269</c:v>
                </c:pt>
                <c:pt idx="84">
                  <c:v>40299</c:v>
                </c:pt>
                <c:pt idx="85">
                  <c:v>40330</c:v>
                </c:pt>
                <c:pt idx="86">
                  <c:v>40360</c:v>
                </c:pt>
                <c:pt idx="87">
                  <c:v>40391</c:v>
                </c:pt>
                <c:pt idx="88">
                  <c:v>40422</c:v>
                </c:pt>
                <c:pt idx="89">
                  <c:v>40452</c:v>
                </c:pt>
                <c:pt idx="90">
                  <c:v>40483</c:v>
                </c:pt>
                <c:pt idx="91">
                  <c:v>40513</c:v>
                </c:pt>
                <c:pt idx="92">
                  <c:v>40544</c:v>
                </c:pt>
                <c:pt idx="93">
                  <c:v>40575</c:v>
                </c:pt>
                <c:pt idx="94">
                  <c:v>40603</c:v>
                </c:pt>
                <c:pt idx="95">
                  <c:v>40634</c:v>
                </c:pt>
                <c:pt idx="96">
                  <c:v>40664</c:v>
                </c:pt>
                <c:pt idx="97">
                  <c:v>40695</c:v>
                </c:pt>
                <c:pt idx="98">
                  <c:v>40725</c:v>
                </c:pt>
                <c:pt idx="99">
                  <c:v>40756</c:v>
                </c:pt>
                <c:pt idx="100">
                  <c:v>40787</c:v>
                </c:pt>
                <c:pt idx="101">
                  <c:v>40817</c:v>
                </c:pt>
                <c:pt idx="102">
                  <c:v>40848</c:v>
                </c:pt>
                <c:pt idx="103">
                  <c:v>40878</c:v>
                </c:pt>
                <c:pt idx="104">
                  <c:v>40909</c:v>
                </c:pt>
                <c:pt idx="105">
                  <c:v>40940</c:v>
                </c:pt>
                <c:pt idx="106">
                  <c:v>40969</c:v>
                </c:pt>
                <c:pt idx="107">
                  <c:v>41000</c:v>
                </c:pt>
                <c:pt idx="108">
                  <c:v>41030</c:v>
                </c:pt>
                <c:pt idx="109">
                  <c:v>41061</c:v>
                </c:pt>
                <c:pt idx="110">
                  <c:v>41091</c:v>
                </c:pt>
                <c:pt idx="111">
                  <c:v>41122</c:v>
                </c:pt>
                <c:pt idx="112">
                  <c:v>41153</c:v>
                </c:pt>
                <c:pt idx="113">
                  <c:v>41183</c:v>
                </c:pt>
                <c:pt idx="114">
                  <c:v>41214</c:v>
                </c:pt>
                <c:pt idx="115">
                  <c:v>41244</c:v>
                </c:pt>
                <c:pt idx="116">
                  <c:v>41275</c:v>
                </c:pt>
                <c:pt idx="117">
                  <c:v>41306</c:v>
                </c:pt>
                <c:pt idx="118">
                  <c:v>41334</c:v>
                </c:pt>
                <c:pt idx="119">
                  <c:v>41365</c:v>
                </c:pt>
                <c:pt idx="120">
                  <c:v>41395</c:v>
                </c:pt>
                <c:pt idx="121">
                  <c:v>41426</c:v>
                </c:pt>
                <c:pt idx="122">
                  <c:v>41456</c:v>
                </c:pt>
                <c:pt idx="123">
                  <c:v>41487</c:v>
                </c:pt>
                <c:pt idx="124">
                  <c:v>41518</c:v>
                </c:pt>
                <c:pt idx="125">
                  <c:v>41548</c:v>
                </c:pt>
                <c:pt idx="126">
                  <c:v>41579</c:v>
                </c:pt>
                <c:pt idx="127">
                  <c:v>41609</c:v>
                </c:pt>
                <c:pt idx="128">
                  <c:v>41640</c:v>
                </c:pt>
                <c:pt idx="129">
                  <c:v>41671</c:v>
                </c:pt>
                <c:pt idx="130">
                  <c:v>41699</c:v>
                </c:pt>
                <c:pt idx="131">
                  <c:v>41730</c:v>
                </c:pt>
                <c:pt idx="132">
                  <c:v>41760</c:v>
                </c:pt>
                <c:pt idx="133">
                  <c:v>41791</c:v>
                </c:pt>
                <c:pt idx="134">
                  <c:v>41821</c:v>
                </c:pt>
                <c:pt idx="135">
                  <c:v>41852</c:v>
                </c:pt>
                <c:pt idx="136">
                  <c:v>41883</c:v>
                </c:pt>
                <c:pt idx="137">
                  <c:v>41913</c:v>
                </c:pt>
                <c:pt idx="138">
                  <c:v>41944</c:v>
                </c:pt>
                <c:pt idx="139">
                  <c:v>41974</c:v>
                </c:pt>
                <c:pt idx="140">
                  <c:v>42005</c:v>
                </c:pt>
                <c:pt idx="141">
                  <c:v>42036</c:v>
                </c:pt>
                <c:pt idx="142">
                  <c:v>42064</c:v>
                </c:pt>
                <c:pt idx="143">
                  <c:v>42095</c:v>
                </c:pt>
                <c:pt idx="144">
                  <c:v>42125</c:v>
                </c:pt>
                <c:pt idx="145">
                  <c:v>42156</c:v>
                </c:pt>
                <c:pt idx="146">
                  <c:v>42186</c:v>
                </c:pt>
                <c:pt idx="147">
                  <c:v>42217</c:v>
                </c:pt>
                <c:pt idx="148">
                  <c:v>42248</c:v>
                </c:pt>
                <c:pt idx="149">
                  <c:v>42278</c:v>
                </c:pt>
                <c:pt idx="150">
                  <c:v>42309</c:v>
                </c:pt>
                <c:pt idx="151">
                  <c:v>42339</c:v>
                </c:pt>
                <c:pt idx="152">
                  <c:v>42370</c:v>
                </c:pt>
              </c:numCache>
            </c:numRef>
          </c:cat>
          <c:val>
            <c:numRef>
              <c:f>Cello!$F$2:$F$154</c:f>
              <c:numCache>
                <c:formatCode>0.00%</c:formatCode>
                <c:ptCount val="153"/>
                <c:pt idx="0">
                  <c:v>3.1505553453999857E-2</c:v>
                </c:pt>
                <c:pt idx="1">
                  <c:v>3.0458344569883847E-2</c:v>
                </c:pt>
                <c:pt idx="2">
                  <c:v>3.0869624754100333E-2</c:v>
                </c:pt>
                <c:pt idx="3">
                  <c:v>3.1003680527098718E-2</c:v>
                </c:pt>
                <c:pt idx="4">
                  <c:v>2.9772293042627455E-2</c:v>
                </c:pt>
                <c:pt idx="5">
                  <c:v>2.8568854754671552E-2</c:v>
                </c:pt>
                <c:pt idx="6">
                  <c:v>2.8333058573181514E-2</c:v>
                </c:pt>
                <c:pt idx="7">
                  <c:v>2.8603075482087671E-2</c:v>
                </c:pt>
                <c:pt idx="8">
                  <c:v>3.1866697782087096E-2</c:v>
                </c:pt>
                <c:pt idx="9">
                  <c:v>3.5053112242099789E-2</c:v>
                </c:pt>
                <c:pt idx="10">
                  <c:v>3.9488527542529239E-2</c:v>
                </c:pt>
                <c:pt idx="11">
                  <c:v>4.4629595566492986E-2</c:v>
                </c:pt>
                <c:pt idx="12">
                  <c:v>4.892012368139962E-2</c:v>
                </c:pt>
                <c:pt idx="13">
                  <c:v>5.1496069017844766E-2</c:v>
                </c:pt>
                <c:pt idx="14">
                  <c:v>5.0156558434059466E-2</c:v>
                </c:pt>
                <c:pt idx="15">
                  <c:v>5.0177493466867416E-2</c:v>
                </c:pt>
                <c:pt idx="16">
                  <c:v>5.0812279381689807E-2</c:v>
                </c:pt>
                <c:pt idx="17">
                  <c:v>5.080960091582782E-2</c:v>
                </c:pt>
                <c:pt idx="18">
                  <c:v>5.0657164172266962E-2</c:v>
                </c:pt>
                <c:pt idx="19">
                  <c:v>5.1617151728410526E-2</c:v>
                </c:pt>
                <c:pt idx="20">
                  <c:v>5.4224336753606606E-2</c:v>
                </c:pt>
                <c:pt idx="21">
                  <c:v>5.531774353405506E-2</c:v>
                </c:pt>
                <c:pt idx="22">
                  <c:v>5.5645955780179952E-2</c:v>
                </c:pt>
                <c:pt idx="23">
                  <c:v>5.6338265321866456E-2</c:v>
                </c:pt>
                <c:pt idx="24">
                  <c:v>5.5647352827990666E-2</c:v>
                </c:pt>
                <c:pt idx="25">
                  <c:v>5.6391940150603538E-2</c:v>
                </c:pt>
                <c:pt idx="26">
                  <c:v>5.6231859327798513E-2</c:v>
                </c:pt>
                <c:pt idx="27">
                  <c:v>5.6629175024817839E-2</c:v>
                </c:pt>
                <c:pt idx="28">
                  <c:v>5.5930873584615397E-2</c:v>
                </c:pt>
                <c:pt idx="29">
                  <c:v>5.5688257593154301E-2</c:v>
                </c:pt>
                <c:pt idx="30">
                  <c:v>5.6749270467865702E-2</c:v>
                </c:pt>
                <c:pt idx="31">
                  <c:v>5.588164901527079E-2</c:v>
                </c:pt>
                <c:pt idx="32">
                  <c:v>5.5561699584205808E-2</c:v>
                </c:pt>
                <c:pt idx="33">
                  <c:v>5.5316057089236925E-2</c:v>
                </c:pt>
                <c:pt idx="34">
                  <c:v>5.6544729943785704E-2</c:v>
                </c:pt>
                <c:pt idx="35">
                  <c:v>5.7035694223115628E-2</c:v>
                </c:pt>
                <c:pt idx="36">
                  <c:v>5.7415537317964081E-2</c:v>
                </c:pt>
                <c:pt idx="37">
                  <c:v>5.8334244482615455E-2</c:v>
                </c:pt>
                <c:pt idx="38">
                  <c:v>5.9165417665868081E-2</c:v>
                </c:pt>
                <c:pt idx="39">
                  <c:v>5.9918470517631162E-2</c:v>
                </c:pt>
                <c:pt idx="40">
                  <c:v>6.130990608025786E-2</c:v>
                </c:pt>
                <c:pt idx="41">
                  <c:v>6.3602695973457565E-2</c:v>
                </c:pt>
                <c:pt idx="42">
                  <c:v>6.4956120219383184E-2</c:v>
                </c:pt>
                <c:pt idx="43">
                  <c:v>6.7382304313644489E-2</c:v>
                </c:pt>
                <c:pt idx="44">
                  <c:v>6.5099015390143428E-2</c:v>
                </c:pt>
                <c:pt idx="45">
                  <c:v>6.2391807819657315E-2</c:v>
                </c:pt>
                <c:pt idx="46">
                  <c:v>5.8382786953309042E-2</c:v>
                </c:pt>
                <c:pt idx="47">
                  <c:v>5.4391006059627496E-2</c:v>
                </c:pt>
                <c:pt idx="48">
                  <c:v>5.1293481004885962E-2</c:v>
                </c:pt>
                <c:pt idx="49">
                  <c:v>4.7656562406424206E-2</c:v>
                </c:pt>
                <c:pt idx="50">
                  <c:v>4.8413542551734419E-2</c:v>
                </c:pt>
                <c:pt idx="51">
                  <c:v>4.814270620249872E-2</c:v>
                </c:pt>
                <c:pt idx="52">
                  <c:v>4.9040989948914648E-2</c:v>
                </c:pt>
                <c:pt idx="53">
                  <c:v>5.0379521911492725E-2</c:v>
                </c:pt>
                <c:pt idx="54">
                  <c:v>5.1582483118026802E-2</c:v>
                </c:pt>
                <c:pt idx="55">
                  <c:v>5.2380704799053775E-2</c:v>
                </c:pt>
                <c:pt idx="56">
                  <c:v>5.1117321489784984E-2</c:v>
                </c:pt>
                <c:pt idx="57">
                  <c:v>5.075451092620465E-2</c:v>
                </c:pt>
                <c:pt idx="58">
                  <c:v>5.0089683351377985E-2</c:v>
                </c:pt>
                <c:pt idx="59">
                  <c:v>4.7068584628487835E-2</c:v>
                </c:pt>
                <c:pt idx="60">
                  <c:v>4.408730479217151E-2</c:v>
                </c:pt>
                <c:pt idx="61">
                  <c:v>4.0650871738745244E-2</c:v>
                </c:pt>
                <c:pt idx="62">
                  <c:v>3.851263618345898E-2</c:v>
                </c:pt>
                <c:pt idx="63">
                  <c:v>3.629135738986633E-2</c:v>
                </c:pt>
                <c:pt idx="64">
                  <c:v>3.3553806069098323E-2</c:v>
                </c:pt>
                <c:pt idx="65">
                  <c:v>3.2110367371134624E-2</c:v>
                </c:pt>
                <c:pt idx="66">
                  <c:v>3.1573624745363786E-2</c:v>
                </c:pt>
                <c:pt idx="67">
                  <c:v>3.0639766918038186E-2</c:v>
                </c:pt>
                <c:pt idx="68">
                  <c:v>3.0482144849320023E-2</c:v>
                </c:pt>
                <c:pt idx="69">
                  <c:v>3.1064497522606316E-2</c:v>
                </c:pt>
                <c:pt idx="70">
                  <c:v>3.0565973332936241E-2</c:v>
                </c:pt>
                <c:pt idx="71">
                  <c:v>2.9617763464959559E-2</c:v>
                </c:pt>
                <c:pt idx="72">
                  <c:v>2.8101243129981704E-2</c:v>
                </c:pt>
                <c:pt idx="73">
                  <c:v>2.7183793349164945E-2</c:v>
                </c:pt>
                <c:pt idx="74">
                  <c:v>2.5699227314995216E-2</c:v>
                </c:pt>
                <c:pt idx="75">
                  <c:v>2.3432411850251859E-2</c:v>
                </c:pt>
                <c:pt idx="76">
                  <c:v>2.2764150907107789E-2</c:v>
                </c:pt>
                <c:pt idx="77">
                  <c:v>2.2609329488237403E-2</c:v>
                </c:pt>
                <c:pt idx="78">
                  <c:v>2.2355598334919905E-2</c:v>
                </c:pt>
                <c:pt idx="79">
                  <c:v>2.2445897995118438E-2</c:v>
                </c:pt>
                <c:pt idx="80">
                  <c:v>2.2512954300477755E-2</c:v>
                </c:pt>
                <c:pt idx="81">
                  <c:v>2.2491130892532258E-2</c:v>
                </c:pt>
                <c:pt idx="82">
                  <c:v>2.1735227226891682E-2</c:v>
                </c:pt>
                <c:pt idx="83">
                  <c:v>2.0922967915081719E-2</c:v>
                </c:pt>
                <c:pt idx="84">
                  <c:v>1.9933945562710047E-2</c:v>
                </c:pt>
                <c:pt idx="85">
                  <c:v>1.9020958885966572E-2</c:v>
                </c:pt>
                <c:pt idx="86">
                  <c:v>1.8640856592132497E-2</c:v>
                </c:pt>
                <c:pt idx="87">
                  <c:v>1.8840576064629997E-2</c:v>
                </c:pt>
                <c:pt idx="88">
                  <c:v>1.9030399972713139E-2</c:v>
                </c:pt>
                <c:pt idx="89">
                  <c:v>1.9044195233463155E-2</c:v>
                </c:pt>
                <c:pt idx="90">
                  <c:v>1.8988627086637851E-2</c:v>
                </c:pt>
                <c:pt idx="91">
                  <c:v>1.9103054601474788E-2</c:v>
                </c:pt>
                <c:pt idx="92">
                  <c:v>1.8570359915920463E-2</c:v>
                </c:pt>
                <c:pt idx="93">
                  <c:v>1.7670302160725643E-2</c:v>
                </c:pt>
                <c:pt idx="94">
                  <c:v>1.7224601931846755E-2</c:v>
                </c:pt>
                <c:pt idx="95">
                  <c:v>1.6859733456184928E-2</c:v>
                </c:pt>
                <c:pt idx="96">
                  <c:v>1.6846930583133315E-2</c:v>
                </c:pt>
                <c:pt idx="97">
                  <c:v>1.6734161802031616E-2</c:v>
                </c:pt>
                <c:pt idx="98">
                  <c:v>1.7207011269058981E-2</c:v>
                </c:pt>
                <c:pt idx="99">
                  <c:v>1.7925152787733014E-2</c:v>
                </c:pt>
                <c:pt idx="100">
                  <c:v>1.8253547700789234E-2</c:v>
                </c:pt>
                <c:pt idx="101">
                  <c:v>1.8910560498663333E-2</c:v>
                </c:pt>
                <c:pt idx="102">
                  <c:v>1.922205630200274E-2</c:v>
                </c:pt>
                <c:pt idx="103">
                  <c:v>1.9339477192473989E-2</c:v>
                </c:pt>
                <c:pt idx="104">
                  <c:v>1.916732498854333E-2</c:v>
                </c:pt>
                <c:pt idx="105">
                  <c:v>1.9014569838341419E-2</c:v>
                </c:pt>
                <c:pt idx="106">
                  <c:v>1.8943831709217377E-2</c:v>
                </c:pt>
                <c:pt idx="107">
                  <c:v>1.851169776020712E-2</c:v>
                </c:pt>
                <c:pt idx="108">
                  <c:v>1.8059218064911925E-2</c:v>
                </c:pt>
                <c:pt idx="109">
                  <c:v>1.7970114393299871E-2</c:v>
                </c:pt>
                <c:pt idx="110">
                  <c:v>1.8014376173603911E-2</c:v>
                </c:pt>
                <c:pt idx="111">
                  <c:v>1.8107926872471172E-2</c:v>
                </c:pt>
                <c:pt idx="112">
                  <c:v>1.8287493730498382E-2</c:v>
                </c:pt>
                <c:pt idx="113">
                  <c:v>1.8445640801675944E-2</c:v>
                </c:pt>
                <c:pt idx="114">
                  <c:v>1.884313628353813E-2</c:v>
                </c:pt>
                <c:pt idx="115">
                  <c:v>1.9112961026009106E-2</c:v>
                </c:pt>
                <c:pt idx="116">
                  <c:v>1.920745679930631E-2</c:v>
                </c:pt>
                <c:pt idx="117">
                  <c:v>1.9253687090702128E-2</c:v>
                </c:pt>
                <c:pt idx="118">
                  <c:v>1.9256044698251356E-2</c:v>
                </c:pt>
                <c:pt idx="119">
                  <c:v>1.9353303477097007E-2</c:v>
                </c:pt>
                <c:pt idx="120">
                  <c:v>1.9420495552766301E-2</c:v>
                </c:pt>
                <c:pt idx="121">
                  <c:v>1.9685582805521105E-2</c:v>
                </c:pt>
                <c:pt idx="122">
                  <c:v>1.9812117718152115E-2</c:v>
                </c:pt>
                <c:pt idx="123">
                  <c:v>1.9548812690654168E-2</c:v>
                </c:pt>
                <c:pt idx="124">
                  <c:v>1.9508742948383978E-2</c:v>
                </c:pt>
                <c:pt idx="125">
                  <c:v>1.9789396151800309E-2</c:v>
                </c:pt>
                <c:pt idx="126">
                  <c:v>2.0169737413318636E-2</c:v>
                </c:pt>
                <c:pt idx="127">
                  <c:v>2.0726109082334094E-2</c:v>
                </c:pt>
                <c:pt idx="128">
                  <c:v>2.1365617264010383E-2</c:v>
                </c:pt>
                <c:pt idx="129">
                  <c:v>2.2201458707404583E-2</c:v>
                </c:pt>
                <c:pt idx="130">
                  <c:v>2.3071089235494498E-2</c:v>
                </c:pt>
                <c:pt idx="131">
                  <c:v>2.3788255936610197E-2</c:v>
                </c:pt>
                <c:pt idx="132">
                  <c:v>2.4208755800507631E-2</c:v>
                </c:pt>
                <c:pt idx="133">
                  <c:v>2.4330848280866287E-2</c:v>
                </c:pt>
                <c:pt idx="134">
                  <c:v>2.484976409573196E-2</c:v>
                </c:pt>
                <c:pt idx="135">
                  <c:v>2.5425926400492505E-2</c:v>
                </c:pt>
                <c:pt idx="136">
                  <c:v>2.5725712770343263E-2</c:v>
                </c:pt>
                <c:pt idx="137">
                  <c:v>2.5939154773923789E-2</c:v>
                </c:pt>
                <c:pt idx="138">
                  <c:v>2.6228611848719562E-2</c:v>
                </c:pt>
                <c:pt idx="139">
                  <c:v>2.6637239461014272E-2</c:v>
                </c:pt>
                <c:pt idx="140">
                  <c:v>2.6712971285829296E-2</c:v>
                </c:pt>
                <c:pt idx="141">
                  <c:v>2.7101423174643747E-2</c:v>
                </c:pt>
                <c:pt idx="142">
                  <c:v>2.7671784816104935E-2</c:v>
                </c:pt>
                <c:pt idx="143">
                  <c:v>2.7705774075981487E-2</c:v>
                </c:pt>
                <c:pt idx="144">
                  <c:v>2.7694209558495036E-2</c:v>
                </c:pt>
                <c:pt idx="145">
                  <c:v>2.7622478555989111E-2</c:v>
                </c:pt>
                <c:pt idx="146">
                  <c:v>2.7210546904914892E-2</c:v>
                </c:pt>
                <c:pt idx="147">
                  <c:v>2.6577750406171056E-2</c:v>
                </c:pt>
                <c:pt idx="148">
                  <c:v>2.5915785031373231E-2</c:v>
                </c:pt>
                <c:pt idx="149">
                  <c:v>2.5912737447106361E-2</c:v>
                </c:pt>
                <c:pt idx="150">
                  <c:v>2.5957307926878354E-2</c:v>
                </c:pt>
                <c:pt idx="151">
                  <c:v>2.6002025909470719E-2</c:v>
                </c:pt>
                <c:pt idx="152">
                  <c:v>2.6022330582811715E-2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4498432"/>
        <c:axId val="374500736"/>
      </c:lineChart>
      <c:dateAx>
        <c:axId val="37449843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74500736"/>
        <c:crosses val="autoZero"/>
        <c:auto val="1"/>
        <c:lblOffset val="100"/>
        <c:baseTimeUnit val="months"/>
      </c:dateAx>
      <c:valAx>
        <c:axId val="374500736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crossAx val="37449843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'Tracking Diff'!$D$1</c:f>
              <c:strCache>
                <c:ptCount val="1"/>
                <c:pt idx="0">
                  <c:v>Diff</c:v>
                </c:pt>
              </c:strCache>
            </c:strRef>
          </c:tx>
          <c:invertIfNegative val="0"/>
          <c:cat>
            <c:numRef>
              <c:f>'Tracking Diff'!$A$2:$A$265</c:f>
              <c:numCache>
                <c:formatCode>m/d/yyyy</c:formatCode>
                <c:ptCount val="264"/>
                <c:pt idx="0">
                  <c:v>34335</c:v>
                </c:pt>
                <c:pt idx="1">
                  <c:v>34394</c:v>
                </c:pt>
                <c:pt idx="2">
                  <c:v>34486</c:v>
                </c:pt>
                <c:pt idx="3">
                  <c:v>34516</c:v>
                </c:pt>
                <c:pt idx="4">
                  <c:v>34547</c:v>
                </c:pt>
                <c:pt idx="5">
                  <c:v>34578</c:v>
                </c:pt>
                <c:pt idx="6">
                  <c:v>34608</c:v>
                </c:pt>
                <c:pt idx="7">
                  <c:v>34639</c:v>
                </c:pt>
                <c:pt idx="8">
                  <c:v>34669</c:v>
                </c:pt>
                <c:pt idx="9">
                  <c:v>34700</c:v>
                </c:pt>
                <c:pt idx="10">
                  <c:v>34731</c:v>
                </c:pt>
                <c:pt idx="11">
                  <c:v>34759</c:v>
                </c:pt>
                <c:pt idx="12">
                  <c:v>34790</c:v>
                </c:pt>
                <c:pt idx="13">
                  <c:v>34820</c:v>
                </c:pt>
                <c:pt idx="14">
                  <c:v>34851</c:v>
                </c:pt>
                <c:pt idx="15">
                  <c:v>34881</c:v>
                </c:pt>
                <c:pt idx="16">
                  <c:v>34912</c:v>
                </c:pt>
                <c:pt idx="17">
                  <c:v>34943</c:v>
                </c:pt>
                <c:pt idx="18">
                  <c:v>34973</c:v>
                </c:pt>
                <c:pt idx="19">
                  <c:v>35004</c:v>
                </c:pt>
                <c:pt idx="20">
                  <c:v>35034</c:v>
                </c:pt>
                <c:pt idx="21">
                  <c:v>35065</c:v>
                </c:pt>
                <c:pt idx="22">
                  <c:v>35096</c:v>
                </c:pt>
                <c:pt idx="23">
                  <c:v>35125</c:v>
                </c:pt>
                <c:pt idx="24">
                  <c:v>35156</c:v>
                </c:pt>
                <c:pt idx="25">
                  <c:v>35186</c:v>
                </c:pt>
                <c:pt idx="26">
                  <c:v>35217</c:v>
                </c:pt>
                <c:pt idx="27">
                  <c:v>35247</c:v>
                </c:pt>
                <c:pt idx="28">
                  <c:v>35278</c:v>
                </c:pt>
                <c:pt idx="29">
                  <c:v>35309</c:v>
                </c:pt>
                <c:pt idx="30">
                  <c:v>35339</c:v>
                </c:pt>
                <c:pt idx="31">
                  <c:v>35370</c:v>
                </c:pt>
                <c:pt idx="32">
                  <c:v>35462</c:v>
                </c:pt>
                <c:pt idx="33">
                  <c:v>35490</c:v>
                </c:pt>
                <c:pt idx="34">
                  <c:v>35521</c:v>
                </c:pt>
                <c:pt idx="35">
                  <c:v>35551</c:v>
                </c:pt>
                <c:pt idx="36">
                  <c:v>35582</c:v>
                </c:pt>
                <c:pt idx="37">
                  <c:v>35612</c:v>
                </c:pt>
                <c:pt idx="38">
                  <c:v>35643</c:v>
                </c:pt>
                <c:pt idx="39">
                  <c:v>35674</c:v>
                </c:pt>
                <c:pt idx="40">
                  <c:v>35704</c:v>
                </c:pt>
                <c:pt idx="41">
                  <c:v>35735</c:v>
                </c:pt>
                <c:pt idx="42">
                  <c:v>35765</c:v>
                </c:pt>
                <c:pt idx="43">
                  <c:v>35796</c:v>
                </c:pt>
                <c:pt idx="44">
                  <c:v>35827</c:v>
                </c:pt>
                <c:pt idx="45">
                  <c:v>35855</c:v>
                </c:pt>
                <c:pt idx="46">
                  <c:v>35886</c:v>
                </c:pt>
                <c:pt idx="47">
                  <c:v>35916</c:v>
                </c:pt>
                <c:pt idx="48">
                  <c:v>35947</c:v>
                </c:pt>
                <c:pt idx="49">
                  <c:v>35977</c:v>
                </c:pt>
                <c:pt idx="50">
                  <c:v>36008</c:v>
                </c:pt>
                <c:pt idx="51">
                  <c:v>36039</c:v>
                </c:pt>
                <c:pt idx="52">
                  <c:v>36069</c:v>
                </c:pt>
                <c:pt idx="53">
                  <c:v>36100</c:v>
                </c:pt>
                <c:pt idx="54">
                  <c:v>36130</c:v>
                </c:pt>
                <c:pt idx="55">
                  <c:v>36161</c:v>
                </c:pt>
                <c:pt idx="56">
                  <c:v>36192</c:v>
                </c:pt>
                <c:pt idx="57">
                  <c:v>36220</c:v>
                </c:pt>
                <c:pt idx="58">
                  <c:v>36251</c:v>
                </c:pt>
                <c:pt idx="59">
                  <c:v>36281</c:v>
                </c:pt>
                <c:pt idx="60">
                  <c:v>36312</c:v>
                </c:pt>
                <c:pt idx="61">
                  <c:v>36342</c:v>
                </c:pt>
                <c:pt idx="62">
                  <c:v>36373</c:v>
                </c:pt>
                <c:pt idx="63">
                  <c:v>36404</c:v>
                </c:pt>
                <c:pt idx="64">
                  <c:v>36434</c:v>
                </c:pt>
                <c:pt idx="65">
                  <c:v>36465</c:v>
                </c:pt>
                <c:pt idx="66">
                  <c:v>36495</c:v>
                </c:pt>
                <c:pt idx="67">
                  <c:v>36526</c:v>
                </c:pt>
                <c:pt idx="68">
                  <c:v>36557</c:v>
                </c:pt>
                <c:pt idx="69">
                  <c:v>36586</c:v>
                </c:pt>
                <c:pt idx="70">
                  <c:v>36617</c:v>
                </c:pt>
                <c:pt idx="71">
                  <c:v>36647</c:v>
                </c:pt>
                <c:pt idx="72">
                  <c:v>36678</c:v>
                </c:pt>
                <c:pt idx="73">
                  <c:v>36708</c:v>
                </c:pt>
                <c:pt idx="74">
                  <c:v>36739</c:v>
                </c:pt>
                <c:pt idx="75">
                  <c:v>36770</c:v>
                </c:pt>
                <c:pt idx="76">
                  <c:v>36800</c:v>
                </c:pt>
                <c:pt idx="77">
                  <c:v>36831</c:v>
                </c:pt>
                <c:pt idx="78">
                  <c:v>36861</c:v>
                </c:pt>
                <c:pt idx="79">
                  <c:v>36892</c:v>
                </c:pt>
                <c:pt idx="80">
                  <c:v>36923</c:v>
                </c:pt>
                <c:pt idx="81">
                  <c:v>36951</c:v>
                </c:pt>
                <c:pt idx="82">
                  <c:v>36982</c:v>
                </c:pt>
                <c:pt idx="83">
                  <c:v>37012</c:v>
                </c:pt>
                <c:pt idx="84">
                  <c:v>37043</c:v>
                </c:pt>
                <c:pt idx="85">
                  <c:v>37073</c:v>
                </c:pt>
                <c:pt idx="86">
                  <c:v>37104</c:v>
                </c:pt>
                <c:pt idx="87">
                  <c:v>37135</c:v>
                </c:pt>
                <c:pt idx="88">
                  <c:v>37165</c:v>
                </c:pt>
                <c:pt idx="89">
                  <c:v>37196</c:v>
                </c:pt>
                <c:pt idx="90">
                  <c:v>37226</c:v>
                </c:pt>
                <c:pt idx="91">
                  <c:v>37257</c:v>
                </c:pt>
                <c:pt idx="92">
                  <c:v>37288</c:v>
                </c:pt>
                <c:pt idx="93">
                  <c:v>37316</c:v>
                </c:pt>
                <c:pt idx="94">
                  <c:v>37347</c:v>
                </c:pt>
                <c:pt idx="95">
                  <c:v>37377</c:v>
                </c:pt>
                <c:pt idx="96">
                  <c:v>37408</c:v>
                </c:pt>
                <c:pt idx="97">
                  <c:v>37438</c:v>
                </c:pt>
                <c:pt idx="98">
                  <c:v>37469</c:v>
                </c:pt>
                <c:pt idx="99">
                  <c:v>37500</c:v>
                </c:pt>
                <c:pt idx="100">
                  <c:v>37530</c:v>
                </c:pt>
                <c:pt idx="101">
                  <c:v>37561</c:v>
                </c:pt>
                <c:pt idx="102">
                  <c:v>37591</c:v>
                </c:pt>
                <c:pt idx="103">
                  <c:v>37622</c:v>
                </c:pt>
                <c:pt idx="104">
                  <c:v>37653</c:v>
                </c:pt>
                <c:pt idx="105">
                  <c:v>37681</c:v>
                </c:pt>
                <c:pt idx="106">
                  <c:v>37712</c:v>
                </c:pt>
                <c:pt idx="107">
                  <c:v>37742</c:v>
                </c:pt>
                <c:pt idx="108">
                  <c:v>37773</c:v>
                </c:pt>
                <c:pt idx="109">
                  <c:v>37803</c:v>
                </c:pt>
                <c:pt idx="110">
                  <c:v>37834</c:v>
                </c:pt>
                <c:pt idx="111">
                  <c:v>37865</c:v>
                </c:pt>
                <c:pt idx="112">
                  <c:v>37895</c:v>
                </c:pt>
                <c:pt idx="113">
                  <c:v>37926</c:v>
                </c:pt>
                <c:pt idx="114">
                  <c:v>37956</c:v>
                </c:pt>
                <c:pt idx="115">
                  <c:v>37987</c:v>
                </c:pt>
                <c:pt idx="116">
                  <c:v>38018</c:v>
                </c:pt>
                <c:pt idx="117">
                  <c:v>38047</c:v>
                </c:pt>
                <c:pt idx="118">
                  <c:v>38078</c:v>
                </c:pt>
                <c:pt idx="119">
                  <c:v>38108</c:v>
                </c:pt>
                <c:pt idx="120">
                  <c:v>38139</c:v>
                </c:pt>
                <c:pt idx="121">
                  <c:v>38169</c:v>
                </c:pt>
                <c:pt idx="122">
                  <c:v>38200</c:v>
                </c:pt>
                <c:pt idx="123">
                  <c:v>38231</c:v>
                </c:pt>
                <c:pt idx="124">
                  <c:v>38261</c:v>
                </c:pt>
                <c:pt idx="125">
                  <c:v>38292</c:v>
                </c:pt>
                <c:pt idx="126">
                  <c:v>38322</c:v>
                </c:pt>
                <c:pt idx="127">
                  <c:v>38353</c:v>
                </c:pt>
                <c:pt idx="128">
                  <c:v>38384</c:v>
                </c:pt>
                <c:pt idx="129">
                  <c:v>38412</c:v>
                </c:pt>
                <c:pt idx="130">
                  <c:v>38443</c:v>
                </c:pt>
                <c:pt idx="131">
                  <c:v>38473</c:v>
                </c:pt>
                <c:pt idx="132">
                  <c:v>38504</c:v>
                </c:pt>
                <c:pt idx="133">
                  <c:v>38534</c:v>
                </c:pt>
                <c:pt idx="134">
                  <c:v>38565</c:v>
                </c:pt>
                <c:pt idx="135">
                  <c:v>38596</c:v>
                </c:pt>
                <c:pt idx="136">
                  <c:v>38626</c:v>
                </c:pt>
                <c:pt idx="137">
                  <c:v>38657</c:v>
                </c:pt>
                <c:pt idx="138">
                  <c:v>38687</c:v>
                </c:pt>
                <c:pt idx="139">
                  <c:v>38718</c:v>
                </c:pt>
                <c:pt idx="140">
                  <c:v>38749</c:v>
                </c:pt>
                <c:pt idx="141">
                  <c:v>38777</c:v>
                </c:pt>
                <c:pt idx="142">
                  <c:v>38808</c:v>
                </c:pt>
                <c:pt idx="143">
                  <c:v>38838</c:v>
                </c:pt>
                <c:pt idx="144">
                  <c:v>38869</c:v>
                </c:pt>
                <c:pt idx="145">
                  <c:v>38899</c:v>
                </c:pt>
                <c:pt idx="146">
                  <c:v>38930</c:v>
                </c:pt>
                <c:pt idx="147">
                  <c:v>38961</c:v>
                </c:pt>
                <c:pt idx="148">
                  <c:v>38991</c:v>
                </c:pt>
                <c:pt idx="149">
                  <c:v>39022</c:v>
                </c:pt>
                <c:pt idx="150">
                  <c:v>39052</c:v>
                </c:pt>
                <c:pt idx="151">
                  <c:v>39083</c:v>
                </c:pt>
                <c:pt idx="152">
                  <c:v>39114</c:v>
                </c:pt>
                <c:pt idx="153">
                  <c:v>39142</c:v>
                </c:pt>
                <c:pt idx="154">
                  <c:v>39173</c:v>
                </c:pt>
                <c:pt idx="155">
                  <c:v>39203</c:v>
                </c:pt>
                <c:pt idx="156">
                  <c:v>39234</c:v>
                </c:pt>
                <c:pt idx="157">
                  <c:v>39264</c:v>
                </c:pt>
                <c:pt idx="158">
                  <c:v>39295</c:v>
                </c:pt>
                <c:pt idx="159">
                  <c:v>39326</c:v>
                </c:pt>
                <c:pt idx="160">
                  <c:v>39356</c:v>
                </c:pt>
                <c:pt idx="161">
                  <c:v>39387</c:v>
                </c:pt>
                <c:pt idx="162">
                  <c:v>39417</c:v>
                </c:pt>
                <c:pt idx="163">
                  <c:v>39448</c:v>
                </c:pt>
                <c:pt idx="164">
                  <c:v>39479</c:v>
                </c:pt>
                <c:pt idx="165">
                  <c:v>39508</c:v>
                </c:pt>
                <c:pt idx="166">
                  <c:v>39539</c:v>
                </c:pt>
                <c:pt idx="167">
                  <c:v>39569</c:v>
                </c:pt>
                <c:pt idx="168">
                  <c:v>39600</c:v>
                </c:pt>
                <c:pt idx="169">
                  <c:v>39630</c:v>
                </c:pt>
                <c:pt idx="170">
                  <c:v>39661</c:v>
                </c:pt>
                <c:pt idx="171">
                  <c:v>39692</c:v>
                </c:pt>
                <c:pt idx="172">
                  <c:v>39722</c:v>
                </c:pt>
                <c:pt idx="173">
                  <c:v>39753</c:v>
                </c:pt>
                <c:pt idx="174">
                  <c:v>39783</c:v>
                </c:pt>
                <c:pt idx="175">
                  <c:v>39814</c:v>
                </c:pt>
                <c:pt idx="176">
                  <c:v>39845</c:v>
                </c:pt>
                <c:pt idx="177">
                  <c:v>39873</c:v>
                </c:pt>
                <c:pt idx="178">
                  <c:v>39904</c:v>
                </c:pt>
                <c:pt idx="179">
                  <c:v>39934</c:v>
                </c:pt>
                <c:pt idx="180">
                  <c:v>39965</c:v>
                </c:pt>
                <c:pt idx="181">
                  <c:v>39995</c:v>
                </c:pt>
                <c:pt idx="182">
                  <c:v>40026</c:v>
                </c:pt>
                <c:pt idx="183">
                  <c:v>40057</c:v>
                </c:pt>
                <c:pt idx="184">
                  <c:v>40087</c:v>
                </c:pt>
                <c:pt idx="185">
                  <c:v>40118</c:v>
                </c:pt>
                <c:pt idx="186">
                  <c:v>40148</c:v>
                </c:pt>
                <c:pt idx="187">
                  <c:v>40179</c:v>
                </c:pt>
                <c:pt idx="188">
                  <c:v>40210</c:v>
                </c:pt>
                <c:pt idx="189">
                  <c:v>40238</c:v>
                </c:pt>
                <c:pt idx="190">
                  <c:v>40269</c:v>
                </c:pt>
                <c:pt idx="191">
                  <c:v>40299</c:v>
                </c:pt>
                <c:pt idx="192">
                  <c:v>40330</c:v>
                </c:pt>
                <c:pt idx="193">
                  <c:v>40360</c:v>
                </c:pt>
                <c:pt idx="194">
                  <c:v>40391</c:v>
                </c:pt>
                <c:pt idx="195">
                  <c:v>40422</c:v>
                </c:pt>
                <c:pt idx="196">
                  <c:v>40452</c:v>
                </c:pt>
                <c:pt idx="197">
                  <c:v>40483</c:v>
                </c:pt>
                <c:pt idx="198">
                  <c:v>40513</c:v>
                </c:pt>
                <c:pt idx="199">
                  <c:v>40544</c:v>
                </c:pt>
                <c:pt idx="200">
                  <c:v>40575</c:v>
                </c:pt>
                <c:pt idx="201">
                  <c:v>40603</c:v>
                </c:pt>
                <c:pt idx="202">
                  <c:v>40634</c:v>
                </c:pt>
                <c:pt idx="203">
                  <c:v>40664</c:v>
                </c:pt>
                <c:pt idx="204">
                  <c:v>40695</c:v>
                </c:pt>
                <c:pt idx="205">
                  <c:v>40725</c:v>
                </c:pt>
                <c:pt idx="206">
                  <c:v>40756</c:v>
                </c:pt>
                <c:pt idx="207">
                  <c:v>40787</c:v>
                </c:pt>
                <c:pt idx="208">
                  <c:v>40817</c:v>
                </c:pt>
                <c:pt idx="209">
                  <c:v>40848</c:v>
                </c:pt>
                <c:pt idx="210">
                  <c:v>40878</c:v>
                </c:pt>
                <c:pt idx="211">
                  <c:v>40909</c:v>
                </c:pt>
                <c:pt idx="212">
                  <c:v>40940</c:v>
                </c:pt>
                <c:pt idx="213">
                  <c:v>40969</c:v>
                </c:pt>
                <c:pt idx="214">
                  <c:v>41000</c:v>
                </c:pt>
                <c:pt idx="215">
                  <c:v>41030</c:v>
                </c:pt>
                <c:pt idx="216">
                  <c:v>41061</c:v>
                </c:pt>
                <c:pt idx="217">
                  <c:v>41091</c:v>
                </c:pt>
                <c:pt idx="218">
                  <c:v>41122</c:v>
                </c:pt>
                <c:pt idx="219">
                  <c:v>41153</c:v>
                </c:pt>
                <c:pt idx="220">
                  <c:v>41183</c:v>
                </c:pt>
                <c:pt idx="221">
                  <c:v>41214</c:v>
                </c:pt>
                <c:pt idx="222">
                  <c:v>41244</c:v>
                </c:pt>
                <c:pt idx="223">
                  <c:v>41275</c:v>
                </c:pt>
                <c:pt idx="224">
                  <c:v>41306</c:v>
                </c:pt>
                <c:pt idx="225">
                  <c:v>41334</c:v>
                </c:pt>
                <c:pt idx="226">
                  <c:v>41365</c:v>
                </c:pt>
                <c:pt idx="227">
                  <c:v>41395</c:v>
                </c:pt>
                <c:pt idx="228">
                  <c:v>41426</c:v>
                </c:pt>
                <c:pt idx="229">
                  <c:v>41456</c:v>
                </c:pt>
                <c:pt idx="230">
                  <c:v>41487</c:v>
                </c:pt>
                <c:pt idx="231">
                  <c:v>41518</c:v>
                </c:pt>
                <c:pt idx="232">
                  <c:v>41548</c:v>
                </c:pt>
                <c:pt idx="233">
                  <c:v>41579</c:v>
                </c:pt>
                <c:pt idx="234">
                  <c:v>41609</c:v>
                </c:pt>
                <c:pt idx="235">
                  <c:v>41640</c:v>
                </c:pt>
                <c:pt idx="236">
                  <c:v>41671</c:v>
                </c:pt>
                <c:pt idx="237">
                  <c:v>41699</c:v>
                </c:pt>
                <c:pt idx="238">
                  <c:v>41730</c:v>
                </c:pt>
                <c:pt idx="239">
                  <c:v>41760</c:v>
                </c:pt>
                <c:pt idx="240">
                  <c:v>41791</c:v>
                </c:pt>
                <c:pt idx="241">
                  <c:v>41821</c:v>
                </c:pt>
                <c:pt idx="242">
                  <c:v>41852</c:v>
                </c:pt>
                <c:pt idx="243">
                  <c:v>41883</c:v>
                </c:pt>
                <c:pt idx="244">
                  <c:v>41913</c:v>
                </c:pt>
                <c:pt idx="245">
                  <c:v>41944</c:v>
                </c:pt>
                <c:pt idx="246">
                  <c:v>41974</c:v>
                </c:pt>
                <c:pt idx="247">
                  <c:v>42005</c:v>
                </c:pt>
                <c:pt idx="248">
                  <c:v>42036</c:v>
                </c:pt>
                <c:pt idx="249">
                  <c:v>42064</c:v>
                </c:pt>
                <c:pt idx="250">
                  <c:v>42095</c:v>
                </c:pt>
                <c:pt idx="251">
                  <c:v>42125</c:v>
                </c:pt>
                <c:pt idx="252">
                  <c:v>42156</c:v>
                </c:pt>
                <c:pt idx="253">
                  <c:v>42186</c:v>
                </c:pt>
                <c:pt idx="254">
                  <c:v>42217</c:v>
                </c:pt>
                <c:pt idx="255">
                  <c:v>42248</c:v>
                </c:pt>
                <c:pt idx="256">
                  <c:v>42278</c:v>
                </c:pt>
                <c:pt idx="257">
                  <c:v>42309</c:v>
                </c:pt>
                <c:pt idx="258">
                  <c:v>42339</c:v>
                </c:pt>
                <c:pt idx="259">
                  <c:v>42370</c:v>
                </c:pt>
                <c:pt idx="260">
                  <c:v>42401</c:v>
                </c:pt>
                <c:pt idx="261">
                  <c:v>42430</c:v>
                </c:pt>
                <c:pt idx="262">
                  <c:v>42461</c:v>
                </c:pt>
                <c:pt idx="263">
                  <c:v>42491</c:v>
                </c:pt>
              </c:numCache>
            </c:numRef>
          </c:cat>
          <c:val>
            <c:numRef>
              <c:f>'Tracking Diff'!$D$2:$D$265</c:f>
              <c:numCache>
                <c:formatCode>General</c:formatCode>
                <c:ptCount val="264"/>
                <c:pt idx="0">
                  <c:v>1.4751266760067299</c:v>
                </c:pt>
                <c:pt idx="1">
                  <c:v>2.5557849772801973</c:v>
                </c:pt>
                <c:pt idx="2">
                  <c:v>2.1325189438782841</c:v>
                </c:pt>
                <c:pt idx="3">
                  <c:v>0.11230065380998955</c:v>
                </c:pt>
                <c:pt idx="4">
                  <c:v>0.93702257865176986</c:v>
                </c:pt>
                <c:pt idx="5">
                  <c:v>0.51841072318919057</c:v>
                </c:pt>
                <c:pt idx="6">
                  <c:v>0.84196985614460029</c:v>
                </c:pt>
                <c:pt idx="7">
                  <c:v>0.25037564865067985</c:v>
                </c:pt>
                <c:pt idx="8">
                  <c:v>0.15709682599081987</c:v>
                </c:pt>
                <c:pt idx="9">
                  <c:v>0.29732508301901017</c:v>
                </c:pt>
                <c:pt idx="10">
                  <c:v>0.25883710066896981</c:v>
                </c:pt>
                <c:pt idx="11">
                  <c:v>2.1575241833159096</c:v>
                </c:pt>
                <c:pt idx="12">
                  <c:v>2.8663997002585999</c:v>
                </c:pt>
                <c:pt idx="13">
                  <c:v>3.2180771515011299</c:v>
                </c:pt>
                <c:pt idx="14">
                  <c:v>4.9536187036379804</c:v>
                </c:pt>
                <c:pt idx="15">
                  <c:v>8.1016867770422696</c:v>
                </c:pt>
                <c:pt idx="16">
                  <c:v>6.3392690629448012</c:v>
                </c:pt>
                <c:pt idx="17">
                  <c:v>1.9249430780559003</c:v>
                </c:pt>
                <c:pt idx="18">
                  <c:v>6.40278603590545</c:v>
                </c:pt>
                <c:pt idx="19">
                  <c:v>7.4676751559010306</c:v>
                </c:pt>
                <c:pt idx="20">
                  <c:v>8.279067203611298</c:v>
                </c:pt>
                <c:pt idx="21">
                  <c:v>14.676614423070838</c:v>
                </c:pt>
                <c:pt idx="22">
                  <c:v>15.716758685724299</c:v>
                </c:pt>
                <c:pt idx="23">
                  <c:v>8.9076898568890996</c:v>
                </c:pt>
                <c:pt idx="24">
                  <c:v>0.3284377533466003</c:v>
                </c:pt>
                <c:pt idx="25">
                  <c:v>0.49269772731190109</c:v>
                </c:pt>
                <c:pt idx="26">
                  <c:v>1.2117901074062711</c:v>
                </c:pt>
                <c:pt idx="27">
                  <c:v>0.60108414219199879</c:v>
                </c:pt>
                <c:pt idx="28">
                  <c:v>1.6744759582605093</c:v>
                </c:pt>
                <c:pt idx="29">
                  <c:v>2.3468860301674397</c:v>
                </c:pt>
                <c:pt idx="30">
                  <c:v>1.7511781463980007</c:v>
                </c:pt>
                <c:pt idx="31">
                  <c:v>3.0298156844281507</c:v>
                </c:pt>
                <c:pt idx="32">
                  <c:v>3.086702627191833</c:v>
                </c:pt>
                <c:pt idx="33">
                  <c:v>6.48549508899064</c:v>
                </c:pt>
                <c:pt idx="34">
                  <c:v>2.7502751923574902</c:v>
                </c:pt>
                <c:pt idx="35">
                  <c:v>2.1407467989007198</c:v>
                </c:pt>
                <c:pt idx="36">
                  <c:v>3.1840694322419107</c:v>
                </c:pt>
                <c:pt idx="37">
                  <c:v>4.9138927754830704</c:v>
                </c:pt>
                <c:pt idx="38">
                  <c:v>6.9335309209969989</c:v>
                </c:pt>
                <c:pt idx="39">
                  <c:v>4.8353684701338988</c:v>
                </c:pt>
                <c:pt idx="40">
                  <c:v>5.6718847885514005</c:v>
                </c:pt>
                <c:pt idx="41">
                  <c:v>6.0147144497479008</c:v>
                </c:pt>
                <c:pt idx="42">
                  <c:v>9.9913882823899005</c:v>
                </c:pt>
                <c:pt idx="43">
                  <c:v>11.874179596258099</c:v>
                </c:pt>
                <c:pt idx="44">
                  <c:v>8.9787451073494005</c:v>
                </c:pt>
                <c:pt idx="45">
                  <c:v>2.4574858834160977</c:v>
                </c:pt>
                <c:pt idx="46">
                  <c:v>1.1966221870394023</c:v>
                </c:pt>
                <c:pt idx="47">
                  <c:v>3.2577260161387009</c:v>
                </c:pt>
                <c:pt idx="48">
                  <c:v>8.1280931705947985</c:v>
                </c:pt>
                <c:pt idx="49">
                  <c:v>12.204598503994699</c:v>
                </c:pt>
                <c:pt idx="50">
                  <c:v>11.3768864463851</c:v>
                </c:pt>
                <c:pt idx="51">
                  <c:v>10.048615915686099</c:v>
                </c:pt>
                <c:pt idx="52">
                  <c:v>13.685821603737899</c:v>
                </c:pt>
                <c:pt idx="53">
                  <c:v>3.9402775006152027</c:v>
                </c:pt>
                <c:pt idx="54">
                  <c:v>4.8938947810167974</c:v>
                </c:pt>
                <c:pt idx="55">
                  <c:v>1.265524312032305</c:v>
                </c:pt>
                <c:pt idx="56">
                  <c:v>3.8181408813520008</c:v>
                </c:pt>
                <c:pt idx="57">
                  <c:v>2.019220937917499</c:v>
                </c:pt>
                <c:pt idx="58">
                  <c:v>4.3539913481941994</c:v>
                </c:pt>
                <c:pt idx="59">
                  <c:v>3.7212003517569023</c:v>
                </c:pt>
                <c:pt idx="60">
                  <c:v>2.4618006883500989</c:v>
                </c:pt>
                <c:pt idx="61">
                  <c:v>5.1346205495872024</c:v>
                </c:pt>
                <c:pt idx="62">
                  <c:v>1.3292732975529997</c:v>
                </c:pt>
                <c:pt idx="63">
                  <c:v>2.6712050834505998</c:v>
                </c:pt>
                <c:pt idx="64">
                  <c:v>0.45632507212230067</c:v>
                </c:pt>
                <c:pt idx="65">
                  <c:v>0.6300269053337999</c:v>
                </c:pt>
                <c:pt idx="66">
                  <c:v>1.4977825233945001</c:v>
                </c:pt>
                <c:pt idx="67">
                  <c:v>0.28743663081967075</c:v>
                </c:pt>
                <c:pt idx="68">
                  <c:v>0.52890301372336967</c:v>
                </c:pt>
                <c:pt idx="69">
                  <c:v>0.42587022918559025</c:v>
                </c:pt>
                <c:pt idx="70">
                  <c:v>0.34510080650633945</c:v>
                </c:pt>
                <c:pt idx="71">
                  <c:v>1.0683353607519503</c:v>
                </c:pt>
                <c:pt idx="72">
                  <c:v>1.0861698570253893</c:v>
                </c:pt>
                <c:pt idx="73">
                  <c:v>0.54596491548269022</c:v>
                </c:pt>
                <c:pt idx="74">
                  <c:v>1.1888137371242404</c:v>
                </c:pt>
                <c:pt idx="75">
                  <c:v>0.62018736108093009</c:v>
                </c:pt>
                <c:pt idx="76">
                  <c:v>2.4047455726790101</c:v>
                </c:pt>
                <c:pt idx="77">
                  <c:v>1.5403761468949</c:v>
                </c:pt>
                <c:pt idx="78">
                  <c:v>2.9128632793128197</c:v>
                </c:pt>
                <c:pt idx="79">
                  <c:v>6.6446268785021703</c:v>
                </c:pt>
                <c:pt idx="80">
                  <c:v>6.5389685921152019</c:v>
                </c:pt>
                <c:pt idx="81">
                  <c:v>1.3044624485712006</c:v>
                </c:pt>
                <c:pt idx="82">
                  <c:v>2.1604720114610991</c:v>
                </c:pt>
                <c:pt idx="83">
                  <c:v>4.1595458827572998</c:v>
                </c:pt>
                <c:pt idx="84">
                  <c:v>11.6241722492938</c:v>
                </c:pt>
                <c:pt idx="85">
                  <c:v>3.5109580325428027</c:v>
                </c:pt>
                <c:pt idx="86">
                  <c:v>4.3792163971914988</c:v>
                </c:pt>
                <c:pt idx="87">
                  <c:v>1.8985468240169006</c:v>
                </c:pt>
                <c:pt idx="88">
                  <c:v>3.1566055164212976</c:v>
                </c:pt>
                <c:pt idx="89">
                  <c:v>2.4035060567909952</c:v>
                </c:pt>
                <c:pt idx="90">
                  <c:v>9.8822399561716985</c:v>
                </c:pt>
                <c:pt idx="91">
                  <c:v>16.582321918467301</c:v>
                </c:pt>
                <c:pt idx="92">
                  <c:v>9.9775472062207005</c:v>
                </c:pt>
                <c:pt idx="93">
                  <c:v>6.4404089430062008</c:v>
                </c:pt>
                <c:pt idx="94">
                  <c:v>5.9896809372390987</c:v>
                </c:pt>
                <c:pt idx="95">
                  <c:v>4.3000508491672988</c:v>
                </c:pt>
                <c:pt idx="96">
                  <c:v>0.17469229677540099</c:v>
                </c:pt>
                <c:pt idx="97">
                  <c:v>2.9641735471894997</c:v>
                </c:pt>
                <c:pt idx="98">
                  <c:v>3.6339763557758999</c:v>
                </c:pt>
                <c:pt idx="99">
                  <c:v>9.368265596630998</c:v>
                </c:pt>
                <c:pt idx="100">
                  <c:v>7.9805775293188006</c:v>
                </c:pt>
                <c:pt idx="101">
                  <c:v>6.0898617065542027</c:v>
                </c:pt>
                <c:pt idx="102">
                  <c:v>3.4841430214913984</c:v>
                </c:pt>
                <c:pt idx="103">
                  <c:v>5.5805229224333956</c:v>
                </c:pt>
                <c:pt idx="104">
                  <c:v>8.9962522624032033</c:v>
                </c:pt>
                <c:pt idx="105">
                  <c:v>4.1890594939622972</c:v>
                </c:pt>
                <c:pt idx="106">
                  <c:v>1.9334307755198026</c:v>
                </c:pt>
                <c:pt idx="107">
                  <c:v>6.3589153274172006</c:v>
                </c:pt>
                <c:pt idx="108">
                  <c:v>0.99838868316070517</c:v>
                </c:pt>
                <c:pt idx="109">
                  <c:v>3.5293550796537971</c:v>
                </c:pt>
                <c:pt idx="110">
                  <c:v>27.615277909379401</c:v>
                </c:pt>
                <c:pt idx="111">
                  <c:v>30.116386640179197</c:v>
                </c:pt>
                <c:pt idx="112">
                  <c:v>15.5104848469812</c:v>
                </c:pt>
                <c:pt idx="113">
                  <c:v>7.4504383227873028</c:v>
                </c:pt>
                <c:pt idx="114">
                  <c:v>5.9451767749996982</c:v>
                </c:pt>
                <c:pt idx="115">
                  <c:v>1.1938960423656013</c:v>
                </c:pt>
                <c:pt idx="116">
                  <c:v>3.8610278864447984</c:v>
                </c:pt>
                <c:pt idx="117">
                  <c:v>8.9984262977072973</c:v>
                </c:pt>
                <c:pt idx="118">
                  <c:v>10.065990062755297</c:v>
                </c:pt>
                <c:pt idx="119">
                  <c:v>12.984872867935898</c:v>
                </c:pt>
                <c:pt idx="120">
                  <c:v>9.0842885871642984</c:v>
                </c:pt>
                <c:pt idx="121">
                  <c:v>5.0115690047306014</c:v>
                </c:pt>
                <c:pt idx="122">
                  <c:v>2.4607306275157992</c:v>
                </c:pt>
                <c:pt idx="123">
                  <c:v>2.4188293101439005</c:v>
                </c:pt>
                <c:pt idx="124">
                  <c:v>1.5457898560072998</c:v>
                </c:pt>
                <c:pt idx="125">
                  <c:v>3.2161889972642008</c:v>
                </c:pt>
                <c:pt idx="126">
                  <c:v>3.6920294252710981</c:v>
                </c:pt>
                <c:pt idx="127">
                  <c:v>0.64280714944630013</c:v>
                </c:pt>
                <c:pt idx="128">
                  <c:v>0.2875237006562994</c:v>
                </c:pt>
                <c:pt idx="129">
                  <c:v>4.0143433246679976</c:v>
                </c:pt>
                <c:pt idx="130">
                  <c:v>2.5374806957139011</c:v>
                </c:pt>
                <c:pt idx="131">
                  <c:v>2.0265312795800021</c:v>
                </c:pt>
                <c:pt idx="132">
                  <c:v>2.5969928383652991</c:v>
                </c:pt>
                <c:pt idx="133">
                  <c:v>1.7777695930545008</c:v>
                </c:pt>
                <c:pt idx="134">
                  <c:v>5.8100222625485003</c:v>
                </c:pt>
                <c:pt idx="135">
                  <c:v>3.2162084260817991</c:v>
                </c:pt>
                <c:pt idx="136">
                  <c:v>2.129508272846099</c:v>
                </c:pt>
                <c:pt idx="137">
                  <c:v>2.9870427407159017</c:v>
                </c:pt>
                <c:pt idx="138">
                  <c:v>2.0006580933304008</c:v>
                </c:pt>
                <c:pt idx="139">
                  <c:v>0.1643081217842699</c:v>
                </c:pt>
                <c:pt idx="140">
                  <c:v>0.68346294069307056</c:v>
                </c:pt>
                <c:pt idx="141">
                  <c:v>1.129651068544101</c:v>
                </c:pt>
                <c:pt idx="142">
                  <c:v>0.64571537103229915</c:v>
                </c:pt>
                <c:pt idx="143">
                  <c:v>0.50115231796389992</c:v>
                </c:pt>
                <c:pt idx="144">
                  <c:v>0.10364916334239993</c:v>
                </c:pt>
                <c:pt idx="145">
                  <c:v>0.45021791047120985</c:v>
                </c:pt>
                <c:pt idx="146">
                  <c:v>0.5025576124190998</c:v>
                </c:pt>
                <c:pt idx="147">
                  <c:v>1.5610998532832987</c:v>
                </c:pt>
                <c:pt idx="148">
                  <c:v>0.15070923226280009</c:v>
                </c:pt>
                <c:pt idx="149">
                  <c:v>0.10408526763819914</c:v>
                </c:pt>
                <c:pt idx="150">
                  <c:v>0.20729561262070106</c:v>
                </c:pt>
                <c:pt idx="151">
                  <c:v>0.14179529534600022</c:v>
                </c:pt>
                <c:pt idx="152">
                  <c:v>0.48815046365267101</c:v>
                </c:pt>
                <c:pt idx="153">
                  <c:v>0.51518435720590006</c:v>
                </c:pt>
                <c:pt idx="154">
                  <c:v>0.90662219185260007</c:v>
                </c:pt>
                <c:pt idx="155">
                  <c:v>0.35189010204210014</c:v>
                </c:pt>
                <c:pt idx="156">
                  <c:v>1.1366003924827996</c:v>
                </c:pt>
                <c:pt idx="157">
                  <c:v>0.76909173796186003</c:v>
                </c:pt>
                <c:pt idx="158">
                  <c:v>0.88663368006994858</c:v>
                </c:pt>
                <c:pt idx="159">
                  <c:v>0.23108987216436017</c:v>
                </c:pt>
                <c:pt idx="160">
                  <c:v>0.55976280758270924</c:v>
                </c:pt>
                <c:pt idx="161">
                  <c:v>0.26408572514600959</c:v>
                </c:pt>
                <c:pt idx="162">
                  <c:v>0.84749342897463986</c:v>
                </c:pt>
                <c:pt idx="163">
                  <c:v>0.14056845253183958</c:v>
                </c:pt>
                <c:pt idx="164">
                  <c:v>0.2868915369190006</c:v>
                </c:pt>
                <c:pt idx="165">
                  <c:v>2.6971329033157989</c:v>
                </c:pt>
                <c:pt idx="166">
                  <c:v>2.0475074657096997</c:v>
                </c:pt>
                <c:pt idx="167">
                  <c:v>0.99586381758130038</c:v>
                </c:pt>
                <c:pt idx="168">
                  <c:v>2.4185503853823702</c:v>
                </c:pt>
                <c:pt idx="169">
                  <c:v>0.52843088143227046</c:v>
                </c:pt>
                <c:pt idx="170">
                  <c:v>0.84071655614808982</c:v>
                </c:pt>
                <c:pt idx="171">
                  <c:v>0.11304173893501002</c:v>
                </c:pt>
                <c:pt idx="172">
                  <c:v>0.87400088380772978</c:v>
                </c:pt>
                <c:pt idx="173">
                  <c:v>1.4388230185984501</c:v>
                </c:pt>
                <c:pt idx="174">
                  <c:v>0.20675555628228892</c:v>
                </c:pt>
                <c:pt idx="175">
                  <c:v>13.729025533946398</c:v>
                </c:pt>
                <c:pt idx="176">
                  <c:v>24.283720039622104</c:v>
                </c:pt>
                <c:pt idx="177">
                  <c:v>15.1579815264726</c:v>
                </c:pt>
                <c:pt idx="178">
                  <c:v>22.539888238110201</c:v>
                </c:pt>
                <c:pt idx="179">
                  <c:v>30.661568428330597</c:v>
                </c:pt>
                <c:pt idx="180">
                  <c:v>25.494760117404404</c:v>
                </c:pt>
                <c:pt idx="181">
                  <c:v>1.111059538614402</c:v>
                </c:pt>
                <c:pt idx="182">
                  <c:v>13.070390042862298</c:v>
                </c:pt>
                <c:pt idx="183">
                  <c:v>14.267334999952398</c:v>
                </c:pt>
                <c:pt idx="184">
                  <c:v>19.542049998815706</c:v>
                </c:pt>
                <c:pt idx="185">
                  <c:v>20.035688038131301</c:v>
                </c:pt>
                <c:pt idx="186">
                  <c:v>21.032506540743096</c:v>
                </c:pt>
                <c:pt idx="187">
                  <c:v>19.738051694404298</c:v>
                </c:pt>
                <c:pt idx="188">
                  <c:v>19.292414852926697</c:v>
                </c:pt>
                <c:pt idx="189">
                  <c:v>8.6155321336600004</c:v>
                </c:pt>
                <c:pt idx="190">
                  <c:v>9.185320034674799</c:v>
                </c:pt>
                <c:pt idx="191">
                  <c:v>7.7169851112635985</c:v>
                </c:pt>
                <c:pt idx="192">
                  <c:v>13.244038914656997</c:v>
                </c:pt>
                <c:pt idx="193">
                  <c:v>17.923512642153799</c:v>
                </c:pt>
                <c:pt idx="194">
                  <c:v>16.186458538533799</c:v>
                </c:pt>
                <c:pt idx="195">
                  <c:v>23.903188301122697</c:v>
                </c:pt>
                <c:pt idx="196">
                  <c:v>30.311805670738604</c:v>
                </c:pt>
                <c:pt idx="197">
                  <c:v>31.396259445384104</c:v>
                </c:pt>
                <c:pt idx="198">
                  <c:v>25.983100828385201</c:v>
                </c:pt>
                <c:pt idx="199">
                  <c:v>5.5376157257709018</c:v>
                </c:pt>
                <c:pt idx="200">
                  <c:v>5.149809067543103</c:v>
                </c:pt>
                <c:pt idx="201">
                  <c:v>3.6372096810068975</c:v>
                </c:pt>
                <c:pt idx="202">
                  <c:v>8.9043632118107006</c:v>
                </c:pt>
                <c:pt idx="203">
                  <c:v>9.6667270411397013</c:v>
                </c:pt>
                <c:pt idx="204">
                  <c:v>13.1862639830932</c:v>
                </c:pt>
                <c:pt idx="205">
                  <c:v>15.651602502246101</c:v>
                </c:pt>
                <c:pt idx="206">
                  <c:v>12.114085486167401</c:v>
                </c:pt>
                <c:pt idx="207">
                  <c:v>30.0624519874677</c:v>
                </c:pt>
                <c:pt idx="208">
                  <c:v>33.133758125124203</c:v>
                </c:pt>
                <c:pt idx="209">
                  <c:v>30.360715624734102</c:v>
                </c:pt>
                <c:pt idx="210">
                  <c:v>35.295968209040502</c:v>
                </c:pt>
                <c:pt idx="211">
                  <c:v>37.356003082065897</c:v>
                </c:pt>
                <c:pt idx="212">
                  <c:v>33.717408218745703</c:v>
                </c:pt>
                <c:pt idx="213">
                  <c:v>30.037728356682003</c:v>
                </c:pt>
                <c:pt idx="214">
                  <c:v>27.496179499928502</c:v>
                </c:pt>
                <c:pt idx="215">
                  <c:v>28.849878520912505</c:v>
                </c:pt>
                <c:pt idx="216">
                  <c:v>33.295905664424808</c:v>
                </c:pt>
                <c:pt idx="217">
                  <c:v>34.4250015509893</c:v>
                </c:pt>
                <c:pt idx="218">
                  <c:v>33.715714074099701</c:v>
                </c:pt>
                <c:pt idx="219">
                  <c:v>31.732408770431704</c:v>
                </c:pt>
                <c:pt idx="220">
                  <c:v>32.786764457665598</c:v>
                </c:pt>
                <c:pt idx="221">
                  <c:v>35.4089317520218</c:v>
                </c:pt>
                <c:pt idx="222">
                  <c:v>34.197928790269899</c:v>
                </c:pt>
                <c:pt idx="223">
                  <c:v>32.917262179911901</c:v>
                </c:pt>
                <c:pt idx="224">
                  <c:v>27.220147750366202</c:v>
                </c:pt>
                <c:pt idx="225">
                  <c:v>16.288154663980603</c:v>
                </c:pt>
                <c:pt idx="226">
                  <c:v>13.960796300617002</c:v>
                </c:pt>
                <c:pt idx="227">
                  <c:v>19.117313948663398</c:v>
                </c:pt>
                <c:pt idx="228">
                  <c:v>15.427655385204897</c:v>
                </c:pt>
                <c:pt idx="229">
                  <c:v>0.56509265974650091</c:v>
                </c:pt>
                <c:pt idx="230">
                  <c:v>1.3624054250580997</c:v>
                </c:pt>
                <c:pt idx="231">
                  <c:v>0.65502198499019926</c:v>
                </c:pt>
                <c:pt idx="232">
                  <c:v>0.84845820805969829</c:v>
                </c:pt>
                <c:pt idx="233">
                  <c:v>5.4204506857040009</c:v>
                </c:pt>
                <c:pt idx="234">
                  <c:v>3.2625418371436012</c:v>
                </c:pt>
                <c:pt idx="235">
                  <c:v>2.0993486669099202</c:v>
                </c:pt>
                <c:pt idx="236">
                  <c:v>2.3667871966376488</c:v>
                </c:pt>
                <c:pt idx="237">
                  <c:v>4.1654721697028005</c:v>
                </c:pt>
                <c:pt idx="238">
                  <c:v>4.3484529857929992</c:v>
                </c:pt>
                <c:pt idx="239">
                  <c:v>4.7136851958263009</c:v>
                </c:pt>
                <c:pt idx="240">
                  <c:v>6.6450150549600018</c:v>
                </c:pt>
                <c:pt idx="241">
                  <c:v>6.2616541676352995</c:v>
                </c:pt>
                <c:pt idx="242">
                  <c:v>7.5886297824352997</c:v>
                </c:pt>
                <c:pt idx="243">
                  <c:v>7.4447846421693011</c:v>
                </c:pt>
                <c:pt idx="244">
                  <c:v>5.3290025446718001</c:v>
                </c:pt>
                <c:pt idx="245">
                  <c:v>8.8577035738521985</c:v>
                </c:pt>
                <c:pt idx="246">
                  <c:v>8.2265945076147009</c:v>
                </c:pt>
                <c:pt idx="247">
                  <c:v>12.854220010133698</c:v>
                </c:pt>
                <c:pt idx="248">
                  <c:v>17.077454071557703</c:v>
                </c:pt>
                <c:pt idx="249">
                  <c:v>11.4401098785603</c:v>
                </c:pt>
                <c:pt idx="250">
                  <c:v>11.1812895818447</c:v>
                </c:pt>
                <c:pt idx="251">
                  <c:v>15.221813186940201</c:v>
                </c:pt>
                <c:pt idx="252">
                  <c:v>8.9606172510637982</c:v>
                </c:pt>
                <c:pt idx="253">
                  <c:v>6.4872657068131989</c:v>
                </c:pt>
                <c:pt idx="254">
                  <c:v>7.0402346578941</c:v>
                </c:pt>
                <c:pt idx="255">
                  <c:v>9.0550120360250013</c:v>
                </c:pt>
                <c:pt idx="256">
                  <c:v>8.6853033589213009</c:v>
                </c:pt>
                <c:pt idx="257">
                  <c:v>11.382909350324699</c:v>
                </c:pt>
                <c:pt idx="258">
                  <c:v>7.080448263735601</c:v>
                </c:pt>
                <c:pt idx="259">
                  <c:v>6.9951840170775093</c:v>
                </c:pt>
                <c:pt idx="260">
                  <c:v>8.0426729044892014</c:v>
                </c:pt>
                <c:pt idx="261">
                  <c:v>12.1434788006452</c:v>
                </c:pt>
                <c:pt idx="262">
                  <c:v>15.198551600906502</c:v>
                </c:pt>
                <c:pt idx="263">
                  <c:v>14.961651702574402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41298944"/>
        <c:axId val="441300864"/>
      </c:barChart>
      <c:lineChart>
        <c:grouping val="standard"/>
        <c:varyColors val="0"/>
        <c:ser>
          <c:idx val="0"/>
          <c:order val="0"/>
          <c:tx>
            <c:strRef>
              <c:f>'Tracking Diff'!$B$1</c:f>
              <c:strCache>
                <c:ptCount val="1"/>
                <c:pt idx="0">
                  <c:v>act</c:v>
                </c:pt>
              </c:strCache>
            </c:strRef>
          </c:tx>
          <c:marker>
            <c:symbol val="none"/>
          </c:marker>
          <c:cat>
            <c:numRef>
              <c:f>'Tracking Diff'!$A$2:$A$265</c:f>
              <c:numCache>
                <c:formatCode>m/d/yyyy</c:formatCode>
                <c:ptCount val="264"/>
                <c:pt idx="0">
                  <c:v>34335</c:v>
                </c:pt>
                <c:pt idx="1">
                  <c:v>34394</c:v>
                </c:pt>
                <c:pt idx="2">
                  <c:v>34486</c:v>
                </c:pt>
                <c:pt idx="3">
                  <c:v>34516</c:v>
                </c:pt>
                <c:pt idx="4">
                  <c:v>34547</c:v>
                </c:pt>
                <c:pt idx="5">
                  <c:v>34578</c:v>
                </c:pt>
                <c:pt idx="6">
                  <c:v>34608</c:v>
                </c:pt>
                <c:pt idx="7">
                  <c:v>34639</c:v>
                </c:pt>
                <c:pt idx="8">
                  <c:v>34669</c:v>
                </c:pt>
                <c:pt idx="9">
                  <c:v>34700</c:v>
                </c:pt>
                <c:pt idx="10">
                  <c:v>34731</c:v>
                </c:pt>
                <c:pt idx="11">
                  <c:v>34759</c:v>
                </c:pt>
                <c:pt idx="12">
                  <c:v>34790</c:v>
                </c:pt>
                <c:pt idx="13">
                  <c:v>34820</c:v>
                </c:pt>
                <c:pt idx="14">
                  <c:v>34851</c:v>
                </c:pt>
                <c:pt idx="15">
                  <c:v>34881</c:v>
                </c:pt>
                <c:pt idx="16">
                  <c:v>34912</c:v>
                </c:pt>
                <c:pt idx="17">
                  <c:v>34943</c:v>
                </c:pt>
                <c:pt idx="18">
                  <c:v>34973</c:v>
                </c:pt>
                <c:pt idx="19">
                  <c:v>35004</c:v>
                </c:pt>
                <c:pt idx="20">
                  <c:v>35034</c:v>
                </c:pt>
                <c:pt idx="21">
                  <c:v>35065</c:v>
                </c:pt>
                <c:pt idx="22">
                  <c:v>35096</c:v>
                </c:pt>
                <c:pt idx="23">
                  <c:v>35125</c:v>
                </c:pt>
                <c:pt idx="24">
                  <c:v>35156</c:v>
                </c:pt>
                <c:pt idx="25">
                  <c:v>35186</c:v>
                </c:pt>
                <c:pt idx="26">
                  <c:v>35217</c:v>
                </c:pt>
                <c:pt idx="27">
                  <c:v>35247</c:v>
                </c:pt>
                <c:pt idx="28">
                  <c:v>35278</c:v>
                </c:pt>
                <c:pt idx="29">
                  <c:v>35309</c:v>
                </c:pt>
                <c:pt idx="30">
                  <c:v>35339</c:v>
                </c:pt>
                <c:pt idx="31">
                  <c:v>35370</c:v>
                </c:pt>
                <c:pt idx="32">
                  <c:v>35462</c:v>
                </c:pt>
                <c:pt idx="33">
                  <c:v>35490</c:v>
                </c:pt>
                <c:pt idx="34">
                  <c:v>35521</c:v>
                </c:pt>
                <c:pt idx="35">
                  <c:v>35551</c:v>
                </c:pt>
                <c:pt idx="36">
                  <c:v>35582</c:v>
                </c:pt>
                <c:pt idx="37">
                  <c:v>35612</c:v>
                </c:pt>
                <c:pt idx="38">
                  <c:v>35643</c:v>
                </c:pt>
                <c:pt idx="39">
                  <c:v>35674</c:v>
                </c:pt>
                <c:pt idx="40">
                  <c:v>35704</c:v>
                </c:pt>
                <c:pt idx="41">
                  <c:v>35735</c:v>
                </c:pt>
                <c:pt idx="42">
                  <c:v>35765</c:v>
                </c:pt>
                <c:pt idx="43">
                  <c:v>35796</c:v>
                </c:pt>
                <c:pt idx="44">
                  <c:v>35827</c:v>
                </c:pt>
                <c:pt idx="45">
                  <c:v>35855</c:v>
                </c:pt>
                <c:pt idx="46">
                  <c:v>35886</c:v>
                </c:pt>
                <c:pt idx="47">
                  <c:v>35916</c:v>
                </c:pt>
                <c:pt idx="48">
                  <c:v>35947</c:v>
                </c:pt>
                <c:pt idx="49">
                  <c:v>35977</c:v>
                </c:pt>
                <c:pt idx="50">
                  <c:v>36008</c:v>
                </c:pt>
                <c:pt idx="51">
                  <c:v>36039</c:v>
                </c:pt>
                <c:pt idx="52">
                  <c:v>36069</c:v>
                </c:pt>
                <c:pt idx="53">
                  <c:v>36100</c:v>
                </c:pt>
                <c:pt idx="54">
                  <c:v>36130</c:v>
                </c:pt>
                <c:pt idx="55">
                  <c:v>36161</c:v>
                </c:pt>
                <c:pt idx="56">
                  <c:v>36192</c:v>
                </c:pt>
                <c:pt idx="57">
                  <c:v>36220</c:v>
                </c:pt>
                <c:pt idx="58">
                  <c:v>36251</c:v>
                </c:pt>
                <c:pt idx="59">
                  <c:v>36281</c:v>
                </c:pt>
                <c:pt idx="60">
                  <c:v>36312</c:v>
                </c:pt>
                <c:pt idx="61">
                  <c:v>36342</c:v>
                </c:pt>
                <c:pt idx="62">
                  <c:v>36373</c:v>
                </c:pt>
                <c:pt idx="63">
                  <c:v>36404</c:v>
                </c:pt>
                <c:pt idx="64">
                  <c:v>36434</c:v>
                </c:pt>
                <c:pt idx="65">
                  <c:v>36465</c:v>
                </c:pt>
                <c:pt idx="66">
                  <c:v>36495</c:v>
                </c:pt>
                <c:pt idx="67">
                  <c:v>36526</c:v>
                </c:pt>
                <c:pt idx="68">
                  <c:v>36557</c:v>
                </c:pt>
                <c:pt idx="69">
                  <c:v>36586</c:v>
                </c:pt>
                <c:pt idx="70">
                  <c:v>36617</c:v>
                </c:pt>
                <c:pt idx="71">
                  <c:v>36647</c:v>
                </c:pt>
                <c:pt idx="72">
                  <c:v>36678</c:v>
                </c:pt>
                <c:pt idx="73">
                  <c:v>36708</c:v>
                </c:pt>
                <c:pt idx="74">
                  <c:v>36739</c:v>
                </c:pt>
                <c:pt idx="75">
                  <c:v>36770</c:v>
                </c:pt>
                <c:pt idx="76">
                  <c:v>36800</c:v>
                </c:pt>
                <c:pt idx="77">
                  <c:v>36831</c:v>
                </c:pt>
                <c:pt idx="78">
                  <c:v>36861</c:v>
                </c:pt>
                <c:pt idx="79">
                  <c:v>36892</c:v>
                </c:pt>
                <c:pt idx="80">
                  <c:v>36923</c:v>
                </c:pt>
                <c:pt idx="81">
                  <c:v>36951</c:v>
                </c:pt>
                <c:pt idx="82">
                  <c:v>36982</c:v>
                </c:pt>
                <c:pt idx="83">
                  <c:v>37012</c:v>
                </c:pt>
                <c:pt idx="84">
                  <c:v>37043</c:v>
                </c:pt>
                <c:pt idx="85">
                  <c:v>37073</c:v>
                </c:pt>
                <c:pt idx="86">
                  <c:v>37104</c:v>
                </c:pt>
                <c:pt idx="87">
                  <c:v>37135</c:v>
                </c:pt>
                <c:pt idx="88">
                  <c:v>37165</c:v>
                </c:pt>
                <c:pt idx="89">
                  <c:v>37196</c:v>
                </c:pt>
                <c:pt idx="90">
                  <c:v>37226</c:v>
                </c:pt>
                <c:pt idx="91">
                  <c:v>37257</c:v>
                </c:pt>
                <c:pt idx="92">
                  <c:v>37288</c:v>
                </c:pt>
                <c:pt idx="93">
                  <c:v>37316</c:v>
                </c:pt>
                <c:pt idx="94">
                  <c:v>37347</c:v>
                </c:pt>
                <c:pt idx="95">
                  <c:v>37377</c:v>
                </c:pt>
                <c:pt idx="96">
                  <c:v>37408</c:v>
                </c:pt>
                <c:pt idx="97">
                  <c:v>37438</c:v>
                </c:pt>
                <c:pt idx="98">
                  <c:v>37469</c:v>
                </c:pt>
                <c:pt idx="99">
                  <c:v>37500</c:v>
                </c:pt>
                <c:pt idx="100">
                  <c:v>37530</c:v>
                </c:pt>
                <c:pt idx="101">
                  <c:v>37561</c:v>
                </c:pt>
                <c:pt idx="102">
                  <c:v>37591</c:v>
                </c:pt>
                <c:pt idx="103">
                  <c:v>37622</c:v>
                </c:pt>
                <c:pt idx="104">
                  <c:v>37653</c:v>
                </c:pt>
                <c:pt idx="105">
                  <c:v>37681</c:v>
                </c:pt>
                <c:pt idx="106">
                  <c:v>37712</c:v>
                </c:pt>
                <c:pt idx="107">
                  <c:v>37742</c:v>
                </c:pt>
                <c:pt idx="108">
                  <c:v>37773</c:v>
                </c:pt>
                <c:pt idx="109">
                  <c:v>37803</c:v>
                </c:pt>
                <c:pt idx="110">
                  <c:v>37834</c:v>
                </c:pt>
                <c:pt idx="111">
                  <c:v>37865</c:v>
                </c:pt>
                <c:pt idx="112">
                  <c:v>37895</c:v>
                </c:pt>
                <c:pt idx="113">
                  <c:v>37926</c:v>
                </c:pt>
                <c:pt idx="114">
                  <c:v>37956</c:v>
                </c:pt>
                <c:pt idx="115">
                  <c:v>37987</c:v>
                </c:pt>
                <c:pt idx="116">
                  <c:v>38018</c:v>
                </c:pt>
                <c:pt idx="117">
                  <c:v>38047</c:v>
                </c:pt>
                <c:pt idx="118">
                  <c:v>38078</c:v>
                </c:pt>
                <c:pt idx="119">
                  <c:v>38108</c:v>
                </c:pt>
                <c:pt idx="120">
                  <c:v>38139</c:v>
                </c:pt>
                <c:pt idx="121">
                  <c:v>38169</c:v>
                </c:pt>
                <c:pt idx="122">
                  <c:v>38200</c:v>
                </c:pt>
                <c:pt idx="123">
                  <c:v>38231</c:v>
                </c:pt>
                <c:pt idx="124">
                  <c:v>38261</c:v>
                </c:pt>
                <c:pt idx="125">
                  <c:v>38292</c:v>
                </c:pt>
                <c:pt idx="126">
                  <c:v>38322</c:v>
                </c:pt>
                <c:pt idx="127">
                  <c:v>38353</c:v>
                </c:pt>
                <c:pt idx="128">
                  <c:v>38384</c:v>
                </c:pt>
                <c:pt idx="129">
                  <c:v>38412</c:v>
                </c:pt>
                <c:pt idx="130">
                  <c:v>38443</c:v>
                </c:pt>
                <c:pt idx="131">
                  <c:v>38473</c:v>
                </c:pt>
                <c:pt idx="132">
                  <c:v>38504</c:v>
                </c:pt>
                <c:pt idx="133">
                  <c:v>38534</c:v>
                </c:pt>
                <c:pt idx="134">
                  <c:v>38565</c:v>
                </c:pt>
                <c:pt idx="135">
                  <c:v>38596</c:v>
                </c:pt>
                <c:pt idx="136">
                  <c:v>38626</c:v>
                </c:pt>
                <c:pt idx="137">
                  <c:v>38657</c:v>
                </c:pt>
                <c:pt idx="138">
                  <c:v>38687</c:v>
                </c:pt>
                <c:pt idx="139">
                  <c:v>38718</c:v>
                </c:pt>
                <c:pt idx="140">
                  <c:v>38749</c:v>
                </c:pt>
                <c:pt idx="141">
                  <c:v>38777</c:v>
                </c:pt>
                <c:pt idx="142">
                  <c:v>38808</c:v>
                </c:pt>
                <c:pt idx="143">
                  <c:v>38838</c:v>
                </c:pt>
                <c:pt idx="144">
                  <c:v>38869</c:v>
                </c:pt>
                <c:pt idx="145">
                  <c:v>38899</c:v>
                </c:pt>
                <c:pt idx="146">
                  <c:v>38930</c:v>
                </c:pt>
                <c:pt idx="147">
                  <c:v>38961</c:v>
                </c:pt>
                <c:pt idx="148">
                  <c:v>38991</c:v>
                </c:pt>
                <c:pt idx="149">
                  <c:v>39022</c:v>
                </c:pt>
                <c:pt idx="150">
                  <c:v>39052</c:v>
                </c:pt>
                <c:pt idx="151">
                  <c:v>39083</c:v>
                </c:pt>
                <c:pt idx="152">
                  <c:v>39114</c:v>
                </c:pt>
                <c:pt idx="153">
                  <c:v>39142</c:v>
                </c:pt>
                <c:pt idx="154">
                  <c:v>39173</c:v>
                </c:pt>
                <c:pt idx="155">
                  <c:v>39203</c:v>
                </c:pt>
                <c:pt idx="156">
                  <c:v>39234</c:v>
                </c:pt>
                <c:pt idx="157">
                  <c:v>39264</c:v>
                </c:pt>
                <c:pt idx="158">
                  <c:v>39295</c:v>
                </c:pt>
                <c:pt idx="159">
                  <c:v>39326</c:v>
                </c:pt>
                <c:pt idx="160">
                  <c:v>39356</c:v>
                </c:pt>
                <c:pt idx="161">
                  <c:v>39387</c:v>
                </c:pt>
                <c:pt idx="162">
                  <c:v>39417</c:v>
                </c:pt>
                <c:pt idx="163">
                  <c:v>39448</c:v>
                </c:pt>
                <c:pt idx="164">
                  <c:v>39479</c:v>
                </c:pt>
                <c:pt idx="165">
                  <c:v>39508</c:v>
                </c:pt>
                <c:pt idx="166">
                  <c:v>39539</c:v>
                </c:pt>
                <c:pt idx="167">
                  <c:v>39569</c:v>
                </c:pt>
                <c:pt idx="168">
                  <c:v>39600</c:v>
                </c:pt>
                <c:pt idx="169">
                  <c:v>39630</c:v>
                </c:pt>
                <c:pt idx="170">
                  <c:v>39661</c:v>
                </c:pt>
                <c:pt idx="171">
                  <c:v>39692</c:v>
                </c:pt>
                <c:pt idx="172">
                  <c:v>39722</c:v>
                </c:pt>
                <c:pt idx="173">
                  <c:v>39753</c:v>
                </c:pt>
                <c:pt idx="174">
                  <c:v>39783</c:v>
                </c:pt>
                <c:pt idx="175">
                  <c:v>39814</c:v>
                </c:pt>
                <c:pt idx="176">
                  <c:v>39845</c:v>
                </c:pt>
                <c:pt idx="177">
                  <c:v>39873</c:v>
                </c:pt>
                <c:pt idx="178">
                  <c:v>39904</c:v>
                </c:pt>
                <c:pt idx="179">
                  <c:v>39934</c:v>
                </c:pt>
                <c:pt idx="180">
                  <c:v>39965</c:v>
                </c:pt>
                <c:pt idx="181">
                  <c:v>39995</c:v>
                </c:pt>
                <c:pt idx="182">
                  <c:v>40026</c:v>
                </c:pt>
                <c:pt idx="183">
                  <c:v>40057</c:v>
                </c:pt>
                <c:pt idx="184">
                  <c:v>40087</c:v>
                </c:pt>
                <c:pt idx="185">
                  <c:v>40118</c:v>
                </c:pt>
                <c:pt idx="186">
                  <c:v>40148</c:v>
                </c:pt>
                <c:pt idx="187">
                  <c:v>40179</c:v>
                </c:pt>
                <c:pt idx="188">
                  <c:v>40210</c:v>
                </c:pt>
                <c:pt idx="189">
                  <c:v>40238</c:v>
                </c:pt>
                <c:pt idx="190">
                  <c:v>40269</c:v>
                </c:pt>
                <c:pt idx="191">
                  <c:v>40299</c:v>
                </c:pt>
                <c:pt idx="192">
                  <c:v>40330</c:v>
                </c:pt>
                <c:pt idx="193">
                  <c:v>40360</c:v>
                </c:pt>
                <c:pt idx="194">
                  <c:v>40391</c:v>
                </c:pt>
                <c:pt idx="195">
                  <c:v>40422</c:v>
                </c:pt>
                <c:pt idx="196">
                  <c:v>40452</c:v>
                </c:pt>
                <c:pt idx="197">
                  <c:v>40483</c:v>
                </c:pt>
                <c:pt idx="198">
                  <c:v>40513</c:v>
                </c:pt>
                <c:pt idx="199">
                  <c:v>40544</c:v>
                </c:pt>
                <c:pt idx="200">
                  <c:v>40575</c:v>
                </c:pt>
                <c:pt idx="201">
                  <c:v>40603</c:v>
                </c:pt>
                <c:pt idx="202">
                  <c:v>40634</c:v>
                </c:pt>
                <c:pt idx="203">
                  <c:v>40664</c:v>
                </c:pt>
                <c:pt idx="204">
                  <c:v>40695</c:v>
                </c:pt>
                <c:pt idx="205">
                  <c:v>40725</c:v>
                </c:pt>
                <c:pt idx="206">
                  <c:v>40756</c:v>
                </c:pt>
                <c:pt idx="207">
                  <c:v>40787</c:v>
                </c:pt>
                <c:pt idx="208">
                  <c:v>40817</c:v>
                </c:pt>
                <c:pt idx="209">
                  <c:v>40848</c:v>
                </c:pt>
                <c:pt idx="210">
                  <c:v>40878</c:v>
                </c:pt>
                <c:pt idx="211">
                  <c:v>40909</c:v>
                </c:pt>
                <c:pt idx="212">
                  <c:v>40940</c:v>
                </c:pt>
                <c:pt idx="213">
                  <c:v>40969</c:v>
                </c:pt>
                <c:pt idx="214">
                  <c:v>41000</c:v>
                </c:pt>
                <c:pt idx="215">
                  <c:v>41030</c:v>
                </c:pt>
                <c:pt idx="216">
                  <c:v>41061</c:v>
                </c:pt>
                <c:pt idx="217">
                  <c:v>41091</c:v>
                </c:pt>
                <c:pt idx="218">
                  <c:v>41122</c:v>
                </c:pt>
                <c:pt idx="219">
                  <c:v>41153</c:v>
                </c:pt>
                <c:pt idx="220">
                  <c:v>41183</c:v>
                </c:pt>
                <c:pt idx="221">
                  <c:v>41214</c:v>
                </c:pt>
                <c:pt idx="222">
                  <c:v>41244</c:v>
                </c:pt>
                <c:pt idx="223">
                  <c:v>41275</c:v>
                </c:pt>
                <c:pt idx="224">
                  <c:v>41306</c:v>
                </c:pt>
                <c:pt idx="225">
                  <c:v>41334</c:v>
                </c:pt>
                <c:pt idx="226">
                  <c:v>41365</c:v>
                </c:pt>
                <c:pt idx="227">
                  <c:v>41395</c:v>
                </c:pt>
                <c:pt idx="228">
                  <c:v>41426</c:v>
                </c:pt>
                <c:pt idx="229">
                  <c:v>41456</c:v>
                </c:pt>
                <c:pt idx="230">
                  <c:v>41487</c:v>
                </c:pt>
                <c:pt idx="231">
                  <c:v>41518</c:v>
                </c:pt>
                <c:pt idx="232">
                  <c:v>41548</c:v>
                </c:pt>
                <c:pt idx="233">
                  <c:v>41579</c:v>
                </c:pt>
                <c:pt idx="234">
                  <c:v>41609</c:v>
                </c:pt>
                <c:pt idx="235">
                  <c:v>41640</c:v>
                </c:pt>
                <c:pt idx="236">
                  <c:v>41671</c:v>
                </c:pt>
                <c:pt idx="237">
                  <c:v>41699</c:v>
                </c:pt>
                <c:pt idx="238">
                  <c:v>41730</c:v>
                </c:pt>
                <c:pt idx="239">
                  <c:v>41760</c:v>
                </c:pt>
                <c:pt idx="240">
                  <c:v>41791</c:v>
                </c:pt>
                <c:pt idx="241">
                  <c:v>41821</c:v>
                </c:pt>
                <c:pt idx="242">
                  <c:v>41852</c:v>
                </c:pt>
                <c:pt idx="243">
                  <c:v>41883</c:v>
                </c:pt>
                <c:pt idx="244">
                  <c:v>41913</c:v>
                </c:pt>
                <c:pt idx="245">
                  <c:v>41944</c:v>
                </c:pt>
                <c:pt idx="246">
                  <c:v>41974</c:v>
                </c:pt>
                <c:pt idx="247">
                  <c:v>42005</c:v>
                </c:pt>
                <c:pt idx="248">
                  <c:v>42036</c:v>
                </c:pt>
                <c:pt idx="249">
                  <c:v>42064</c:v>
                </c:pt>
                <c:pt idx="250">
                  <c:v>42095</c:v>
                </c:pt>
                <c:pt idx="251">
                  <c:v>42125</c:v>
                </c:pt>
                <c:pt idx="252">
                  <c:v>42156</c:v>
                </c:pt>
                <c:pt idx="253">
                  <c:v>42186</c:v>
                </c:pt>
                <c:pt idx="254">
                  <c:v>42217</c:v>
                </c:pt>
                <c:pt idx="255">
                  <c:v>42248</c:v>
                </c:pt>
                <c:pt idx="256">
                  <c:v>42278</c:v>
                </c:pt>
                <c:pt idx="257">
                  <c:v>42309</c:v>
                </c:pt>
                <c:pt idx="258">
                  <c:v>42339</c:v>
                </c:pt>
                <c:pt idx="259">
                  <c:v>42370</c:v>
                </c:pt>
                <c:pt idx="260">
                  <c:v>42401</c:v>
                </c:pt>
                <c:pt idx="261">
                  <c:v>42430</c:v>
                </c:pt>
                <c:pt idx="262">
                  <c:v>42461</c:v>
                </c:pt>
                <c:pt idx="263">
                  <c:v>42491</c:v>
                </c:pt>
              </c:numCache>
            </c:numRef>
          </c:cat>
          <c:val>
            <c:numRef>
              <c:f>'Tracking Diff'!$B$2:$B$265</c:f>
              <c:numCache>
                <c:formatCode>General</c:formatCode>
                <c:ptCount val="264"/>
                <c:pt idx="0">
                  <c:v>1.11105513279056</c:v>
                </c:pt>
                <c:pt idx="1">
                  <c:v>20.570073882168401</c:v>
                </c:pt>
                <c:pt idx="2">
                  <c:v>0.15474712440921601</c:v>
                </c:pt>
                <c:pt idx="3">
                  <c:v>7.5959541980285197</c:v>
                </c:pt>
                <c:pt idx="4">
                  <c:v>6.03596999289437</c:v>
                </c:pt>
                <c:pt idx="5">
                  <c:v>6.0766493994105097</c:v>
                </c:pt>
                <c:pt idx="6">
                  <c:v>5.4078252447346298</c:v>
                </c:pt>
                <c:pt idx="7">
                  <c:v>4.9789945581735298</c:v>
                </c:pt>
                <c:pt idx="8">
                  <c:v>5.0048593630525398</c:v>
                </c:pt>
                <c:pt idx="9">
                  <c:v>4.3062125179824902</c:v>
                </c:pt>
                <c:pt idx="10">
                  <c:v>4.0326649495890701</c:v>
                </c:pt>
                <c:pt idx="11">
                  <c:v>3.8047722492665601</c:v>
                </c:pt>
                <c:pt idx="12">
                  <c:v>4.9121940331703398</c:v>
                </c:pt>
                <c:pt idx="13">
                  <c:v>5.6015216280959601</c:v>
                </c:pt>
                <c:pt idx="14">
                  <c:v>7.1639027055870201</c:v>
                </c:pt>
                <c:pt idx="15">
                  <c:v>9.2889695860530299</c:v>
                </c:pt>
                <c:pt idx="16">
                  <c:v>10.639563492139899</c:v>
                </c:pt>
                <c:pt idx="17">
                  <c:v>10.3625662681374</c:v>
                </c:pt>
                <c:pt idx="18">
                  <c:v>8.8539646343534493</c:v>
                </c:pt>
                <c:pt idx="19">
                  <c:v>9.63548237310237</c:v>
                </c:pt>
                <c:pt idx="20">
                  <c:v>10.7529327580881</c:v>
                </c:pt>
                <c:pt idx="21">
                  <c:v>9.8464617179695608</c:v>
                </c:pt>
                <c:pt idx="22">
                  <c:v>12.7421067230184</c:v>
                </c:pt>
                <c:pt idx="23">
                  <c:v>16.117207844320099</c:v>
                </c:pt>
                <c:pt idx="24">
                  <c:v>12.9993367720629</c:v>
                </c:pt>
                <c:pt idx="25">
                  <c:v>11.100969976539901</c:v>
                </c:pt>
                <c:pt idx="26">
                  <c:v>8.9898089070087295</c:v>
                </c:pt>
                <c:pt idx="27">
                  <c:v>8.0968278170433905</c:v>
                </c:pt>
                <c:pt idx="28">
                  <c:v>7.10710218493361</c:v>
                </c:pt>
                <c:pt idx="29">
                  <c:v>6.9786185542796098</c:v>
                </c:pt>
                <c:pt idx="30">
                  <c:v>6.4562024561720097</c:v>
                </c:pt>
                <c:pt idx="31">
                  <c:v>6.8152340099278099</c:v>
                </c:pt>
                <c:pt idx="32">
                  <c:v>3.6821762178707002E-2</c:v>
                </c:pt>
                <c:pt idx="33">
                  <c:v>6.6086676064004601</c:v>
                </c:pt>
                <c:pt idx="34">
                  <c:v>8.11140459845031</c:v>
                </c:pt>
                <c:pt idx="35">
                  <c:v>7.6361355676803804</c:v>
                </c:pt>
                <c:pt idx="36">
                  <c:v>8.4284622690149895</c:v>
                </c:pt>
                <c:pt idx="37">
                  <c:v>8.71437817613673</c:v>
                </c:pt>
                <c:pt idx="38">
                  <c:v>10.6037434504565</c:v>
                </c:pt>
                <c:pt idx="39">
                  <c:v>11.090283727952301</c:v>
                </c:pt>
                <c:pt idx="40">
                  <c:v>10.994659376466499</c:v>
                </c:pt>
                <c:pt idx="41">
                  <c:v>13.2345873886141</c:v>
                </c:pt>
                <c:pt idx="42">
                  <c:v>12.4488683522677</c:v>
                </c:pt>
                <c:pt idx="43">
                  <c:v>12.8792138484032</c:v>
                </c:pt>
                <c:pt idx="44">
                  <c:v>24.3745196338587</c:v>
                </c:pt>
                <c:pt idx="45">
                  <c:v>30.0347958747723</c:v>
                </c:pt>
                <c:pt idx="46">
                  <c:v>29.347592137876202</c:v>
                </c:pt>
                <c:pt idx="47">
                  <c:v>23.962451531620101</c:v>
                </c:pt>
                <c:pt idx="48">
                  <c:v>19.833998400997</c:v>
                </c:pt>
                <c:pt idx="49">
                  <c:v>21.111392415489501</c:v>
                </c:pt>
                <c:pt idx="50">
                  <c:v>22.437816716755201</c:v>
                </c:pt>
                <c:pt idx="51">
                  <c:v>23.376162295261899</c:v>
                </c:pt>
                <c:pt idx="52">
                  <c:v>29.704249454960099</c:v>
                </c:pt>
                <c:pt idx="53">
                  <c:v>38.589312533147798</c:v>
                </c:pt>
                <c:pt idx="54">
                  <c:v>37.6120444067598</c:v>
                </c:pt>
                <c:pt idx="55">
                  <c:v>34.085486026828399</c:v>
                </c:pt>
                <c:pt idx="56">
                  <c:v>28.501022545635301</c:v>
                </c:pt>
                <c:pt idx="57">
                  <c:v>28.801700397175502</c:v>
                </c:pt>
                <c:pt idx="58">
                  <c:v>27.3983129084002</c:v>
                </c:pt>
                <c:pt idx="59">
                  <c:v>22.831805077513899</c:v>
                </c:pt>
                <c:pt idx="60">
                  <c:v>22.1937579694576</c:v>
                </c:pt>
                <c:pt idx="61">
                  <c:v>19.929520583576402</c:v>
                </c:pt>
                <c:pt idx="62">
                  <c:v>15.6452214648859</c:v>
                </c:pt>
                <c:pt idx="63">
                  <c:v>14.4633124629131</c:v>
                </c:pt>
                <c:pt idx="64">
                  <c:v>12.054525246273499</c:v>
                </c:pt>
                <c:pt idx="65">
                  <c:v>10.6436378906381</c:v>
                </c:pt>
                <c:pt idx="66">
                  <c:v>10.8328480807392</c:v>
                </c:pt>
                <c:pt idx="67">
                  <c:v>6.1889259650508697</c:v>
                </c:pt>
                <c:pt idx="68">
                  <c:v>5.4072558564406101</c:v>
                </c:pt>
                <c:pt idx="69">
                  <c:v>6.6734565578609901</c:v>
                </c:pt>
                <c:pt idx="70">
                  <c:v>7.7634002200866803</c:v>
                </c:pt>
                <c:pt idx="71">
                  <c:v>7.8789991124206598</c:v>
                </c:pt>
                <c:pt idx="72">
                  <c:v>9.5839642823332998</c:v>
                </c:pt>
                <c:pt idx="73">
                  <c:v>8.4499645724077102</c:v>
                </c:pt>
                <c:pt idx="74">
                  <c:v>8.4919151761688401</c:v>
                </c:pt>
                <c:pt idx="75">
                  <c:v>8.8447291440896691</c:v>
                </c:pt>
                <c:pt idx="76">
                  <c:v>7.6351978182788898</c:v>
                </c:pt>
                <c:pt idx="77">
                  <c:v>8.7529575084198008</c:v>
                </c:pt>
                <c:pt idx="78">
                  <c:v>8.2075237657884799</c:v>
                </c:pt>
                <c:pt idx="79">
                  <c:v>7.8494612643532298</c:v>
                </c:pt>
                <c:pt idx="80">
                  <c:v>15.3021074434602</c:v>
                </c:pt>
                <c:pt idx="81">
                  <c:v>21.282616987228799</c:v>
                </c:pt>
                <c:pt idx="82">
                  <c:v>23.517591796361</c:v>
                </c:pt>
                <c:pt idx="83">
                  <c:v>25.834465657697599</c:v>
                </c:pt>
                <c:pt idx="84">
                  <c:v>30.391439146683201</c:v>
                </c:pt>
                <c:pt idx="85">
                  <c:v>21.624616377179802</c:v>
                </c:pt>
                <c:pt idx="86">
                  <c:v>22.822261912164599</c:v>
                </c:pt>
                <c:pt idx="87">
                  <c:v>20.2467538210878</c:v>
                </c:pt>
                <c:pt idx="88">
                  <c:v>28.388000210335999</c:v>
                </c:pt>
                <c:pt idx="89">
                  <c:v>37.604620923063798</c:v>
                </c:pt>
                <c:pt idx="90">
                  <c:v>41.763486642603297</c:v>
                </c:pt>
                <c:pt idx="91">
                  <c:v>31.535574060429902</c:v>
                </c:pt>
                <c:pt idx="92">
                  <c:v>25.9661322928091</c:v>
                </c:pt>
                <c:pt idx="93">
                  <c:v>26.429955303662702</c:v>
                </c:pt>
                <c:pt idx="94">
                  <c:v>21.694598154331299</c:v>
                </c:pt>
                <c:pt idx="95">
                  <c:v>21.1424822592891</c:v>
                </c:pt>
                <c:pt idx="96">
                  <c:v>20.370409599976099</c:v>
                </c:pt>
                <c:pt idx="97">
                  <c:v>25.291392097302101</c:v>
                </c:pt>
                <c:pt idx="98">
                  <c:v>35.922969932508103</c:v>
                </c:pt>
                <c:pt idx="99">
                  <c:v>40.041490036883602</c:v>
                </c:pt>
                <c:pt idx="100">
                  <c:v>52.552158398879399</c:v>
                </c:pt>
                <c:pt idx="101">
                  <c:v>50.895527274612299</c:v>
                </c:pt>
                <c:pt idx="102">
                  <c:v>50.9312448517137</c:v>
                </c:pt>
                <c:pt idx="103">
                  <c:v>47.688100189547903</c:v>
                </c:pt>
                <c:pt idx="104">
                  <c:v>42.57842780715</c:v>
                </c:pt>
                <c:pt idx="105">
                  <c:v>46.067397345363602</c:v>
                </c:pt>
                <c:pt idx="106">
                  <c:v>53.292858130871203</c:v>
                </c:pt>
                <c:pt idx="107">
                  <c:v>50.741577032199103</c:v>
                </c:pt>
                <c:pt idx="108">
                  <c:v>55.098841384309502</c:v>
                </c:pt>
                <c:pt idx="109">
                  <c:v>67.942393425019404</c:v>
                </c:pt>
                <c:pt idx="110">
                  <c:v>60.3070230105793</c:v>
                </c:pt>
                <c:pt idx="111">
                  <c:v>44.184305901946097</c:v>
                </c:pt>
                <c:pt idx="112">
                  <c:v>31.338819289996501</c:v>
                </c:pt>
                <c:pt idx="113">
                  <c:v>25.264860243888101</c:v>
                </c:pt>
                <c:pt idx="114">
                  <c:v>23.5772031423258</c:v>
                </c:pt>
                <c:pt idx="115">
                  <c:v>17.344344300399101</c:v>
                </c:pt>
                <c:pt idx="116">
                  <c:v>23.297889106353299</c:v>
                </c:pt>
                <c:pt idx="117">
                  <c:v>31.109121082753099</c:v>
                </c:pt>
                <c:pt idx="118">
                  <c:v>38.574854436402198</c:v>
                </c:pt>
                <c:pt idx="119">
                  <c:v>29.229508551548498</c:v>
                </c:pt>
                <c:pt idx="120">
                  <c:v>20.204288711648999</c:v>
                </c:pt>
                <c:pt idx="121">
                  <c:v>16.225737656797602</c:v>
                </c:pt>
                <c:pt idx="122">
                  <c:v>16.025504509093199</c:v>
                </c:pt>
                <c:pt idx="123">
                  <c:v>16.685497683092901</c:v>
                </c:pt>
                <c:pt idx="124">
                  <c:v>17.0900052317213</c:v>
                </c:pt>
                <c:pt idx="125">
                  <c:v>19.225214416578002</c:v>
                </c:pt>
                <c:pt idx="126">
                  <c:v>19.721361251923799</c:v>
                </c:pt>
                <c:pt idx="127">
                  <c:v>13.3898151715584</c:v>
                </c:pt>
                <c:pt idx="128">
                  <c:v>14.4353058541954</c:v>
                </c:pt>
                <c:pt idx="129">
                  <c:v>21.398561487674598</c:v>
                </c:pt>
                <c:pt idx="130">
                  <c:v>16.5548682228853</c:v>
                </c:pt>
                <c:pt idx="131">
                  <c:v>16.920655708739702</c:v>
                </c:pt>
                <c:pt idx="132">
                  <c:v>19.398164804419899</c:v>
                </c:pt>
                <c:pt idx="133">
                  <c:v>21.431519589500301</c:v>
                </c:pt>
                <c:pt idx="134">
                  <c:v>22.779961949427399</c:v>
                </c:pt>
                <c:pt idx="135">
                  <c:v>18.089363629533999</c:v>
                </c:pt>
                <c:pt idx="136">
                  <c:v>16.4555794924492</c:v>
                </c:pt>
                <c:pt idx="137">
                  <c:v>14.856075144715801</c:v>
                </c:pt>
                <c:pt idx="138">
                  <c:v>12.6460990147998</c:v>
                </c:pt>
                <c:pt idx="139">
                  <c:v>9.0773826857004298</c:v>
                </c:pt>
                <c:pt idx="140">
                  <c:v>9.4171425868009297</c:v>
                </c:pt>
                <c:pt idx="141">
                  <c:v>12.099589944354401</c:v>
                </c:pt>
                <c:pt idx="142">
                  <c:v>10.3486324534062</c:v>
                </c:pt>
                <c:pt idx="143">
                  <c:v>11.1549007549999</c:v>
                </c:pt>
                <c:pt idx="144">
                  <c:v>10.937958874354299</c:v>
                </c:pt>
                <c:pt idx="145">
                  <c:v>9.9616482568265905</c:v>
                </c:pt>
                <c:pt idx="146">
                  <c:v>10.6833636301659</c:v>
                </c:pt>
                <c:pt idx="147">
                  <c:v>8.8187380682212009</c:v>
                </c:pt>
                <c:pt idx="148">
                  <c:v>10.6276578605666</c:v>
                </c:pt>
                <c:pt idx="149">
                  <c:v>10.511183482916101</c:v>
                </c:pt>
                <c:pt idx="150">
                  <c:v>11.1149576887368</c:v>
                </c:pt>
                <c:pt idx="151">
                  <c:v>10.418214251596201</c:v>
                </c:pt>
                <c:pt idx="152">
                  <c:v>9.1544448908847293</c:v>
                </c:pt>
                <c:pt idx="153">
                  <c:v>10.548975361328401</c:v>
                </c:pt>
                <c:pt idx="154">
                  <c:v>10.9916334074963</c:v>
                </c:pt>
                <c:pt idx="155">
                  <c:v>11.384068689540999</c:v>
                </c:pt>
                <c:pt idx="156">
                  <c:v>10.118567769342301</c:v>
                </c:pt>
                <c:pt idx="157">
                  <c:v>9.4954157934641703</c:v>
                </c:pt>
                <c:pt idx="158">
                  <c:v>9.0508888396475093</c:v>
                </c:pt>
                <c:pt idx="159">
                  <c:v>7.2133104693621002</c:v>
                </c:pt>
                <c:pt idx="160">
                  <c:v>8.6187241937954795</c:v>
                </c:pt>
                <c:pt idx="161">
                  <c:v>7.9669018600502097</c:v>
                </c:pt>
                <c:pt idx="162">
                  <c:v>7.9856045100217203</c:v>
                </c:pt>
                <c:pt idx="163">
                  <c:v>8.7842018394574595</c:v>
                </c:pt>
                <c:pt idx="164">
                  <c:v>15.1503276118159</c:v>
                </c:pt>
                <c:pt idx="165">
                  <c:v>13.97744054697</c:v>
                </c:pt>
                <c:pt idx="166">
                  <c:v>12.7966144431171</c:v>
                </c:pt>
                <c:pt idx="167">
                  <c:v>10.483962798496099</c:v>
                </c:pt>
                <c:pt idx="168">
                  <c:v>7.9950433007479296</c:v>
                </c:pt>
                <c:pt idx="169">
                  <c:v>7.4758775102737198</c:v>
                </c:pt>
                <c:pt idx="170">
                  <c:v>6.7868187873787704</c:v>
                </c:pt>
                <c:pt idx="171">
                  <c:v>6.5433334377789896</c:v>
                </c:pt>
                <c:pt idx="172">
                  <c:v>8.1754782670824095</c:v>
                </c:pt>
                <c:pt idx="173">
                  <c:v>6.2446894823830696</c:v>
                </c:pt>
                <c:pt idx="174">
                  <c:v>8.6089148405935294</c:v>
                </c:pt>
                <c:pt idx="175">
                  <c:v>17.622027433643201</c:v>
                </c:pt>
                <c:pt idx="176">
                  <c:v>25.579966433354599</c:v>
                </c:pt>
                <c:pt idx="177">
                  <c:v>25.277655818273299</c:v>
                </c:pt>
                <c:pt idx="178">
                  <c:v>25.357049775371799</c:v>
                </c:pt>
                <c:pt idx="179">
                  <c:v>26.3786457865329</c:v>
                </c:pt>
                <c:pt idx="180">
                  <c:v>26.546511479754599</c:v>
                </c:pt>
                <c:pt idx="181">
                  <c:v>20.982549168908001</c:v>
                </c:pt>
                <c:pt idx="182">
                  <c:v>14.7523778842039</c:v>
                </c:pt>
                <c:pt idx="183">
                  <c:v>13.352444110172501</c:v>
                </c:pt>
                <c:pt idx="184">
                  <c:v>14.633401123488399</c:v>
                </c:pt>
                <c:pt idx="185">
                  <c:v>16.137678234304101</c:v>
                </c:pt>
                <c:pt idx="186">
                  <c:v>19.201242888799602</c:v>
                </c:pt>
                <c:pt idx="187">
                  <c:v>15.093975843835899</c:v>
                </c:pt>
                <c:pt idx="188">
                  <c:v>47.366864263239897</c:v>
                </c:pt>
                <c:pt idx="189">
                  <c:v>19.830415239583001</c:v>
                </c:pt>
                <c:pt idx="190">
                  <c:v>18.878336995462401</c:v>
                </c:pt>
                <c:pt idx="191">
                  <c:v>15.8832194724953</c:v>
                </c:pt>
                <c:pt idx="192">
                  <c:v>18.9695517190411</c:v>
                </c:pt>
                <c:pt idx="193">
                  <c:v>20.830348646727298</c:v>
                </c:pt>
                <c:pt idx="194">
                  <c:v>26.908501087148402</c:v>
                </c:pt>
                <c:pt idx="195">
                  <c:v>29.0776293859278</c:v>
                </c:pt>
                <c:pt idx="196">
                  <c:v>29.786419208415399</c:v>
                </c:pt>
                <c:pt idx="197">
                  <c:v>31.493735343847298</c:v>
                </c:pt>
                <c:pt idx="198">
                  <c:v>29.860618700638799</c:v>
                </c:pt>
                <c:pt idx="199">
                  <c:v>22.649226353606799</c:v>
                </c:pt>
                <c:pt idx="200">
                  <c:v>19.938051223453598</c:v>
                </c:pt>
                <c:pt idx="201">
                  <c:v>16.204929280940402</c:v>
                </c:pt>
                <c:pt idx="202">
                  <c:v>14.0842815347604</c:v>
                </c:pt>
                <c:pt idx="203">
                  <c:v>13.251596693445499</c:v>
                </c:pt>
                <c:pt idx="204">
                  <c:v>14.835868089469001</c:v>
                </c:pt>
                <c:pt idx="205">
                  <c:v>15.7201644945763</c:v>
                </c:pt>
                <c:pt idx="206">
                  <c:v>17.4165617676219</c:v>
                </c:pt>
                <c:pt idx="207">
                  <c:v>20.684939049793801</c:v>
                </c:pt>
                <c:pt idx="208">
                  <c:v>24.1954043235936</c:v>
                </c:pt>
                <c:pt idx="209">
                  <c:v>24.5841972042689</c:v>
                </c:pt>
                <c:pt idx="210">
                  <c:v>23.9759194853807</c:v>
                </c:pt>
                <c:pt idx="211">
                  <c:v>22.475736529195501</c:v>
                </c:pt>
                <c:pt idx="212">
                  <c:v>25.4821873041363</c:v>
                </c:pt>
                <c:pt idx="213">
                  <c:v>28.224343083993901</c:v>
                </c:pt>
                <c:pt idx="214">
                  <c:v>26.525012674795001</c:v>
                </c:pt>
                <c:pt idx="215">
                  <c:v>28.465161156663498</c:v>
                </c:pt>
                <c:pt idx="216">
                  <c:v>28.330045002769499</c:v>
                </c:pt>
                <c:pt idx="217">
                  <c:v>29.057039303540101</c:v>
                </c:pt>
                <c:pt idx="218">
                  <c:v>31.556061933135702</c:v>
                </c:pt>
                <c:pt idx="219">
                  <c:v>30.415263341526199</c:v>
                </c:pt>
                <c:pt idx="220">
                  <c:v>31.385183354302299</c:v>
                </c:pt>
                <c:pt idx="221">
                  <c:v>28.3480712318364</c:v>
                </c:pt>
                <c:pt idx="222">
                  <c:v>29.0327585299109</c:v>
                </c:pt>
                <c:pt idx="223">
                  <c:v>28.3647228801984</c:v>
                </c:pt>
                <c:pt idx="224">
                  <c:v>24.4194632929498</c:v>
                </c:pt>
                <c:pt idx="225">
                  <c:v>24.7437170916259</c:v>
                </c:pt>
                <c:pt idx="226">
                  <c:v>24.482491360354299</c:v>
                </c:pt>
                <c:pt idx="227">
                  <c:v>24.4509818666243</c:v>
                </c:pt>
                <c:pt idx="228">
                  <c:v>21.970737191787801</c:v>
                </c:pt>
                <c:pt idx="229">
                  <c:v>21.5977467144637</c:v>
                </c:pt>
                <c:pt idx="230">
                  <c:v>17.841832928837</c:v>
                </c:pt>
                <c:pt idx="231">
                  <c:v>13.6935468444513</c:v>
                </c:pt>
                <c:pt idx="232">
                  <c:v>13.260796021206099</c:v>
                </c:pt>
                <c:pt idx="233">
                  <c:v>11.3293786749852</c:v>
                </c:pt>
                <c:pt idx="234">
                  <c:v>12.134285328902999</c:v>
                </c:pt>
                <c:pt idx="235">
                  <c:v>9.1067013817874791</c:v>
                </c:pt>
                <c:pt idx="236">
                  <c:v>8.7157401384485507</c:v>
                </c:pt>
                <c:pt idx="237">
                  <c:v>10.1527557282646</c:v>
                </c:pt>
                <c:pt idx="238">
                  <c:v>10.5906386173664</c:v>
                </c:pt>
                <c:pt idx="239">
                  <c:v>10.9494764031292</c:v>
                </c:pt>
                <c:pt idx="240">
                  <c:v>11.827224743078499</c:v>
                </c:pt>
                <c:pt idx="241">
                  <c:v>12.1959646631651</c:v>
                </c:pt>
                <c:pt idx="242">
                  <c:v>11.0655117060712</c:v>
                </c:pt>
                <c:pt idx="243">
                  <c:v>10.716096996307799</c:v>
                </c:pt>
                <c:pt idx="244">
                  <c:v>11.809790632018499</c:v>
                </c:pt>
                <c:pt idx="245">
                  <c:v>10.895506707179401</c:v>
                </c:pt>
                <c:pt idx="246">
                  <c:v>12.573374123271099</c:v>
                </c:pt>
                <c:pt idx="247">
                  <c:v>10.756660889944101</c:v>
                </c:pt>
                <c:pt idx="248">
                  <c:v>13.2572752792854</c:v>
                </c:pt>
                <c:pt idx="249">
                  <c:v>17.179443787985399</c:v>
                </c:pt>
                <c:pt idx="250">
                  <c:v>14.382555908163701</c:v>
                </c:pt>
                <c:pt idx="251">
                  <c:v>14.2920358112074</c:v>
                </c:pt>
                <c:pt idx="252">
                  <c:v>14.9460965079003</c:v>
                </c:pt>
                <c:pt idx="253">
                  <c:v>13.6668338148167</c:v>
                </c:pt>
                <c:pt idx="254">
                  <c:v>11.825353781302301</c:v>
                </c:pt>
                <c:pt idx="255">
                  <c:v>11.3793767617829</c:v>
                </c:pt>
                <c:pt idx="256">
                  <c:v>11.767170342965199</c:v>
                </c:pt>
                <c:pt idx="257">
                  <c:v>10.2957518862206</c:v>
                </c:pt>
                <c:pt idx="258">
                  <c:v>11.441913727879101</c:v>
                </c:pt>
                <c:pt idx="259">
                  <c:v>9.2480469241449903</c:v>
                </c:pt>
                <c:pt idx="260">
                  <c:v>9.8885480825268992</c:v>
                </c:pt>
                <c:pt idx="261">
                  <c:v>14.127918005719399</c:v>
                </c:pt>
                <c:pt idx="262">
                  <c:v>13.5152102536107</c:v>
                </c:pt>
                <c:pt idx="263">
                  <c:v>14.382712153761799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'Tracking Diff'!$C$1</c:f>
              <c:strCache>
                <c:ptCount val="1"/>
                <c:pt idx="0">
                  <c:v>mdl</c:v>
                </c:pt>
              </c:strCache>
            </c:strRef>
          </c:tx>
          <c:marker>
            <c:symbol val="none"/>
          </c:marker>
          <c:cat>
            <c:numRef>
              <c:f>'Tracking Diff'!$A$2:$A$265</c:f>
              <c:numCache>
                <c:formatCode>m/d/yyyy</c:formatCode>
                <c:ptCount val="264"/>
                <c:pt idx="0">
                  <c:v>34335</c:v>
                </c:pt>
                <c:pt idx="1">
                  <c:v>34394</c:v>
                </c:pt>
                <c:pt idx="2">
                  <c:v>34486</c:v>
                </c:pt>
                <c:pt idx="3">
                  <c:v>34516</c:v>
                </c:pt>
                <c:pt idx="4">
                  <c:v>34547</c:v>
                </c:pt>
                <c:pt idx="5">
                  <c:v>34578</c:v>
                </c:pt>
                <c:pt idx="6">
                  <c:v>34608</c:v>
                </c:pt>
                <c:pt idx="7">
                  <c:v>34639</c:v>
                </c:pt>
                <c:pt idx="8">
                  <c:v>34669</c:v>
                </c:pt>
                <c:pt idx="9">
                  <c:v>34700</c:v>
                </c:pt>
                <c:pt idx="10">
                  <c:v>34731</c:v>
                </c:pt>
                <c:pt idx="11">
                  <c:v>34759</c:v>
                </c:pt>
                <c:pt idx="12">
                  <c:v>34790</c:v>
                </c:pt>
                <c:pt idx="13">
                  <c:v>34820</c:v>
                </c:pt>
                <c:pt idx="14">
                  <c:v>34851</c:v>
                </c:pt>
                <c:pt idx="15">
                  <c:v>34881</c:v>
                </c:pt>
                <c:pt idx="16">
                  <c:v>34912</c:v>
                </c:pt>
                <c:pt idx="17">
                  <c:v>34943</c:v>
                </c:pt>
                <c:pt idx="18">
                  <c:v>34973</c:v>
                </c:pt>
                <c:pt idx="19">
                  <c:v>35004</c:v>
                </c:pt>
                <c:pt idx="20">
                  <c:v>35034</c:v>
                </c:pt>
                <c:pt idx="21">
                  <c:v>35065</c:v>
                </c:pt>
                <c:pt idx="22">
                  <c:v>35096</c:v>
                </c:pt>
                <c:pt idx="23">
                  <c:v>35125</c:v>
                </c:pt>
                <c:pt idx="24">
                  <c:v>35156</c:v>
                </c:pt>
                <c:pt idx="25">
                  <c:v>35186</c:v>
                </c:pt>
                <c:pt idx="26">
                  <c:v>35217</c:v>
                </c:pt>
                <c:pt idx="27">
                  <c:v>35247</c:v>
                </c:pt>
                <c:pt idx="28">
                  <c:v>35278</c:v>
                </c:pt>
                <c:pt idx="29">
                  <c:v>35309</c:v>
                </c:pt>
                <c:pt idx="30">
                  <c:v>35339</c:v>
                </c:pt>
                <c:pt idx="31">
                  <c:v>35370</c:v>
                </c:pt>
                <c:pt idx="32">
                  <c:v>35462</c:v>
                </c:pt>
                <c:pt idx="33">
                  <c:v>35490</c:v>
                </c:pt>
                <c:pt idx="34">
                  <c:v>35521</c:v>
                </c:pt>
                <c:pt idx="35">
                  <c:v>35551</c:v>
                </c:pt>
                <c:pt idx="36">
                  <c:v>35582</c:v>
                </c:pt>
                <c:pt idx="37">
                  <c:v>35612</c:v>
                </c:pt>
                <c:pt idx="38">
                  <c:v>35643</c:v>
                </c:pt>
                <c:pt idx="39">
                  <c:v>35674</c:v>
                </c:pt>
                <c:pt idx="40">
                  <c:v>35704</c:v>
                </c:pt>
                <c:pt idx="41">
                  <c:v>35735</c:v>
                </c:pt>
                <c:pt idx="42">
                  <c:v>35765</c:v>
                </c:pt>
                <c:pt idx="43">
                  <c:v>35796</c:v>
                </c:pt>
                <c:pt idx="44">
                  <c:v>35827</c:v>
                </c:pt>
                <c:pt idx="45">
                  <c:v>35855</c:v>
                </c:pt>
                <c:pt idx="46">
                  <c:v>35886</c:v>
                </c:pt>
                <c:pt idx="47">
                  <c:v>35916</c:v>
                </c:pt>
                <c:pt idx="48">
                  <c:v>35947</c:v>
                </c:pt>
                <c:pt idx="49">
                  <c:v>35977</c:v>
                </c:pt>
                <c:pt idx="50">
                  <c:v>36008</c:v>
                </c:pt>
                <c:pt idx="51">
                  <c:v>36039</c:v>
                </c:pt>
                <c:pt idx="52">
                  <c:v>36069</c:v>
                </c:pt>
                <c:pt idx="53">
                  <c:v>36100</c:v>
                </c:pt>
                <c:pt idx="54">
                  <c:v>36130</c:v>
                </c:pt>
                <c:pt idx="55">
                  <c:v>36161</c:v>
                </c:pt>
                <c:pt idx="56">
                  <c:v>36192</c:v>
                </c:pt>
                <c:pt idx="57">
                  <c:v>36220</c:v>
                </c:pt>
                <c:pt idx="58">
                  <c:v>36251</c:v>
                </c:pt>
                <c:pt idx="59">
                  <c:v>36281</c:v>
                </c:pt>
                <c:pt idx="60">
                  <c:v>36312</c:v>
                </c:pt>
                <c:pt idx="61">
                  <c:v>36342</c:v>
                </c:pt>
                <c:pt idx="62">
                  <c:v>36373</c:v>
                </c:pt>
                <c:pt idx="63">
                  <c:v>36404</c:v>
                </c:pt>
                <c:pt idx="64">
                  <c:v>36434</c:v>
                </c:pt>
                <c:pt idx="65">
                  <c:v>36465</c:v>
                </c:pt>
                <c:pt idx="66">
                  <c:v>36495</c:v>
                </c:pt>
                <c:pt idx="67">
                  <c:v>36526</c:v>
                </c:pt>
                <c:pt idx="68">
                  <c:v>36557</c:v>
                </c:pt>
                <c:pt idx="69">
                  <c:v>36586</c:v>
                </c:pt>
                <c:pt idx="70">
                  <c:v>36617</c:v>
                </c:pt>
                <c:pt idx="71">
                  <c:v>36647</c:v>
                </c:pt>
                <c:pt idx="72">
                  <c:v>36678</c:v>
                </c:pt>
                <c:pt idx="73">
                  <c:v>36708</c:v>
                </c:pt>
                <c:pt idx="74">
                  <c:v>36739</c:v>
                </c:pt>
                <c:pt idx="75">
                  <c:v>36770</c:v>
                </c:pt>
                <c:pt idx="76">
                  <c:v>36800</c:v>
                </c:pt>
                <c:pt idx="77">
                  <c:v>36831</c:v>
                </c:pt>
                <c:pt idx="78">
                  <c:v>36861</c:v>
                </c:pt>
                <c:pt idx="79">
                  <c:v>36892</c:v>
                </c:pt>
                <c:pt idx="80">
                  <c:v>36923</c:v>
                </c:pt>
                <c:pt idx="81">
                  <c:v>36951</c:v>
                </c:pt>
                <c:pt idx="82">
                  <c:v>36982</c:v>
                </c:pt>
                <c:pt idx="83">
                  <c:v>37012</c:v>
                </c:pt>
                <c:pt idx="84">
                  <c:v>37043</c:v>
                </c:pt>
                <c:pt idx="85">
                  <c:v>37073</c:v>
                </c:pt>
                <c:pt idx="86">
                  <c:v>37104</c:v>
                </c:pt>
                <c:pt idx="87">
                  <c:v>37135</c:v>
                </c:pt>
                <c:pt idx="88">
                  <c:v>37165</c:v>
                </c:pt>
                <c:pt idx="89">
                  <c:v>37196</c:v>
                </c:pt>
                <c:pt idx="90">
                  <c:v>37226</c:v>
                </c:pt>
                <c:pt idx="91">
                  <c:v>37257</c:v>
                </c:pt>
                <c:pt idx="92">
                  <c:v>37288</c:v>
                </c:pt>
                <c:pt idx="93">
                  <c:v>37316</c:v>
                </c:pt>
                <c:pt idx="94">
                  <c:v>37347</c:v>
                </c:pt>
                <c:pt idx="95">
                  <c:v>37377</c:v>
                </c:pt>
                <c:pt idx="96">
                  <c:v>37408</c:v>
                </c:pt>
                <c:pt idx="97">
                  <c:v>37438</c:v>
                </c:pt>
                <c:pt idx="98">
                  <c:v>37469</c:v>
                </c:pt>
                <c:pt idx="99">
                  <c:v>37500</c:v>
                </c:pt>
                <c:pt idx="100">
                  <c:v>37530</c:v>
                </c:pt>
                <c:pt idx="101">
                  <c:v>37561</c:v>
                </c:pt>
                <c:pt idx="102">
                  <c:v>37591</c:v>
                </c:pt>
                <c:pt idx="103">
                  <c:v>37622</c:v>
                </c:pt>
                <c:pt idx="104">
                  <c:v>37653</c:v>
                </c:pt>
                <c:pt idx="105">
                  <c:v>37681</c:v>
                </c:pt>
                <c:pt idx="106">
                  <c:v>37712</c:v>
                </c:pt>
                <c:pt idx="107">
                  <c:v>37742</c:v>
                </c:pt>
                <c:pt idx="108">
                  <c:v>37773</c:v>
                </c:pt>
                <c:pt idx="109">
                  <c:v>37803</c:v>
                </c:pt>
                <c:pt idx="110">
                  <c:v>37834</c:v>
                </c:pt>
                <c:pt idx="111">
                  <c:v>37865</c:v>
                </c:pt>
                <c:pt idx="112">
                  <c:v>37895</c:v>
                </c:pt>
                <c:pt idx="113">
                  <c:v>37926</c:v>
                </c:pt>
                <c:pt idx="114">
                  <c:v>37956</c:v>
                </c:pt>
                <c:pt idx="115">
                  <c:v>37987</c:v>
                </c:pt>
                <c:pt idx="116">
                  <c:v>38018</c:v>
                </c:pt>
                <c:pt idx="117">
                  <c:v>38047</c:v>
                </c:pt>
                <c:pt idx="118">
                  <c:v>38078</c:v>
                </c:pt>
                <c:pt idx="119">
                  <c:v>38108</c:v>
                </c:pt>
                <c:pt idx="120">
                  <c:v>38139</c:v>
                </c:pt>
                <c:pt idx="121">
                  <c:v>38169</c:v>
                </c:pt>
                <c:pt idx="122">
                  <c:v>38200</c:v>
                </c:pt>
                <c:pt idx="123">
                  <c:v>38231</c:v>
                </c:pt>
                <c:pt idx="124">
                  <c:v>38261</c:v>
                </c:pt>
                <c:pt idx="125">
                  <c:v>38292</c:v>
                </c:pt>
                <c:pt idx="126">
                  <c:v>38322</c:v>
                </c:pt>
                <c:pt idx="127">
                  <c:v>38353</c:v>
                </c:pt>
                <c:pt idx="128">
                  <c:v>38384</c:v>
                </c:pt>
                <c:pt idx="129">
                  <c:v>38412</c:v>
                </c:pt>
                <c:pt idx="130">
                  <c:v>38443</c:v>
                </c:pt>
                <c:pt idx="131">
                  <c:v>38473</c:v>
                </c:pt>
                <c:pt idx="132">
                  <c:v>38504</c:v>
                </c:pt>
                <c:pt idx="133">
                  <c:v>38534</c:v>
                </c:pt>
                <c:pt idx="134">
                  <c:v>38565</c:v>
                </c:pt>
                <c:pt idx="135">
                  <c:v>38596</c:v>
                </c:pt>
                <c:pt idx="136">
                  <c:v>38626</c:v>
                </c:pt>
                <c:pt idx="137">
                  <c:v>38657</c:v>
                </c:pt>
                <c:pt idx="138">
                  <c:v>38687</c:v>
                </c:pt>
                <c:pt idx="139">
                  <c:v>38718</c:v>
                </c:pt>
                <c:pt idx="140">
                  <c:v>38749</c:v>
                </c:pt>
                <c:pt idx="141">
                  <c:v>38777</c:v>
                </c:pt>
                <c:pt idx="142">
                  <c:v>38808</c:v>
                </c:pt>
                <c:pt idx="143">
                  <c:v>38838</c:v>
                </c:pt>
                <c:pt idx="144">
                  <c:v>38869</c:v>
                </c:pt>
                <c:pt idx="145">
                  <c:v>38899</c:v>
                </c:pt>
                <c:pt idx="146">
                  <c:v>38930</c:v>
                </c:pt>
                <c:pt idx="147">
                  <c:v>38961</c:v>
                </c:pt>
                <c:pt idx="148">
                  <c:v>38991</c:v>
                </c:pt>
                <c:pt idx="149">
                  <c:v>39022</c:v>
                </c:pt>
                <c:pt idx="150">
                  <c:v>39052</c:v>
                </c:pt>
                <c:pt idx="151">
                  <c:v>39083</c:v>
                </c:pt>
                <c:pt idx="152">
                  <c:v>39114</c:v>
                </c:pt>
                <c:pt idx="153">
                  <c:v>39142</c:v>
                </c:pt>
                <c:pt idx="154">
                  <c:v>39173</c:v>
                </c:pt>
                <c:pt idx="155">
                  <c:v>39203</c:v>
                </c:pt>
                <c:pt idx="156">
                  <c:v>39234</c:v>
                </c:pt>
                <c:pt idx="157">
                  <c:v>39264</c:v>
                </c:pt>
                <c:pt idx="158">
                  <c:v>39295</c:v>
                </c:pt>
                <c:pt idx="159">
                  <c:v>39326</c:v>
                </c:pt>
                <c:pt idx="160">
                  <c:v>39356</c:v>
                </c:pt>
                <c:pt idx="161">
                  <c:v>39387</c:v>
                </c:pt>
                <c:pt idx="162">
                  <c:v>39417</c:v>
                </c:pt>
                <c:pt idx="163">
                  <c:v>39448</c:v>
                </c:pt>
                <c:pt idx="164">
                  <c:v>39479</c:v>
                </c:pt>
                <c:pt idx="165">
                  <c:v>39508</c:v>
                </c:pt>
                <c:pt idx="166">
                  <c:v>39539</c:v>
                </c:pt>
                <c:pt idx="167">
                  <c:v>39569</c:v>
                </c:pt>
                <c:pt idx="168">
                  <c:v>39600</c:v>
                </c:pt>
                <c:pt idx="169">
                  <c:v>39630</c:v>
                </c:pt>
                <c:pt idx="170">
                  <c:v>39661</c:v>
                </c:pt>
                <c:pt idx="171">
                  <c:v>39692</c:v>
                </c:pt>
                <c:pt idx="172">
                  <c:v>39722</c:v>
                </c:pt>
                <c:pt idx="173">
                  <c:v>39753</c:v>
                </c:pt>
                <c:pt idx="174">
                  <c:v>39783</c:v>
                </c:pt>
                <c:pt idx="175">
                  <c:v>39814</c:v>
                </c:pt>
                <c:pt idx="176">
                  <c:v>39845</c:v>
                </c:pt>
                <c:pt idx="177">
                  <c:v>39873</c:v>
                </c:pt>
                <c:pt idx="178">
                  <c:v>39904</c:v>
                </c:pt>
                <c:pt idx="179">
                  <c:v>39934</c:v>
                </c:pt>
                <c:pt idx="180">
                  <c:v>39965</c:v>
                </c:pt>
                <c:pt idx="181">
                  <c:v>39995</c:v>
                </c:pt>
                <c:pt idx="182">
                  <c:v>40026</c:v>
                </c:pt>
                <c:pt idx="183">
                  <c:v>40057</c:v>
                </c:pt>
                <c:pt idx="184">
                  <c:v>40087</c:v>
                </c:pt>
                <c:pt idx="185">
                  <c:v>40118</c:v>
                </c:pt>
                <c:pt idx="186">
                  <c:v>40148</c:v>
                </c:pt>
                <c:pt idx="187">
                  <c:v>40179</c:v>
                </c:pt>
                <c:pt idx="188">
                  <c:v>40210</c:v>
                </c:pt>
                <c:pt idx="189">
                  <c:v>40238</c:v>
                </c:pt>
                <c:pt idx="190">
                  <c:v>40269</c:v>
                </c:pt>
                <c:pt idx="191">
                  <c:v>40299</c:v>
                </c:pt>
                <c:pt idx="192">
                  <c:v>40330</c:v>
                </c:pt>
                <c:pt idx="193">
                  <c:v>40360</c:v>
                </c:pt>
                <c:pt idx="194">
                  <c:v>40391</c:v>
                </c:pt>
                <c:pt idx="195">
                  <c:v>40422</c:v>
                </c:pt>
                <c:pt idx="196">
                  <c:v>40452</c:v>
                </c:pt>
                <c:pt idx="197">
                  <c:v>40483</c:v>
                </c:pt>
                <c:pt idx="198">
                  <c:v>40513</c:v>
                </c:pt>
                <c:pt idx="199">
                  <c:v>40544</c:v>
                </c:pt>
                <c:pt idx="200">
                  <c:v>40575</c:v>
                </c:pt>
                <c:pt idx="201">
                  <c:v>40603</c:v>
                </c:pt>
                <c:pt idx="202">
                  <c:v>40634</c:v>
                </c:pt>
                <c:pt idx="203">
                  <c:v>40664</c:v>
                </c:pt>
                <c:pt idx="204">
                  <c:v>40695</c:v>
                </c:pt>
                <c:pt idx="205">
                  <c:v>40725</c:v>
                </c:pt>
                <c:pt idx="206">
                  <c:v>40756</c:v>
                </c:pt>
                <c:pt idx="207">
                  <c:v>40787</c:v>
                </c:pt>
                <c:pt idx="208">
                  <c:v>40817</c:v>
                </c:pt>
                <c:pt idx="209">
                  <c:v>40848</c:v>
                </c:pt>
                <c:pt idx="210">
                  <c:v>40878</c:v>
                </c:pt>
                <c:pt idx="211">
                  <c:v>40909</c:v>
                </c:pt>
                <c:pt idx="212">
                  <c:v>40940</c:v>
                </c:pt>
                <c:pt idx="213">
                  <c:v>40969</c:v>
                </c:pt>
                <c:pt idx="214">
                  <c:v>41000</c:v>
                </c:pt>
                <c:pt idx="215">
                  <c:v>41030</c:v>
                </c:pt>
                <c:pt idx="216">
                  <c:v>41061</c:v>
                </c:pt>
                <c:pt idx="217">
                  <c:v>41091</c:v>
                </c:pt>
                <c:pt idx="218">
                  <c:v>41122</c:v>
                </c:pt>
                <c:pt idx="219">
                  <c:v>41153</c:v>
                </c:pt>
                <c:pt idx="220">
                  <c:v>41183</c:v>
                </c:pt>
                <c:pt idx="221">
                  <c:v>41214</c:v>
                </c:pt>
                <c:pt idx="222">
                  <c:v>41244</c:v>
                </c:pt>
                <c:pt idx="223">
                  <c:v>41275</c:v>
                </c:pt>
                <c:pt idx="224">
                  <c:v>41306</c:v>
                </c:pt>
                <c:pt idx="225">
                  <c:v>41334</c:v>
                </c:pt>
                <c:pt idx="226">
                  <c:v>41365</c:v>
                </c:pt>
                <c:pt idx="227">
                  <c:v>41395</c:v>
                </c:pt>
                <c:pt idx="228">
                  <c:v>41426</c:v>
                </c:pt>
                <c:pt idx="229">
                  <c:v>41456</c:v>
                </c:pt>
                <c:pt idx="230">
                  <c:v>41487</c:v>
                </c:pt>
                <c:pt idx="231">
                  <c:v>41518</c:v>
                </c:pt>
                <c:pt idx="232">
                  <c:v>41548</c:v>
                </c:pt>
                <c:pt idx="233">
                  <c:v>41579</c:v>
                </c:pt>
                <c:pt idx="234">
                  <c:v>41609</c:v>
                </c:pt>
                <c:pt idx="235">
                  <c:v>41640</c:v>
                </c:pt>
                <c:pt idx="236">
                  <c:v>41671</c:v>
                </c:pt>
                <c:pt idx="237">
                  <c:v>41699</c:v>
                </c:pt>
                <c:pt idx="238">
                  <c:v>41730</c:v>
                </c:pt>
                <c:pt idx="239">
                  <c:v>41760</c:v>
                </c:pt>
                <c:pt idx="240">
                  <c:v>41791</c:v>
                </c:pt>
                <c:pt idx="241">
                  <c:v>41821</c:v>
                </c:pt>
                <c:pt idx="242">
                  <c:v>41852</c:v>
                </c:pt>
                <c:pt idx="243">
                  <c:v>41883</c:v>
                </c:pt>
                <c:pt idx="244">
                  <c:v>41913</c:v>
                </c:pt>
                <c:pt idx="245">
                  <c:v>41944</c:v>
                </c:pt>
                <c:pt idx="246">
                  <c:v>41974</c:v>
                </c:pt>
                <c:pt idx="247">
                  <c:v>42005</c:v>
                </c:pt>
                <c:pt idx="248">
                  <c:v>42036</c:v>
                </c:pt>
                <c:pt idx="249">
                  <c:v>42064</c:v>
                </c:pt>
                <c:pt idx="250">
                  <c:v>42095</c:v>
                </c:pt>
                <c:pt idx="251">
                  <c:v>42125</c:v>
                </c:pt>
                <c:pt idx="252">
                  <c:v>42156</c:v>
                </c:pt>
                <c:pt idx="253">
                  <c:v>42186</c:v>
                </c:pt>
                <c:pt idx="254">
                  <c:v>42217</c:v>
                </c:pt>
                <c:pt idx="255">
                  <c:v>42248</c:v>
                </c:pt>
                <c:pt idx="256">
                  <c:v>42278</c:v>
                </c:pt>
                <c:pt idx="257">
                  <c:v>42309</c:v>
                </c:pt>
                <c:pt idx="258">
                  <c:v>42339</c:v>
                </c:pt>
                <c:pt idx="259">
                  <c:v>42370</c:v>
                </c:pt>
                <c:pt idx="260">
                  <c:v>42401</c:v>
                </c:pt>
                <c:pt idx="261">
                  <c:v>42430</c:v>
                </c:pt>
                <c:pt idx="262">
                  <c:v>42461</c:v>
                </c:pt>
                <c:pt idx="263">
                  <c:v>42491</c:v>
                </c:pt>
              </c:numCache>
            </c:numRef>
          </c:cat>
          <c:val>
            <c:numRef>
              <c:f>'Tracking Diff'!$C$2:$C$265</c:f>
              <c:numCache>
                <c:formatCode>General</c:formatCode>
                <c:ptCount val="264"/>
                <c:pt idx="0">
                  <c:v>2.5861818087972899</c:v>
                </c:pt>
                <c:pt idx="1">
                  <c:v>23.125858859448599</c:v>
                </c:pt>
                <c:pt idx="2">
                  <c:v>2.2872660682874999</c:v>
                </c:pt>
                <c:pt idx="3">
                  <c:v>7.4836535442185301</c:v>
                </c:pt>
                <c:pt idx="4">
                  <c:v>6.9729925715461398</c:v>
                </c:pt>
                <c:pt idx="5">
                  <c:v>6.5950601225997003</c:v>
                </c:pt>
                <c:pt idx="6">
                  <c:v>6.2497951008792301</c:v>
                </c:pt>
                <c:pt idx="7">
                  <c:v>5.2293702068242096</c:v>
                </c:pt>
                <c:pt idx="8">
                  <c:v>4.8477625370617199</c:v>
                </c:pt>
                <c:pt idx="9">
                  <c:v>4.00888743496348</c:v>
                </c:pt>
                <c:pt idx="10">
                  <c:v>4.2915020502580399</c:v>
                </c:pt>
                <c:pt idx="11">
                  <c:v>5.9622964325824697</c:v>
                </c:pt>
                <c:pt idx="12">
                  <c:v>7.7785937334289397</c:v>
                </c:pt>
                <c:pt idx="13">
                  <c:v>8.81959877959709</c:v>
                </c:pt>
                <c:pt idx="14">
                  <c:v>12.117521409225001</c:v>
                </c:pt>
                <c:pt idx="15">
                  <c:v>17.390656363095299</c:v>
                </c:pt>
                <c:pt idx="16">
                  <c:v>16.978832555084701</c:v>
                </c:pt>
                <c:pt idx="17">
                  <c:v>12.2875093461933</c:v>
                </c:pt>
                <c:pt idx="18">
                  <c:v>15.256750670258899</c:v>
                </c:pt>
                <c:pt idx="19">
                  <c:v>17.103157529003401</c:v>
                </c:pt>
                <c:pt idx="20">
                  <c:v>19.031999961699398</c:v>
                </c:pt>
                <c:pt idx="21">
                  <c:v>24.523076141040399</c:v>
                </c:pt>
                <c:pt idx="22">
                  <c:v>28.4588654087427</c:v>
                </c:pt>
                <c:pt idx="23">
                  <c:v>25.024897701209198</c:v>
                </c:pt>
                <c:pt idx="24">
                  <c:v>12.6708990187163</c:v>
                </c:pt>
                <c:pt idx="25">
                  <c:v>10.608272249227999</c:v>
                </c:pt>
                <c:pt idx="26">
                  <c:v>10.201599014415001</c:v>
                </c:pt>
                <c:pt idx="27">
                  <c:v>8.6979119592353893</c:v>
                </c:pt>
                <c:pt idx="28">
                  <c:v>8.7815781431941193</c:v>
                </c:pt>
                <c:pt idx="29">
                  <c:v>9.3255045844470494</c:v>
                </c:pt>
                <c:pt idx="30">
                  <c:v>8.2073806025700105</c:v>
                </c:pt>
                <c:pt idx="31">
                  <c:v>9.8450496943559607</c:v>
                </c:pt>
                <c:pt idx="32">
                  <c:v>3.12352438937054</c:v>
                </c:pt>
                <c:pt idx="33">
                  <c:v>13.0941626953911</c:v>
                </c:pt>
                <c:pt idx="34">
                  <c:v>10.8616797908078</c:v>
                </c:pt>
                <c:pt idx="35">
                  <c:v>9.7768823665811002</c:v>
                </c:pt>
                <c:pt idx="36">
                  <c:v>11.6125317012569</c:v>
                </c:pt>
                <c:pt idx="37">
                  <c:v>13.6282709516198</c:v>
                </c:pt>
                <c:pt idx="38">
                  <c:v>17.537274371453499</c:v>
                </c:pt>
                <c:pt idx="39">
                  <c:v>15.925652198086199</c:v>
                </c:pt>
                <c:pt idx="40">
                  <c:v>16.6665441650179</c:v>
                </c:pt>
                <c:pt idx="41">
                  <c:v>19.249301838362001</c:v>
                </c:pt>
                <c:pt idx="42">
                  <c:v>22.440256634657601</c:v>
                </c:pt>
                <c:pt idx="43">
                  <c:v>24.753393444661299</c:v>
                </c:pt>
                <c:pt idx="44">
                  <c:v>33.3532647412081</c:v>
                </c:pt>
                <c:pt idx="45">
                  <c:v>32.492281758188398</c:v>
                </c:pt>
                <c:pt idx="46">
                  <c:v>28.150969950836799</c:v>
                </c:pt>
                <c:pt idx="47">
                  <c:v>27.220177547758801</c:v>
                </c:pt>
                <c:pt idx="48">
                  <c:v>27.962091571591799</c:v>
                </c:pt>
                <c:pt idx="49">
                  <c:v>33.3159909194842</c:v>
                </c:pt>
                <c:pt idx="50">
                  <c:v>33.814703163140301</c:v>
                </c:pt>
                <c:pt idx="51">
                  <c:v>33.424778210947999</c:v>
                </c:pt>
                <c:pt idx="52">
                  <c:v>43.390071058697998</c:v>
                </c:pt>
                <c:pt idx="53">
                  <c:v>42.529590033763</c:v>
                </c:pt>
                <c:pt idx="54">
                  <c:v>32.718149625743003</c:v>
                </c:pt>
                <c:pt idx="55">
                  <c:v>35.351010338860704</c:v>
                </c:pt>
                <c:pt idx="56">
                  <c:v>32.319163426987302</c:v>
                </c:pt>
                <c:pt idx="57">
                  <c:v>30.820921335093001</c:v>
                </c:pt>
                <c:pt idx="58">
                  <c:v>23.044321560206001</c:v>
                </c:pt>
                <c:pt idx="59">
                  <c:v>26.553005429270801</c:v>
                </c:pt>
                <c:pt idx="60">
                  <c:v>19.731957281107501</c:v>
                </c:pt>
                <c:pt idx="61">
                  <c:v>14.794900033989199</c:v>
                </c:pt>
                <c:pt idx="62">
                  <c:v>14.3159481673329</c:v>
                </c:pt>
                <c:pt idx="63">
                  <c:v>11.7921073794625</c:v>
                </c:pt>
                <c:pt idx="64">
                  <c:v>12.5108503183958</c:v>
                </c:pt>
                <c:pt idx="65">
                  <c:v>11.2736647959719</c:v>
                </c:pt>
                <c:pt idx="66">
                  <c:v>12.330630604133701</c:v>
                </c:pt>
                <c:pt idx="67">
                  <c:v>6.4763625958705404</c:v>
                </c:pt>
                <c:pt idx="68">
                  <c:v>5.9361588701639798</c:v>
                </c:pt>
                <c:pt idx="69">
                  <c:v>7.0993267870465804</c:v>
                </c:pt>
                <c:pt idx="70">
                  <c:v>8.1085010265930197</c:v>
                </c:pt>
                <c:pt idx="71">
                  <c:v>8.9473344731726101</c:v>
                </c:pt>
                <c:pt idx="72">
                  <c:v>8.4977944253079105</c:v>
                </c:pt>
                <c:pt idx="73">
                  <c:v>8.9959294878904004</c:v>
                </c:pt>
                <c:pt idx="74">
                  <c:v>9.6807289132930805</c:v>
                </c:pt>
                <c:pt idx="75">
                  <c:v>9.4649165051705992</c:v>
                </c:pt>
                <c:pt idx="76">
                  <c:v>10.0399433909579</c:v>
                </c:pt>
                <c:pt idx="77">
                  <c:v>10.293333655314701</c:v>
                </c:pt>
                <c:pt idx="78">
                  <c:v>11.1203870451013</c:v>
                </c:pt>
                <c:pt idx="79">
                  <c:v>14.4940881428554</c:v>
                </c:pt>
                <c:pt idx="80">
                  <c:v>21.841076035575401</c:v>
                </c:pt>
                <c:pt idx="81">
                  <c:v>22.5870794358</c:v>
                </c:pt>
                <c:pt idx="82">
                  <c:v>25.678063807822099</c:v>
                </c:pt>
                <c:pt idx="83">
                  <c:v>21.6749197749403</c:v>
                </c:pt>
                <c:pt idx="84">
                  <c:v>18.767266897389401</c:v>
                </c:pt>
                <c:pt idx="85">
                  <c:v>18.113658344636999</c:v>
                </c:pt>
                <c:pt idx="86">
                  <c:v>18.4430455149731</c:v>
                </c:pt>
                <c:pt idx="87">
                  <c:v>22.145300645104701</c:v>
                </c:pt>
                <c:pt idx="88">
                  <c:v>25.231394693914702</c:v>
                </c:pt>
                <c:pt idx="89">
                  <c:v>35.201114866272803</c:v>
                </c:pt>
                <c:pt idx="90">
                  <c:v>31.881246686431599</c:v>
                </c:pt>
                <c:pt idx="91">
                  <c:v>14.953252141962601</c:v>
                </c:pt>
                <c:pt idx="92">
                  <c:v>15.988585086588399</c:v>
                </c:pt>
                <c:pt idx="93">
                  <c:v>19.989546360656501</c:v>
                </c:pt>
                <c:pt idx="94">
                  <c:v>15.7049172170922</c:v>
                </c:pt>
                <c:pt idx="95">
                  <c:v>16.842431410121801</c:v>
                </c:pt>
                <c:pt idx="96">
                  <c:v>20.195717303200698</c:v>
                </c:pt>
                <c:pt idx="97">
                  <c:v>28.2555656444916</c:v>
                </c:pt>
                <c:pt idx="98">
                  <c:v>39.556946288284003</c:v>
                </c:pt>
                <c:pt idx="99">
                  <c:v>49.4097556335146</c:v>
                </c:pt>
                <c:pt idx="100">
                  <c:v>60.5327359281982</c:v>
                </c:pt>
                <c:pt idx="101">
                  <c:v>56.985388981166501</c:v>
                </c:pt>
                <c:pt idx="102">
                  <c:v>54.415387873205098</c:v>
                </c:pt>
                <c:pt idx="103">
                  <c:v>53.268623111981299</c:v>
                </c:pt>
                <c:pt idx="104">
                  <c:v>51.574680069553203</c:v>
                </c:pt>
                <c:pt idx="105">
                  <c:v>50.256456839325899</c:v>
                </c:pt>
                <c:pt idx="106">
                  <c:v>51.3594273553514</c:v>
                </c:pt>
                <c:pt idx="107">
                  <c:v>44.382661704781903</c:v>
                </c:pt>
                <c:pt idx="108">
                  <c:v>54.100452701148797</c:v>
                </c:pt>
                <c:pt idx="109">
                  <c:v>64.413038345365607</c:v>
                </c:pt>
                <c:pt idx="110">
                  <c:v>32.691745101199899</c:v>
                </c:pt>
                <c:pt idx="111">
                  <c:v>14.0679192617669</c:v>
                </c:pt>
                <c:pt idx="112">
                  <c:v>15.828334443015301</c:v>
                </c:pt>
                <c:pt idx="113">
                  <c:v>17.814421921100799</c:v>
                </c:pt>
                <c:pt idx="114">
                  <c:v>17.632026367326102</c:v>
                </c:pt>
                <c:pt idx="115">
                  <c:v>16.150448258033499</c:v>
                </c:pt>
                <c:pt idx="116">
                  <c:v>19.436861219908501</c:v>
                </c:pt>
                <c:pt idx="117">
                  <c:v>22.110694785045801</c:v>
                </c:pt>
                <c:pt idx="118">
                  <c:v>28.508864373646901</c:v>
                </c:pt>
                <c:pt idx="119">
                  <c:v>16.2446356836126</c:v>
                </c:pt>
                <c:pt idx="120">
                  <c:v>11.120000124484701</c:v>
                </c:pt>
                <c:pt idx="121">
                  <c:v>11.214168652067</c:v>
                </c:pt>
                <c:pt idx="122">
                  <c:v>13.5647738815774</c:v>
                </c:pt>
                <c:pt idx="123">
                  <c:v>14.266668372949001</c:v>
                </c:pt>
                <c:pt idx="124">
                  <c:v>15.544215375714</c:v>
                </c:pt>
                <c:pt idx="125">
                  <c:v>16.009025419313801</c:v>
                </c:pt>
                <c:pt idx="126">
                  <c:v>16.029331826652701</c:v>
                </c:pt>
                <c:pt idx="127">
                  <c:v>14.0326223210047</c:v>
                </c:pt>
                <c:pt idx="128">
                  <c:v>14.7228295548517</c:v>
                </c:pt>
                <c:pt idx="129">
                  <c:v>17.384218163006601</c:v>
                </c:pt>
                <c:pt idx="130">
                  <c:v>14.017387527171399</c:v>
                </c:pt>
                <c:pt idx="131">
                  <c:v>14.894124429159699</c:v>
                </c:pt>
                <c:pt idx="132">
                  <c:v>16.8011719660546</c:v>
                </c:pt>
                <c:pt idx="133">
                  <c:v>19.6537499964458</c:v>
                </c:pt>
                <c:pt idx="134">
                  <c:v>16.969939686878899</c:v>
                </c:pt>
                <c:pt idx="135">
                  <c:v>14.8731552034522</c:v>
                </c:pt>
                <c:pt idx="136">
                  <c:v>14.326071219603101</c:v>
                </c:pt>
                <c:pt idx="137">
                  <c:v>11.869032403999899</c:v>
                </c:pt>
                <c:pt idx="138">
                  <c:v>10.645440921469399</c:v>
                </c:pt>
                <c:pt idx="139">
                  <c:v>9.2416908074846997</c:v>
                </c:pt>
                <c:pt idx="140">
                  <c:v>10.100605527494</c:v>
                </c:pt>
                <c:pt idx="141">
                  <c:v>10.9699388758103</c:v>
                </c:pt>
                <c:pt idx="142">
                  <c:v>10.994347824438499</c:v>
                </c:pt>
                <c:pt idx="143">
                  <c:v>10.653748437036</c:v>
                </c:pt>
                <c:pt idx="144">
                  <c:v>10.834309711011899</c:v>
                </c:pt>
                <c:pt idx="145">
                  <c:v>10.4118661672978</c:v>
                </c:pt>
                <c:pt idx="146">
                  <c:v>10.1808060177468</c:v>
                </c:pt>
                <c:pt idx="147">
                  <c:v>10.3798379215045</c:v>
                </c:pt>
                <c:pt idx="148">
                  <c:v>10.7783670928294</c:v>
                </c:pt>
                <c:pt idx="149">
                  <c:v>10.6152687505543</c:v>
                </c:pt>
                <c:pt idx="150">
                  <c:v>11.322253301357501</c:v>
                </c:pt>
                <c:pt idx="151">
                  <c:v>10.2764189562502</c:v>
                </c:pt>
                <c:pt idx="152">
                  <c:v>9.6425953545374004</c:v>
                </c:pt>
                <c:pt idx="153">
                  <c:v>11.064159718534301</c:v>
                </c:pt>
                <c:pt idx="154">
                  <c:v>11.8982555993489</c:v>
                </c:pt>
                <c:pt idx="155">
                  <c:v>11.7359587915831</c:v>
                </c:pt>
                <c:pt idx="156">
                  <c:v>11.2551681618251</c:v>
                </c:pt>
                <c:pt idx="157">
                  <c:v>8.7263240555023103</c:v>
                </c:pt>
                <c:pt idx="158">
                  <c:v>8.1642551595775608</c:v>
                </c:pt>
                <c:pt idx="159">
                  <c:v>7.4444003415264604</c:v>
                </c:pt>
                <c:pt idx="160">
                  <c:v>8.0589613862127703</c:v>
                </c:pt>
                <c:pt idx="161">
                  <c:v>7.7028161349042001</c:v>
                </c:pt>
                <c:pt idx="162">
                  <c:v>8.8330979389963602</c:v>
                </c:pt>
                <c:pt idx="163">
                  <c:v>8.6436333869256199</c:v>
                </c:pt>
                <c:pt idx="164">
                  <c:v>15.437219148734901</c:v>
                </c:pt>
                <c:pt idx="165">
                  <c:v>11.280307643654201</c:v>
                </c:pt>
                <c:pt idx="166">
                  <c:v>10.749106977407401</c:v>
                </c:pt>
                <c:pt idx="167">
                  <c:v>11.4798266160774</c:v>
                </c:pt>
                <c:pt idx="168">
                  <c:v>10.4135936861303</c:v>
                </c:pt>
                <c:pt idx="169">
                  <c:v>8.0043083917059903</c:v>
                </c:pt>
                <c:pt idx="170">
                  <c:v>7.6275353435268602</c:v>
                </c:pt>
                <c:pt idx="171">
                  <c:v>6.6563751767139996</c:v>
                </c:pt>
                <c:pt idx="172">
                  <c:v>9.0494791508901393</c:v>
                </c:pt>
                <c:pt idx="173">
                  <c:v>7.6835125009815197</c:v>
                </c:pt>
                <c:pt idx="174">
                  <c:v>8.4021592843112405</c:v>
                </c:pt>
                <c:pt idx="175">
                  <c:v>31.351052967589599</c:v>
                </c:pt>
                <c:pt idx="176">
                  <c:v>49.863686472976703</c:v>
                </c:pt>
                <c:pt idx="177">
                  <c:v>40.435637344745899</c:v>
                </c:pt>
                <c:pt idx="178">
                  <c:v>47.896938013482</c:v>
                </c:pt>
                <c:pt idx="179">
                  <c:v>57.040214214863497</c:v>
                </c:pt>
                <c:pt idx="180">
                  <c:v>52.041271597159003</c:v>
                </c:pt>
                <c:pt idx="181">
                  <c:v>19.871489630293599</c:v>
                </c:pt>
                <c:pt idx="182">
                  <c:v>27.822767927066199</c:v>
                </c:pt>
                <c:pt idx="183">
                  <c:v>27.619779110124899</c:v>
                </c:pt>
                <c:pt idx="184">
                  <c:v>34.175451122304104</c:v>
                </c:pt>
                <c:pt idx="185">
                  <c:v>36.173366272435402</c:v>
                </c:pt>
                <c:pt idx="186">
                  <c:v>40.233749429542698</c:v>
                </c:pt>
                <c:pt idx="187">
                  <c:v>34.832027538240197</c:v>
                </c:pt>
                <c:pt idx="188">
                  <c:v>28.0744494103132</c:v>
                </c:pt>
                <c:pt idx="189">
                  <c:v>28.445947373243001</c:v>
                </c:pt>
                <c:pt idx="190">
                  <c:v>28.0636570301372</c:v>
                </c:pt>
                <c:pt idx="191">
                  <c:v>23.600204583758899</c:v>
                </c:pt>
                <c:pt idx="192">
                  <c:v>32.213590633698097</c:v>
                </c:pt>
                <c:pt idx="193">
                  <c:v>38.753861288881097</c:v>
                </c:pt>
                <c:pt idx="194">
                  <c:v>43.094959625682201</c:v>
                </c:pt>
                <c:pt idx="195">
                  <c:v>52.980817687050497</c:v>
                </c:pt>
                <c:pt idx="196">
                  <c:v>60.098224879154003</c:v>
                </c:pt>
                <c:pt idx="197">
                  <c:v>62.889994789231402</c:v>
                </c:pt>
                <c:pt idx="198">
                  <c:v>55.843719529024</c:v>
                </c:pt>
                <c:pt idx="199">
                  <c:v>28.186842079377701</c:v>
                </c:pt>
                <c:pt idx="200">
                  <c:v>25.087860290996701</c:v>
                </c:pt>
                <c:pt idx="201">
                  <c:v>19.842138961947299</c:v>
                </c:pt>
                <c:pt idx="202">
                  <c:v>22.988644746571101</c:v>
                </c:pt>
                <c:pt idx="203">
                  <c:v>22.918323734585201</c:v>
                </c:pt>
                <c:pt idx="204">
                  <c:v>28.022132072562201</c:v>
                </c:pt>
                <c:pt idx="205">
                  <c:v>31.371766996822402</c:v>
                </c:pt>
                <c:pt idx="206">
                  <c:v>29.530647253789301</c:v>
                </c:pt>
                <c:pt idx="207">
                  <c:v>50.747391037261501</c:v>
                </c:pt>
                <c:pt idx="208">
                  <c:v>57.329162448717803</c:v>
                </c:pt>
                <c:pt idx="209">
                  <c:v>54.944912829003002</c:v>
                </c:pt>
                <c:pt idx="210">
                  <c:v>59.271887694421203</c:v>
                </c:pt>
                <c:pt idx="211">
                  <c:v>59.831739611261398</c:v>
                </c:pt>
                <c:pt idx="212">
                  <c:v>59.199595522881999</c:v>
                </c:pt>
                <c:pt idx="213">
                  <c:v>58.262071440675903</c:v>
                </c:pt>
                <c:pt idx="214">
                  <c:v>54.021192174723502</c:v>
                </c:pt>
                <c:pt idx="215">
                  <c:v>57.315039677576003</c:v>
                </c:pt>
                <c:pt idx="216">
                  <c:v>61.625950667194303</c:v>
                </c:pt>
                <c:pt idx="217">
                  <c:v>63.482040854529401</c:v>
                </c:pt>
                <c:pt idx="218">
                  <c:v>65.271776007235403</c:v>
                </c:pt>
                <c:pt idx="219">
                  <c:v>62.147672111957903</c:v>
                </c:pt>
                <c:pt idx="220">
                  <c:v>64.171947811967897</c:v>
                </c:pt>
                <c:pt idx="221">
                  <c:v>63.7570029838582</c:v>
                </c:pt>
                <c:pt idx="222">
                  <c:v>63.230687320180799</c:v>
                </c:pt>
                <c:pt idx="223">
                  <c:v>61.281985060110301</c:v>
                </c:pt>
                <c:pt idx="224">
                  <c:v>51.639611043316002</c:v>
                </c:pt>
                <c:pt idx="225">
                  <c:v>41.031871755606502</c:v>
                </c:pt>
                <c:pt idx="226">
                  <c:v>38.443287660971301</c:v>
                </c:pt>
                <c:pt idx="227">
                  <c:v>43.568295815287698</c:v>
                </c:pt>
                <c:pt idx="228">
                  <c:v>37.398392576992698</c:v>
                </c:pt>
                <c:pt idx="229">
                  <c:v>22.162839374210201</c:v>
                </c:pt>
                <c:pt idx="230">
                  <c:v>16.479427503778901</c:v>
                </c:pt>
                <c:pt idx="231">
                  <c:v>13.0385248594611</c:v>
                </c:pt>
                <c:pt idx="232">
                  <c:v>12.412337813146401</c:v>
                </c:pt>
                <c:pt idx="233">
                  <c:v>16.749829360689201</c:v>
                </c:pt>
                <c:pt idx="234">
                  <c:v>15.396827166046601</c:v>
                </c:pt>
                <c:pt idx="235">
                  <c:v>11.206050048697399</c:v>
                </c:pt>
                <c:pt idx="236">
                  <c:v>11.082527335086199</c:v>
                </c:pt>
                <c:pt idx="237">
                  <c:v>14.3182278979674</c:v>
                </c:pt>
                <c:pt idx="238">
                  <c:v>14.939091603159399</c:v>
                </c:pt>
                <c:pt idx="239">
                  <c:v>15.663161598955501</c:v>
                </c:pt>
                <c:pt idx="240">
                  <c:v>18.472239798038501</c:v>
                </c:pt>
                <c:pt idx="241">
                  <c:v>18.457618830800399</c:v>
                </c:pt>
                <c:pt idx="242">
                  <c:v>18.6541414885065</c:v>
                </c:pt>
                <c:pt idx="243">
                  <c:v>18.1608816384771</c:v>
                </c:pt>
                <c:pt idx="244">
                  <c:v>17.138793176690299</c:v>
                </c:pt>
                <c:pt idx="245">
                  <c:v>19.753210281031599</c:v>
                </c:pt>
                <c:pt idx="246">
                  <c:v>20.7999686308858</c:v>
                </c:pt>
                <c:pt idx="247">
                  <c:v>23.610880900077799</c:v>
                </c:pt>
                <c:pt idx="248">
                  <c:v>30.334729350843102</c:v>
                </c:pt>
                <c:pt idx="249">
                  <c:v>28.619553666545698</c:v>
                </c:pt>
                <c:pt idx="250">
                  <c:v>25.563845490008401</c:v>
                </c:pt>
                <c:pt idx="251">
                  <c:v>29.513848998147601</c:v>
                </c:pt>
                <c:pt idx="252">
                  <c:v>23.906713758964099</c:v>
                </c:pt>
                <c:pt idx="253">
                  <c:v>20.154099521629899</c:v>
                </c:pt>
                <c:pt idx="254">
                  <c:v>18.865588439196401</c:v>
                </c:pt>
                <c:pt idx="255">
                  <c:v>20.434388797807902</c:v>
                </c:pt>
                <c:pt idx="256">
                  <c:v>20.4524737018865</c:v>
                </c:pt>
                <c:pt idx="257">
                  <c:v>21.678661236545299</c:v>
                </c:pt>
                <c:pt idx="258">
                  <c:v>18.522361991614702</c:v>
                </c:pt>
                <c:pt idx="259">
                  <c:v>16.2432309412225</c:v>
                </c:pt>
                <c:pt idx="260">
                  <c:v>17.931220987016101</c:v>
                </c:pt>
                <c:pt idx="261">
                  <c:v>26.271396806364599</c:v>
                </c:pt>
                <c:pt idx="262">
                  <c:v>28.713761854517202</c:v>
                </c:pt>
                <c:pt idx="263">
                  <c:v>29.344363856336201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1298944"/>
        <c:axId val="441300864"/>
      </c:lineChart>
      <c:dateAx>
        <c:axId val="4412989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low"/>
        <c:crossAx val="441300864"/>
        <c:crosses val="autoZero"/>
        <c:auto val="1"/>
        <c:lblOffset val="100"/>
        <c:baseTimeUnit val="months"/>
      </c:dateAx>
      <c:valAx>
        <c:axId val="441300864"/>
        <c:scaling>
          <c:orientation val="minMax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4129894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Regression!$C$1</c:f>
              <c:strCache>
                <c:ptCount val="1"/>
                <c:pt idx="0">
                  <c:v>MBACAI</c:v>
                </c:pt>
              </c:strCache>
            </c:strRef>
          </c:tx>
          <c:marker>
            <c:symbol val="none"/>
          </c:marker>
          <c:cat>
            <c:numRef>
              <c:f>Regression!$A$2:$A$319</c:f>
              <c:numCache>
                <c:formatCode>m/d/yyyy</c:formatCode>
                <c:ptCount val="318"/>
                <c:pt idx="0">
                  <c:v>32874</c:v>
                </c:pt>
                <c:pt idx="1">
                  <c:v>32905</c:v>
                </c:pt>
                <c:pt idx="2">
                  <c:v>32933</c:v>
                </c:pt>
                <c:pt idx="3">
                  <c:v>32964</c:v>
                </c:pt>
                <c:pt idx="4">
                  <c:v>32994</c:v>
                </c:pt>
                <c:pt idx="5">
                  <c:v>33025</c:v>
                </c:pt>
                <c:pt idx="6">
                  <c:v>33055</c:v>
                </c:pt>
                <c:pt idx="7">
                  <c:v>33086</c:v>
                </c:pt>
                <c:pt idx="8">
                  <c:v>33117</c:v>
                </c:pt>
                <c:pt idx="9">
                  <c:v>33147</c:v>
                </c:pt>
                <c:pt idx="10">
                  <c:v>33178</c:v>
                </c:pt>
                <c:pt idx="11">
                  <c:v>33208</c:v>
                </c:pt>
                <c:pt idx="12">
                  <c:v>33239</c:v>
                </c:pt>
                <c:pt idx="13">
                  <c:v>33270</c:v>
                </c:pt>
                <c:pt idx="14">
                  <c:v>33298</c:v>
                </c:pt>
                <c:pt idx="15">
                  <c:v>33329</c:v>
                </c:pt>
                <c:pt idx="16">
                  <c:v>33359</c:v>
                </c:pt>
                <c:pt idx="17">
                  <c:v>33390</c:v>
                </c:pt>
                <c:pt idx="18">
                  <c:v>33420</c:v>
                </c:pt>
                <c:pt idx="19">
                  <c:v>33451</c:v>
                </c:pt>
                <c:pt idx="20">
                  <c:v>33482</c:v>
                </c:pt>
                <c:pt idx="21">
                  <c:v>33512</c:v>
                </c:pt>
                <c:pt idx="22">
                  <c:v>33543</c:v>
                </c:pt>
                <c:pt idx="23">
                  <c:v>33573</c:v>
                </c:pt>
                <c:pt idx="24">
                  <c:v>33604</c:v>
                </c:pt>
                <c:pt idx="25">
                  <c:v>33635</c:v>
                </c:pt>
                <c:pt idx="26">
                  <c:v>33664</c:v>
                </c:pt>
                <c:pt idx="27">
                  <c:v>33695</c:v>
                </c:pt>
                <c:pt idx="28">
                  <c:v>33725</c:v>
                </c:pt>
                <c:pt idx="29">
                  <c:v>33756</c:v>
                </c:pt>
                <c:pt idx="30">
                  <c:v>33786</c:v>
                </c:pt>
                <c:pt idx="31">
                  <c:v>33817</c:v>
                </c:pt>
                <c:pt idx="32">
                  <c:v>33848</c:v>
                </c:pt>
                <c:pt idx="33">
                  <c:v>33878</c:v>
                </c:pt>
                <c:pt idx="34">
                  <c:v>33909</c:v>
                </c:pt>
                <c:pt idx="35">
                  <c:v>33939</c:v>
                </c:pt>
                <c:pt idx="36">
                  <c:v>33970</c:v>
                </c:pt>
                <c:pt idx="37">
                  <c:v>34001</c:v>
                </c:pt>
                <c:pt idx="38">
                  <c:v>34029</c:v>
                </c:pt>
                <c:pt idx="39">
                  <c:v>34060</c:v>
                </c:pt>
                <c:pt idx="40">
                  <c:v>34090</c:v>
                </c:pt>
                <c:pt idx="41">
                  <c:v>34121</c:v>
                </c:pt>
                <c:pt idx="42">
                  <c:v>34151</c:v>
                </c:pt>
                <c:pt idx="43">
                  <c:v>34182</c:v>
                </c:pt>
                <c:pt idx="44">
                  <c:v>34213</c:v>
                </c:pt>
                <c:pt idx="45">
                  <c:v>34243</c:v>
                </c:pt>
                <c:pt idx="46">
                  <c:v>34274</c:v>
                </c:pt>
                <c:pt idx="47">
                  <c:v>34304</c:v>
                </c:pt>
                <c:pt idx="48">
                  <c:v>34335</c:v>
                </c:pt>
                <c:pt idx="49">
                  <c:v>34366</c:v>
                </c:pt>
                <c:pt idx="50">
                  <c:v>34394</c:v>
                </c:pt>
                <c:pt idx="51">
                  <c:v>34425</c:v>
                </c:pt>
                <c:pt idx="52">
                  <c:v>34455</c:v>
                </c:pt>
                <c:pt idx="53">
                  <c:v>34486</c:v>
                </c:pt>
                <c:pt idx="54">
                  <c:v>34516</c:v>
                </c:pt>
                <c:pt idx="55">
                  <c:v>34547</c:v>
                </c:pt>
                <c:pt idx="56">
                  <c:v>34578</c:v>
                </c:pt>
                <c:pt idx="57">
                  <c:v>34608</c:v>
                </c:pt>
                <c:pt idx="58">
                  <c:v>34639</c:v>
                </c:pt>
                <c:pt idx="59">
                  <c:v>34669</c:v>
                </c:pt>
                <c:pt idx="60">
                  <c:v>34700</c:v>
                </c:pt>
                <c:pt idx="61">
                  <c:v>34731</c:v>
                </c:pt>
                <c:pt idx="62">
                  <c:v>34759</c:v>
                </c:pt>
                <c:pt idx="63">
                  <c:v>34790</c:v>
                </c:pt>
                <c:pt idx="64">
                  <c:v>34820</c:v>
                </c:pt>
                <c:pt idx="65">
                  <c:v>34851</c:v>
                </c:pt>
                <c:pt idx="66">
                  <c:v>34881</c:v>
                </c:pt>
                <c:pt idx="67">
                  <c:v>34912</c:v>
                </c:pt>
                <c:pt idx="68">
                  <c:v>34943</c:v>
                </c:pt>
                <c:pt idx="69">
                  <c:v>34973</c:v>
                </c:pt>
                <c:pt idx="70">
                  <c:v>35004</c:v>
                </c:pt>
                <c:pt idx="71">
                  <c:v>35034</c:v>
                </c:pt>
                <c:pt idx="72">
                  <c:v>35065</c:v>
                </c:pt>
                <c:pt idx="73">
                  <c:v>35096</c:v>
                </c:pt>
                <c:pt idx="74">
                  <c:v>35125</c:v>
                </c:pt>
                <c:pt idx="75">
                  <c:v>35156</c:v>
                </c:pt>
                <c:pt idx="76">
                  <c:v>35186</c:v>
                </c:pt>
                <c:pt idx="77">
                  <c:v>35217</c:v>
                </c:pt>
                <c:pt idx="78">
                  <c:v>35247</c:v>
                </c:pt>
                <c:pt idx="79">
                  <c:v>35278</c:v>
                </c:pt>
                <c:pt idx="80">
                  <c:v>35309</c:v>
                </c:pt>
                <c:pt idx="81">
                  <c:v>35339</c:v>
                </c:pt>
                <c:pt idx="82">
                  <c:v>35370</c:v>
                </c:pt>
                <c:pt idx="83">
                  <c:v>35400</c:v>
                </c:pt>
                <c:pt idx="84">
                  <c:v>35431</c:v>
                </c:pt>
                <c:pt idx="85">
                  <c:v>35462</c:v>
                </c:pt>
                <c:pt idx="86">
                  <c:v>35490</c:v>
                </c:pt>
                <c:pt idx="87">
                  <c:v>35521</c:v>
                </c:pt>
                <c:pt idx="88">
                  <c:v>35551</c:v>
                </c:pt>
                <c:pt idx="89">
                  <c:v>35582</c:v>
                </c:pt>
                <c:pt idx="90">
                  <c:v>35612</c:v>
                </c:pt>
                <c:pt idx="91">
                  <c:v>35643</c:v>
                </c:pt>
                <c:pt idx="92">
                  <c:v>35674</c:v>
                </c:pt>
                <c:pt idx="93">
                  <c:v>35704</c:v>
                </c:pt>
                <c:pt idx="94">
                  <c:v>35735</c:v>
                </c:pt>
                <c:pt idx="95">
                  <c:v>35765</c:v>
                </c:pt>
                <c:pt idx="96">
                  <c:v>35796</c:v>
                </c:pt>
                <c:pt idx="97">
                  <c:v>35827</c:v>
                </c:pt>
                <c:pt idx="98">
                  <c:v>35855</c:v>
                </c:pt>
                <c:pt idx="99">
                  <c:v>35886</c:v>
                </c:pt>
                <c:pt idx="100">
                  <c:v>35916</c:v>
                </c:pt>
                <c:pt idx="101">
                  <c:v>35947</c:v>
                </c:pt>
                <c:pt idx="102">
                  <c:v>35977</c:v>
                </c:pt>
                <c:pt idx="103">
                  <c:v>36008</c:v>
                </c:pt>
                <c:pt idx="104">
                  <c:v>36039</c:v>
                </c:pt>
                <c:pt idx="105">
                  <c:v>36069</c:v>
                </c:pt>
                <c:pt idx="106">
                  <c:v>36100</c:v>
                </c:pt>
                <c:pt idx="107">
                  <c:v>36130</c:v>
                </c:pt>
                <c:pt idx="108">
                  <c:v>36161</c:v>
                </c:pt>
                <c:pt idx="109">
                  <c:v>36192</c:v>
                </c:pt>
                <c:pt idx="110">
                  <c:v>36220</c:v>
                </c:pt>
                <c:pt idx="111">
                  <c:v>36251</c:v>
                </c:pt>
                <c:pt idx="112">
                  <c:v>36281</c:v>
                </c:pt>
                <c:pt idx="113">
                  <c:v>36312</c:v>
                </c:pt>
                <c:pt idx="114">
                  <c:v>36342</c:v>
                </c:pt>
                <c:pt idx="115">
                  <c:v>36373</c:v>
                </c:pt>
                <c:pt idx="116">
                  <c:v>36404</c:v>
                </c:pt>
                <c:pt idx="117">
                  <c:v>36434</c:v>
                </c:pt>
                <c:pt idx="118">
                  <c:v>36465</c:v>
                </c:pt>
                <c:pt idx="119">
                  <c:v>36495</c:v>
                </c:pt>
                <c:pt idx="120">
                  <c:v>36526</c:v>
                </c:pt>
                <c:pt idx="121">
                  <c:v>36557</c:v>
                </c:pt>
                <c:pt idx="122">
                  <c:v>36586</c:v>
                </c:pt>
                <c:pt idx="123">
                  <c:v>36617</c:v>
                </c:pt>
                <c:pt idx="124">
                  <c:v>36647</c:v>
                </c:pt>
                <c:pt idx="125">
                  <c:v>36678</c:v>
                </c:pt>
                <c:pt idx="126">
                  <c:v>36708</c:v>
                </c:pt>
                <c:pt idx="127">
                  <c:v>36739</c:v>
                </c:pt>
                <c:pt idx="128">
                  <c:v>36770</c:v>
                </c:pt>
                <c:pt idx="129">
                  <c:v>36800</c:v>
                </c:pt>
                <c:pt idx="130">
                  <c:v>36831</c:v>
                </c:pt>
                <c:pt idx="131">
                  <c:v>36861</c:v>
                </c:pt>
                <c:pt idx="132">
                  <c:v>36892</c:v>
                </c:pt>
                <c:pt idx="133">
                  <c:v>36923</c:v>
                </c:pt>
                <c:pt idx="134">
                  <c:v>36951</c:v>
                </c:pt>
                <c:pt idx="135">
                  <c:v>36982</c:v>
                </c:pt>
                <c:pt idx="136">
                  <c:v>37012</c:v>
                </c:pt>
                <c:pt idx="137">
                  <c:v>37043</c:v>
                </c:pt>
                <c:pt idx="138">
                  <c:v>37073</c:v>
                </c:pt>
                <c:pt idx="139">
                  <c:v>37104</c:v>
                </c:pt>
                <c:pt idx="140">
                  <c:v>37135</c:v>
                </c:pt>
                <c:pt idx="141">
                  <c:v>37165</c:v>
                </c:pt>
                <c:pt idx="142">
                  <c:v>37196</c:v>
                </c:pt>
                <c:pt idx="143">
                  <c:v>37226</c:v>
                </c:pt>
                <c:pt idx="144">
                  <c:v>37257</c:v>
                </c:pt>
                <c:pt idx="145">
                  <c:v>37288</c:v>
                </c:pt>
                <c:pt idx="146">
                  <c:v>37316</c:v>
                </c:pt>
                <c:pt idx="147">
                  <c:v>37347</c:v>
                </c:pt>
                <c:pt idx="148">
                  <c:v>37377</c:v>
                </c:pt>
                <c:pt idx="149">
                  <c:v>37408</c:v>
                </c:pt>
                <c:pt idx="150">
                  <c:v>37438</c:v>
                </c:pt>
                <c:pt idx="151">
                  <c:v>37469</c:v>
                </c:pt>
                <c:pt idx="152">
                  <c:v>37500</c:v>
                </c:pt>
                <c:pt idx="153">
                  <c:v>37530</c:v>
                </c:pt>
                <c:pt idx="154">
                  <c:v>37561</c:v>
                </c:pt>
                <c:pt idx="155">
                  <c:v>37591</c:v>
                </c:pt>
                <c:pt idx="156">
                  <c:v>37622</c:v>
                </c:pt>
                <c:pt idx="157">
                  <c:v>37653</c:v>
                </c:pt>
                <c:pt idx="158">
                  <c:v>37681</c:v>
                </c:pt>
                <c:pt idx="159">
                  <c:v>37712</c:v>
                </c:pt>
                <c:pt idx="160">
                  <c:v>37742</c:v>
                </c:pt>
                <c:pt idx="161">
                  <c:v>37773</c:v>
                </c:pt>
                <c:pt idx="162">
                  <c:v>37803</c:v>
                </c:pt>
                <c:pt idx="163">
                  <c:v>37834</c:v>
                </c:pt>
                <c:pt idx="164">
                  <c:v>37865</c:v>
                </c:pt>
                <c:pt idx="165">
                  <c:v>37895</c:v>
                </c:pt>
                <c:pt idx="166">
                  <c:v>37926</c:v>
                </c:pt>
                <c:pt idx="167">
                  <c:v>37956</c:v>
                </c:pt>
                <c:pt idx="168">
                  <c:v>37987</c:v>
                </c:pt>
                <c:pt idx="169">
                  <c:v>38018</c:v>
                </c:pt>
                <c:pt idx="170">
                  <c:v>38047</c:v>
                </c:pt>
                <c:pt idx="171">
                  <c:v>38078</c:v>
                </c:pt>
                <c:pt idx="172">
                  <c:v>38108</c:v>
                </c:pt>
                <c:pt idx="173">
                  <c:v>38139</c:v>
                </c:pt>
                <c:pt idx="174">
                  <c:v>38169</c:v>
                </c:pt>
                <c:pt idx="175">
                  <c:v>38200</c:v>
                </c:pt>
                <c:pt idx="176">
                  <c:v>38231</c:v>
                </c:pt>
                <c:pt idx="177">
                  <c:v>38261</c:v>
                </c:pt>
                <c:pt idx="178">
                  <c:v>38292</c:v>
                </c:pt>
                <c:pt idx="179">
                  <c:v>38322</c:v>
                </c:pt>
                <c:pt idx="180">
                  <c:v>38353</c:v>
                </c:pt>
                <c:pt idx="181">
                  <c:v>38384</c:v>
                </c:pt>
                <c:pt idx="182">
                  <c:v>38412</c:v>
                </c:pt>
                <c:pt idx="183">
                  <c:v>38443</c:v>
                </c:pt>
                <c:pt idx="184">
                  <c:v>38473</c:v>
                </c:pt>
                <c:pt idx="185">
                  <c:v>38504</c:v>
                </c:pt>
                <c:pt idx="186">
                  <c:v>38534</c:v>
                </c:pt>
                <c:pt idx="187">
                  <c:v>38565</c:v>
                </c:pt>
                <c:pt idx="188">
                  <c:v>38596</c:v>
                </c:pt>
                <c:pt idx="189">
                  <c:v>38626</c:v>
                </c:pt>
                <c:pt idx="190">
                  <c:v>38657</c:v>
                </c:pt>
                <c:pt idx="191">
                  <c:v>38687</c:v>
                </c:pt>
                <c:pt idx="192">
                  <c:v>38718</c:v>
                </c:pt>
                <c:pt idx="193">
                  <c:v>38749</c:v>
                </c:pt>
                <c:pt idx="194">
                  <c:v>38777</c:v>
                </c:pt>
                <c:pt idx="195">
                  <c:v>38808</c:v>
                </c:pt>
                <c:pt idx="196">
                  <c:v>38838</c:v>
                </c:pt>
                <c:pt idx="197">
                  <c:v>38869</c:v>
                </c:pt>
                <c:pt idx="198">
                  <c:v>38899</c:v>
                </c:pt>
                <c:pt idx="199">
                  <c:v>38930</c:v>
                </c:pt>
                <c:pt idx="200">
                  <c:v>38961</c:v>
                </c:pt>
                <c:pt idx="201">
                  <c:v>38991</c:v>
                </c:pt>
                <c:pt idx="202">
                  <c:v>39022</c:v>
                </c:pt>
                <c:pt idx="203">
                  <c:v>39052</c:v>
                </c:pt>
                <c:pt idx="204">
                  <c:v>39083</c:v>
                </c:pt>
                <c:pt idx="205">
                  <c:v>39114</c:v>
                </c:pt>
                <c:pt idx="206">
                  <c:v>39142</c:v>
                </c:pt>
                <c:pt idx="207">
                  <c:v>39173</c:v>
                </c:pt>
                <c:pt idx="208">
                  <c:v>39203</c:v>
                </c:pt>
                <c:pt idx="209">
                  <c:v>39234</c:v>
                </c:pt>
                <c:pt idx="210">
                  <c:v>39264</c:v>
                </c:pt>
                <c:pt idx="211">
                  <c:v>39295</c:v>
                </c:pt>
                <c:pt idx="212">
                  <c:v>39326</c:v>
                </c:pt>
                <c:pt idx="213">
                  <c:v>39356</c:v>
                </c:pt>
                <c:pt idx="214">
                  <c:v>39387</c:v>
                </c:pt>
                <c:pt idx="215">
                  <c:v>39417</c:v>
                </c:pt>
                <c:pt idx="216">
                  <c:v>39448</c:v>
                </c:pt>
                <c:pt idx="217">
                  <c:v>39479</c:v>
                </c:pt>
                <c:pt idx="218">
                  <c:v>39508</c:v>
                </c:pt>
                <c:pt idx="219">
                  <c:v>39539</c:v>
                </c:pt>
                <c:pt idx="220">
                  <c:v>39569</c:v>
                </c:pt>
                <c:pt idx="221">
                  <c:v>39600</c:v>
                </c:pt>
                <c:pt idx="222">
                  <c:v>39630</c:v>
                </c:pt>
                <c:pt idx="223">
                  <c:v>39661</c:v>
                </c:pt>
                <c:pt idx="224">
                  <c:v>39692</c:v>
                </c:pt>
                <c:pt idx="225">
                  <c:v>39722</c:v>
                </c:pt>
                <c:pt idx="226">
                  <c:v>39753</c:v>
                </c:pt>
                <c:pt idx="227">
                  <c:v>39783</c:v>
                </c:pt>
                <c:pt idx="228">
                  <c:v>39814</c:v>
                </c:pt>
                <c:pt idx="229">
                  <c:v>39845</c:v>
                </c:pt>
                <c:pt idx="230">
                  <c:v>39873</c:v>
                </c:pt>
                <c:pt idx="231">
                  <c:v>39904</c:v>
                </c:pt>
                <c:pt idx="232">
                  <c:v>39934</c:v>
                </c:pt>
                <c:pt idx="233">
                  <c:v>39965</c:v>
                </c:pt>
                <c:pt idx="234">
                  <c:v>39995</c:v>
                </c:pt>
                <c:pt idx="235">
                  <c:v>40026</c:v>
                </c:pt>
                <c:pt idx="236">
                  <c:v>40057</c:v>
                </c:pt>
                <c:pt idx="237">
                  <c:v>40087</c:v>
                </c:pt>
                <c:pt idx="238">
                  <c:v>40118</c:v>
                </c:pt>
                <c:pt idx="239">
                  <c:v>40148</c:v>
                </c:pt>
                <c:pt idx="240">
                  <c:v>40179</c:v>
                </c:pt>
                <c:pt idx="241">
                  <c:v>40210</c:v>
                </c:pt>
                <c:pt idx="242">
                  <c:v>40238</c:v>
                </c:pt>
                <c:pt idx="243">
                  <c:v>40269</c:v>
                </c:pt>
                <c:pt idx="244">
                  <c:v>40299</c:v>
                </c:pt>
                <c:pt idx="245">
                  <c:v>40330</c:v>
                </c:pt>
                <c:pt idx="246">
                  <c:v>40360</c:v>
                </c:pt>
                <c:pt idx="247">
                  <c:v>40391</c:v>
                </c:pt>
                <c:pt idx="248">
                  <c:v>40422</c:v>
                </c:pt>
                <c:pt idx="249">
                  <c:v>40452</c:v>
                </c:pt>
                <c:pt idx="250">
                  <c:v>40483</c:v>
                </c:pt>
                <c:pt idx="251">
                  <c:v>40513</c:v>
                </c:pt>
                <c:pt idx="252">
                  <c:v>40544</c:v>
                </c:pt>
                <c:pt idx="253">
                  <c:v>40575</c:v>
                </c:pt>
                <c:pt idx="254">
                  <c:v>40603</c:v>
                </c:pt>
                <c:pt idx="255">
                  <c:v>40634</c:v>
                </c:pt>
                <c:pt idx="256">
                  <c:v>40664</c:v>
                </c:pt>
                <c:pt idx="257">
                  <c:v>40695</c:v>
                </c:pt>
                <c:pt idx="258">
                  <c:v>40725</c:v>
                </c:pt>
                <c:pt idx="259">
                  <c:v>40756</c:v>
                </c:pt>
                <c:pt idx="260">
                  <c:v>40787</c:v>
                </c:pt>
                <c:pt idx="261">
                  <c:v>40817</c:v>
                </c:pt>
                <c:pt idx="262">
                  <c:v>40848</c:v>
                </c:pt>
                <c:pt idx="263">
                  <c:v>40878</c:v>
                </c:pt>
                <c:pt idx="264">
                  <c:v>40909</c:v>
                </c:pt>
                <c:pt idx="265">
                  <c:v>40940</c:v>
                </c:pt>
                <c:pt idx="266">
                  <c:v>40969</c:v>
                </c:pt>
                <c:pt idx="267">
                  <c:v>41000</c:v>
                </c:pt>
                <c:pt idx="268">
                  <c:v>41030</c:v>
                </c:pt>
                <c:pt idx="269">
                  <c:v>41061</c:v>
                </c:pt>
                <c:pt idx="270">
                  <c:v>41091</c:v>
                </c:pt>
                <c:pt idx="271">
                  <c:v>41122</c:v>
                </c:pt>
                <c:pt idx="272">
                  <c:v>41153</c:v>
                </c:pt>
                <c:pt idx="273">
                  <c:v>41183</c:v>
                </c:pt>
                <c:pt idx="274">
                  <c:v>41214</c:v>
                </c:pt>
                <c:pt idx="275">
                  <c:v>41244</c:v>
                </c:pt>
                <c:pt idx="276">
                  <c:v>41275</c:v>
                </c:pt>
                <c:pt idx="277">
                  <c:v>41306</c:v>
                </c:pt>
                <c:pt idx="278">
                  <c:v>41334</c:v>
                </c:pt>
                <c:pt idx="279">
                  <c:v>41365</c:v>
                </c:pt>
                <c:pt idx="280">
                  <c:v>41395</c:v>
                </c:pt>
                <c:pt idx="281">
                  <c:v>41426</c:v>
                </c:pt>
                <c:pt idx="282">
                  <c:v>41456</c:v>
                </c:pt>
                <c:pt idx="283">
                  <c:v>41487</c:v>
                </c:pt>
                <c:pt idx="284">
                  <c:v>41518</c:v>
                </c:pt>
                <c:pt idx="285">
                  <c:v>41548</c:v>
                </c:pt>
                <c:pt idx="286">
                  <c:v>41579</c:v>
                </c:pt>
                <c:pt idx="287">
                  <c:v>41609</c:v>
                </c:pt>
                <c:pt idx="288">
                  <c:v>41640</c:v>
                </c:pt>
                <c:pt idx="289">
                  <c:v>41671</c:v>
                </c:pt>
                <c:pt idx="290">
                  <c:v>41699</c:v>
                </c:pt>
                <c:pt idx="291">
                  <c:v>41730</c:v>
                </c:pt>
                <c:pt idx="292">
                  <c:v>41760</c:v>
                </c:pt>
                <c:pt idx="293">
                  <c:v>41791</c:v>
                </c:pt>
                <c:pt idx="294">
                  <c:v>41821</c:v>
                </c:pt>
                <c:pt idx="295">
                  <c:v>41852</c:v>
                </c:pt>
                <c:pt idx="296">
                  <c:v>41883</c:v>
                </c:pt>
                <c:pt idx="297">
                  <c:v>41913</c:v>
                </c:pt>
                <c:pt idx="298">
                  <c:v>41944</c:v>
                </c:pt>
                <c:pt idx="299">
                  <c:v>41974</c:v>
                </c:pt>
                <c:pt idx="300">
                  <c:v>42005</c:v>
                </c:pt>
                <c:pt idx="301">
                  <c:v>42036</c:v>
                </c:pt>
                <c:pt idx="302">
                  <c:v>42064</c:v>
                </c:pt>
                <c:pt idx="303">
                  <c:v>42095</c:v>
                </c:pt>
                <c:pt idx="304">
                  <c:v>42125</c:v>
                </c:pt>
                <c:pt idx="305">
                  <c:v>42156</c:v>
                </c:pt>
                <c:pt idx="306">
                  <c:v>42186</c:v>
                </c:pt>
                <c:pt idx="307">
                  <c:v>42217</c:v>
                </c:pt>
                <c:pt idx="308">
                  <c:v>42248</c:v>
                </c:pt>
                <c:pt idx="309">
                  <c:v>42278</c:v>
                </c:pt>
                <c:pt idx="310">
                  <c:v>42309</c:v>
                </c:pt>
                <c:pt idx="311">
                  <c:v>42339</c:v>
                </c:pt>
                <c:pt idx="312">
                  <c:v>42370</c:v>
                </c:pt>
                <c:pt idx="313">
                  <c:v>42401</c:v>
                </c:pt>
                <c:pt idx="314">
                  <c:v>42430</c:v>
                </c:pt>
                <c:pt idx="315">
                  <c:v>42461</c:v>
                </c:pt>
                <c:pt idx="316">
                  <c:v>42491</c:v>
                </c:pt>
                <c:pt idx="317">
                  <c:v>42522</c:v>
                </c:pt>
              </c:numCache>
            </c:numRef>
          </c:cat>
          <c:val>
            <c:numRef>
              <c:f>Regression!$C$2:$C$319</c:f>
              <c:numCache>
                <c:formatCode>General</c:formatCode>
                <c:ptCount val="31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377</c:v>
                </c:pt>
                <c:pt idx="174">
                  <c:v>383.5</c:v>
                </c:pt>
                <c:pt idx="175">
                  <c:v>390</c:v>
                </c:pt>
                <c:pt idx="176">
                  <c:v>396.5</c:v>
                </c:pt>
                <c:pt idx="177">
                  <c:v>403</c:v>
                </c:pt>
                <c:pt idx="178">
                  <c:v>409.5</c:v>
                </c:pt>
                <c:pt idx="179">
                  <c:v>416</c:v>
                </c:pt>
                <c:pt idx="180">
                  <c:v>480.83333333333331</c:v>
                </c:pt>
                <c:pt idx="181">
                  <c:v>545.66666666666663</c:v>
                </c:pt>
                <c:pt idx="182">
                  <c:v>610.5</c:v>
                </c:pt>
                <c:pt idx="183">
                  <c:v>675.33333333333337</c:v>
                </c:pt>
                <c:pt idx="184">
                  <c:v>740.16666666666674</c:v>
                </c:pt>
                <c:pt idx="185">
                  <c:v>805</c:v>
                </c:pt>
                <c:pt idx="186">
                  <c:v>812.16666666666663</c:v>
                </c:pt>
                <c:pt idx="187">
                  <c:v>819.33333333333326</c:v>
                </c:pt>
                <c:pt idx="188">
                  <c:v>826.49999999999989</c:v>
                </c:pt>
                <c:pt idx="189">
                  <c:v>833.66666666666652</c:v>
                </c:pt>
                <c:pt idx="190">
                  <c:v>840.83333333333314</c:v>
                </c:pt>
                <c:pt idx="191">
                  <c:v>848</c:v>
                </c:pt>
                <c:pt idx="192">
                  <c:v>851.83333333333337</c:v>
                </c:pt>
                <c:pt idx="193">
                  <c:v>855.66666666666674</c:v>
                </c:pt>
                <c:pt idx="194">
                  <c:v>859.50000000000011</c:v>
                </c:pt>
                <c:pt idx="195">
                  <c:v>863.33333333333348</c:v>
                </c:pt>
                <c:pt idx="196">
                  <c:v>867.16666666666686</c:v>
                </c:pt>
                <c:pt idx="197">
                  <c:v>871</c:v>
                </c:pt>
                <c:pt idx="198">
                  <c:v>846.83333333333337</c:v>
                </c:pt>
                <c:pt idx="199">
                  <c:v>822.66666666666674</c:v>
                </c:pt>
                <c:pt idx="200">
                  <c:v>798.50000000000011</c:v>
                </c:pt>
                <c:pt idx="201">
                  <c:v>774.33333333333348</c:v>
                </c:pt>
                <c:pt idx="202">
                  <c:v>750.16666666666686</c:v>
                </c:pt>
                <c:pt idx="203">
                  <c:v>726</c:v>
                </c:pt>
                <c:pt idx="204">
                  <c:v>696.33333333333337</c:v>
                </c:pt>
                <c:pt idx="205">
                  <c:v>666.66666666666674</c:v>
                </c:pt>
                <c:pt idx="206">
                  <c:v>637.00000000000011</c:v>
                </c:pt>
                <c:pt idx="207">
                  <c:v>607.33333333333348</c:v>
                </c:pt>
                <c:pt idx="208">
                  <c:v>577.66666666666686</c:v>
                </c:pt>
                <c:pt idx="209">
                  <c:v>548</c:v>
                </c:pt>
                <c:pt idx="210">
                  <c:v>509.5</c:v>
                </c:pt>
                <c:pt idx="211">
                  <c:v>471</c:v>
                </c:pt>
                <c:pt idx="212">
                  <c:v>432.5</c:v>
                </c:pt>
                <c:pt idx="213">
                  <c:v>394</c:v>
                </c:pt>
                <c:pt idx="214">
                  <c:v>355.5</c:v>
                </c:pt>
                <c:pt idx="215">
                  <c:v>317</c:v>
                </c:pt>
                <c:pt idx="216">
                  <c:v>283.83333333333331</c:v>
                </c:pt>
                <c:pt idx="217">
                  <c:v>250.66666666666666</c:v>
                </c:pt>
                <c:pt idx="218">
                  <c:v>217.5</c:v>
                </c:pt>
                <c:pt idx="219">
                  <c:v>184.33333333333334</c:v>
                </c:pt>
                <c:pt idx="220">
                  <c:v>151.16666666666669</c:v>
                </c:pt>
                <c:pt idx="221">
                  <c:v>118</c:v>
                </c:pt>
                <c:pt idx="222">
                  <c:v>112.33333333333333</c:v>
                </c:pt>
                <c:pt idx="223">
                  <c:v>106.66666666666666</c:v>
                </c:pt>
                <c:pt idx="224">
                  <c:v>100.99999999999999</c:v>
                </c:pt>
                <c:pt idx="225">
                  <c:v>95.333333333333314</c:v>
                </c:pt>
                <c:pt idx="226">
                  <c:v>89.666666666666643</c:v>
                </c:pt>
                <c:pt idx="227">
                  <c:v>84</c:v>
                </c:pt>
                <c:pt idx="228">
                  <c:v>91.166666666666671</c:v>
                </c:pt>
                <c:pt idx="229">
                  <c:v>98.333333333333343</c:v>
                </c:pt>
                <c:pt idx="230">
                  <c:v>105.50000000000001</c:v>
                </c:pt>
                <c:pt idx="231">
                  <c:v>112.66666666666669</c:v>
                </c:pt>
                <c:pt idx="232">
                  <c:v>119.83333333333336</c:v>
                </c:pt>
                <c:pt idx="233">
                  <c:v>127</c:v>
                </c:pt>
                <c:pt idx="234">
                  <c:v>121.5</c:v>
                </c:pt>
                <c:pt idx="235">
                  <c:v>116</c:v>
                </c:pt>
                <c:pt idx="236">
                  <c:v>110.5</c:v>
                </c:pt>
                <c:pt idx="237">
                  <c:v>105</c:v>
                </c:pt>
                <c:pt idx="238">
                  <c:v>99.5</c:v>
                </c:pt>
                <c:pt idx="239">
                  <c:v>94</c:v>
                </c:pt>
                <c:pt idx="240">
                  <c:v>94.666666666666671</c:v>
                </c:pt>
                <c:pt idx="241">
                  <c:v>95.333333333333343</c:v>
                </c:pt>
                <c:pt idx="242">
                  <c:v>96.000000000000014</c:v>
                </c:pt>
                <c:pt idx="243">
                  <c:v>96.666666666666686</c:v>
                </c:pt>
                <c:pt idx="244">
                  <c:v>97.333333333333357</c:v>
                </c:pt>
                <c:pt idx="245">
                  <c:v>98</c:v>
                </c:pt>
                <c:pt idx="246">
                  <c:v>101.16666666666667</c:v>
                </c:pt>
                <c:pt idx="247">
                  <c:v>104.33333333333334</c:v>
                </c:pt>
                <c:pt idx="248">
                  <c:v>107.50000000000001</c:v>
                </c:pt>
                <c:pt idx="249">
                  <c:v>110.66666666666669</c:v>
                </c:pt>
                <c:pt idx="250">
                  <c:v>113.83333333333336</c:v>
                </c:pt>
                <c:pt idx="251">
                  <c:v>117</c:v>
                </c:pt>
                <c:pt idx="252">
                  <c:v>115.83333333333333</c:v>
                </c:pt>
                <c:pt idx="253">
                  <c:v>114.66666666666666</c:v>
                </c:pt>
                <c:pt idx="254">
                  <c:v>112.08</c:v>
                </c:pt>
                <c:pt idx="255">
                  <c:v>107.04</c:v>
                </c:pt>
                <c:pt idx="256">
                  <c:v>109.28</c:v>
                </c:pt>
                <c:pt idx="257">
                  <c:v>110.55</c:v>
                </c:pt>
                <c:pt idx="258">
                  <c:v>109.95</c:v>
                </c:pt>
                <c:pt idx="259">
                  <c:v>107.75</c:v>
                </c:pt>
                <c:pt idx="260">
                  <c:v>111.19</c:v>
                </c:pt>
                <c:pt idx="261">
                  <c:v>107.1</c:v>
                </c:pt>
                <c:pt idx="262">
                  <c:v>106.28</c:v>
                </c:pt>
                <c:pt idx="263">
                  <c:v>104.92</c:v>
                </c:pt>
                <c:pt idx="264">
                  <c:v>102.38</c:v>
                </c:pt>
                <c:pt idx="265">
                  <c:v>99.04</c:v>
                </c:pt>
                <c:pt idx="266">
                  <c:v>100</c:v>
                </c:pt>
                <c:pt idx="267">
                  <c:v>101.71</c:v>
                </c:pt>
                <c:pt idx="268">
                  <c:v>101.55</c:v>
                </c:pt>
                <c:pt idx="269">
                  <c:v>103.01</c:v>
                </c:pt>
                <c:pt idx="270">
                  <c:v>99.67</c:v>
                </c:pt>
                <c:pt idx="271">
                  <c:v>103.93</c:v>
                </c:pt>
                <c:pt idx="272">
                  <c:v>103.92</c:v>
                </c:pt>
                <c:pt idx="273">
                  <c:v>101.4</c:v>
                </c:pt>
                <c:pt idx="274">
                  <c:v>105.95</c:v>
                </c:pt>
                <c:pt idx="275">
                  <c:v>108.16</c:v>
                </c:pt>
                <c:pt idx="276">
                  <c:v>108.21</c:v>
                </c:pt>
                <c:pt idx="277">
                  <c:v>109.13</c:v>
                </c:pt>
                <c:pt idx="278">
                  <c:v>108.01</c:v>
                </c:pt>
                <c:pt idx="279">
                  <c:v>108.56</c:v>
                </c:pt>
                <c:pt idx="280">
                  <c:v>108.87</c:v>
                </c:pt>
                <c:pt idx="281">
                  <c:v>109.81</c:v>
                </c:pt>
                <c:pt idx="282">
                  <c:v>112.3</c:v>
                </c:pt>
                <c:pt idx="283">
                  <c:v>111.5</c:v>
                </c:pt>
                <c:pt idx="284">
                  <c:v>110.7</c:v>
                </c:pt>
                <c:pt idx="285">
                  <c:v>111.5</c:v>
                </c:pt>
                <c:pt idx="286">
                  <c:v>110.2</c:v>
                </c:pt>
                <c:pt idx="287">
                  <c:v>110.9</c:v>
                </c:pt>
                <c:pt idx="288">
                  <c:v>113</c:v>
                </c:pt>
                <c:pt idx="289">
                  <c:v>113.5</c:v>
                </c:pt>
                <c:pt idx="290">
                  <c:v>114</c:v>
                </c:pt>
                <c:pt idx="291">
                  <c:v>113.8</c:v>
                </c:pt>
                <c:pt idx="292">
                  <c:v>115.1</c:v>
                </c:pt>
                <c:pt idx="293">
                  <c:v>115.8</c:v>
                </c:pt>
                <c:pt idx="294">
                  <c:v>116.4</c:v>
                </c:pt>
                <c:pt idx="295">
                  <c:v>116.1</c:v>
                </c:pt>
                <c:pt idx="296">
                  <c:v>116.1</c:v>
                </c:pt>
                <c:pt idx="297">
                  <c:v>113.2</c:v>
                </c:pt>
                <c:pt idx="298">
                  <c:v>114.6</c:v>
                </c:pt>
                <c:pt idx="299">
                  <c:v>115.7</c:v>
                </c:pt>
                <c:pt idx="300">
                  <c:v>117.8</c:v>
                </c:pt>
                <c:pt idx="301">
                  <c:v>118.6</c:v>
                </c:pt>
                <c:pt idx="302">
                  <c:v>121.35899999999999</c:v>
                </c:pt>
                <c:pt idx="303">
                  <c:v>122</c:v>
                </c:pt>
                <c:pt idx="304">
                  <c:v>122.6</c:v>
                </c:pt>
                <c:pt idx="305">
                  <c:v>122</c:v>
                </c:pt>
                <c:pt idx="306">
                  <c:v>125.5</c:v>
                </c:pt>
                <c:pt idx="307">
                  <c:v>126.1</c:v>
                </c:pt>
                <c:pt idx="308">
                  <c:v>126.5</c:v>
                </c:pt>
                <c:pt idx="309">
                  <c:v>128.4</c:v>
                </c:pt>
                <c:pt idx="310">
                  <c:v>127.4</c:v>
                </c:pt>
                <c:pt idx="311">
                  <c:v>124.346</c:v>
                </c:pt>
                <c:pt idx="312">
                  <c:v>123.8</c:v>
                </c:pt>
                <c:pt idx="313">
                  <c:v>123.8</c:v>
                </c:pt>
                <c:pt idx="314">
                  <c:v>123.5</c:v>
                </c:pt>
                <c:pt idx="315">
                  <c:v>122.4</c:v>
                </c:pt>
                <c:pt idx="316">
                  <c:v>#N/A</c:v>
                </c:pt>
                <c:pt idx="317">
                  <c:v>#N/A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Regression!$D$1</c:f>
              <c:strCache>
                <c:ptCount val="1"/>
                <c:pt idx="0">
                  <c:v>Regression</c:v>
                </c:pt>
              </c:strCache>
            </c:strRef>
          </c:tx>
          <c:marker>
            <c:symbol val="none"/>
          </c:marker>
          <c:cat>
            <c:numRef>
              <c:f>Regression!$A$2:$A$319</c:f>
              <c:numCache>
                <c:formatCode>m/d/yyyy</c:formatCode>
                <c:ptCount val="318"/>
                <c:pt idx="0">
                  <c:v>32874</c:v>
                </c:pt>
                <c:pt idx="1">
                  <c:v>32905</c:v>
                </c:pt>
                <c:pt idx="2">
                  <c:v>32933</c:v>
                </c:pt>
                <c:pt idx="3">
                  <c:v>32964</c:v>
                </c:pt>
                <c:pt idx="4">
                  <c:v>32994</c:v>
                </c:pt>
                <c:pt idx="5">
                  <c:v>33025</c:v>
                </c:pt>
                <c:pt idx="6">
                  <c:v>33055</c:v>
                </c:pt>
                <c:pt idx="7">
                  <c:v>33086</c:v>
                </c:pt>
                <c:pt idx="8">
                  <c:v>33117</c:v>
                </c:pt>
                <c:pt idx="9">
                  <c:v>33147</c:v>
                </c:pt>
                <c:pt idx="10">
                  <c:v>33178</c:v>
                </c:pt>
                <c:pt idx="11">
                  <c:v>33208</c:v>
                </c:pt>
                <c:pt idx="12">
                  <c:v>33239</c:v>
                </c:pt>
                <c:pt idx="13">
                  <c:v>33270</c:v>
                </c:pt>
                <c:pt idx="14">
                  <c:v>33298</c:v>
                </c:pt>
                <c:pt idx="15">
                  <c:v>33329</c:v>
                </c:pt>
                <c:pt idx="16">
                  <c:v>33359</c:v>
                </c:pt>
                <c:pt idx="17">
                  <c:v>33390</c:v>
                </c:pt>
                <c:pt idx="18">
                  <c:v>33420</c:v>
                </c:pt>
                <c:pt idx="19">
                  <c:v>33451</c:v>
                </c:pt>
                <c:pt idx="20">
                  <c:v>33482</c:v>
                </c:pt>
                <c:pt idx="21">
                  <c:v>33512</c:v>
                </c:pt>
                <c:pt idx="22">
                  <c:v>33543</c:v>
                </c:pt>
                <c:pt idx="23">
                  <c:v>33573</c:v>
                </c:pt>
                <c:pt idx="24">
                  <c:v>33604</c:v>
                </c:pt>
                <c:pt idx="25">
                  <c:v>33635</c:v>
                </c:pt>
                <c:pt idx="26">
                  <c:v>33664</c:v>
                </c:pt>
                <c:pt idx="27">
                  <c:v>33695</c:v>
                </c:pt>
                <c:pt idx="28">
                  <c:v>33725</c:v>
                </c:pt>
                <c:pt idx="29">
                  <c:v>33756</c:v>
                </c:pt>
                <c:pt idx="30">
                  <c:v>33786</c:v>
                </c:pt>
                <c:pt idx="31">
                  <c:v>33817</c:v>
                </c:pt>
                <c:pt idx="32">
                  <c:v>33848</c:v>
                </c:pt>
                <c:pt idx="33">
                  <c:v>33878</c:v>
                </c:pt>
                <c:pt idx="34">
                  <c:v>33909</c:v>
                </c:pt>
                <c:pt idx="35">
                  <c:v>33939</c:v>
                </c:pt>
                <c:pt idx="36">
                  <c:v>33970</c:v>
                </c:pt>
                <c:pt idx="37">
                  <c:v>34001</c:v>
                </c:pt>
                <c:pt idx="38">
                  <c:v>34029</c:v>
                </c:pt>
                <c:pt idx="39">
                  <c:v>34060</c:v>
                </c:pt>
                <c:pt idx="40">
                  <c:v>34090</c:v>
                </c:pt>
                <c:pt idx="41">
                  <c:v>34121</c:v>
                </c:pt>
                <c:pt idx="42">
                  <c:v>34151</c:v>
                </c:pt>
                <c:pt idx="43">
                  <c:v>34182</c:v>
                </c:pt>
                <c:pt idx="44">
                  <c:v>34213</c:v>
                </c:pt>
                <c:pt idx="45">
                  <c:v>34243</c:v>
                </c:pt>
                <c:pt idx="46">
                  <c:v>34274</c:v>
                </c:pt>
                <c:pt idx="47">
                  <c:v>34304</c:v>
                </c:pt>
                <c:pt idx="48">
                  <c:v>34335</c:v>
                </c:pt>
                <c:pt idx="49">
                  <c:v>34366</c:v>
                </c:pt>
                <c:pt idx="50">
                  <c:v>34394</c:v>
                </c:pt>
                <c:pt idx="51">
                  <c:v>34425</c:v>
                </c:pt>
                <c:pt idx="52">
                  <c:v>34455</c:v>
                </c:pt>
                <c:pt idx="53">
                  <c:v>34486</c:v>
                </c:pt>
                <c:pt idx="54">
                  <c:v>34516</c:v>
                </c:pt>
                <c:pt idx="55">
                  <c:v>34547</c:v>
                </c:pt>
                <c:pt idx="56">
                  <c:v>34578</c:v>
                </c:pt>
                <c:pt idx="57">
                  <c:v>34608</c:v>
                </c:pt>
                <c:pt idx="58">
                  <c:v>34639</c:v>
                </c:pt>
                <c:pt idx="59">
                  <c:v>34669</c:v>
                </c:pt>
                <c:pt idx="60">
                  <c:v>34700</c:v>
                </c:pt>
                <c:pt idx="61">
                  <c:v>34731</c:v>
                </c:pt>
                <c:pt idx="62">
                  <c:v>34759</c:v>
                </c:pt>
                <c:pt idx="63">
                  <c:v>34790</c:v>
                </c:pt>
                <c:pt idx="64">
                  <c:v>34820</c:v>
                </c:pt>
                <c:pt idx="65">
                  <c:v>34851</c:v>
                </c:pt>
                <c:pt idx="66">
                  <c:v>34881</c:v>
                </c:pt>
                <c:pt idx="67">
                  <c:v>34912</c:v>
                </c:pt>
                <c:pt idx="68">
                  <c:v>34943</c:v>
                </c:pt>
                <c:pt idx="69">
                  <c:v>34973</c:v>
                </c:pt>
                <c:pt idx="70">
                  <c:v>35004</c:v>
                </c:pt>
                <c:pt idx="71">
                  <c:v>35034</c:v>
                </c:pt>
                <c:pt idx="72">
                  <c:v>35065</c:v>
                </c:pt>
                <c:pt idx="73">
                  <c:v>35096</c:v>
                </c:pt>
                <c:pt idx="74">
                  <c:v>35125</c:v>
                </c:pt>
                <c:pt idx="75">
                  <c:v>35156</c:v>
                </c:pt>
                <c:pt idx="76">
                  <c:v>35186</c:v>
                </c:pt>
                <c:pt idx="77">
                  <c:v>35217</c:v>
                </c:pt>
                <c:pt idx="78">
                  <c:v>35247</c:v>
                </c:pt>
                <c:pt idx="79">
                  <c:v>35278</c:v>
                </c:pt>
                <c:pt idx="80">
                  <c:v>35309</c:v>
                </c:pt>
                <c:pt idx="81">
                  <c:v>35339</c:v>
                </c:pt>
                <c:pt idx="82">
                  <c:v>35370</c:v>
                </c:pt>
                <c:pt idx="83">
                  <c:v>35400</c:v>
                </c:pt>
                <c:pt idx="84">
                  <c:v>35431</c:v>
                </c:pt>
                <c:pt idx="85">
                  <c:v>35462</c:v>
                </c:pt>
                <c:pt idx="86">
                  <c:v>35490</c:v>
                </c:pt>
                <c:pt idx="87">
                  <c:v>35521</c:v>
                </c:pt>
                <c:pt idx="88">
                  <c:v>35551</c:v>
                </c:pt>
                <c:pt idx="89">
                  <c:v>35582</c:v>
                </c:pt>
                <c:pt idx="90">
                  <c:v>35612</c:v>
                </c:pt>
                <c:pt idx="91">
                  <c:v>35643</c:v>
                </c:pt>
                <c:pt idx="92">
                  <c:v>35674</c:v>
                </c:pt>
                <c:pt idx="93">
                  <c:v>35704</c:v>
                </c:pt>
                <c:pt idx="94">
                  <c:v>35735</c:v>
                </c:pt>
                <c:pt idx="95">
                  <c:v>35765</c:v>
                </c:pt>
                <c:pt idx="96">
                  <c:v>35796</c:v>
                </c:pt>
                <c:pt idx="97">
                  <c:v>35827</c:v>
                </c:pt>
                <c:pt idx="98">
                  <c:v>35855</c:v>
                </c:pt>
                <c:pt idx="99">
                  <c:v>35886</c:v>
                </c:pt>
                <c:pt idx="100">
                  <c:v>35916</c:v>
                </c:pt>
                <c:pt idx="101">
                  <c:v>35947</c:v>
                </c:pt>
                <c:pt idx="102">
                  <c:v>35977</c:v>
                </c:pt>
                <c:pt idx="103">
                  <c:v>36008</c:v>
                </c:pt>
                <c:pt idx="104">
                  <c:v>36039</c:v>
                </c:pt>
                <c:pt idx="105">
                  <c:v>36069</c:v>
                </c:pt>
                <c:pt idx="106">
                  <c:v>36100</c:v>
                </c:pt>
                <c:pt idx="107">
                  <c:v>36130</c:v>
                </c:pt>
                <c:pt idx="108">
                  <c:v>36161</c:v>
                </c:pt>
                <c:pt idx="109">
                  <c:v>36192</c:v>
                </c:pt>
                <c:pt idx="110">
                  <c:v>36220</c:v>
                </c:pt>
                <c:pt idx="111">
                  <c:v>36251</c:v>
                </c:pt>
                <c:pt idx="112">
                  <c:v>36281</c:v>
                </c:pt>
                <c:pt idx="113">
                  <c:v>36312</c:v>
                </c:pt>
                <c:pt idx="114">
                  <c:v>36342</c:v>
                </c:pt>
                <c:pt idx="115">
                  <c:v>36373</c:v>
                </c:pt>
                <c:pt idx="116">
                  <c:v>36404</c:v>
                </c:pt>
                <c:pt idx="117">
                  <c:v>36434</c:v>
                </c:pt>
                <c:pt idx="118">
                  <c:v>36465</c:v>
                </c:pt>
                <c:pt idx="119">
                  <c:v>36495</c:v>
                </c:pt>
                <c:pt idx="120">
                  <c:v>36526</c:v>
                </c:pt>
                <c:pt idx="121">
                  <c:v>36557</c:v>
                </c:pt>
                <c:pt idx="122">
                  <c:v>36586</c:v>
                </c:pt>
                <c:pt idx="123">
                  <c:v>36617</c:v>
                </c:pt>
                <c:pt idx="124">
                  <c:v>36647</c:v>
                </c:pt>
                <c:pt idx="125">
                  <c:v>36678</c:v>
                </c:pt>
                <c:pt idx="126">
                  <c:v>36708</c:v>
                </c:pt>
                <c:pt idx="127">
                  <c:v>36739</c:v>
                </c:pt>
                <c:pt idx="128">
                  <c:v>36770</c:v>
                </c:pt>
                <c:pt idx="129">
                  <c:v>36800</c:v>
                </c:pt>
                <c:pt idx="130">
                  <c:v>36831</c:v>
                </c:pt>
                <c:pt idx="131">
                  <c:v>36861</c:v>
                </c:pt>
                <c:pt idx="132">
                  <c:v>36892</c:v>
                </c:pt>
                <c:pt idx="133">
                  <c:v>36923</c:v>
                </c:pt>
                <c:pt idx="134">
                  <c:v>36951</c:v>
                </c:pt>
                <c:pt idx="135">
                  <c:v>36982</c:v>
                </c:pt>
                <c:pt idx="136">
                  <c:v>37012</c:v>
                </c:pt>
                <c:pt idx="137">
                  <c:v>37043</c:v>
                </c:pt>
                <c:pt idx="138">
                  <c:v>37073</c:v>
                </c:pt>
                <c:pt idx="139">
                  <c:v>37104</c:v>
                </c:pt>
                <c:pt idx="140">
                  <c:v>37135</c:v>
                </c:pt>
                <c:pt idx="141">
                  <c:v>37165</c:v>
                </c:pt>
                <c:pt idx="142">
                  <c:v>37196</c:v>
                </c:pt>
                <c:pt idx="143">
                  <c:v>37226</c:v>
                </c:pt>
                <c:pt idx="144">
                  <c:v>37257</c:v>
                </c:pt>
                <c:pt idx="145">
                  <c:v>37288</c:v>
                </c:pt>
                <c:pt idx="146">
                  <c:v>37316</c:v>
                </c:pt>
                <c:pt idx="147">
                  <c:v>37347</c:v>
                </c:pt>
                <c:pt idx="148">
                  <c:v>37377</c:v>
                </c:pt>
                <c:pt idx="149">
                  <c:v>37408</c:v>
                </c:pt>
                <c:pt idx="150">
                  <c:v>37438</c:v>
                </c:pt>
                <c:pt idx="151">
                  <c:v>37469</c:v>
                </c:pt>
                <c:pt idx="152">
                  <c:v>37500</c:v>
                </c:pt>
                <c:pt idx="153">
                  <c:v>37530</c:v>
                </c:pt>
                <c:pt idx="154">
                  <c:v>37561</c:v>
                </c:pt>
                <c:pt idx="155">
                  <c:v>37591</c:v>
                </c:pt>
                <c:pt idx="156">
                  <c:v>37622</c:v>
                </c:pt>
                <c:pt idx="157">
                  <c:v>37653</c:v>
                </c:pt>
                <c:pt idx="158">
                  <c:v>37681</c:v>
                </c:pt>
                <c:pt idx="159">
                  <c:v>37712</c:v>
                </c:pt>
                <c:pt idx="160">
                  <c:v>37742</c:v>
                </c:pt>
                <c:pt idx="161">
                  <c:v>37773</c:v>
                </c:pt>
                <c:pt idx="162">
                  <c:v>37803</c:v>
                </c:pt>
                <c:pt idx="163">
                  <c:v>37834</c:v>
                </c:pt>
                <c:pt idx="164">
                  <c:v>37865</c:v>
                </c:pt>
                <c:pt idx="165">
                  <c:v>37895</c:v>
                </c:pt>
                <c:pt idx="166">
                  <c:v>37926</c:v>
                </c:pt>
                <c:pt idx="167">
                  <c:v>37956</c:v>
                </c:pt>
                <c:pt idx="168">
                  <c:v>37987</c:v>
                </c:pt>
                <c:pt idx="169">
                  <c:v>38018</c:v>
                </c:pt>
                <c:pt idx="170">
                  <c:v>38047</c:v>
                </c:pt>
                <c:pt idx="171">
                  <c:v>38078</c:v>
                </c:pt>
                <c:pt idx="172">
                  <c:v>38108</c:v>
                </c:pt>
                <c:pt idx="173">
                  <c:v>38139</c:v>
                </c:pt>
                <c:pt idx="174">
                  <c:v>38169</c:v>
                </c:pt>
                <c:pt idx="175">
                  <c:v>38200</c:v>
                </c:pt>
                <c:pt idx="176">
                  <c:v>38231</c:v>
                </c:pt>
                <c:pt idx="177">
                  <c:v>38261</c:v>
                </c:pt>
                <c:pt idx="178">
                  <c:v>38292</c:v>
                </c:pt>
                <c:pt idx="179">
                  <c:v>38322</c:v>
                </c:pt>
                <c:pt idx="180">
                  <c:v>38353</c:v>
                </c:pt>
                <c:pt idx="181">
                  <c:v>38384</c:v>
                </c:pt>
                <c:pt idx="182">
                  <c:v>38412</c:v>
                </c:pt>
                <c:pt idx="183">
                  <c:v>38443</c:v>
                </c:pt>
                <c:pt idx="184">
                  <c:v>38473</c:v>
                </c:pt>
                <c:pt idx="185">
                  <c:v>38504</c:v>
                </c:pt>
                <c:pt idx="186">
                  <c:v>38534</c:v>
                </c:pt>
                <c:pt idx="187">
                  <c:v>38565</c:v>
                </c:pt>
                <c:pt idx="188">
                  <c:v>38596</c:v>
                </c:pt>
                <c:pt idx="189">
                  <c:v>38626</c:v>
                </c:pt>
                <c:pt idx="190">
                  <c:v>38657</c:v>
                </c:pt>
                <c:pt idx="191">
                  <c:v>38687</c:v>
                </c:pt>
                <c:pt idx="192">
                  <c:v>38718</c:v>
                </c:pt>
                <c:pt idx="193">
                  <c:v>38749</c:v>
                </c:pt>
                <c:pt idx="194">
                  <c:v>38777</c:v>
                </c:pt>
                <c:pt idx="195">
                  <c:v>38808</c:v>
                </c:pt>
                <c:pt idx="196">
                  <c:v>38838</c:v>
                </c:pt>
                <c:pt idx="197">
                  <c:v>38869</c:v>
                </c:pt>
                <c:pt idx="198">
                  <c:v>38899</c:v>
                </c:pt>
                <c:pt idx="199">
                  <c:v>38930</c:v>
                </c:pt>
                <c:pt idx="200">
                  <c:v>38961</c:v>
                </c:pt>
                <c:pt idx="201">
                  <c:v>38991</c:v>
                </c:pt>
                <c:pt idx="202">
                  <c:v>39022</c:v>
                </c:pt>
                <c:pt idx="203">
                  <c:v>39052</c:v>
                </c:pt>
                <c:pt idx="204">
                  <c:v>39083</c:v>
                </c:pt>
                <c:pt idx="205">
                  <c:v>39114</c:v>
                </c:pt>
                <c:pt idx="206">
                  <c:v>39142</c:v>
                </c:pt>
                <c:pt idx="207">
                  <c:v>39173</c:v>
                </c:pt>
                <c:pt idx="208">
                  <c:v>39203</c:v>
                </c:pt>
                <c:pt idx="209">
                  <c:v>39234</c:v>
                </c:pt>
                <c:pt idx="210">
                  <c:v>39264</c:v>
                </c:pt>
                <c:pt idx="211">
                  <c:v>39295</c:v>
                </c:pt>
                <c:pt idx="212">
                  <c:v>39326</c:v>
                </c:pt>
                <c:pt idx="213">
                  <c:v>39356</c:v>
                </c:pt>
                <c:pt idx="214">
                  <c:v>39387</c:v>
                </c:pt>
                <c:pt idx="215">
                  <c:v>39417</c:v>
                </c:pt>
                <c:pt idx="216">
                  <c:v>39448</c:v>
                </c:pt>
                <c:pt idx="217">
                  <c:v>39479</c:v>
                </c:pt>
                <c:pt idx="218">
                  <c:v>39508</c:v>
                </c:pt>
                <c:pt idx="219">
                  <c:v>39539</c:v>
                </c:pt>
                <c:pt idx="220">
                  <c:v>39569</c:v>
                </c:pt>
                <c:pt idx="221">
                  <c:v>39600</c:v>
                </c:pt>
                <c:pt idx="222">
                  <c:v>39630</c:v>
                </c:pt>
                <c:pt idx="223">
                  <c:v>39661</c:v>
                </c:pt>
                <c:pt idx="224">
                  <c:v>39692</c:v>
                </c:pt>
                <c:pt idx="225">
                  <c:v>39722</c:v>
                </c:pt>
                <c:pt idx="226">
                  <c:v>39753</c:v>
                </c:pt>
                <c:pt idx="227">
                  <c:v>39783</c:v>
                </c:pt>
                <c:pt idx="228">
                  <c:v>39814</c:v>
                </c:pt>
                <c:pt idx="229">
                  <c:v>39845</c:v>
                </c:pt>
                <c:pt idx="230">
                  <c:v>39873</c:v>
                </c:pt>
                <c:pt idx="231">
                  <c:v>39904</c:v>
                </c:pt>
                <c:pt idx="232">
                  <c:v>39934</c:v>
                </c:pt>
                <c:pt idx="233">
                  <c:v>39965</c:v>
                </c:pt>
                <c:pt idx="234">
                  <c:v>39995</c:v>
                </c:pt>
                <c:pt idx="235">
                  <c:v>40026</c:v>
                </c:pt>
                <c:pt idx="236">
                  <c:v>40057</c:v>
                </c:pt>
                <c:pt idx="237">
                  <c:v>40087</c:v>
                </c:pt>
                <c:pt idx="238">
                  <c:v>40118</c:v>
                </c:pt>
                <c:pt idx="239">
                  <c:v>40148</c:v>
                </c:pt>
                <c:pt idx="240">
                  <c:v>40179</c:v>
                </c:pt>
                <c:pt idx="241">
                  <c:v>40210</c:v>
                </c:pt>
                <c:pt idx="242">
                  <c:v>40238</c:v>
                </c:pt>
                <c:pt idx="243">
                  <c:v>40269</c:v>
                </c:pt>
                <c:pt idx="244">
                  <c:v>40299</c:v>
                </c:pt>
                <c:pt idx="245">
                  <c:v>40330</c:v>
                </c:pt>
                <c:pt idx="246">
                  <c:v>40360</c:v>
                </c:pt>
                <c:pt idx="247">
                  <c:v>40391</c:v>
                </c:pt>
                <c:pt idx="248">
                  <c:v>40422</c:v>
                </c:pt>
                <c:pt idx="249">
                  <c:v>40452</c:v>
                </c:pt>
                <c:pt idx="250">
                  <c:v>40483</c:v>
                </c:pt>
                <c:pt idx="251">
                  <c:v>40513</c:v>
                </c:pt>
                <c:pt idx="252">
                  <c:v>40544</c:v>
                </c:pt>
                <c:pt idx="253">
                  <c:v>40575</c:v>
                </c:pt>
                <c:pt idx="254">
                  <c:v>40603</c:v>
                </c:pt>
                <c:pt idx="255">
                  <c:v>40634</c:v>
                </c:pt>
                <c:pt idx="256">
                  <c:v>40664</c:v>
                </c:pt>
                <c:pt idx="257">
                  <c:v>40695</c:v>
                </c:pt>
                <c:pt idx="258">
                  <c:v>40725</c:v>
                </c:pt>
                <c:pt idx="259">
                  <c:v>40756</c:v>
                </c:pt>
                <c:pt idx="260">
                  <c:v>40787</c:v>
                </c:pt>
                <c:pt idx="261">
                  <c:v>40817</c:v>
                </c:pt>
                <c:pt idx="262">
                  <c:v>40848</c:v>
                </c:pt>
                <c:pt idx="263">
                  <c:v>40878</c:v>
                </c:pt>
                <c:pt idx="264">
                  <c:v>40909</c:v>
                </c:pt>
                <c:pt idx="265">
                  <c:v>40940</c:v>
                </c:pt>
                <c:pt idx="266">
                  <c:v>40969</c:v>
                </c:pt>
                <c:pt idx="267">
                  <c:v>41000</c:v>
                </c:pt>
                <c:pt idx="268">
                  <c:v>41030</c:v>
                </c:pt>
                <c:pt idx="269">
                  <c:v>41061</c:v>
                </c:pt>
                <c:pt idx="270">
                  <c:v>41091</c:v>
                </c:pt>
                <c:pt idx="271">
                  <c:v>41122</c:v>
                </c:pt>
                <c:pt idx="272">
                  <c:v>41153</c:v>
                </c:pt>
                <c:pt idx="273">
                  <c:v>41183</c:v>
                </c:pt>
                <c:pt idx="274">
                  <c:v>41214</c:v>
                </c:pt>
                <c:pt idx="275">
                  <c:v>41244</c:v>
                </c:pt>
                <c:pt idx="276">
                  <c:v>41275</c:v>
                </c:pt>
                <c:pt idx="277">
                  <c:v>41306</c:v>
                </c:pt>
                <c:pt idx="278">
                  <c:v>41334</c:v>
                </c:pt>
                <c:pt idx="279">
                  <c:v>41365</c:v>
                </c:pt>
                <c:pt idx="280">
                  <c:v>41395</c:v>
                </c:pt>
                <c:pt idx="281">
                  <c:v>41426</c:v>
                </c:pt>
                <c:pt idx="282">
                  <c:v>41456</c:v>
                </c:pt>
                <c:pt idx="283">
                  <c:v>41487</c:v>
                </c:pt>
                <c:pt idx="284">
                  <c:v>41518</c:v>
                </c:pt>
                <c:pt idx="285">
                  <c:v>41548</c:v>
                </c:pt>
                <c:pt idx="286">
                  <c:v>41579</c:v>
                </c:pt>
                <c:pt idx="287">
                  <c:v>41609</c:v>
                </c:pt>
                <c:pt idx="288">
                  <c:v>41640</c:v>
                </c:pt>
                <c:pt idx="289">
                  <c:v>41671</c:v>
                </c:pt>
                <c:pt idx="290">
                  <c:v>41699</c:v>
                </c:pt>
                <c:pt idx="291">
                  <c:v>41730</c:v>
                </c:pt>
                <c:pt idx="292">
                  <c:v>41760</c:v>
                </c:pt>
                <c:pt idx="293">
                  <c:v>41791</c:v>
                </c:pt>
                <c:pt idx="294">
                  <c:v>41821</c:v>
                </c:pt>
                <c:pt idx="295">
                  <c:v>41852</c:v>
                </c:pt>
                <c:pt idx="296">
                  <c:v>41883</c:v>
                </c:pt>
                <c:pt idx="297">
                  <c:v>41913</c:v>
                </c:pt>
                <c:pt idx="298">
                  <c:v>41944</c:v>
                </c:pt>
                <c:pt idx="299">
                  <c:v>41974</c:v>
                </c:pt>
                <c:pt idx="300">
                  <c:v>42005</c:v>
                </c:pt>
                <c:pt idx="301">
                  <c:v>42036</c:v>
                </c:pt>
                <c:pt idx="302">
                  <c:v>42064</c:v>
                </c:pt>
                <c:pt idx="303">
                  <c:v>42095</c:v>
                </c:pt>
                <c:pt idx="304">
                  <c:v>42125</c:v>
                </c:pt>
                <c:pt idx="305">
                  <c:v>42156</c:v>
                </c:pt>
                <c:pt idx="306">
                  <c:v>42186</c:v>
                </c:pt>
                <c:pt idx="307">
                  <c:v>42217</c:v>
                </c:pt>
                <c:pt idx="308">
                  <c:v>42248</c:v>
                </c:pt>
                <c:pt idx="309">
                  <c:v>42278</c:v>
                </c:pt>
                <c:pt idx="310">
                  <c:v>42309</c:v>
                </c:pt>
                <c:pt idx="311">
                  <c:v>42339</c:v>
                </c:pt>
                <c:pt idx="312">
                  <c:v>42370</c:v>
                </c:pt>
                <c:pt idx="313">
                  <c:v>42401</c:v>
                </c:pt>
                <c:pt idx="314">
                  <c:v>42430</c:v>
                </c:pt>
                <c:pt idx="315">
                  <c:v>42461</c:v>
                </c:pt>
                <c:pt idx="316">
                  <c:v>42491</c:v>
                </c:pt>
                <c:pt idx="317">
                  <c:v>42522</c:v>
                </c:pt>
              </c:numCache>
            </c:numRef>
          </c:cat>
          <c:val>
            <c:numRef>
              <c:f>Regression!$D$2:$D$319</c:f>
              <c:numCache>
                <c:formatCode>General</c:formatCode>
                <c:ptCount val="318"/>
                <c:pt idx="0">
                  <c:v>-86.633039999999966</c:v>
                </c:pt>
                <c:pt idx="1">
                  <c:v>-70.551230000000004</c:v>
                </c:pt>
                <c:pt idx="2">
                  <c:v>-86.881247999999999</c:v>
                </c:pt>
                <c:pt idx="3">
                  <c:v>-89.01169999999999</c:v>
                </c:pt>
                <c:pt idx="4">
                  <c:v>-100.905</c:v>
                </c:pt>
                <c:pt idx="5">
                  <c:v>-87.460399999999993</c:v>
                </c:pt>
                <c:pt idx="6">
                  <c:v>-94.389539999999982</c:v>
                </c:pt>
                <c:pt idx="7">
                  <c:v>-93.293288000000018</c:v>
                </c:pt>
                <c:pt idx="8">
                  <c:v>-111.35041999999999</c:v>
                </c:pt>
                <c:pt idx="9">
                  <c:v>-122.72662000000003</c:v>
                </c:pt>
                <c:pt idx="10">
                  <c:v>-108.47534399999998</c:v>
                </c:pt>
                <c:pt idx="11">
                  <c:v>-114.55643999999998</c:v>
                </c:pt>
                <c:pt idx="12">
                  <c:v>-97.026749999999993</c:v>
                </c:pt>
                <c:pt idx="13">
                  <c:v>-73.395279999999985</c:v>
                </c:pt>
                <c:pt idx="14">
                  <c:v>-40.714560000000006</c:v>
                </c:pt>
                <c:pt idx="15">
                  <c:v>-46.092399999999998</c:v>
                </c:pt>
                <c:pt idx="16">
                  <c:v>-35.08851199999998</c:v>
                </c:pt>
                <c:pt idx="17">
                  <c:v>-42.214149999999989</c:v>
                </c:pt>
                <c:pt idx="18">
                  <c:v>-36.008949999999999</c:v>
                </c:pt>
                <c:pt idx="19">
                  <c:v>-60.033416000000017</c:v>
                </c:pt>
                <c:pt idx="20">
                  <c:v>-56.64124000000001</c:v>
                </c:pt>
                <c:pt idx="21">
                  <c:v>-45.627010000000013</c:v>
                </c:pt>
                <c:pt idx="22">
                  <c:v>-63.6738</c:v>
                </c:pt>
                <c:pt idx="23">
                  <c:v>-70.396099999999961</c:v>
                </c:pt>
                <c:pt idx="24">
                  <c:v>-2.9869440000000509</c:v>
                </c:pt>
                <c:pt idx="25">
                  <c:v>-10.153950000000009</c:v>
                </c:pt>
                <c:pt idx="26">
                  <c:v>-37.973929999999967</c:v>
                </c:pt>
                <c:pt idx="27">
                  <c:v>-33.785420000000016</c:v>
                </c:pt>
                <c:pt idx="28">
                  <c:v>-34.38525599999997</c:v>
                </c:pt>
                <c:pt idx="29">
                  <c:v>-35.646980000000013</c:v>
                </c:pt>
                <c:pt idx="30">
                  <c:v>8.5960959999999886</c:v>
                </c:pt>
                <c:pt idx="31">
                  <c:v>17.510899999999992</c:v>
                </c:pt>
                <c:pt idx="32">
                  <c:v>26.66357000000005</c:v>
                </c:pt>
                <c:pt idx="33">
                  <c:v>9.5061919999999986</c:v>
                </c:pt>
                <c:pt idx="34">
                  <c:v>8.0479700000000207</c:v>
                </c:pt>
                <c:pt idx="35">
                  <c:v>1.9461900000000583</c:v>
                </c:pt>
                <c:pt idx="36">
                  <c:v>7.6860000000000355</c:v>
                </c:pt>
                <c:pt idx="37">
                  <c:v>40.832109999999943</c:v>
                </c:pt>
                <c:pt idx="38">
                  <c:v>33.230740000000026</c:v>
                </c:pt>
                <c:pt idx="39">
                  <c:v>67.04908000000006</c:v>
                </c:pt>
                <c:pt idx="40">
                  <c:v>32.86877000000004</c:v>
                </c:pt>
                <c:pt idx="41">
                  <c:v>48.743740000000003</c:v>
                </c:pt>
                <c:pt idx="42">
                  <c:v>65.973512000000028</c:v>
                </c:pt>
                <c:pt idx="43">
                  <c:v>35.816239999999993</c:v>
                </c:pt>
                <c:pt idx="44">
                  <c:v>88.353600000000029</c:v>
                </c:pt>
                <c:pt idx="45">
                  <c:v>61.423031999999978</c:v>
                </c:pt>
                <c:pt idx="46">
                  <c:v>57.792990000000032</c:v>
                </c:pt>
                <c:pt idx="47">
                  <c:v>35.402559999999994</c:v>
                </c:pt>
                <c:pt idx="48">
                  <c:v>1.0154100000000312</c:v>
                </c:pt>
                <c:pt idx="49">
                  <c:v>42.952219999999954</c:v>
                </c:pt>
                <c:pt idx="50">
                  <c:v>34.264940000000024</c:v>
                </c:pt>
                <c:pt idx="51">
                  <c:v>55.424672000000044</c:v>
                </c:pt>
                <c:pt idx="52">
                  <c:v>24.026360000000011</c:v>
                </c:pt>
                <c:pt idx="53">
                  <c:v>22.526770000000056</c:v>
                </c:pt>
                <c:pt idx="54">
                  <c:v>20.261871999999983</c:v>
                </c:pt>
                <c:pt idx="55">
                  <c:v>15.442499999999995</c:v>
                </c:pt>
                <c:pt idx="56">
                  <c:v>7.8514720000000011</c:v>
                </c:pt>
                <c:pt idx="57">
                  <c:v>2.0496099999999728</c:v>
                </c:pt>
                <c:pt idx="58">
                  <c:v>2.8769700000000284</c:v>
                </c:pt>
                <c:pt idx="59">
                  <c:v>-20.196031999999946</c:v>
                </c:pt>
                <c:pt idx="60">
                  <c:v>-9.5851399999999671</c:v>
                </c:pt>
                <c:pt idx="61">
                  <c:v>10.116369999999961</c:v>
                </c:pt>
                <c:pt idx="62">
                  <c:v>10.705863999999963</c:v>
                </c:pt>
                <c:pt idx="63">
                  <c:v>32.558510000000012</c:v>
                </c:pt>
                <c:pt idx="64">
                  <c:v>45.227459999999951</c:v>
                </c:pt>
                <c:pt idx="65">
                  <c:v>78.508015999999884</c:v>
                </c:pt>
                <c:pt idx="66">
                  <c:v>56.758789999999976</c:v>
                </c:pt>
                <c:pt idx="67">
                  <c:v>41.504340000000013</c:v>
                </c:pt>
                <c:pt idx="68">
                  <c:v>112.55387999999999</c:v>
                </c:pt>
                <c:pt idx="69">
                  <c:v>108.98588999999998</c:v>
                </c:pt>
                <c:pt idx="70">
                  <c:v>111.88165000000004</c:v>
                </c:pt>
                <c:pt idx="71">
                  <c:v>145.60691200000002</c:v>
                </c:pt>
                <c:pt idx="72">
                  <c:v>87.784790000000044</c:v>
                </c:pt>
                <c:pt idx="73">
                  <c:v>80.90736000000004</c:v>
                </c:pt>
                <c:pt idx="74">
                  <c:v>93.110920000000021</c:v>
                </c:pt>
                <c:pt idx="75">
                  <c:v>89.077539999999942</c:v>
                </c:pt>
                <c:pt idx="76">
                  <c:v>113.46397600000006</c:v>
                </c:pt>
                <c:pt idx="77">
                  <c:v>102.16016999999999</c:v>
                </c:pt>
                <c:pt idx="78">
                  <c:v>97.661400000000071</c:v>
                </c:pt>
                <c:pt idx="79">
                  <c:v>98.736968000000104</c:v>
                </c:pt>
                <c:pt idx="80">
                  <c:v>107.74484999999999</c:v>
                </c:pt>
                <c:pt idx="81">
                  <c:v>99.264409999999998</c:v>
                </c:pt>
                <c:pt idx="82">
                  <c:v>135.67859200000004</c:v>
                </c:pt>
                <c:pt idx="83">
                  <c:v>115.60477000000003</c:v>
                </c:pt>
                <c:pt idx="84">
                  <c:v>103.41155200000009</c:v>
                </c:pt>
                <c:pt idx="85">
                  <c:v>103.24608000000006</c:v>
                </c:pt>
                <c:pt idx="86">
                  <c:v>146.01024999999998</c:v>
                </c:pt>
                <c:pt idx="87">
                  <c:v>94.14512000000002</c:v>
                </c:pt>
                <c:pt idx="88">
                  <c:v>121.36526399999997</c:v>
                </c:pt>
                <c:pt idx="89">
                  <c:v>151.95690000000002</c:v>
                </c:pt>
                <c:pt idx="90">
                  <c:v>159.60998000000001</c:v>
                </c:pt>
                <c:pt idx="91">
                  <c:v>164.71892800000001</c:v>
                </c:pt>
                <c:pt idx="92">
                  <c:v>173.83022999999997</c:v>
                </c:pt>
                <c:pt idx="93">
                  <c:v>177.5430080000001</c:v>
                </c:pt>
                <c:pt idx="94">
                  <c:v>187.27483000000007</c:v>
                </c:pt>
                <c:pt idx="95">
                  <c:v>193.58345000000008</c:v>
                </c:pt>
                <c:pt idx="96">
                  <c:v>281.08711199999993</c:v>
                </c:pt>
                <c:pt idx="97">
                  <c:v>208.32080000000002</c:v>
                </c:pt>
                <c:pt idx="98">
                  <c:v>187.06799000000007</c:v>
                </c:pt>
                <c:pt idx="99">
                  <c:v>241.82888000000003</c:v>
                </c:pt>
                <c:pt idx="100">
                  <c:v>270.12459200000001</c:v>
                </c:pt>
                <c:pt idx="101">
                  <c:v>265.25351000000012</c:v>
                </c:pt>
                <c:pt idx="102">
                  <c:v>265.61547999999993</c:v>
                </c:pt>
                <c:pt idx="103">
                  <c:v>248.96486000000004</c:v>
                </c:pt>
                <c:pt idx="104">
                  <c:v>326.99525000000006</c:v>
                </c:pt>
                <c:pt idx="105">
                  <c:v>339.82967199999996</c:v>
                </c:pt>
                <c:pt idx="106">
                  <c:v>312.15448000000004</c:v>
                </c:pt>
                <c:pt idx="107">
                  <c:v>304.03600999999992</c:v>
                </c:pt>
                <c:pt idx="108">
                  <c:v>273.02035200000012</c:v>
                </c:pt>
                <c:pt idx="109">
                  <c:v>233.08988999999997</c:v>
                </c:pt>
                <c:pt idx="110">
                  <c:v>254.23928000000001</c:v>
                </c:pt>
                <c:pt idx="111">
                  <c:v>295.60728000000006</c:v>
                </c:pt>
                <c:pt idx="112">
                  <c:v>318.51481000000001</c:v>
                </c:pt>
                <c:pt idx="113">
                  <c:v>362.62344000000007</c:v>
                </c:pt>
                <c:pt idx="114">
                  <c:v>313.51962400000002</c:v>
                </c:pt>
                <c:pt idx="115">
                  <c:v>296.12437999999997</c:v>
                </c:pt>
                <c:pt idx="116">
                  <c:v>270.0625399999999</c:v>
                </c:pt>
                <c:pt idx="117">
                  <c:v>285.63759200000004</c:v>
                </c:pt>
                <c:pt idx="118">
                  <c:v>333.4072900000001</c:v>
                </c:pt>
                <c:pt idx="119">
                  <c:v>280.42522400000007</c:v>
                </c:pt>
                <c:pt idx="120">
                  <c:v>304.13943000000006</c:v>
                </c:pt>
                <c:pt idx="121">
                  <c:v>300.72657000000004</c:v>
                </c:pt>
                <c:pt idx="122">
                  <c:v>334.86551200000008</c:v>
                </c:pt>
                <c:pt idx="123">
                  <c:v>352.90195999999992</c:v>
                </c:pt>
                <c:pt idx="124">
                  <c:v>350.57501000000002</c:v>
                </c:pt>
                <c:pt idx="125">
                  <c:v>373.42048799999998</c:v>
                </c:pt>
                <c:pt idx="126">
                  <c:v>368.05299000000002</c:v>
                </c:pt>
                <c:pt idx="127">
                  <c:v>360.19307000000003</c:v>
                </c:pt>
                <c:pt idx="128">
                  <c:v>375.40615200000002</c:v>
                </c:pt>
                <c:pt idx="129">
                  <c:v>351.66092000000015</c:v>
                </c:pt>
                <c:pt idx="130">
                  <c:v>369.44916000000001</c:v>
                </c:pt>
                <c:pt idx="131">
                  <c:v>333.21079199999997</c:v>
                </c:pt>
                <c:pt idx="132">
                  <c:v>371.93124000000012</c:v>
                </c:pt>
                <c:pt idx="133">
                  <c:v>319.39388000000008</c:v>
                </c:pt>
                <c:pt idx="134">
                  <c:v>341.60849599999995</c:v>
                </c:pt>
                <c:pt idx="135">
                  <c:v>346.28308000000004</c:v>
                </c:pt>
                <c:pt idx="136">
                  <c:v>359.10716000000014</c:v>
                </c:pt>
                <c:pt idx="137">
                  <c:v>395.46963199999993</c:v>
                </c:pt>
                <c:pt idx="138">
                  <c:v>367.43246999999997</c:v>
                </c:pt>
                <c:pt idx="139">
                  <c:v>352.90195999999992</c:v>
                </c:pt>
                <c:pt idx="140">
                  <c:v>335.11372000000006</c:v>
                </c:pt>
                <c:pt idx="141">
                  <c:v>284.90330999999992</c:v>
                </c:pt>
                <c:pt idx="142">
                  <c:v>373.79280000000006</c:v>
                </c:pt>
                <c:pt idx="143">
                  <c:v>373.79280000000006</c:v>
                </c:pt>
                <c:pt idx="144">
                  <c:v>459.01088000000004</c:v>
                </c:pt>
                <c:pt idx="145">
                  <c:v>374.46502999999996</c:v>
                </c:pt>
                <c:pt idx="146">
                  <c:v>401.17841599999997</c:v>
                </c:pt>
                <c:pt idx="147">
                  <c:v>441.06750999999997</c:v>
                </c:pt>
                <c:pt idx="148">
                  <c:v>485.81734399999993</c:v>
                </c:pt>
                <c:pt idx="149">
                  <c:v>494.12196999999992</c:v>
                </c:pt>
                <c:pt idx="150">
                  <c:v>496.34550000000002</c:v>
                </c:pt>
                <c:pt idx="151">
                  <c:v>468.11184000000003</c:v>
                </c:pt>
                <c:pt idx="152">
                  <c:v>486.57231000000002</c:v>
                </c:pt>
                <c:pt idx="153">
                  <c:v>443.34275000000002</c:v>
                </c:pt>
                <c:pt idx="154">
                  <c:v>460.5001279999999</c:v>
                </c:pt>
                <c:pt idx="155">
                  <c:v>461.95835</c:v>
                </c:pt>
                <c:pt idx="156">
                  <c:v>477.66784799999994</c:v>
                </c:pt>
                <c:pt idx="157">
                  <c:v>403.68118000000015</c:v>
                </c:pt>
                <c:pt idx="158">
                  <c:v>467.23277000000007</c:v>
                </c:pt>
                <c:pt idx="159">
                  <c:v>494.1736800000001</c:v>
                </c:pt>
                <c:pt idx="160">
                  <c:v>584.02497600000004</c:v>
                </c:pt>
                <c:pt idx="161">
                  <c:v>594.90476000000001</c:v>
                </c:pt>
                <c:pt idx="162">
                  <c:v>617.14005999999995</c:v>
                </c:pt>
                <c:pt idx="163">
                  <c:v>560.81752799999992</c:v>
                </c:pt>
                <c:pt idx="164">
                  <c:v>570.85961000000009</c:v>
                </c:pt>
                <c:pt idx="165">
                  <c:v>530.74299199999996</c:v>
                </c:pt>
                <c:pt idx="166">
                  <c:v>602.86809999999991</c:v>
                </c:pt>
                <c:pt idx="167">
                  <c:v>569.61856999999986</c:v>
                </c:pt>
                <c:pt idx="168">
                  <c:v>650.71019200000001</c:v>
                </c:pt>
                <c:pt idx="169">
                  <c:v>581.77041999999994</c:v>
                </c:pt>
                <c:pt idx="170">
                  <c:v>639.42707000000007</c:v>
                </c:pt>
                <c:pt idx="171">
                  <c:v>669.49126400000011</c:v>
                </c:pt>
                <c:pt idx="172">
                  <c:v>683.07030999999995</c:v>
                </c:pt>
                <c:pt idx="173">
                  <c:v>638.34115999999995</c:v>
                </c:pt>
                <c:pt idx="174">
                  <c:v>676.52382399999999</c:v>
                </c:pt>
                <c:pt idx="175">
                  <c:v>649.87249000000008</c:v>
                </c:pt>
                <c:pt idx="176">
                  <c:v>682.70834000000002</c:v>
                </c:pt>
                <c:pt idx="177">
                  <c:v>671.27008799999999</c:v>
                </c:pt>
                <c:pt idx="178">
                  <c:v>697.96278999999993</c:v>
                </c:pt>
                <c:pt idx="179">
                  <c:v>695.22215999999992</c:v>
                </c:pt>
                <c:pt idx="180">
                  <c:v>611.91735000000006</c:v>
                </c:pt>
                <c:pt idx="181">
                  <c:v>614.60626999999999</c:v>
                </c:pt>
                <c:pt idx="182">
                  <c:v>669.47058000000015</c:v>
                </c:pt>
                <c:pt idx="183">
                  <c:v>695.09805599999993</c:v>
                </c:pt>
                <c:pt idx="184">
                  <c:v>725.67935</c:v>
                </c:pt>
                <c:pt idx="185">
                  <c:v>738.55514000000005</c:v>
                </c:pt>
                <c:pt idx="186">
                  <c:v>747.38720799999999</c:v>
                </c:pt>
                <c:pt idx="187">
                  <c:v>734.26320999999996</c:v>
                </c:pt>
                <c:pt idx="188">
                  <c:v>743.91229600000008</c:v>
                </c:pt>
                <c:pt idx="189">
                  <c:v>693.05034000000001</c:v>
                </c:pt>
                <c:pt idx="190">
                  <c:v>700.65170999999998</c:v>
                </c:pt>
                <c:pt idx="191">
                  <c:v>664.32026400000007</c:v>
                </c:pt>
                <c:pt idx="192">
                  <c:v>658.55977000000007</c:v>
                </c:pt>
                <c:pt idx="193">
                  <c:v>563.20653000000004</c:v>
                </c:pt>
                <c:pt idx="194">
                  <c:v>565.28527199999996</c:v>
                </c:pt>
                <c:pt idx="195">
                  <c:v>574.32417999999996</c:v>
                </c:pt>
                <c:pt idx="196">
                  <c:v>567.75700999999992</c:v>
                </c:pt>
                <c:pt idx="197">
                  <c:v>561.27257599999996</c:v>
                </c:pt>
                <c:pt idx="198">
                  <c:v>543.76357000000007</c:v>
                </c:pt>
                <c:pt idx="199">
                  <c:v>514.90939000000003</c:v>
                </c:pt>
                <c:pt idx="200">
                  <c:v>540.62994399999991</c:v>
                </c:pt>
                <c:pt idx="201">
                  <c:v>511.34140000000002</c:v>
                </c:pt>
                <c:pt idx="202">
                  <c:v>561.60352</c:v>
                </c:pt>
                <c:pt idx="203">
                  <c:v>600.90312000000006</c:v>
                </c:pt>
                <c:pt idx="204">
                  <c:v>613.31352000000004</c:v>
                </c:pt>
                <c:pt idx="205">
                  <c:v>543.45330999999999</c:v>
                </c:pt>
                <c:pt idx="206">
                  <c:v>567.89145600000006</c:v>
                </c:pt>
                <c:pt idx="207">
                  <c:v>574.73785999999996</c:v>
                </c:pt>
                <c:pt idx="208">
                  <c:v>619.77727000000004</c:v>
                </c:pt>
                <c:pt idx="209">
                  <c:v>638.71347200000014</c:v>
                </c:pt>
                <c:pt idx="210">
                  <c:v>622.62131999999997</c:v>
                </c:pt>
                <c:pt idx="211">
                  <c:v>633.83204799999999</c:v>
                </c:pt>
                <c:pt idx="212">
                  <c:v>616.93321999999989</c:v>
                </c:pt>
                <c:pt idx="213">
                  <c:v>589.99230999999997</c:v>
                </c:pt>
                <c:pt idx="214">
                  <c:v>606.23959200000002</c:v>
                </c:pt>
                <c:pt idx="215">
                  <c:v>575.20325000000003</c:v>
                </c:pt>
                <c:pt idx="216">
                  <c:v>589.47520999999995</c:v>
                </c:pt>
                <c:pt idx="217">
                  <c:v>503.31600800000012</c:v>
                </c:pt>
                <c:pt idx="218">
                  <c:v>494.53565000000003</c:v>
                </c:pt>
                <c:pt idx="219">
                  <c:v>479.12606999999991</c:v>
                </c:pt>
                <c:pt idx="220">
                  <c:v>466.2916479999999</c:v>
                </c:pt>
                <c:pt idx="221">
                  <c:v>452.70225999999991</c:v>
                </c:pt>
                <c:pt idx="222">
                  <c:v>430.98406</c:v>
                </c:pt>
                <c:pt idx="223">
                  <c:v>387.98202400000002</c:v>
                </c:pt>
                <c:pt idx="224">
                  <c:v>445.61798999999996</c:v>
                </c:pt>
                <c:pt idx="225">
                  <c:v>330.89418400000011</c:v>
                </c:pt>
                <c:pt idx="226">
                  <c:v>319.80755999999997</c:v>
                </c:pt>
                <c:pt idx="227">
                  <c:v>354.71181000000001</c:v>
                </c:pt>
                <c:pt idx="228">
                  <c:v>342.27038400000015</c:v>
                </c:pt>
                <c:pt idx="229">
                  <c:v>229.05651</c:v>
                </c:pt>
                <c:pt idx="230">
                  <c:v>263.23682000000008</c:v>
                </c:pt>
                <c:pt idx="231">
                  <c:v>273.68223999999998</c:v>
                </c:pt>
                <c:pt idx="232">
                  <c:v>263.46434399999998</c:v>
                </c:pt>
                <c:pt idx="233">
                  <c:v>280.66309000000001</c:v>
                </c:pt>
                <c:pt idx="234">
                  <c:v>273.64087200000006</c:v>
                </c:pt>
                <c:pt idx="235">
                  <c:v>292.55639000000008</c:v>
                </c:pt>
                <c:pt idx="236">
                  <c:v>309.51726999999994</c:v>
                </c:pt>
                <c:pt idx="237">
                  <c:v>289.40207999999996</c:v>
                </c:pt>
                <c:pt idx="238">
                  <c:v>177.24309000000005</c:v>
                </c:pt>
                <c:pt idx="239">
                  <c:v>187.99877000000004</c:v>
                </c:pt>
                <c:pt idx="240">
                  <c:v>178.20489600000002</c:v>
                </c:pt>
                <c:pt idx="241">
                  <c:v>159.09287999999998</c:v>
                </c:pt>
                <c:pt idx="242">
                  <c:v>197.35827999999998</c:v>
                </c:pt>
                <c:pt idx="243">
                  <c:v>239.719112</c:v>
                </c:pt>
                <c:pt idx="244">
                  <c:v>145.95854000000008</c:v>
                </c:pt>
                <c:pt idx="245">
                  <c:v>83.079180000000065</c:v>
                </c:pt>
                <c:pt idx="246">
                  <c:v>73.047439999999938</c:v>
                </c:pt>
                <c:pt idx="247">
                  <c:v>78.476990000000001</c:v>
                </c:pt>
                <c:pt idx="248">
                  <c:v>98.488759999999957</c:v>
                </c:pt>
                <c:pt idx="249">
                  <c:v>96.834040000000016</c:v>
                </c:pt>
                <c:pt idx="250">
                  <c:v>125.63650999999999</c:v>
                </c:pt>
                <c:pt idx="251">
                  <c:v>139.11213600000008</c:v>
                </c:pt>
                <c:pt idx="252">
                  <c:v>106.03842000000003</c:v>
                </c:pt>
                <c:pt idx="253">
                  <c:v>93.576309999999978</c:v>
                </c:pt>
                <c:pt idx="254">
                  <c:v>115.86332000000004</c:v>
                </c:pt>
                <c:pt idx="255">
                  <c:v>122.89587999999998</c:v>
                </c:pt>
                <c:pt idx="256">
                  <c:v>118.50052999999997</c:v>
                </c:pt>
                <c:pt idx="257">
                  <c:v>104.95250999999996</c:v>
                </c:pt>
                <c:pt idx="258">
                  <c:v>102.41872000000001</c:v>
                </c:pt>
                <c:pt idx="259">
                  <c:v>68.134990000000073</c:v>
                </c:pt>
                <c:pt idx="260">
                  <c:v>75.686718399999961</c:v>
                </c:pt>
                <c:pt idx="261">
                  <c:v>76.460300000000018</c:v>
                </c:pt>
                <c:pt idx="262">
                  <c:v>108.88764100000003</c:v>
                </c:pt>
                <c:pt idx="263">
                  <c:v>105.24415440000001</c:v>
                </c:pt>
                <c:pt idx="264">
                  <c:v>104.37852900000001</c:v>
                </c:pt>
                <c:pt idx="265">
                  <c:v>76.667140000000018</c:v>
                </c:pt>
                <c:pt idx="266">
                  <c:v>113.09166399999998</c:v>
                </c:pt>
                <c:pt idx="267">
                  <c:v>115.19109000000003</c:v>
                </c:pt>
                <c:pt idx="268">
                  <c:v>116.17358000000007</c:v>
                </c:pt>
                <c:pt idx="269">
                  <c:v>114.33270400000004</c:v>
                </c:pt>
                <c:pt idx="270">
                  <c:v>111.72652000000005</c:v>
                </c:pt>
                <c:pt idx="271">
                  <c:v>90.877047999999945</c:v>
                </c:pt>
                <c:pt idx="272">
                  <c:v>115.19109000000003</c:v>
                </c:pt>
                <c:pt idx="273">
                  <c:v>120.15525000000002</c:v>
                </c:pt>
                <c:pt idx="274">
                  <c:v>130.13527999999997</c:v>
                </c:pt>
                <c:pt idx="275">
                  <c:v>117.77659</c:v>
                </c:pt>
                <c:pt idx="276">
                  <c:v>146.94103000000001</c:v>
                </c:pt>
                <c:pt idx="277">
                  <c:v>128.42885000000001</c:v>
                </c:pt>
                <c:pt idx="278">
                  <c:v>149.24729600000001</c:v>
                </c:pt>
                <c:pt idx="279">
                  <c:v>167.72845000000001</c:v>
                </c:pt>
                <c:pt idx="280">
                  <c:v>158.84467200000006</c:v>
                </c:pt>
                <c:pt idx="281">
                  <c:v>161.98864000000003</c:v>
                </c:pt>
                <c:pt idx="282">
                  <c:v>133.13445999999999</c:v>
                </c:pt>
                <c:pt idx="283">
                  <c:v>110.56821599999995</c:v>
                </c:pt>
                <c:pt idx="284">
                  <c:v>116.12187</c:v>
                </c:pt>
                <c:pt idx="285">
                  <c:v>100.71229000000005</c:v>
                </c:pt>
                <c:pt idx="286">
                  <c:v>109.07896800000003</c:v>
                </c:pt>
                <c:pt idx="287">
                  <c:v>85.30270999999999</c:v>
                </c:pt>
                <c:pt idx="288">
                  <c:v>101.38452000000001</c:v>
                </c:pt>
                <c:pt idx="289">
                  <c:v>61.878080000000011</c:v>
                </c:pt>
                <c:pt idx="290">
                  <c:v>77.804760000000044</c:v>
                </c:pt>
                <c:pt idx="291">
                  <c:v>89.956610000000012</c:v>
                </c:pt>
                <c:pt idx="292">
                  <c:v>94.558800000000019</c:v>
                </c:pt>
                <c:pt idx="293">
                  <c:v>93.369470000000035</c:v>
                </c:pt>
                <c:pt idx="294">
                  <c:v>77.235950000000003</c:v>
                </c:pt>
                <c:pt idx="295">
                  <c:v>65.435727999999983</c:v>
                </c:pt>
                <c:pt idx="296">
                  <c:v>67.876440000000059</c:v>
                </c:pt>
                <c:pt idx="297">
                  <c:v>62.457232000000033</c:v>
                </c:pt>
                <c:pt idx="298">
                  <c:v>77.701340000000073</c:v>
                </c:pt>
                <c:pt idx="299">
                  <c:v>65.239229999999964</c:v>
                </c:pt>
                <c:pt idx="300">
                  <c:v>103.90796799999998</c:v>
                </c:pt>
                <c:pt idx="301">
                  <c:v>72.737179999999967</c:v>
                </c:pt>
                <c:pt idx="302">
                  <c:v>89.904899999999941</c:v>
                </c:pt>
                <c:pt idx="303">
                  <c:v>140.16701999999998</c:v>
                </c:pt>
                <c:pt idx="304">
                  <c:v>139.980864</c:v>
                </c:pt>
                <c:pt idx="305">
                  <c:v>149.73337000000004</c:v>
                </c:pt>
                <c:pt idx="306">
                  <c:v>139.98086400000005</c:v>
                </c:pt>
                <c:pt idx="307">
                  <c:v>135.04773000000006</c:v>
                </c:pt>
                <c:pt idx="308">
                  <c:v>145.02776</c:v>
                </c:pt>
                <c:pt idx="309">
                  <c:v>138.24340799999999</c:v>
                </c:pt>
                <c:pt idx="310">
                  <c:v>158.00696999999997</c:v>
                </c:pt>
                <c:pt idx="311">
                  <c:v>188.41245000000004</c:v>
                </c:pt>
                <c:pt idx="312">
                  <c:v>182.87947999999994</c:v>
                </c:pt>
                <c:pt idx="313">
                  <c:v>171.86525</c:v>
                </c:pt>
                <c:pt idx="314">
                  <c:v>190.01546000000002</c:v>
                </c:pt>
                <c:pt idx="315">
                  <c:v>208.52764000000002</c:v>
                </c:pt>
                <c:pt idx="316">
                  <c:v>197.15144000000004</c:v>
                </c:pt>
                <c:pt idx="317">
                  <c:v>218.24911999999995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5471488"/>
        <c:axId val="435473024"/>
      </c:lineChart>
      <c:lineChart>
        <c:grouping val="standard"/>
        <c:varyColors val="0"/>
        <c:ser>
          <c:idx val="0"/>
          <c:order val="0"/>
          <c:tx>
            <c:strRef>
              <c:f>Regression!$B$1</c:f>
              <c:strCache>
                <c:ptCount val="1"/>
                <c:pt idx="0">
                  <c:v>Purchase</c:v>
                </c:pt>
              </c:strCache>
            </c:strRef>
          </c:tx>
          <c:marker>
            <c:symbol val="none"/>
          </c:marker>
          <c:cat>
            <c:numRef>
              <c:f>Regression!$A$2:$A$319</c:f>
              <c:numCache>
                <c:formatCode>m/d/yyyy</c:formatCode>
                <c:ptCount val="318"/>
                <c:pt idx="0">
                  <c:v>32874</c:v>
                </c:pt>
                <c:pt idx="1">
                  <c:v>32905</c:v>
                </c:pt>
                <c:pt idx="2">
                  <c:v>32933</c:v>
                </c:pt>
                <c:pt idx="3">
                  <c:v>32964</c:v>
                </c:pt>
                <c:pt idx="4">
                  <c:v>32994</c:v>
                </c:pt>
                <c:pt idx="5">
                  <c:v>33025</c:v>
                </c:pt>
                <c:pt idx="6">
                  <c:v>33055</c:v>
                </c:pt>
                <c:pt idx="7">
                  <c:v>33086</c:v>
                </c:pt>
                <c:pt idx="8">
                  <c:v>33117</c:v>
                </c:pt>
                <c:pt idx="9">
                  <c:v>33147</c:v>
                </c:pt>
                <c:pt idx="10">
                  <c:v>33178</c:v>
                </c:pt>
                <c:pt idx="11">
                  <c:v>33208</c:v>
                </c:pt>
                <c:pt idx="12">
                  <c:v>33239</c:v>
                </c:pt>
                <c:pt idx="13">
                  <c:v>33270</c:v>
                </c:pt>
                <c:pt idx="14">
                  <c:v>33298</c:v>
                </c:pt>
                <c:pt idx="15">
                  <c:v>33329</c:v>
                </c:pt>
                <c:pt idx="16">
                  <c:v>33359</c:v>
                </c:pt>
                <c:pt idx="17">
                  <c:v>33390</c:v>
                </c:pt>
                <c:pt idx="18">
                  <c:v>33420</c:v>
                </c:pt>
                <c:pt idx="19">
                  <c:v>33451</c:v>
                </c:pt>
                <c:pt idx="20">
                  <c:v>33482</c:v>
                </c:pt>
                <c:pt idx="21">
                  <c:v>33512</c:v>
                </c:pt>
                <c:pt idx="22">
                  <c:v>33543</c:v>
                </c:pt>
                <c:pt idx="23">
                  <c:v>33573</c:v>
                </c:pt>
                <c:pt idx="24">
                  <c:v>33604</c:v>
                </c:pt>
                <c:pt idx="25">
                  <c:v>33635</c:v>
                </c:pt>
                <c:pt idx="26">
                  <c:v>33664</c:v>
                </c:pt>
                <c:pt idx="27">
                  <c:v>33695</c:v>
                </c:pt>
                <c:pt idx="28">
                  <c:v>33725</c:v>
                </c:pt>
                <c:pt idx="29">
                  <c:v>33756</c:v>
                </c:pt>
                <c:pt idx="30">
                  <c:v>33786</c:v>
                </c:pt>
                <c:pt idx="31">
                  <c:v>33817</c:v>
                </c:pt>
                <c:pt idx="32">
                  <c:v>33848</c:v>
                </c:pt>
                <c:pt idx="33">
                  <c:v>33878</c:v>
                </c:pt>
                <c:pt idx="34">
                  <c:v>33909</c:v>
                </c:pt>
                <c:pt idx="35">
                  <c:v>33939</c:v>
                </c:pt>
                <c:pt idx="36">
                  <c:v>33970</c:v>
                </c:pt>
                <c:pt idx="37">
                  <c:v>34001</c:v>
                </c:pt>
                <c:pt idx="38">
                  <c:v>34029</c:v>
                </c:pt>
                <c:pt idx="39">
                  <c:v>34060</c:v>
                </c:pt>
                <c:pt idx="40">
                  <c:v>34090</c:v>
                </c:pt>
                <c:pt idx="41">
                  <c:v>34121</c:v>
                </c:pt>
                <c:pt idx="42">
                  <c:v>34151</c:v>
                </c:pt>
                <c:pt idx="43">
                  <c:v>34182</c:v>
                </c:pt>
                <c:pt idx="44">
                  <c:v>34213</c:v>
                </c:pt>
                <c:pt idx="45">
                  <c:v>34243</c:v>
                </c:pt>
                <c:pt idx="46">
                  <c:v>34274</c:v>
                </c:pt>
                <c:pt idx="47">
                  <c:v>34304</c:v>
                </c:pt>
                <c:pt idx="48">
                  <c:v>34335</c:v>
                </c:pt>
                <c:pt idx="49">
                  <c:v>34366</c:v>
                </c:pt>
                <c:pt idx="50">
                  <c:v>34394</c:v>
                </c:pt>
                <c:pt idx="51">
                  <c:v>34425</c:v>
                </c:pt>
                <c:pt idx="52">
                  <c:v>34455</c:v>
                </c:pt>
                <c:pt idx="53">
                  <c:v>34486</c:v>
                </c:pt>
                <c:pt idx="54">
                  <c:v>34516</c:v>
                </c:pt>
                <c:pt idx="55">
                  <c:v>34547</c:v>
                </c:pt>
                <c:pt idx="56">
                  <c:v>34578</c:v>
                </c:pt>
                <c:pt idx="57">
                  <c:v>34608</c:v>
                </c:pt>
                <c:pt idx="58">
                  <c:v>34639</c:v>
                </c:pt>
                <c:pt idx="59">
                  <c:v>34669</c:v>
                </c:pt>
                <c:pt idx="60">
                  <c:v>34700</c:v>
                </c:pt>
                <c:pt idx="61">
                  <c:v>34731</c:v>
                </c:pt>
                <c:pt idx="62">
                  <c:v>34759</c:v>
                </c:pt>
                <c:pt idx="63">
                  <c:v>34790</c:v>
                </c:pt>
                <c:pt idx="64">
                  <c:v>34820</c:v>
                </c:pt>
                <c:pt idx="65">
                  <c:v>34851</c:v>
                </c:pt>
                <c:pt idx="66">
                  <c:v>34881</c:v>
                </c:pt>
                <c:pt idx="67">
                  <c:v>34912</c:v>
                </c:pt>
                <c:pt idx="68">
                  <c:v>34943</c:v>
                </c:pt>
                <c:pt idx="69">
                  <c:v>34973</c:v>
                </c:pt>
                <c:pt idx="70">
                  <c:v>35004</c:v>
                </c:pt>
                <c:pt idx="71">
                  <c:v>35034</c:v>
                </c:pt>
                <c:pt idx="72">
                  <c:v>35065</c:v>
                </c:pt>
                <c:pt idx="73">
                  <c:v>35096</c:v>
                </c:pt>
                <c:pt idx="74">
                  <c:v>35125</c:v>
                </c:pt>
                <c:pt idx="75">
                  <c:v>35156</c:v>
                </c:pt>
                <c:pt idx="76">
                  <c:v>35186</c:v>
                </c:pt>
                <c:pt idx="77">
                  <c:v>35217</c:v>
                </c:pt>
                <c:pt idx="78">
                  <c:v>35247</c:v>
                </c:pt>
                <c:pt idx="79">
                  <c:v>35278</c:v>
                </c:pt>
                <c:pt idx="80">
                  <c:v>35309</c:v>
                </c:pt>
                <c:pt idx="81">
                  <c:v>35339</c:v>
                </c:pt>
                <c:pt idx="82">
                  <c:v>35370</c:v>
                </c:pt>
                <c:pt idx="83">
                  <c:v>35400</c:v>
                </c:pt>
                <c:pt idx="84">
                  <c:v>35431</c:v>
                </c:pt>
                <c:pt idx="85">
                  <c:v>35462</c:v>
                </c:pt>
                <c:pt idx="86">
                  <c:v>35490</c:v>
                </c:pt>
                <c:pt idx="87">
                  <c:v>35521</c:v>
                </c:pt>
                <c:pt idx="88">
                  <c:v>35551</c:v>
                </c:pt>
                <c:pt idx="89">
                  <c:v>35582</c:v>
                </c:pt>
                <c:pt idx="90">
                  <c:v>35612</c:v>
                </c:pt>
                <c:pt idx="91">
                  <c:v>35643</c:v>
                </c:pt>
                <c:pt idx="92">
                  <c:v>35674</c:v>
                </c:pt>
                <c:pt idx="93">
                  <c:v>35704</c:v>
                </c:pt>
                <c:pt idx="94">
                  <c:v>35735</c:v>
                </c:pt>
                <c:pt idx="95">
                  <c:v>35765</c:v>
                </c:pt>
                <c:pt idx="96">
                  <c:v>35796</c:v>
                </c:pt>
                <c:pt idx="97">
                  <c:v>35827</c:v>
                </c:pt>
                <c:pt idx="98">
                  <c:v>35855</c:v>
                </c:pt>
                <c:pt idx="99">
                  <c:v>35886</c:v>
                </c:pt>
                <c:pt idx="100">
                  <c:v>35916</c:v>
                </c:pt>
                <c:pt idx="101">
                  <c:v>35947</c:v>
                </c:pt>
                <c:pt idx="102">
                  <c:v>35977</c:v>
                </c:pt>
                <c:pt idx="103">
                  <c:v>36008</c:v>
                </c:pt>
                <c:pt idx="104">
                  <c:v>36039</c:v>
                </c:pt>
                <c:pt idx="105">
                  <c:v>36069</c:v>
                </c:pt>
                <c:pt idx="106">
                  <c:v>36100</c:v>
                </c:pt>
                <c:pt idx="107">
                  <c:v>36130</c:v>
                </c:pt>
                <c:pt idx="108">
                  <c:v>36161</c:v>
                </c:pt>
                <c:pt idx="109">
                  <c:v>36192</c:v>
                </c:pt>
                <c:pt idx="110">
                  <c:v>36220</c:v>
                </c:pt>
                <c:pt idx="111">
                  <c:v>36251</c:v>
                </c:pt>
                <c:pt idx="112">
                  <c:v>36281</c:v>
                </c:pt>
                <c:pt idx="113">
                  <c:v>36312</c:v>
                </c:pt>
                <c:pt idx="114">
                  <c:v>36342</c:v>
                </c:pt>
                <c:pt idx="115">
                  <c:v>36373</c:v>
                </c:pt>
                <c:pt idx="116">
                  <c:v>36404</c:v>
                </c:pt>
                <c:pt idx="117">
                  <c:v>36434</c:v>
                </c:pt>
                <c:pt idx="118">
                  <c:v>36465</c:v>
                </c:pt>
                <c:pt idx="119">
                  <c:v>36495</c:v>
                </c:pt>
                <c:pt idx="120">
                  <c:v>36526</c:v>
                </c:pt>
                <c:pt idx="121">
                  <c:v>36557</c:v>
                </c:pt>
                <c:pt idx="122">
                  <c:v>36586</c:v>
                </c:pt>
                <c:pt idx="123">
                  <c:v>36617</c:v>
                </c:pt>
                <c:pt idx="124">
                  <c:v>36647</c:v>
                </c:pt>
                <c:pt idx="125">
                  <c:v>36678</c:v>
                </c:pt>
                <c:pt idx="126">
                  <c:v>36708</c:v>
                </c:pt>
                <c:pt idx="127">
                  <c:v>36739</c:v>
                </c:pt>
                <c:pt idx="128">
                  <c:v>36770</c:v>
                </c:pt>
                <c:pt idx="129">
                  <c:v>36800</c:v>
                </c:pt>
                <c:pt idx="130">
                  <c:v>36831</c:v>
                </c:pt>
                <c:pt idx="131">
                  <c:v>36861</c:v>
                </c:pt>
                <c:pt idx="132">
                  <c:v>36892</c:v>
                </c:pt>
                <c:pt idx="133">
                  <c:v>36923</c:v>
                </c:pt>
                <c:pt idx="134">
                  <c:v>36951</c:v>
                </c:pt>
                <c:pt idx="135">
                  <c:v>36982</c:v>
                </c:pt>
                <c:pt idx="136">
                  <c:v>37012</c:v>
                </c:pt>
                <c:pt idx="137">
                  <c:v>37043</c:v>
                </c:pt>
                <c:pt idx="138">
                  <c:v>37073</c:v>
                </c:pt>
                <c:pt idx="139">
                  <c:v>37104</c:v>
                </c:pt>
                <c:pt idx="140">
                  <c:v>37135</c:v>
                </c:pt>
                <c:pt idx="141">
                  <c:v>37165</c:v>
                </c:pt>
                <c:pt idx="142">
                  <c:v>37196</c:v>
                </c:pt>
                <c:pt idx="143">
                  <c:v>37226</c:v>
                </c:pt>
                <c:pt idx="144">
                  <c:v>37257</c:v>
                </c:pt>
                <c:pt idx="145">
                  <c:v>37288</c:v>
                </c:pt>
                <c:pt idx="146">
                  <c:v>37316</c:v>
                </c:pt>
                <c:pt idx="147">
                  <c:v>37347</c:v>
                </c:pt>
                <c:pt idx="148">
                  <c:v>37377</c:v>
                </c:pt>
                <c:pt idx="149">
                  <c:v>37408</c:v>
                </c:pt>
                <c:pt idx="150">
                  <c:v>37438</c:v>
                </c:pt>
                <c:pt idx="151">
                  <c:v>37469</c:v>
                </c:pt>
                <c:pt idx="152">
                  <c:v>37500</c:v>
                </c:pt>
                <c:pt idx="153">
                  <c:v>37530</c:v>
                </c:pt>
                <c:pt idx="154">
                  <c:v>37561</c:v>
                </c:pt>
                <c:pt idx="155">
                  <c:v>37591</c:v>
                </c:pt>
                <c:pt idx="156">
                  <c:v>37622</c:v>
                </c:pt>
                <c:pt idx="157">
                  <c:v>37653</c:v>
                </c:pt>
                <c:pt idx="158">
                  <c:v>37681</c:v>
                </c:pt>
                <c:pt idx="159">
                  <c:v>37712</c:v>
                </c:pt>
                <c:pt idx="160">
                  <c:v>37742</c:v>
                </c:pt>
                <c:pt idx="161">
                  <c:v>37773</c:v>
                </c:pt>
                <c:pt idx="162">
                  <c:v>37803</c:v>
                </c:pt>
                <c:pt idx="163">
                  <c:v>37834</c:v>
                </c:pt>
                <c:pt idx="164">
                  <c:v>37865</c:v>
                </c:pt>
                <c:pt idx="165">
                  <c:v>37895</c:v>
                </c:pt>
                <c:pt idx="166">
                  <c:v>37926</c:v>
                </c:pt>
                <c:pt idx="167">
                  <c:v>37956</c:v>
                </c:pt>
                <c:pt idx="168">
                  <c:v>37987</c:v>
                </c:pt>
                <c:pt idx="169">
                  <c:v>38018</c:v>
                </c:pt>
                <c:pt idx="170">
                  <c:v>38047</c:v>
                </c:pt>
                <c:pt idx="171">
                  <c:v>38078</c:v>
                </c:pt>
                <c:pt idx="172">
                  <c:v>38108</c:v>
                </c:pt>
                <c:pt idx="173">
                  <c:v>38139</c:v>
                </c:pt>
                <c:pt idx="174">
                  <c:v>38169</c:v>
                </c:pt>
                <c:pt idx="175">
                  <c:v>38200</c:v>
                </c:pt>
                <c:pt idx="176">
                  <c:v>38231</c:v>
                </c:pt>
                <c:pt idx="177">
                  <c:v>38261</c:v>
                </c:pt>
                <c:pt idx="178">
                  <c:v>38292</c:v>
                </c:pt>
                <c:pt idx="179">
                  <c:v>38322</c:v>
                </c:pt>
                <c:pt idx="180">
                  <c:v>38353</c:v>
                </c:pt>
                <c:pt idx="181">
                  <c:v>38384</c:v>
                </c:pt>
                <c:pt idx="182">
                  <c:v>38412</c:v>
                </c:pt>
                <c:pt idx="183">
                  <c:v>38443</c:v>
                </c:pt>
                <c:pt idx="184">
                  <c:v>38473</c:v>
                </c:pt>
                <c:pt idx="185">
                  <c:v>38504</c:v>
                </c:pt>
                <c:pt idx="186">
                  <c:v>38534</c:v>
                </c:pt>
                <c:pt idx="187">
                  <c:v>38565</c:v>
                </c:pt>
                <c:pt idx="188">
                  <c:v>38596</c:v>
                </c:pt>
                <c:pt idx="189">
                  <c:v>38626</c:v>
                </c:pt>
                <c:pt idx="190">
                  <c:v>38657</c:v>
                </c:pt>
                <c:pt idx="191">
                  <c:v>38687</c:v>
                </c:pt>
                <c:pt idx="192">
                  <c:v>38718</c:v>
                </c:pt>
                <c:pt idx="193">
                  <c:v>38749</c:v>
                </c:pt>
                <c:pt idx="194">
                  <c:v>38777</c:v>
                </c:pt>
                <c:pt idx="195">
                  <c:v>38808</c:v>
                </c:pt>
                <c:pt idx="196">
                  <c:v>38838</c:v>
                </c:pt>
                <c:pt idx="197">
                  <c:v>38869</c:v>
                </c:pt>
                <c:pt idx="198">
                  <c:v>38899</c:v>
                </c:pt>
                <c:pt idx="199">
                  <c:v>38930</c:v>
                </c:pt>
                <c:pt idx="200">
                  <c:v>38961</c:v>
                </c:pt>
                <c:pt idx="201">
                  <c:v>38991</c:v>
                </c:pt>
                <c:pt idx="202">
                  <c:v>39022</c:v>
                </c:pt>
                <c:pt idx="203">
                  <c:v>39052</c:v>
                </c:pt>
                <c:pt idx="204">
                  <c:v>39083</c:v>
                </c:pt>
                <c:pt idx="205">
                  <c:v>39114</c:v>
                </c:pt>
                <c:pt idx="206">
                  <c:v>39142</c:v>
                </c:pt>
                <c:pt idx="207">
                  <c:v>39173</c:v>
                </c:pt>
                <c:pt idx="208">
                  <c:v>39203</c:v>
                </c:pt>
                <c:pt idx="209">
                  <c:v>39234</c:v>
                </c:pt>
                <c:pt idx="210">
                  <c:v>39264</c:v>
                </c:pt>
                <c:pt idx="211">
                  <c:v>39295</c:v>
                </c:pt>
                <c:pt idx="212">
                  <c:v>39326</c:v>
                </c:pt>
                <c:pt idx="213">
                  <c:v>39356</c:v>
                </c:pt>
                <c:pt idx="214">
                  <c:v>39387</c:v>
                </c:pt>
                <c:pt idx="215">
                  <c:v>39417</c:v>
                </c:pt>
                <c:pt idx="216">
                  <c:v>39448</c:v>
                </c:pt>
                <c:pt idx="217">
                  <c:v>39479</c:v>
                </c:pt>
                <c:pt idx="218">
                  <c:v>39508</c:v>
                </c:pt>
                <c:pt idx="219">
                  <c:v>39539</c:v>
                </c:pt>
                <c:pt idx="220">
                  <c:v>39569</c:v>
                </c:pt>
                <c:pt idx="221">
                  <c:v>39600</c:v>
                </c:pt>
                <c:pt idx="222">
                  <c:v>39630</c:v>
                </c:pt>
                <c:pt idx="223">
                  <c:v>39661</c:v>
                </c:pt>
                <c:pt idx="224">
                  <c:v>39692</c:v>
                </c:pt>
                <c:pt idx="225">
                  <c:v>39722</c:v>
                </c:pt>
                <c:pt idx="226">
                  <c:v>39753</c:v>
                </c:pt>
                <c:pt idx="227">
                  <c:v>39783</c:v>
                </c:pt>
                <c:pt idx="228">
                  <c:v>39814</c:v>
                </c:pt>
                <c:pt idx="229">
                  <c:v>39845</c:v>
                </c:pt>
                <c:pt idx="230">
                  <c:v>39873</c:v>
                </c:pt>
                <c:pt idx="231">
                  <c:v>39904</c:v>
                </c:pt>
                <c:pt idx="232">
                  <c:v>39934</c:v>
                </c:pt>
                <c:pt idx="233">
                  <c:v>39965</c:v>
                </c:pt>
                <c:pt idx="234">
                  <c:v>39995</c:v>
                </c:pt>
                <c:pt idx="235">
                  <c:v>40026</c:v>
                </c:pt>
                <c:pt idx="236">
                  <c:v>40057</c:v>
                </c:pt>
                <c:pt idx="237">
                  <c:v>40087</c:v>
                </c:pt>
                <c:pt idx="238">
                  <c:v>40118</c:v>
                </c:pt>
                <c:pt idx="239">
                  <c:v>40148</c:v>
                </c:pt>
                <c:pt idx="240">
                  <c:v>40179</c:v>
                </c:pt>
                <c:pt idx="241">
                  <c:v>40210</c:v>
                </c:pt>
                <c:pt idx="242">
                  <c:v>40238</c:v>
                </c:pt>
                <c:pt idx="243">
                  <c:v>40269</c:v>
                </c:pt>
                <c:pt idx="244">
                  <c:v>40299</c:v>
                </c:pt>
                <c:pt idx="245">
                  <c:v>40330</c:v>
                </c:pt>
                <c:pt idx="246">
                  <c:v>40360</c:v>
                </c:pt>
                <c:pt idx="247">
                  <c:v>40391</c:v>
                </c:pt>
                <c:pt idx="248">
                  <c:v>40422</c:v>
                </c:pt>
                <c:pt idx="249">
                  <c:v>40452</c:v>
                </c:pt>
                <c:pt idx="250">
                  <c:v>40483</c:v>
                </c:pt>
                <c:pt idx="251">
                  <c:v>40513</c:v>
                </c:pt>
                <c:pt idx="252">
                  <c:v>40544</c:v>
                </c:pt>
                <c:pt idx="253">
                  <c:v>40575</c:v>
                </c:pt>
                <c:pt idx="254">
                  <c:v>40603</c:v>
                </c:pt>
                <c:pt idx="255">
                  <c:v>40634</c:v>
                </c:pt>
                <c:pt idx="256">
                  <c:v>40664</c:v>
                </c:pt>
                <c:pt idx="257">
                  <c:v>40695</c:v>
                </c:pt>
                <c:pt idx="258">
                  <c:v>40725</c:v>
                </c:pt>
                <c:pt idx="259">
                  <c:v>40756</c:v>
                </c:pt>
                <c:pt idx="260">
                  <c:v>40787</c:v>
                </c:pt>
                <c:pt idx="261">
                  <c:v>40817</c:v>
                </c:pt>
                <c:pt idx="262">
                  <c:v>40848</c:v>
                </c:pt>
                <c:pt idx="263">
                  <c:v>40878</c:v>
                </c:pt>
                <c:pt idx="264">
                  <c:v>40909</c:v>
                </c:pt>
                <c:pt idx="265">
                  <c:v>40940</c:v>
                </c:pt>
                <c:pt idx="266">
                  <c:v>40969</c:v>
                </c:pt>
                <c:pt idx="267">
                  <c:v>41000</c:v>
                </c:pt>
                <c:pt idx="268">
                  <c:v>41030</c:v>
                </c:pt>
                <c:pt idx="269">
                  <c:v>41061</c:v>
                </c:pt>
                <c:pt idx="270">
                  <c:v>41091</c:v>
                </c:pt>
                <c:pt idx="271">
                  <c:v>41122</c:v>
                </c:pt>
                <c:pt idx="272">
                  <c:v>41153</c:v>
                </c:pt>
                <c:pt idx="273">
                  <c:v>41183</c:v>
                </c:pt>
                <c:pt idx="274">
                  <c:v>41214</c:v>
                </c:pt>
                <c:pt idx="275">
                  <c:v>41244</c:v>
                </c:pt>
                <c:pt idx="276">
                  <c:v>41275</c:v>
                </c:pt>
                <c:pt idx="277">
                  <c:v>41306</c:v>
                </c:pt>
                <c:pt idx="278">
                  <c:v>41334</c:v>
                </c:pt>
                <c:pt idx="279">
                  <c:v>41365</c:v>
                </c:pt>
                <c:pt idx="280">
                  <c:v>41395</c:v>
                </c:pt>
                <c:pt idx="281">
                  <c:v>41426</c:v>
                </c:pt>
                <c:pt idx="282">
                  <c:v>41456</c:v>
                </c:pt>
                <c:pt idx="283">
                  <c:v>41487</c:v>
                </c:pt>
                <c:pt idx="284">
                  <c:v>41518</c:v>
                </c:pt>
                <c:pt idx="285">
                  <c:v>41548</c:v>
                </c:pt>
                <c:pt idx="286">
                  <c:v>41579</c:v>
                </c:pt>
                <c:pt idx="287">
                  <c:v>41609</c:v>
                </c:pt>
                <c:pt idx="288">
                  <c:v>41640</c:v>
                </c:pt>
                <c:pt idx="289">
                  <c:v>41671</c:v>
                </c:pt>
                <c:pt idx="290">
                  <c:v>41699</c:v>
                </c:pt>
                <c:pt idx="291">
                  <c:v>41730</c:v>
                </c:pt>
                <c:pt idx="292">
                  <c:v>41760</c:v>
                </c:pt>
                <c:pt idx="293">
                  <c:v>41791</c:v>
                </c:pt>
                <c:pt idx="294">
                  <c:v>41821</c:v>
                </c:pt>
                <c:pt idx="295">
                  <c:v>41852</c:v>
                </c:pt>
                <c:pt idx="296">
                  <c:v>41883</c:v>
                </c:pt>
                <c:pt idx="297">
                  <c:v>41913</c:v>
                </c:pt>
                <c:pt idx="298">
                  <c:v>41944</c:v>
                </c:pt>
                <c:pt idx="299">
                  <c:v>41974</c:v>
                </c:pt>
                <c:pt idx="300">
                  <c:v>42005</c:v>
                </c:pt>
                <c:pt idx="301">
                  <c:v>42036</c:v>
                </c:pt>
                <c:pt idx="302">
                  <c:v>42064</c:v>
                </c:pt>
                <c:pt idx="303">
                  <c:v>42095</c:v>
                </c:pt>
                <c:pt idx="304">
                  <c:v>42125</c:v>
                </c:pt>
                <c:pt idx="305">
                  <c:v>42156</c:v>
                </c:pt>
                <c:pt idx="306">
                  <c:v>42186</c:v>
                </c:pt>
                <c:pt idx="307">
                  <c:v>42217</c:v>
                </c:pt>
                <c:pt idx="308">
                  <c:v>42248</c:v>
                </c:pt>
                <c:pt idx="309">
                  <c:v>42278</c:v>
                </c:pt>
                <c:pt idx="310">
                  <c:v>42309</c:v>
                </c:pt>
                <c:pt idx="311">
                  <c:v>42339</c:v>
                </c:pt>
                <c:pt idx="312">
                  <c:v>42370</c:v>
                </c:pt>
                <c:pt idx="313">
                  <c:v>42401</c:v>
                </c:pt>
                <c:pt idx="314">
                  <c:v>42430</c:v>
                </c:pt>
                <c:pt idx="315">
                  <c:v>42461</c:v>
                </c:pt>
                <c:pt idx="316">
                  <c:v>42491</c:v>
                </c:pt>
                <c:pt idx="317">
                  <c:v>42522</c:v>
                </c:pt>
              </c:numCache>
            </c:numRef>
          </c:cat>
          <c:val>
            <c:numRef>
              <c:f>Regression!$B$2:$B$319</c:f>
              <c:numCache>
                <c:formatCode>General</c:formatCode>
                <c:ptCount val="318"/>
                <c:pt idx="0">
                  <c:v>92.4</c:v>
                </c:pt>
                <c:pt idx="1">
                  <c:v>100.175</c:v>
                </c:pt>
                <c:pt idx="2">
                  <c:v>92.28</c:v>
                </c:pt>
                <c:pt idx="3">
                  <c:v>91.25</c:v>
                </c:pt>
                <c:pt idx="4">
                  <c:v>85.5</c:v>
                </c:pt>
                <c:pt idx="5">
                  <c:v>92</c:v>
                </c:pt>
                <c:pt idx="6">
                  <c:v>88.65</c:v>
                </c:pt>
                <c:pt idx="7">
                  <c:v>89.179999999999993</c:v>
                </c:pt>
                <c:pt idx="8">
                  <c:v>80.45</c:v>
                </c:pt>
                <c:pt idx="9">
                  <c:v>74.949999999999989</c:v>
                </c:pt>
                <c:pt idx="10">
                  <c:v>81.84</c:v>
                </c:pt>
                <c:pt idx="11">
                  <c:v>78.900000000000006</c:v>
                </c:pt>
                <c:pt idx="12">
                  <c:v>87.375</c:v>
                </c:pt>
                <c:pt idx="13">
                  <c:v>98.8</c:v>
                </c:pt>
                <c:pt idx="14">
                  <c:v>114.6</c:v>
                </c:pt>
                <c:pt idx="15">
                  <c:v>112</c:v>
                </c:pt>
                <c:pt idx="16">
                  <c:v>117.32000000000001</c:v>
                </c:pt>
                <c:pt idx="17">
                  <c:v>113.875</c:v>
                </c:pt>
                <c:pt idx="18">
                  <c:v>116.875</c:v>
                </c:pt>
                <c:pt idx="19">
                  <c:v>105.25999999999999</c:v>
                </c:pt>
                <c:pt idx="20">
                  <c:v>106.89999999999999</c:v>
                </c:pt>
                <c:pt idx="21">
                  <c:v>112.22499999999999</c:v>
                </c:pt>
                <c:pt idx="22">
                  <c:v>103.5</c:v>
                </c:pt>
                <c:pt idx="23">
                  <c:v>100.25000000000001</c:v>
                </c:pt>
                <c:pt idx="24">
                  <c:v>132.83999999999997</c:v>
                </c:pt>
                <c:pt idx="25">
                  <c:v>129.375</c:v>
                </c:pt>
                <c:pt idx="26">
                  <c:v>115.92500000000001</c:v>
                </c:pt>
                <c:pt idx="27">
                  <c:v>117.94999999999999</c:v>
                </c:pt>
                <c:pt idx="28">
                  <c:v>117.66000000000001</c:v>
                </c:pt>
                <c:pt idx="29">
                  <c:v>117.04999999999998</c:v>
                </c:pt>
                <c:pt idx="30">
                  <c:v>138.44</c:v>
                </c:pt>
                <c:pt idx="31">
                  <c:v>142.75</c:v>
                </c:pt>
                <c:pt idx="32">
                  <c:v>147.17500000000001</c:v>
                </c:pt>
                <c:pt idx="33">
                  <c:v>138.88</c:v>
                </c:pt>
                <c:pt idx="34">
                  <c:v>138.17500000000001</c:v>
                </c:pt>
                <c:pt idx="35">
                  <c:v>135.22500000000002</c:v>
                </c:pt>
                <c:pt idx="36">
                  <c:v>138</c:v>
                </c:pt>
                <c:pt idx="37">
                  <c:v>154.02499999999998</c:v>
                </c:pt>
                <c:pt idx="38">
                  <c:v>150.35</c:v>
                </c:pt>
                <c:pt idx="39">
                  <c:v>166.70000000000002</c:v>
                </c:pt>
                <c:pt idx="40">
                  <c:v>150.17500000000001</c:v>
                </c:pt>
                <c:pt idx="41">
                  <c:v>157.85</c:v>
                </c:pt>
                <c:pt idx="42">
                  <c:v>166.18</c:v>
                </c:pt>
                <c:pt idx="43">
                  <c:v>151.6</c:v>
                </c:pt>
                <c:pt idx="44">
                  <c:v>177</c:v>
                </c:pt>
                <c:pt idx="45">
                  <c:v>163.98</c:v>
                </c:pt>
                <c:pt idx="46">
                  <c:v>162.22500000000002</c:v>
                </c:pt>
                <c:pt idx="47">
                  <c:v>151.4</c:v>
                </c:pt>
                <c:pt idx="48">
                  <c:v>134.77500000000001</c:v>
                </c:pt>
                <c:pt idx="49">
                  <c:v>155.04999999999998</c:v>
                </c:pt>
                <c:pt idx="50">
                  <c:v>150.85</c:v>
                </c:pt>
                <c:pt idx="51">
                  <c:v>161.08000000000001</c:v>
                </c:pt>
                <c:pt idx="52">
                  <c:v>145.9</c:v>
                </c:pt>
                <c:pt idx="53">
                  <c:v>145.17500000000001</c:v>
                </c:pt>
                <c:pt idx="54">
                  <c:v>144.07999999999998</c:v>
                </c:pt>
                <c:pt idx="55">
                  <c:v>141.75</c:v>
                </c:pt>
                <c:pt idx="56">
                  <c:v>138.07999999999998</c:v>
                </c:pt>
                <c:pt idx="57">
                  <c:v>135.27499999999998</c:v>
                </c:pt>
                <c:pt idx="58">
                  <c:v>135.67500000000001</c:v>
                </c:pt>
                <c:pt idx="59">
                  <c:v>124.52000000000001</c:v>
                </c:pt>
                <c:pt idx="60">
                  <c:v>129.65</c:v>
                </c:pt>
                <c:pt idx="61">
                  <c:v>139.17499999999998</c:v>
                </c:pt>
                <c:pt idx="62">
                  <c:v>139.45999999999998</c:v>
                </c:pt>
                <c:pt idx="63">
                  <c:v>150.02500000000001</c:v>
                </c:pt>
                <c:pt idx="64">
                  <c:v>156.14999999999998</c:v>
                </c:pt>
                <c:pt idx="65">
                  <c:v>172.23999999999995</c:v>
                </c:pt>
                <c:pt idx="66">
                  <c:v>161.72499999999999</c:v>
                </c:pt>
                <c:pt idx="67">
                  <c:v>154.35</c:v>
                </c:pt>
                <c:pt idx="68">
                  <c:v>188.7</c:v>
                </c:pt>
                <c:pt idx="69">
                  <c:v>186.97499999999999</c:v>
                </c:pt>
                <c:pt idx="70">
                  <c:v>188.375</c:v>
                </c:pt>
                <c:pt idx="71">
                  <c:v>204.68</c:v>
                </c:pt>
                <c:pt idx="72">
                  <c:v>176.72500000000002</c:v>
                </c:pt>
                <c:pt idx="73">
                  <c:v>173.4</c:v>
                </c:pt>
                <c:pt idx="74">
                  <c:v>179.3</c:v>
                </c:pt>
                <c:pt idx="75">
                  <c:v>177.34999999999997</c:v>
                </c:pt>
                <c:pt idx="76">
                  <c:v>189.14000000000001</c:v>
                </c:pt>
                <c:pt idx="77">
                  <c:v>183.67499999999998</c:v>
                </c:pt>
                <c:pt idx="78">
                  <c:v>181.50000000000003</c:v>
                </c:pt>
                <c:pt idx="79">
                  <c:v>182.02000000000004</c:v>
                </c:pt>
                <c:pt idx="80">
                  <c:v>186.375</c:v>
                </c:pt>
                <c:pt idx="81">
                  <c:v>182.27500000000001</c:v>
                </c:pt>
                <c:pt idx="82">
                  <c:v>199.88000000000002</c:v>
                </c:pt>
                <c:pt idx="83">
                  <c:v>190.17500000000001</c:v>
                </c:pt>
                <c:pt idx="84">
                  <c:v>184.28000000000003</c:v>
                </c:pt>
                <c:pt idx="85">
                  <c:v>184.20000000000002</c:v>
                </c:pt>
                <c:pt idx="86">
                  <c:v>204.875</c:v>
                </c:pt>
                <c:pt idx="87">
                  <c:v>179.8</c:v>
                </c:pt>
                <c:pt idx="88">
                  <c:v>192.95999999999998</c:v>
                </c:pt>
                <c:pt idx="89">
                  <c:v>207.75</c:v>
                </c:pt>
                <c:pt idx="90">
                  <c:v>211.45</c:v>
                </c:pt>
                <c:pt idx="91">
                  <c:v>213.92</c:v>
                </c:pt>
                <c:pt idx="92">
                  <c:v>218.32499999999999</c:v>
                </c:pt>
                <c:pt idx="93">
                  <c:v>220.12000000000003</c:v>
                </c:pt>
                <c:pt idx="94">
                  <c:v>224.82500000000002</c:v>
                </c:pt>
                <c:pt idx="95">
                  <c:v>227.87500000000003</c:v>
                </c:pt>
                <c:pt idx="96">
                  <c:v>270.17999999999995</c:v>
                </c:pt>
                <c:pt idx="97">
                  <c:v>235</c:v>
                </c:pt>
                <c:pt idx="98">
                  <c:v>224.72500000000002</c:v>
                </c:pt>
                <c:pt idx="99">
                  <c:v>251.20000000000002</c:v>
                </c:pt>
                <c:pt idx="100">
                  <c:v>264.88</c:v>
                </c:pt>
                <c:pt idx="101">
                  <c:v>262.52500000000003</c:v>
                </c:pt>
                <c:pt idx="102">
                  <c:v>262.7</c:v>
                </c:pt>
                <c:pt idx="103">
                  <c:v>254.65</c:v>
                </c:pt>
                <c:pt idx="104">
                  <c:v>292.375</c:v>
                </c:pt>
                <c:pt idx="105">
                  <c:v>298.58</c:v>
                </c:pt>
                <c:pt idx="106">
                  <c:v>285.2</c:v>
                </c:pt>
                <c:pt idx="107">
                  <c:v>281.27499999999998</c:v>
                </c:pt>
                <c:pt idx="108">
                  <c:v>266.28000000000003</c:v>
                </c:pt>
                <c:pt idx="109">
                  <c:v>246.97499999999997</c:v>
                </c:pt>
                <c:pt idx="110">
                  <c:v>257.2</c:v>
                </c:pt>
                <c:pt idx="111">
                  <c:v>277.20000000000005</c:v>
                </c:pt>
                <c:pt idx="112">
                  <c:v>288.27499999999998</c:v>
                </c:pt>
                <c:pt idx="113">
                  <c:v>309.60000000000002</c:v>
                </c:pt>
                <c:pt idx="114">
                  <c:v>285.86</c:v>
                </c:pt>
                <c:pt idx="115">
                  <c:v>277.45</c:v>
                </c:pt>
                <c:pt idx="116">
                  <c:v>264.84999999999997</c:v>
                </c:pt>
                <c:pt idx="117">
                  <c:v>272.38</c:v>
                </c:pt>
                <c:pt idx="118">
                  <c:v>295.47500000000002</c:v>
                </c:pt>
                <c:pt idx="119">
                  <c:v>269.86</c:v>
                </c:pt>
                <c:pt idx="120">
                  <c:v>281.32500000000005</c:v>
                </c:pt>
                <c:pt idx="121">
                  <c:v>279.67500000000001</c:v>
                </c:pt>
                <c:pt idx="122">
                  <c:v>296.18</c:v>
                </c:pt>
                <c:pt idx="123">
                  <c:v>304.89999999999998</c:v>
                </c:pt>
                <c:pt idx="124">
                  <c:v>303.77499999999998</c:v>
                </c:pt>
                <c:pt idx="125">
                  <c:v>314.82</c:v>
                </c:pt>
                <c:pt idx="126">
                  <c:v>312.22500000000002</c:v>
                </c:pt>
                <c:pt idx="127">
                  <c:v>308.42500000000001</c:v>
                </c:pt>
                <c:pt idx="128">
                  <c:v>315.78000000000003</c:v>
                </c:pt>
                <c:pt idx="129">
                  <c:v>304.30000000000007</c:v>
                </c:pt>
                <c:pt idx="130">
                  <c:v>312.89999999999998</c:v>
                </c:pt>
                <c:pt idx="131">
                  <c:v>295.38</c:v>
                </c:pt>
                <c:pt idx="132">
                  <c:v>314.10000000000002</c:v>
                </c:pt>
                <c:pt idx="133">
                  <c:v>288.70000000000005</c:v>
                </c:pt>
                <c:pt idx="134">
                  <c:v>299.43999999999994</c:v>
                </c:pt>
                <c:pt idx="135">
                  <c:v>301.7</c:v>
                </c:pt>
                <c:pt idx="136">
                  <c:v>307.90000000000003</c:v>
                </c:pt>
                <c:pt idx="137">
                  <c:v>325.47999999999996</c:v>
                </c:pt>
                <c:pt idx="138">
                  <c:v>311.92499999999995</c:v>
                </c:pt>
                <c:pt idx="139">
                  <c:v>304.89999999999998</c:v>
                </c:pt>
                <c:pt idx="140">
                  <c:v>296.3</c:v>
                </c:pt>
                <c:pt idx="141">
                  <c:v>272.02499999999998</c:v>
                </c:pt>
                <c:pt idx="142">
                  <c:v>315</c:v>
                </c:pt>
                <c:pt idx="143">
                  <c:v>315</c:v>
                </c:pt>
                <c:pt idx="144">
                  <c:v>356.2</c:v>
                </c:pt>
                <c:pt idx="145">
                  <c:v>315.32499999999999</c:v>
                </c:pt>
                <c:pt idx="146">
                  <c:v>328.23999999999995</c:v>
                </c:pt>
                <c:pt idx="147">
                  <c:v>347.52499999999998</c:v>
                </c:pt>
                <c:pt idx="148">
                  <c:v>369.15999999999997</c:v>
                </c:pt>
                <c:pt idx="149">
                  <c:v>373.17499999999995</c:v>
                </c:pt>
                <c:pt idx="150">
                  <c:v>374.25</c:v>
                </c:pt>
                <c:pt idx="151">
                  <c:v>360.6</c:v>
                </c:pt>
                <c:pt idx="152">
                  <c:v>369.52499999999998</c:v>
                </c:pt>
                <c:pt idx="153">
                  <c:v>348.625</c:v>
                </c:pt>
                <c:pt idx="154">
                  <c:v>356.91999999999996</c:v>
                </c:pt>
                <c:pt idx="155">
                  <c:v>357.625</c:v>
                </c:pt>
                <c:pt idx="156">
                  <c:v>365.21999999999997</c:v>
                </c:pt>
                <c:pt idx="157">
                  <c:v>329.45000000000005</c:v>
                </c:pt>
                <c:pt idx="158">
                  <c:v>360.17500000000001</c:v>
                </c:pt>
                <c:pt idx="159">
                  <c:v>373.20000000000005</c:v>
                </c:pt>
                <c:pt idx="160">
                  <c:v>416.64</c:v>
                </c:pt>
                <c:pt idx="161">
                  <c:v>421.9</c:v>
                </c:pt>
                <c:pt idx="162">
                  <c:v>432.65</c:v>
                </c:pt>
                <c:pt idx="163">
                  <c:v>405.41999999999996</c:v>
                </c:pt>
                <c:pt idx="164">
                  <c:v>410.27500000000003</c:v>
                </c:pt>
                <c:pt idx="165">
                  <c:v>390.88</c:v>
                </c:pt>
                <c:pt idx="166">
                  <c:v>425.74999999999994</c:v>
                </c:pt>
                <c:pt idx="167">
                  <c:v>409.67499999999995</c:v>
                </c:pt>
                <c:pt idx="168">
                  <c:v>448.88</c:v>
                </c:pt>
                <c:pt idx="169">
                  <c:v>415.54999999999995</c:v>
                </c:pt>
                <c:pt idx="170">
                  <c:v>443.42500000000001</c:v>
                </c:pt>
                <c:pt idx="171">
                  <c:v>457.96000000000004</c:v>
                </c:pt>
                <c:pt idx="172">
                  <c:v>464.52499999999998</c:v>
                </c:pt>
                <c:pt idx="173">
                  <c:v>442.9</c:v>
                </c:pt>
                <c:pt idx="174">
                  <c:v>461.36</c:v>
                </c:pt>
                <c:pt idx="175">
                  <c:v>448.47500000000002</c:v>
                </c:pt>
                <c:pt idx="176">
                  <c:v>464.35</c:v>
                </c:pt>
                <c:pt idx="177">
                  <c:v>458.82</c:v>
                </c:pt>
                <c:pt idx="178">
                  <c:v>471.72499999999997</c:v>
                </c:pt>
                <c:pt idx="179">
                  <c:v>470.4</c:v>
                </c:pt>
                <c:pt idx="180">
                  <c:v>430.125</c:v>
                </c:pt>
                <c:pt idx="181">
                  <c:v>431.42500000000001</c:v>
                </c:pt>
                <c:pt idx="182">
                  <c:v>457.95000000000005</c:v>
                </c:pt>
                <c:pt idx="183">
                  <c:v>470.34</c:v>
                </c:pt>
                <c:pt idx="184">
                  <c:v>485.125</c:v>
                </c:pt>
                <c:pt idx="185">
                  <c:v>491.35</c:v>
                </c:pt>
                <c:pt idx="186">
                  <c:v>495.62</c:v>
                </c:pt>
                <c:pt idx="187">
                  <c:v>489.27499999999998</c:v>
                </c:pt>
                <c:pt idx="188">
                  <c:v>493.94000000000005</c:v>
                </c:pt>
                <c:pt idx="189">
                  <c:v>469.35</c:v>
                </c:pt>
                <c:pt idx="190">
                  <c:v>473.02499999999998</c:v>
                </c:pt>
                <c:pt idx="191">
                  <c:v>455.46000000000004</c:v>
                </c:pt>
                <c:pt idx="192">
                  <c:v>452.67500000000001</c:v>
                </c:pt>
                <c:pt idx="193">
                  <c:v>406.57499999999999</c:v>
                </c:pt>
                <c:pt idx="194">
                  <c:v>407.58</c:v>
                </c:pt>
                <c:pt idx="195">
                  <c:v>411.95</c:v>
                </c:pt>
                <c:pt idx="196">
                  <c:v>408.77499999999998</c:v>
                </c:pt>
                <c:pt idx="197">
                  <c:v>405.64</c:v>
                </c:pt>
                <c:pt idx="198">
                  <c:v>397.17500000000001</c:v>
                </c:pt>
                <c:pt idx="199">
                  <c:v>383.22500000000002</c:v>
                </c:pt>
                <c:pt idx="200">
                  <c:v>395.65999999999997</c:v>
                </c:pt>
                <c:pt idx="201">
                  <c:v>381.5</c:v>
                </c:pt>
                <c:pt idx="202">
                  <c:v>405.8</c:v>
                </c:pt>
                <c:pt idx="203">
                  <c:v>424.8</c:v>
                </c:pt>
                <c:pt idx="204">
                  <c:v>430.8</c:v>
                </c:pt>
                <c:pt idx="205">
                  <c:v>397.02499999999998</c:v>
                </c:pt>
                <c:pt idx="206">
                  <c:v>408.84000000000003</c:v>
                </c:pt>
                <c:pt idx="207">
                  <c:v>412.15</c:v>
                </c:pt>
                <c:pt idx="208">
                  <c:v>433.92500000000001</c:v>
                </c:pt>
                <c:pt idx="209">
                  <c:v>443.08000000000004</c:v>
                </c:pt>
                <c:pt idx="210">
                  <c:v>435.29999999999995</c:v>
                </c:pt>
                <c:pt idx="211">
                  <c:v>440.71999999999997</c:v>
                </c:pt>
                <c:pt idx="212">
                  <c:v>432.54999999999995</c:v>
                </c:pt>
                <c:pt idx="213">
                  <c:v>419.52499999999998</c:v>
                </c:pt>
                <c:pt idx="214">
                  <c:v>427.38</c:v>
                </c:pt>
                <c:pt idx="215">
                  <c:v>412.375</c:v>
                </c:pt>
                <c:pt idx="216">
                  <c:v>419.27499999999998</c:v>
                </c:pt>
                <c:pt idx="217">
                  <c:v>377.62000000000006</c:v>
                </c:pt>
                <c:pt idx="218">
                  <c:v>373.375</c:v>
                </c:pt>
                <c:pt idx="219">
                  <c:v>365.92499999999995</c:v>
                </c:pt>
                <c:pt idx="220">
                  <c:v>359.71999999999997</c:v>
                </c:pt>
                <c:pt idx="221">
                  <c:v>353.15</c:v>
                </c:pt>
                <c:pt idx="222">
                  <c:v>342.65</c:v>
                </c:pt>
                <c:pt idx="223">
                  <c:v>321.86</c:v>
                </c:pt>
                <c:pt idx="224">
                  <c:v>349.72499999999997</c:v>
                </c:pt>
                <c:pt idx="225">
                  <c:v>294.26000000000005</c:v>
                </c:pt>
                <c:pt idx="226">
                  <c:v>288.89999999999998</c:v>
                </c:pt>
                <c:pt idx="227">
                  <c:v>305.77499999999998</c:v>
                </c:pt>
                <c:pt idx="228">
                  <c:v>299.76000000000005</c:v>
                </c:pt>
                <c:pt idx="229">
                  <c:v>245.02500000000001</c:v>
                </c:pt>
                <c:pt idx="230">
                  <c:v>261.55</c:v>
                </c:pt>
                <c:pt idx="231">
                  <c:v>266.59999999999997</c:v>
                </c:pt>
                <c:pt idx="232">
                  <c:v>261.65999999999997</c:v>
                </c:pt>
                <c:pt idx="233">
                  <c:v>269.97500000000002</c:v>
                </c:pt>
                <c:pt idx="234">
                  <c:v>266.58000000000004</c:v>
                </c:pt>
                <c:pt idx="235">
                  <c:v>275.72500000000002</c:v>
                </c:pt>
                <c:pt idx="236">
                  <c:v>283.92499999999995</c:v>
                </c:pt>
                <c:pt idx="237">
                  <c:v>274.2</c:v>
                </c:pt>
                <c:pt idx="238">
                  <c:v>219.97500000000002</c:v>
                </c:pt>
                <c:pt idx="239">
                  <c:v>225.17500000000001</c:v>
                </c:pt>
                <c:pt idx="240">
                  <c:v>220.44</c:v>
                </c:pt>
                <c:pt idx="241">
                  <c:v>211.2</c:v>
                </c:pt>
                <c:pt idx="242">
                  <c:v>229.7</c:v>
                </c:pt>
                <c:pt idx="243">
                  <c:v>250.18</c:v>
                </c:pt>
                <c:pt idx="244">
                  <c:v>204.85000000000002</c:v>
                </c:pt>
                <c:pt idx="245">
                  <c:v>174.45000000000002</c:v>
                </c:pt>
                <c:pt idx="246">
                  <c:v>169.59999999999997</c:v>
                </c:pt>
                <c:pt idx="247">
                  <c:v>172.22499999999999</c:v>
                </c:pt>
                <c:pt idx="248">
                  <c:v>181.89999999999998</c:v>
                </c:pt>
                <c:pt idx="249">
                  <c:v>181.1</c:v>
                </c:pt>
                <c:pt idx="250">
                  <c:v>195.02499999999998</c:v>
                </c:pt>
                <c:pt idx="251">
                  <c:v>201.54000000000002</c:v>
                </c:pt>
                <c:pt idx="252">
                  <c:v>185.55</c:v>
                </c:pt>
                <c:pt idx="253">
                  <c:v>179.52499999999998</c:v>
                </c:pt>
                <c:pt idx="254">
                  <c:v>190.3</c:v>
                </c:pt>
                <c:pt idx="255">
                  <c:v>193.7</c:v>
                </c:pt>
                <c:pt idx="256">
                  <c:v>191.57499999999999</c:v>
                </c:pt>
                <c:pt idx="257">
                  <c:v>185.02499999999998</c:v>
                </c:pt>
                <c:pt idx="258">
                  <c:v>183.8</c:v>
                </c:pt>
                <c:pt idx="259">
                  <c:v>167.22500000000002</c:v>
                </c:pt>
                <c:pt idx="260">
                  <c:v>170.87599999999998</c:v>
                </c:pt>
                <c:pt idx="261">
                  <c:v>171.25</c:v>
                </c:pt>
                <c:pt idx="262">
                  <c:v>186.92750000000001</c:v>
                </c:pt>
                <c:pt idx="263">
                  <c:v>185.166</c:v>
                </c:pt>
                <c:pt idx="264">
                  <c:v>184.7475</c:v>
                </c:pt>
                <c:pt idx="265">
                  <c:v>171.35</c:v>
                </c:pt>
                <c:pt idx="266">
                  <c:v>188.95999999999998</c:v>
                </c:pt>
                <c:pt idx="267">
                  <c:v>189.97500000000002</c:v>
                </c:pt>
                <c:pt idx="268">
                  <c:v>190.45000000000002</c:v>
                </c:pt>
                <c:pt idx="269">
                  <c:v>189.56</c:v>
                </c:pt>
                <c:pt idx="270">
                  <c:v>188.3</c:v>
                </c:pt>
                <c:pt idx="271">
                  <c:v>178.21999999999997</c:v>
                </c:pt>
                <c:pt idx="272">
                  <c:v>189.97500000000002</c:v>
                </c:pt>
                <c:pt idx="273">
                  <c:v>192.375</c:v>
                </c:pt>
                <c:pt idx="274">
                  <c:v>197.2</c:v>
                </c:pt>
                <c:pt idx="275">
                  <c:v>191.22499999999999</c:v>
                </c:pt>
                <c:pt idx="276">
                  <c:v>205.32499999999999</c:v>
                </c:pt>
                <c:pt idx="277">
                  <c:v>196.375</c:v>
                </c:pt>
                <c:pt idx="278">
                  <c:v>206.44</c:v>
                </c:pt>
                <c:pt idx="279">
                  <c:v>215.375</c:v>
                </c:pt>
                <c:pt idx="280">
                  <c:v>211.08</c:v>
                </c:pt>
                <c:pt idx="281">
                  <c:v>212.60000000000002</c:v>
                </c:pt>
                <c:pt idx="282">
                  <c:v>198.64999999999998</c:v>
                </c:pt>
                <c:pt idx="283">
                  <c:v>187.73999999999998</c:v>
                </c:pt>
                <c:pt idx="284">
                  <c:v>190.42499999999998</c:v>
                </c:pt>
                <c:pt idx="285">
                  <c:v>182.97500000000002</c:v>
                </c:pt>
                <c:pt idx="286">
                  <c:v>187.02</c:v>
                </c:pt>
                <c:pt idx="287">
                  <c:v>175.52499999999998</c:v>
                </c:pt>
                <c:pt idx="288">
                  <c:v>183.3</c:v>
                </c:pt>
                <c:pt idx="289">
                  <c:v>164.2</c:v>
                </c:pt>
                <c:pt idx="290">
                  <c:v>171.9</c:v>
                </c:pt>
                <c:pt idx="291">
                  <c:v>177.77500000000001</c:v>
                </c:pt>
                <c:pt idx="292">
                  <c:v>180</c:v>
                </c:pt>
                <c:pt idx="293">
                  <c:v>179.42500000000001</c:v>
                </c:pt>
                <c:pt idx="294">
                  <c:v>171.625</c:v>
                </c:pt>
                <c:pt idx="295">
                  <c:v>165.92</c:v>
                </c:pt>
                <c:pt idx="296">
                  <c:v>167.10000000000002</c:v>
                </c:pt>
                <c:pt idx="297">
                  <c:v>164.48000000000002</c:v>
                </c:pt>
                <c:pt idx="298">
                  <c:v>171.85000000000002</c:v>
                </c:pt>
                <c:pt idx="299">
                  <c:v>165.82499999999999</c:v>
                </c:pt>
                <c:pt idx="300">
                  <c:v>184.51999999999998</c:v>
                </c:pt>
                <c:pt idx="301">
                  <c:v>169.45</c:v>
                </c:pt>
                <c:pt idx="302">
                  <c:v>177.74999999999997</c:v>
                </c:pt>
                <c:pt idx="303">
                  <c:v>202.04999999999998</c:v>
                </c:pt>
                <c:pt idx="304">
                  <c:v>201.95999999999998</c:v>
                </c:pt>
                <c:pt idx="305">
                  <c:v>206.67500000000001</c:v>
                </c:pt>
                <c:pt idx="306">
                  <c:v>201.96</c:v>
                </c:pt>
                <c:pt idx="307">
                  <c:v>199.57500000000002</c:v>
                </c:pt>
                <c:pt idx="308">
                  <c:v>204.4</c:v>
                </c:pt>
                <c:pt idx="309">
                  <c:v>201.11999999999998</c:v>
                </c:pt>
                <c:pt idx="310">
                  <c:v>210.67499999999998</c:v>
                </c:pt>
                <c:pt idx="311">
                  <c:v>225.375</c:v>
                </c:pt>
                <c:pt idx="312">
                  <c:v>222.69999999999996</c:v>
                </c:pt>
                <c:pt idx="313">
                  <c:v>217.375</c:v>
                </c:pt>
                <c:pt idx="314">
                  <c:v>226.15</c:v>
                </c:pt>
                <c:pt idx="315">
                  <c:v>235.1</c:v>
                </c:pt>
                <c:pt idx="316">
                  <c:v>229.60000000000002</c:v>
                </c:pt>
                <c:pt idx="317">
                  <c:v>239.79999999999998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Regression!$F$1</c:f>
              <c:strCache>
                <c:ptCount val="1"/>
                <c:pt idx="0">
                  <c:v>18M MA</c:v>
                </c:pt>
              </c:strCache>
            </c:strRef>
          </c:tx>
          <c:marker>
            <c:symbol val="none"/>
          </c:marker>
          <c:cat>
            <c:numRef>
              <c:f>Regression!$A$2:$A$319</c:f>
              <c:numCache>
                <c:formatCode>m/d/yyyy</c:formatCode>
                <c:ptCount val="318"/>
                <c:pt idx="0">
                  <c:v>32874</c:v>
                </c:pt>
                <c:pt idx="1">
                  <c:v>32905</c:v>
                </c:pt>
                <c:pt idx="2">
                  <c:v>32933</c:v>
                </c:pt>
                <c:pt idx="3">
                  <c:v>32964</c:v>
                </c:pt>
                <c:pt idx="4">
                  <c:v>32994</c:v>
                </c:pt>
                <c:pt idx="5">
                  <c:v>33025</c:v>
                </c:pt>
                <c:pt idx="6">
                  <c:v>33055</c:v>
                </c:pt>
                <c:pt idx="7">
                  <c:v>33086</c:v>
                </c:pt>
                <c:pt idx="8">
                  <c:v>33117</c:v>
                </c:pt>
                <c:pt idx="9">
                  <c:v>33147</c:v>
                </c:pt>
                <c:pt idx="10">
                  <c:v>33178</c:v>
                </c:pt>
                <c:pt idx="11">
                  <c:v>33208</c:v>
                </c:pt>
                <c:pt idx="12">
                  <c:v>33239</c:v>
                </c:pt>
                <c:pt idx="13">
                  <c:v>33270</c:v>
                </c:pt>
                <c:pt idx="14">
                  <c:v>33298</c:v>
                </c:pt>
                <c:pt idx="15">
                  <c:v>33329</c:v>
                </c:pt>
                <c:pt idx="16">
                  <c:v>33359</c:v>
                </c:pt>
                <c:pt idx="17">
                  <c:v>33390</c:v>
                </c:pt>
                <c:pt idx="18">
                  <c:v>33420</c:v>
                </c:pt>
                <c:pt idx="19">
                  <c:v>33451</c:v>
                </c:pt>
                <c:pt idx="20">
                  <c:v>33482</c:v>
                </c:pt>
                <c:pt idx="21">
                  <c:v>33512</c:v>
                </c:pt>
                <c:pt idx="22">
                  <c:v>33543</c:v>
                </c:pt>
                <c:pt idx="23">
                  <c:v>33573</c:v>
                </c:pt>
                <c:pt idx="24">
                  <c:v>33604</c:v>
                </c:pt>
                <c:pt idx="25">
                  <c:v>33635</c:v>
                </c:pt>
                <c:pt idx="26">
                  <c:v>33664</c:v>
                </c:pt>
                <c:pt idx="27">
                  <c:v>33695</c:v>
                </c:pt>
                <c:pt idx="28">
                  <c:v>33725</c:v>
                </c:pt>
                <c:pt idx="29">
                  <c:v>33756</c:v>
                </c:pt>
                <c:pt idx="30">
                  <c:v>33786</c:v>
                </c:pt>
                <c:pt idx="31">
                  <c:v>33817</c:v>
                </c:pt>
                <c:pt idx="32">
                  <c:v>33848</c:v>
                </c:pt>
                <c:pt idx="33">
                  <c:v>33878</c:v>
                </c:pt>
                <c:pt idx="34">
                  <c:v>33909</c:v>
                </c:pt>
                <c:pt idx="35">
                  <c:v>33939</c:v>
                </c:pt>
                <c:pt idx="36">
                  <c:v>33970</c:v>
                </c:pt>
                <c:pt idx="37">
                  <c:v>34001</c:v>
                </c:pt>
                <c:pt idx="38">
                  <c:v>34029</c:v>
                </c:pt>
                <c:pt idx="39">
                  <c:v>34060</c:v>
                </c:pt>
                <c:pt idx="40">
                  <c:v>34090</c:v>
                </c:pt>
                <c:pt idx="41">
                  <c:v>34121</c:v>
                </c:pt>
                <c:pt idx="42">
                  <c:v>34151</c:v>
                </c:pt>
                <c:pt idx="43">
                  <c:v>34182</c:v>
                </c:pt>
                <c:pt idx="44">
                  <c:v>34213</c:v>
                </c:pt>
                <c:pt idx="45">
                  <c:v>34243</c:v>
                </c:pt>
                <c:pt idx="46">
                  <c:v>34274</c:v>
                </c:pt>
                <c:pt idx="47">
                  <c:v>34304</c:v>
                </c:pt>
                <c:pt idx="48">
                  <c:v>34335</c:v>
                </c:pt>
                <c:pt idx="49">
                  <c:v>34366</c:v>
                </c:pt>
                <c:pt idx="50">
                  <c:v>34394</c:v>
                </c:pt>
                <c:pt idx="51">
                  <c:v>34425</c:v>
                </c:pt>
                <c:pt idx="52">
                  <c:v>34455</c:v>
                </c:pt>
                <c:pt idx="53">
                  <c:v>34486</c:v>
                </c:pt>
                <c:pt idx="54">
                  <c:v>34516</c:v>
                </c:pt>
                <c:pt idx="55">
                  <c:v>34547</c:v>
                </c:pt>
                <c:pt idx="56">
                  <c:v>34578</c:v>
                </c:pt>
                <c:pt idx="57">
                  <c:v>34608</c:v>
                </c:pt>
                <c:pt idx="58">
                  <c:v>34639</c:v>
                </c:pt>
                <c:pt idx="59">
                  <c:v>34669</c:v>
                </c:pt>
                <c:pt idx="60">
                  <c:v>34700</c:v>
                </c:pt>
                <c:pt idx="61">
                  <c:v>34731</c:v>
                </c:pt>
                <c:pt idx="62">
                  <c:v>34759</c:v>
                </c:pt>
                <c:pt idx="63">
                  <c:v>34790</c:v>
                </c:pt>
                <c:pt idx="64">
                  <c:v>34820</c:v>
                </c:pt>
                <c:pt idx="65">
                  <c:v>34851</c:v>
                </c:pt>
                <c:pt idx="66">
                  <c:v>34881</c:v>
                </c:pt>
                <c:pt idx="67">
                  <c:v>34912</c:v>
                </c:pt>
                <c:pt idx="68">
                  <c:v>34943</c:v>
                </c:pt>
                <c:pt idx="69">
                  <c:v>34973</c:v>
                </c:pt>
                <c:pt idx="70">
                  <c:v>35004</c:v>
                </c:pt>
                <c:pt idx="71">
                  <c:v>35034</c:v>
                </c:pt>
                <c:pt idx="72">
                  <c:v>35065</c:v>
                </c:pt>
                <c:pt idx="73">
                  <c:v>35096</c:v>
                </c:pt>
                <c:pt idx="74">
                  <c:v>35125</c:v>
                </c:pt>
                <c:pt idx="75">
                  <c:v>35156</c:v>
                </c:pt>
                <c:pt idx="76">
                  <c:v>35186</c:v>
                </c:pt>
                <c:pt idx="77">
                  <c:v>35217</c:v>
                </c:pt>
                <c:pt idx="78">
                  <c:v>35247</c:v>
                </c:pt>
                <c:pt idx="79">
                  <c:v>35278</c:v>
                </c:pt>
                <c:pt idx="80">
                  <c:v>35309</c:v>
                </c:pt>
                <c:pt idx="81">
                  <c:v>35339</c:v>
                </c:pt>
                <c:pt idx="82">
                  <c:v>35370</c:v>
                </c:pt>
                <c:pt idx="83">
                  <c:v>35400</c:v>
                </c:pt>
                <c:pt idx="84">
                  <c:v>35431</c:v>
                </c:pt>
                <c:pt idx="85">
                  <c:v>35462</c:v>
                </c:pt>
                <c:pt idx="86">
                  <c:v>35490</c:v>
                </c:pt>
                <c:pt idx="87">
                  <c:v>35521</c:v>
                </c:pt>
                <c:pt idx="88">
                  <c:v>35551</c:v>
                </c:pt>
                <c:pt idx="89">
                  <c:v>35582</c:v>
                </c:pt>
                <c:pt idx="90">
                  <c:v>35612</c:v>
                </c:pt>
                <c:pt idx="91">
                  <c:v>35643</c:v>
                </c:pt>
                <c:pt idx="92">
                  <c:v>35674</c:v>
                </c:pt>
                <c:pt idx="93">
                  <c:v>35704</c:v>
                </c:pt>
                <c:pt idx="94">
                  <c:v>35735</c:v>
                </c:pt>
                <c:pt idx="95">
                  <c:v>35765</c:v>
                </c:pt>
                <c:pt idx="96">
                  <c:v>35796</c:v>
                </c:pt>
                <c:pt idx="97">
                  <c:v>35827</c:v>
                </c:pt>
                <c:pt idx="98">
                  <c:v>35855</c:v>
                </c:pt>
                <c:pt idx="99">
                  <c:v>35886</c:v>
                </c:pt>
                <c:pt idx="100">
                  <c:v>35916</c:v>
                </c:pt>
                <c:pt idx="101">
                  <c:v>35947</c:v>
                </c:pt>
                <c:pt idx="102">
                  <c:v>35977</c:v>
                </c:pt>
                <c:pt idx="103">
                  <c:v>36008</c:v>
                </c:pt>
                <c:pt idx="104">
                  <c:v>36039</c:v>
                </c:pt>
                <c:pt idx="105">
                  <c:v>36069</c:v>
                </c:pt>
                <c:pt idx="106">
                  <c:v>36100</c:v>
                </c:pt>
                <c:pt idx="107">
                  <c:v>36130</c:v>
                </c:pt>
                <c:pt idx="108">
                  <c:v>36161</c:v>
                </c:pt>
                <c:pt idx="109">
                  <c:v>36192</c:v>
                </c:pt>
                <c:pt idx="110">
                  <c:v>36220</c:v>
                </c:pt>
                <c:pt idx="111">
                  <c:v>36251</c:v>
                </c:pt>
                <c:pt idx="112">
                  <c:v>36281</c:v>
                </c:pt>
                <c:pt idx="113">
                  <c:v>36312</c:v>
                </c:pt>
                <c:pt idx="114">
                  <c:v>36342</c:v>
                </c:pt>
                <c:pt idx="115">
                  <c:v>36373</c:v>
                </c:pt>
                <c:pt idx="116">
                  <c:v>36404</c:v>
                </c:pt>
                <c:pt idx="117">
                  <c:v>36434</c:v>
                </c:pt>
                <c:pt idx="118">
                  <c:v>36465</c:v>
                </c:pt>
                <c:pt idx="119">
                  <c:v>36495</c:v>
                </c:pt>
                <c:pt idx="120">
                  <c:v>36526</c:v>
                </c:pt>
                <c:pt idx="121">
                  <c:v>36557</c:v>
                </c:pt>
                <c:pt idx="122">
                  <c:v>36586</c:v>
                </c:pt>
                <c:pt idx="123">
                  <c:v>36617</c:v>
                </c:pt>
                <c:pt idx="124">
                  <c:v>36647</c:v>
                </c:pt>
                <c:pt idx="125">
                  <c:v>36678</c:v>
                </c:pt>
                <c:pt idx="126">
                  <c:v>36708</c:v>
                </c:pt>
                <c:pt idx="127">
                  <c:v>36739</c:v>
                </c:pt>
                <c:pt idx="128">
                  <c:v>36770</c:v>
                </c:pt>
                <c:pt idx="129">
                  <c:v>36800</c:v>
                </c:pt>
                <c:pt idx="130">
                  <c:v>36831</c:v>
                </c:pt>
                <c:pt idx="131">
                  <c:v>36861</c:v>
                </c:pt>
                <c:pt idx="132">
                  <c:v>36892</c:v>
                </c:pt>
                <c:pt idx="133">
                  <c:v>36923</c:v>
                </c:pt>
                <c:pt idx="134">
                  <c:v>36951</c:v>
                </c:pt>
                <c:pt idx="135">
                  <c:v>36982</c:v>
                </c:pt>
                <c:pt idx="136">
                  <c:v>37012</c:v>
                </c:pt>
                <c:pt idx="137">
                  <c:v>37043</c:v>
                </c:pt>
                <c:pt idx="138">
                  <c:v>37073</c:v>
                </c:pt>
                <c:pt idx="139">
                  <c:v>37104</c:v>
                </c:pt>
                <c:pt idx="140">
                  <c:v>37135</c:v>
                </c:pt>
                <c:pt idx="141">
                  <c:v>37165</c:v>
                </c:pt>
                <c:pt idx="142">
                  <c:v>37196</c:v>
                </c:pt>
                <c:pt idx="143">
                  <c:v>37226</c:v>
                </c:pt>
                <c:pt idx="144">
                  <c:v>37257</c:v>
                </c:pt>
                <c:pt idx="145">
                  <c:v>37288</c:v>
                </c:pt>
                <c:pt idx="146">
                  <c:v>37316</c:v>
                </c:pt>
                <c:pt idx="147">
                  <c:v>37347</c:v>
                </c:pt>
                <c:pt idx="148">
                  <c:v>37377</c:v>
                </c:pt>
                <c:pt idx="149">
                  <c:v>37408</c:v>
                </c:pt>
                <c:pt idx="150">
                  <c:v>37438</c:v>
                </c:pt>
                <c:pt idx="151">
                  <c:v>37469</c:v>
                </c:pt>
                <c:pt idx="152">
                  <c:v>37500</c:v>
                </c:pt>
                <c:pt idx="153">
                  <c:v>37530</c:v>
                </c:pt>
                <c:pt idx="154">
                  <c:v>37561</c:v>
                </c:pt>
                <c:pt idx="155">
                  <c:v>37591</c:v>
                </c:pt>
                <c:pt idx="156">
                  <c:v>37622</c:v>
                </c:pt>
                <c:pt idx="157">
                  <c:v>37653</c:v>
                </c:pt>
                <c:pt idx="158">
                  <c:v>37681</c:v>
                </c:pt>
                <c:pt idx="159">
                  <c:v>37712</c:v>
                </c:pt>
                <c:pt idx="160">
                  <c:v>37742</c:v>
                </c:pt>
                <c:pt idx="161">
                  <c:v>37773</c:v>
                </c:pt>
                <c:pt idx="162">
                  <c:v>37803</c:v>
                </c:pt>
                <c:pt idx="163">
                  <c:v>37834</c:v>
                </c:pt>
                <c:pt idx="164">
                  <c:v>37865</c:v>
                </c:pt>
                <c:pt idx="165">
                  <c:v>37895</c:v>
                </c:pt>
                <c:pt idx="166">
                  <c:v>37926</c:v>
                </c:pt>
                <c:pt idx="167">
                  <c:v>37956</c:v>
                </c:pt>
                <c:pt idx="168">
                  <c:v>37987</c:v>
                </c:pt>
                <c:pt idx="169">
                  <c:v>38018</c:v>
                </c:pt>
                <c:pt idx="170">
                  <c:v>38047</c:v>
                </c:pt>
                <c:pt idx="171">
                  <c:v>38078</c:v>
                </c:pt>
                <c:pt idx="172">
                  <c:v>38108</c:v>
                </c:pt>
                <c:pt idx="173">
                  <c:v>38139</c:v>
                </c:pt>
                <c:pt idx="174">
                  <c:v>38169</c:v>
                </c:pt>
                <c:pt idx="175">
                  <c:v>38200</c:v>
                </c:pt>
                <c:pt idx="176">
                  <c:v>38231</c:v>
                </c:pt>
                <c:pt idx="177">
                  <c:v>38261</c:v>
                </c:pt>
                <c:pt idx="178">
                  <c:v>38292</c:v>
                </c:pt>
                <c:pt idx="179">
                  <c:v>38322</c:v>
                </c:pt>
                <c:pt idx="180">
                  <c:v>38353</c:v>
                </c:pt>
                <c:pt idx="181">
                  <c:v>38384</c:v>
                </c:pt>
                <c:pt idx="182">
                  <c:v>38412</c:v>
                </c:pt>
                <c:pt idx="183">
                  <c:v>38443</c:v>
                </c:pt>
                <c:pt idx="184">
                  <c:v>38473</c:v>
                </c:pt>
                <c:pt idx="185">
                  <c:v>38504</c:v>
                </c:pt>
                <c:pt idx="186">
                  <c:v>38534</c:v>
                </c:pt>
                <c:pt idx="187">
                  <c:v>38565</c:v>
                </c:pt>
                <c:pt idx="188">
                  <c:v>38596</c:v>
                </c:pt>
                <c:pt idx="189">
                  <c:v>38626</c:v>
                </c:pt>
                <c:pt idx="190">
                  <c:v>38657</c:v>
                </c:pt>
                <c:pt idx="191">
                  <c:v>38687</c:v>
                </c:pt>
                <c:pt idx="192">
                  <c:v>38718</c:v>
                </c:pt>
                <c:pt idx="193">
                  <c:v>38749</c:v>
                </c:pt>
                <c:pt idx="194">
                  <c:v>38777</c:v>
                </c:pt>
                <c:pt idx="195">
                  <c:v>38808</c:v>
                </c:pt>
                <c:pt idx="196">
                  <c:v>38838</c:v>
                </c:pt>
                <c:pt idx="197">
                  <c:v>38869</c:v>
                </c:pt>
                <c:pt idx="198">
                  <c:v>38899</c:v>
                </c:pt>
                <c:pt idx="199">
                  <c:v>38930</c:v>
                </c:pt>
                <c:pt idx="200">
                  <c:v>38961</c:v>
                </c:pt>
                <c:pt idx="201">
                  <c:v>38991</c:v>
                </c:pt>
                <c:pt idx="202">
                  <c:v>39022</c:v>
                </c:pt>
                <c:pt idx="203">
                  <c:v>39052</c:v>
                </c:pt>
                <c:pt idx="204">
                  <c:v>39083</c:v>
                </c:pt>
                <c:pt idx="205">
                  <c:v>39114</c:v>
                </c:pt>
                <c:pt idx="206">
                  <c:v>39142</c:v>
                </c:pt>
                <c:pt idx="207">
                  <c:v>39173</c:v>
                </c:pt>
                <c:pt idx="208">
                  <c:v>39203</c:v>
                </c:pt>
                <c:pt idx="209">
                  <c:v>39234</c:v>
                </c:pt>
                <c:pt idx="210">
                  <c:v>39264</c:v>
                </c:pt>
                <c:pt idx="211">
                  <c:v>39295</c:v>
                </c:pt>
                <c:pt idx="212">
                  <c:v>39326</c:v>
                </c:pt>
                <c:pt idx="213">
                  <c:v>39356</c:v>
                </c:pt>
                <c:pt idx="214">
                  <c:v>39387</c:v>
                </c:pt>
                <c:pt idx="215">
                  <c:v>39417</c:v>
                </c:pt>
                <c:pt idx="216">
                  <c:v>39448</c:v>
                </c:pt>
                <c:pt idx="217">
                  <c:v>39479</c:v>
                </c:pt>
                <c:pt idx="218">
                  <c:v>39508</c:v>
                </c:pt>
                <c:pt idx="219">
                  <c:v>39539</c:v>
                </c:pt>
                <c:pt idx="220">
                  <c:v>39569</c:v>
                </c:pt>
                <c:pt idx="221">
                  <c:v>39600</c:v>
                </c:pt>
                <c:pt idx="222">
                  <c:v>39630</c:v>
                </c:pt>
                <c:pt idx="223">
                  <c:v>39661</c:v>
                </c:pt>
                <c:pt idx="224">
                  <c:v>39692</c:v>
                </c:pt>
                <c:pt idx="225">
                  <c:v>39722</c:v>
                </c:pt>
                <c:pt idx="226">
                  <c:v>39753</c:v>
                </c:pt>
                <c:pt idx="227">
                  <c:v>39783</c:v>
                </c:pt>
                <c:pt idx="228">
                  <c:v>39814</c:v>
                </c:pt>
                <c:pt idx="229">
                  <c:v>39845</c:v>
                </c:pt>
                <c:pt idx="230">
                  <c:v>39873</c:v>
                </c:pt>
                <c:pt idx="231">
                  <c:v>39904</c:v>
                </c:pt>
                <c:pt idx="232">
                  <c:v>39934</c:v>
                </c:pt>
                <c:pt idx="233">
                  <c:v>39965</c:v>
                </c:pt>
                <c:pt idx="234">
                  <c:v>39995</c:v>
                </c:pt>
                <c:pt idx="235">
                  <c:v>40026</c:v>
                </c:pt>
                <c:pt idx="236">
                  <c:v>40057</c:v>
                </c:pt>
                <c:pt idx="237">
                  <c:v>40087</c:v>
                </c:pt>
                <c:pt idx="238">
                  <c:v>40118</c:v>
                </c:pt>
                <c:pt idx="239">
                  <c:v>40148</c:v>
                </c:pt>
                <c:pt idx="240">
                  <c:v>40179</c:v>
                </c:pt>
                <c:pt idx="241">
                  <c:v>40210</c:v>
                </c:pt>
                <c:pt idx="242">
                  <c:v>40238</c:v>
                </c:pt>
                <c:pt idx="243">
                  <c:v>40269</c:v>
                </c:pt>
                <c:pt idx="244">
                  <c:v>40299</c:v>
                </c:pt>
                <c:pt idx="245">
                  <c:v>40330</c:v>
                </c:pt>
                <c:pt idx="246">
                  <c:v>40360</c:v>
                </c:pt>
                <c:pt idx="247">
                  <c:v>40391</c:v>
                </c:pt>
                <c:pt idx="248">
                  <c:v>40422</c:v>
                </c:pt>
                <c:pt idx="249">
                  <c:v>40452</c:v>
                </c:pt>
                <c:pt idx="250">
                  <c:v>40483</c:v>
                </c:pt>
                <c:pt idx="251">
                  <c:v>40513</c:v>
                </c:pt>
                <c:pt idx="252">
                  <c:v>40544</c:v>
                </c:pt>
                <c:pt idx="253">
                  <c:v>40575</c:v>
                </c:pt>
                <c:pt idx="254">
                  <c:v>40603</c:v>
                </c:pt>
                <c:pt idx="255">
                  <c:v>40634</c:v>
                </c:pt>
                <c:pt idx="256">
                  <c:v>40664</c:v>
                </c:pt>
                <c:pt idx="257">
                  <c:v>40695</c:v>
                </c:pt>
                <c:pt idx="258">
                  <c:v>40725</c:v>
                </c:pt>
                <c:pt idx="259">
                  <c:v>40756</c:v>
                </c:pt>
                <c:pt idx="260">
                  <c:v>40787</c:v>
                </c:pt>
                <c:pt idx="261">
                  <c:v>40817</c:v>
                </c:pt>
                <c:pt idx="262">
                  <c:v>40848</c:v>
                </c:pt>
                <c:pt idx="263">
                  <c:v>40878</c:v>
                </c:pt>
                <c:pt idx="264">
                  <c:v>40909</c:v>
                </c:pt>
                <c:pt idx="265">
                  <c:v>40940</c:v>
                </c:pt>
                <c:pt idx="266">
                  <c:v>40969</c:v>
                </c:pt>
                <c:pt idx="267">
                  <c:v>41000</c:v>
                </c:pt>
                <c:pt idx="268">
                  <c:v>41030</c:v>
                </c:pt>
                <c:pt idx="269">
                  <c:v>41061</c:v>
                </c:pt>
                <c:pt idx="270">
                  <c:v>41091</c:v>
                </c:pt>
                <c:pt idx="271">
                  <c:v>41122</c:v>
                </c:pt>
                <c:pt idx="272">
                  <c:v>41153</c:v>
                </c:pt>
                <c:pt idx="273">
                  <c:v>41183</c:v>
                </c:pt>
                <c:pt idx="274">
                  <c:v>41214</c:v>
                </c:pt>
                <c:pt idx="275">
                  <c:v>41244</c:v>
                </c:pt>
                <c:pt idx="276">
                  <c:v>41275</c:v>
                </c:pt>
                <c:pt idx="277">
                  <c:v>41306</c:v>
                </c:pt>
                <c:pt idx="278">
                  <c:v>41334</c:v>
                </c:pt>
                <c:pt idx="279">
                  <c:v>41365</c:v>
                </c:pt>
                <c:pt idx="280">
                  <c:v>41395</c:v>
                </c:pt>
                <c:pt idx="281">
                  <c:v>41426</c:v>
                </c:pt>
                <c:pt idx="282">
                  <c:v>41456</c:v>
                </c:pt>
                <c:pt idx="283">
                  <c:v>41487</c:v>
                </c:pt>
                <c:pt idx="284">
                  <c:v>41518</c:v>
                </c:pt>
                <c:pt idx="285">
                  <c:v>41548</c:v>
                </c:pt>
                <c:pt idx="286">
                  <c:v>41579</c:v>
                </c:pt>
                <c:pt idx="287">
                  <c:v>41609</c:v>
                </c:pt>
                <c:pt idx="288">
                  <c:v>41640</c:v>
                </c:pt>
                <c:pt idx="289">
                  <c:v>41671</c:v>
                </c:pt>
                <c:pt idx="290">
                  <c:v>41699</c:v>
                </c:pt>
                <c:pt idx="291">
                  <c:v>41730</c:v>
                </c:pt>
                <c:pt idx="292">
                  <c:v>41760</c:v>
                </c:pt>
                <c:pt idx="293">
                  <c:v>41791</c:v>
                </c:pt>
                <c:pt idx="294">
                  <c:v>41821</c:v>
                </c:pt>
                <c:pt idx="295">
                  <c:v>41852</c:v>
                </c:pt>
                <c:pt idx="296">
                  <c:v>41883</c:v>
                </c:pt>
                <c:pt idx="297">
                  <c:v>41913</c:v>
                </c:pt>
                <c:pt idx="298">
                  <c:v>41944</c:v>
                </c:pt>
                <c:pt idx="299">
                  <c:v>41974</c:v>
                </c:pt>
                <c:pt idx="300">
                  <c:v>42005</c:v>
                </c:pt>
                <c:pt idx="301">
                  <c:v>42036</c:v>
                </c:pt>
                <c:pt idx="302">
                  <c:v>42064</c:v>
                </c:pt>
                <c:pt idx="303">
                  <c:v>42095</c:v>
                </c:pt>
                <c:pt idx="304">
                  <c:v>42125</c:v>
                </c:pt>
                <c:pt idx="305">
                  <c:v>42156</c:v>
                </c:pt>
                <c:pt idx="306">
                  <c:v>42186</c:v>
                </c:pt>
                <c:pt idx="307">
                  <c:v>42217</c:v>
                </c:pt>
                <c:pt idx="308">
                  <c:v>42248</c:v>
                </c:pt>
                <c:pt idx="309">
                  <c:v>42278</c:v>
                </c:pt>
                <c:pt idx="310">
                  <c:v>42309</c:v>
                </c:pt>
                <c:pt idx="311">
                  <c:v>42339</c:v>
                </c:pt>
                <c:pt idx="312">
                  <c:v>42370</c:v>
                </c:pt>
                <c:pt idx="313">
                  <c:v>42401</c:v>
                </c:pt>
                <c:pt idx="314">
                  <c:v>42430</c:v>
                </c:pt>
                <c:pt idx="315">
                  <c:v>42461</c:v>
                </c:pt>
                <c:pt idx="316">
                  <c:v>42491</c:v>
                </c:pt>
                <c:pt idx="317">
                  <c:v>42522</c:v>
                </c:pt>
              </c:numCache>
            </c:numRef>
          </c:cat>
          <c:val>
            <c:numRef>
              <c:f>Regression!$F$2:$F$319</c:f>
              <c:numCache>
                <c:formatCode>General</c:formatCode>
                <c:ptCount val="318"/>
                <c:pt idx="0">
                  <c:v>-86.633039999999966</c:v>
                </c:pt>
                <c:pt idx="1">
                  <c:v>-78.592134999999985</c:v>
                </c:pt>
                <c:pt idx="2">
                  <c:v>-81.355172666666661</c:v>
                </c:pt>
                <c:pt idx="3">
                  <c:v>-83.26930449999999</c:v>
                </c:pt>
                <c:pt idx="4">
                  <c:v>-86.796443600000003</c:v>
                </c:pt>
                <c:pt idx="5">
                  <c:v>-86.907103000000006</c:v>
                </c:pt>
                <c:pt idx="6">
                  <c:v>-87.976022571428572</c:v>
                </c:pt>
                <c:pt idx="7">
                  <c:v>-88.640680750000001</c:v>
                </c:pt>
                <c:pt idx="8">
                  <c:v>-91.163985111111117</c:v>
                </c:pt>
                <c:pt idx="9">
                  <c:v>-94.320248599999999</c:v>
                </c:pt>
                <c:pt idx="10">
                  <c:v>-95.607075454545466</c:v>
                </c:pt>
                <c:pt idx="11">
                  <c:v>-97.186189166666679</c:v>
                </c:pt>
                <c:pt idx="12">
                  <c:v>-97.173924615384621</c:v>
                </c:pt>
                <c:pt idx="13">
                  <c:v>-95.475450000000009</c:v>
                </c:pt>
                <c:pt idx="14">
                  <c:v>-91.824724000000003</c:v>
                </c:pt>
                <c:pt idx="15">
                  <c:v>-88.966453749999999</c:v>
                </c:pt>
                <c:pt idx="16">
                  <c:v>-85.797163058823529</c:v>
                </c:pt>
                <c:pt idx="17">
                  <c:v>-83.375884555555558</c:v>
                </c:pt>
                <c:pt idx="18">
                  <c:v>-80.563435111111104</c:v>
                </c:pt>
                <c:pt idx="19">
                  <c:v>-79.979112111111093</c:v>
                </c:pt>
                <c:pt idx="20">
                  <c:v>-78.299111666666647</c:v>
                </c:pt>
                <c:pt idx="21">
                  <c:v>-75.888851111111094</c:v>
                </c:pt>
                <c:pt idx="22">
                  <c:v>-73.820451111111097</c:v>
                </c:pt>
                <c:pt idx="23">
                  <c:v>-72.872434444444423</c:v>
                </c:pt>
                <c:pt idx="24">
                  <c:v>-67.794512444444436</c:v>
                </c:pt>
                <c:pt idx="25">
                  <c:v>-63.175660333333326</c:v>
                </c:pt>
                <c:pt idx="26">
                  <c:v>-59.099188666666663</c:v>
                </c:pt>
                <c:pt idx="27">
                  <c:v>-54.158010888888896</c:v>
                </c:pt>
                <c:pt idx="28">
                  <c:v>-50.041894888888891</c:v>
                </c:pt>
                <c:pt idx="29">
                  <c:v>-45.658036000000003</c:v>
                </c:pt>
                <c:pt idx="30">
                  <c:v>-39.790100111111116</c:v>
                </c:pt>
                <c:pt idx="31">
                  <c:v>-34.739756777777785</c:v>
                </c:pt>
                <c:pt idx="32">
                  <c:v>-30.996527333333329</c:v>
                </c:pt>
                <c:pt idx="33">
                  <c:v>-27.907716666666662</c:v>
                </c:pt>
                <c:pt idx="34">
                  <c:v>-25.511245444444441</c:v>
                </c:pt>
                <c:pt idx="35">
                  <c:v>-23.057893222222216</c:v>
                </c:pt>
                <c:pt idx="36">
                  <c:v>-20.630395999999998</c:v>
                </c:pt>
                <c:pt idx="37">
                  <c:v>-15.026755666666666</c:v>
                </c:pt>
                <c:pt idx="38">
                  <c:v>-10.033867888888885</c:v>
                </c:pt>
                <c:pt idx="39">
                  <c:v>-3.7740851111111025</c:v>
                </c:pt>
                <c:pt idx="40">
                  <c:v>1.5893910000000124</c:v>
                </c:pt>
                <c:pt idx="41">
                  <c:v>8.2082710000000105</c:v>
                </c:pt>
                <c:pt idx="42">
                  <c:v>12.039407444444459</c:v>
                </c:pt>
                <c:pt idx="43">
                  <c:v>14.593306888888902</c:v>
                </c:pt>
                <c:pt idx="44">
                  <c:v>21.611503000000013</c:v>
                </c:pt>
                <c:pt idx="45">
                  <c:v>26.900861444444459</c:v>
                </c:pt>
                <c:pt idx="46">
                  <c:v>32.021875111111129</c:v>
                </c:pt>
                <c:pt idx="47">
                  <c:v>35.969071777777792</c:v>
                </c:pt>
                <c:pt idx="48">
                  <c:v>35.547922555555573</c:v>
                </c:pt>
                <c:pt idx="49">
                  <c:v>36.96132922222224</c:v>
                </c:pt>
                <c:pt idx="50">
                  <c:v>37.383627555555563</c:v>
                </c:pt>
                <c:pt idx="51">
                  <c:v>39.934654222222235</c:v>
                </c:pt>
                <c:pt idx="52">
                  <c:v>40.822342555555579</c:v>
                </c:pt>
                <c:pt idx="53">
                  <c:v>41.965708111111127</c:v>
                </c:pt>
                <c:pt idx="54">
                  <c:v>42.664367666666671</c:v>
                </c:pt>
                <c:pt idx="55">
                  <c:v>41.253833777777793</c:v>
                </c:pt>
                <c:pt idx="56">
                  <c:v>39.843874444444459</c:v>
                </c:pt>
                <c:pt idx="57">
                  <c:v>36.232792777777782</c:v>
                </c:pt>
                <c:pt idx="58">
                  <c:v>34.566581666666671</c:v>
                </c:pt>
                <c:pt idx="59">
                  <c:v>30.736594333333343</c:v>
                </c:pt>
                <c:pt idx="60">
                  <c:v>26.538891444444456</c:v>
                </c:pt>
                <c:pt idx="61">
                  <c:v>25.111120888888898</c:v>
                </c:pt>
                <c:pt idx="62">
                  <c:v>20.797357777777783</c:v>
                </c:pt>
                <c:pt idx="63">
                  <c:v>19.19377322222223</c:v>
                </c:pt>
                <c:pt idx="64">
                  <c:v>18.495688222222228</c:v>
                </c:pt>
                <c:pt idx="65">
                  <c:v>20.890435777777775</c:v>
                </c:pt>
                <c:pt idx="66">
                  <c:v>23.987290222222217</c:v>
                </c:pt>
                <c:pt idx="67">
                  <c:v>23.906852444444443</c:v>
                </c:pt>
                <c:pt idx="68">
                  <c:v>28.256237999999996</c:v>
                </c:pt>
                <c:pt idx="69">
                  <c:v>31.231861222222214</c:v>
                </c:pt>
                <c:pt idx="70">
                  <c:v>36.112710666666658</c:v>
                </c:pt>
                <c:pt idx="71">
                  <c:v>42.950496333333327</c:v>
                </c:pt>
                <c:pt idx="72">
                  <c:v>46.701769555555551</c:v>
                </c:pt>
                <c:pt idx="73">
                  <c:v>50.338706222222221</c:v>
                </c:pt>
                <c:pt idx="74">
                  <c:v>55.075342222222226</c:v>
                </c:pt>
                <c:pt idx="75">
                  <c:v>59.910227222222225</c:v>
                </c:pt>
                <c:pt idx="76">
                  <c:v>66.053949777777774</c:v>
                </c:pt>
                <c:pt idx="77">
                  <c:v>72.851516555555563</c:v>
                </c:pt>
                <c:pt idx="78">
                  <c:v>78.809657666666652</c:v>
                </c:pt>
                <c:pt idx="79">
                  <c:v>83.733024222222241</c:v>
                </c:pt>
                <c:pt idx="80">
                  <c:v>89.124079000000009</c:v>
                </c:pt>
                <c:pt idx="81">
                  <c:v>92.829962333333327</c:v>
                </c:pt>
                <c:pt idx="82">
                  <c:v>97.855025222222238</c:v>
                </c:pt>
                <c:pt idx="83">
                  <c:v>99.915955999999994</c:v>
                </c:pt>
                <c:pt idx="84">
                  <c:v>102.50777611111113</c:v>
                </c:pt>
                <c:pt idx="85">
                  <c:v>105.9378727777778</c:v>
                </c:pt>
                <c:pt idx="86">
                  <c:v>107.79656000000003</c:v>
                </c:pt>
                <c:pt idx="87">
                  <c:v>106.97207277777781</c:v>
                </c:pt>
                <c:pt idx="88">
                  <c:v>107.49894022222227</c:v>
                </c:pt>
                <c:pt idx="89">
                  <c:v>107.85171733333338</c:v>
                </c:pt>
                <c:pt idx="90">
                  <c:v>111.84200566666669</c:v>
                </c:pt>
                <c:pt idx="91">
                  <c:v>116.49820388888891</c:v>
                </c:pt>
                <c:pt idx="92">
                  <c:v>120.98261000000005</c:v>
                </c:pt>
                <c:pt idx="93">
                  <c:v>125.89735822222227</c:v>
                </c:pt>
                <c:pt idx="94">
                  <c:v>129.99796122222227</c:v>
                </c:pt>
                <c:pt idx="95">
                  <c:v>135.07703233333339</c:v>
                </c:pt>
                <c:pt idx="96">
                  <c:v>145.26734966666669</c:v>
                </c:pt>
                <c:pt idx="97">
                  <c:v>151.3553403333334</c:v>
                </c:pt>
                <c:pt idx="98">
                  <c:v>155.76218144444451</c:v>
                </c:pt>
                <c:pt idx="99">
                  <c:v>163.6824297777778</c:v>
                </c:pt>
                <c:pt idx="100">
                  <c:v>171.15165200000004</c:v>
                </c:pt>
                <c:pt idx="101">
                  <c:v>179.46547088888892</c:v>
                </c:pt>
                <c:pt idx="102">
                  <c:v>188.47680022222224</c:v>
                </c:pt>
                <c:pt idx="103">
                  <c:v>196.57228800000001</c:v>
                </c:pt>
                <c:pt idx="104">
                  <c:v>206.62701022222225</c:v>
                </c:pt>
                <c:pt idx="105">
                  <c:v>220.27615200000002</c:v>
                </c:pt>
                <c:pt idx="106">
                  <c:v>230.8755528888889</c:v>
                </c:pt>
                <c:pt idx="107">
                  <c:v>239.32439233333332</c:v>
                </c:pt>
                <c:pt idx="108">
                  <c:v>245.62496855555557</c:v>
                </c:pt>
                <c:pt idx="109">
                  <c:v>249.42335533333335</c:v>
                </c:pt>
                <c:pt idx="110">
                  <c:v>253.89052477777776</c:v>
                </c:pt>
                <c:pt idx="111">
                  <c:v>260.44965100000002</c:v>
                </c:pt>
                <c:pt idx="112">
                  <c:v>267.74076099999996</c:v>
                </c:pt>
                <c:pt idx="113">
                  <c:v>277.13187155555556</c:v>
                </c:pt>
                <c:pt idx="114">
                  <c:v>278.93367777777775</c:v>
                </c:pt>
                <c:pt idx="115">
                  <c:v>283.81165444444446</c:v>
                </c:pt>
                <c:pt idx="116">
                  <c:v>288.42246277777781</c:v>
                </c:pt>
                <c:pt idx="117">
                  <c:v>290.85628011111106</c:v>
                </c:pt>
                <c:pt idx="118">
                  <c:v>294.37198555555563</c:v>
                </c:pt>
                <c:pt idx="119">
                  <c:v>295.21485855555551</c:v>
                </c:pt>
                <c:pt idx="120">
                  <c:v>297.35507800000005</c:v>
                </c:pt>
                <c:pt idx="121">
                  <c:v>300.23072855555557</c:v>
                </c:pt>
                <c:pt idx="122">
                  <c:v>300.66796533333337</c:v>
                </c:pt>
                <c:pt idx="123">
                  <c:v>301.39420355555563</c:v>
                </c:pt>
                <c:pt idx="124">
                  <c:v>303.52867744444444</c:v>
                </c:pt>
                <c:pt idx="125">
                  <c:v>307.38337066666674</c:v>
                </c:pt>
                <c:pt idx="126">
                  <c:v>312.66296166666666</c:v>
                </c:pt>
                <c:pt idx="127">
                  <c:v>319.72424944444452</c:v>
                </c:pt>
                <c:pt idx="128">
                  <c:v>326.45574233333343</c:v>
                </c:pt>
                <c:pt idx="129">
                  <c:v>329.56983344444455</c:v>
                </c:pt>
                <c:pt idx="130">
                  <c:v>332.39951955555563</c:v>
                </c:pt>
                <c:pt idx="131">
                  <c:v>330.76548355555565</c:v>
                </c:pt>
                <c:pt idx="132">
                  <c:v>334.01057333333341</c:v>
                </c:pt>
                <c:pt idx="133">
                  <c:v>335.30332333333331</c:v>
                </c:pt>
                <c:pt idx="134">
                  <c:v>339.27809866666672</c:v>
                </c:pt>
                <c:pt idx="135">
                  <c:v>342.64729244444447</c:v>
                </c:pt>
                <c:pt idx="136">
                  <c:v>344.07506300000006</c:v>
                </c:pt>
                <c:pt idx="137">
                  <c:v>350.46641900000009</c:v>
                </c:pt>
                <c:pt idx="138">
                  <c:v>353.98269900000008</c:v>
                </c:pt>
                <c:pt idx="139">
                  <c:v>356.88133177777786</c:v>
                </c:pt>
                <c:pt idx="140">
                  <c:v>356.89512111111122</c:v>
                </c:pt>
                <c:pt idx="141">
                  <c:v>353.11741833333338</c:v>
                </c:pt>
                <c:pt idx="142">
                  <c:v>354.40729555555561</c:v>
                </c:pt>
                <c:pt idx="143">
                  <c:v>354.42797955555557</c:v>
                </c:pt>
                <c:pt idx="144">
                  <c:v>359.48119566666668</c:v>
                </c:pt>
                <c:pt idx="145">
                  <c:v>360.27408233333335</c:v>
                </c:pt>
                <c:pt idx="146">
                  <c:v>361.70587477777781</c:v>
                </c:pt>
                <c:pt idx="147">
                  <c:v>366.67290755555558</c:v>
                </c:pt>
                <c:pt idx="148">
                  <c:v>373.13780666666668</c:v>
                </c:pt>
                <c:pt idx="149">
                  <c:v>382.07731655555557</c:v>
                </c:pt>
                <c:pt idx="150">
                  <c:v>388.98921988888895</c:v>
                </c:pt>
                <c:pt idx="151">
                  <c:v>397.25132877777781</c:v>
                </c:pt>
                <c:pt idx="152">
                  <c:v>405.30487399999998</c:v>
                </c:pt>
                <c:pt idx="153">
                  <c:v>410.69707788888888</c:v>
                </c:pt>
                <c:pt idx="154">
                  <c:v>416.33002055555556</c:v>
                </c:pt>
                <c:pt idx="155">
                  <c:v>420.0238382222222</c:v>
                </c:pt>
                <c:pt idx="156">
                  <c:v>426.14802588888892</c:v>
                </c:pt>
                <c:pt idx="157">
                  <c:v>428.96909366666665</c:v>
                </c:pt>
                <c:pt idx="158">
                  <c:v>436.30904088888889</c:v>
                </c:pt>
                <c:pt idx="159">
                  <c:v>447.93517255555554</c:v>
                </c:pt>
                <c:pt idx="160">
                  <c:v>459.61473788888884</c:v>
                </c:pt>
                <c:pt idx="161">
                  <c:v>471.89873566666665</c:v>
                </c:pt>
                <c:pt idx="162">
                  <c:v>480.6836901111111</c:v>
                </c:pt>
                <c:pt idx="163">
                  <c:v>491.03660666666667</c:v>
                </c:pt>
                <c:pt idx="164">
                  <c:v>500.46333966666657</c:v>
                </c:pt>
                <c:pt idx="165">
                  <c:v>505.44531088888874</c:v>
                </c:pt>
                <c:pt idx="166">
                  <c:v>511.94813066666666</c:v>
                </c:pt>
                <c:pt idx="167">
                  <c:v>516.14238622222229</c:v>
                </c:pt>
                <c:pt idx="168">
                  <c:v>524.7182024444445</c:v>
                </c:pt>
                <c:pt idx="169">
                  <c:v>531.03256800000008</c:v>
                </c:pt>
                <c:pt idx="170">
                  <c:v>539.52449911111103</c:v>
                </c:pt>
                <c:pt idx="171">
                  <c:v>552.08830544444436</c:v>
                </c:pt>
                <c:pt idx="172">
                  <c:v>564.45331555555549</c:v>
                </c:pt>
                <c:pt idx="173">
                  <c:v>559.73340722222213</c:v>
                </c:pt>
                <c:pt idx="174">
                  <c:v>554.501860111111</c:v>
                </c:pt>
                <c:pt idx="175">
                  <c:v>553.74179455555554</c:v>
                </c:pt>
                <c:pt idx="176">
                  <c:v>549.81219622222216</c:v>
                </c:pt>
                <c:pt idx="177">
                  <c:v>544.74699177777768</c:v>
                </c:pt>
                <c:pt idx="178">
                  <c:v>535.0511597777778</c:v>
                </c:pt>
                <c:pt idx="179">
                  <c:v>525.11200644444443</c:v>
                </c:pt>
                <c:pt idx="180">
                  <c:v>517.53941051851859</c:v>
                </c:pt>
                <c:pt idx="181">
                  <c:v>516.69769599999995</c:v>
                </c:pt>
                <c:pt idx="182">
                  <c:v>518.89993988888887</c:v>
                </c:pt>
                <c:pt idx="183">
                  <c:v>526.93273662962963</c:v>
                </c:pt>
                <c:pt idx="184">
                  <c:v>534.5604347777778</c:v>
                </c:pt>
                <c:pt idx="185">
                  <c:v>547.63718088888891</c:v>
                </c:pt>
                <c:pt idx="186">
                  <c:v>556.60698503703702</c:v>
                </c:pt>
                <c:pt idx="187">
                  <c:v>569.80492466666669</c:v>
                </c:pt>
                <c:pt idx="188">
                  <c:v>580.19786522222228</c:v>
                </c:pt>
                <c:pt idx="189">
                  <c:v>589.31872092592596</c:v>
                </c:pt>
                <c:pt idx="190">
                  <c:v>598.08333333333337</c:v>
                </c:pt>
                <c:pt idx="191">
                  <c:v>624.25</c:v>
                </c:pt>
                <c:pt idx="192">
                  <c:v>650.26851851851859</c:v>
                </c:pt>
                <c:pt idx="193">
                  <c:v>676.13888888888891</c:v>
                </c:pt>
                <c:pt idx="194">
                  <c:v>701.86111111111109</c:v>
                </c:pt>
                <c:pt idx="195">
                  <c:v>727.43518518518522</c:v>
                </c:pt>
                <c:pt idx="196">
                  <c:v>752.86111111111109</c:v>
                </c:pt>
                <c:pt idx="197">
                  <c:v>778.13888888888891</c:v>
                </c:pt>
                <c:pt idx="198">
                  <c:v>798.47222222222229</c:v>
                </c:pt>
                <c:pt idx="199">
                  <c:v>813.86111111111097</c:v>
                </c:pt>
                <c:pt idx="200">
                  <c:v>824.30555555555543</c:v>
                </c:pt>
                <c:pt idx="201">
                  <c:v>829.80555555555554</c:v>
                </c:pt>
                <c:pt idx="202">
                  <c:v>830.36111111111109</c:v>
                </c:pt>
                <c:pt idx="203">
                  <c:v>825.97222222222217</c:v>
                </c:pt>
                <c:pt idx="204">
                  <c:v>819.53703703703695</c:v>
                </c:pt>
                <c:pt idx="205">
                  <c:v>811.05555555555554</c:v>
                </c:pt>
                <c:pt idx="206">
                  <c:v>800.52777777777783</c:v>
                </c:pt>
                <c:pt idx="207">
                  <c:v>787.9537037037037</c:v>
                </c:pt>
                <c:pt idx="208">
                  <c:v>773.33333333333348</c:v>
                </c:pt>
                <c:pt idx="209">
                  <c:v>756.66666666666663</c:v>
                </c:pt>
                <c:pt idx="210">
                  <c:v>737.64814814814827</c:v>
                </c:pt>
                <c:pt idx="211">
                  <c:v>716.27777777777783</c:v>
                </c:pt>
                <c:pt idx="212">
                  <c:v>692.55555555555554</c:v>
                </c:pt>
                <c:pt idx="213">
                  <c:v>666.48148148148152</c:v>
                </c:pt>
                <c:pt idx="214">
                  <c:v>638.05555555555554</c:v>
                </c:pt>
                <c:pt idx="215">
                  <c:v>607.27777777777783</c:v>
                </c:pt>
                <c:pt idx="216">
                  <c:v>576.00000000000011</c:v>
                </c:pt>
                <c:pt idx="217">
                  <c:v>544.22222222222217</c:v>
                </c:pt>
                <c:pt idx="218">
                  <c:v>511.94444444444446</c:v>
                </c:pt>
                <c:pt idx="219">
                  <c:v>479.16666666666669</c:v>
                </c:pt>
                <c:pt idx="220">
                  <c:v>445.88888888888891</c:v>
                </c:pt>
                <c:pt idx="221">
                  <c:v>412.11111111111109</c:v>
                </c:pt>
                <c:pt idx="222">
                  <c:v>379.66666666666674</c:v>
                </c:pt>
                <c:pt idx="223">
                  <c:v>348.55555555555554</c:v>
                </c:pt>
                <c:pt idx="224">
                  <c:v>318.77777777777777</c:v>
                </c:pt>
                <c:pt idx="225">
                  <c:v>290.33333333333331</c:v>
                </c:pt>
                <c:pt idx="226">
                  <c:v>263.22222222222223</c:v>
                </c:pt>
                <c:pt idx="227">
                  <c:v>237.44444444444446</c:v>
                </c:pt>
                <c:pt idx="228">
                  <c:v>214.2037037037037</c:v>
                </c:pt>
                <c:pt idx="229">
                  <c:v>193.5</c:v>
                </c:pt>
                <c:pt idx="230">
                  <c:v>175.33333333333334</c:v>
                </c:pt>
                <c:pt idx="231">
                  <c:v>159.7037037037037</c:v>
                </c:pt>
                <c:pt idx="232">
                  <c:v>146.61111111111111</c:v>
                </c:pt>
                <c:pt idx="233">
                  <c:v>136.05555555555554</c:v>
                </c:pt>
                <c:pt idx="234">
                  <c:v>127.03703703703705</c:v>
                </c:pt>
                <c:pt idx="235">
                  <c:v>119.55555555555556</c:v>
                </c:pt>
                <c:pt idx="236">
                  <c:v>113.61111111111111</c:v>
                </c:pt>
                <c:pt idx="237">
                  <c:v>109.2037037037037</c:v>
                </c:pt>
                <c:pt idx="238">
                  <c:v>106.33333333333331</c:v>
                </c:pt>
                <c:pt idx="239">
                  <c:v>105</c:v>
                </c:pt>
                <c:pt idx="240">
                  <c:v>104.01851851851852</c:v>
                </c:pt>
                <c:pt idx="241">
                  <c:v>103.38888888888889</c:v>
                </c:pt>
                <c:pt idx="242">
                  <c:v>103.11111111111111</c:v>
                </c:pt>
                <c:pt idx="243">
                  <c:v>103.18518518518518</c:v>
                </c:pt>
                <c:pt idx="244">
                  <c:v>103.61111111111111</c:v>
                </c:pt>
                <c:pt idx="245">
                  <c:v>104.38888888888889</c:v>
                </c:pt>
                <c:pt idx="246">
                  <c:v>104.94444444444446</c:v>
                </c:pt>
                <c:pt idx="247">
                  <c:v>105.27777777777777</c:v>
                </c:pt>
                <c:pt idx="248">
                  <c:v>105.38888888888889</c:v>
                </c:pt>
                <c:pt idx="249">
                  <c:v>105.27777777777777</c:v>
                </c:pt>
                <c:pt idx="250">
                  <c:v>104.94444444444444</c:v>
                </c:pt>
                <c:pt idx="251">
                  <c:v>104.38888888888889</c:v>
                </c:pt>
                <c:pt idx="252">
                  <c:v>104.07407407407408</c:v>
                </c:pt>
                <c:pt idx="253">
                  <c:v>104</c:v>
                </c:pt>
                <c:pt idx="254">
                  <c:v>104.08777777777777</c:v>
                </c:pt>
                <c:pt idx="255">
                  <c:v>104.20111111111112</c:v>
                </c:pt>
                <c:pt idx="256">
                  <c:v>104.74444444444444</c:v>
                </c:pt>
                <c:pt idx="257">
                  <c:v>105.66388888888888</c:v>
                </c:pt>
                <c:pt idx="258">
                  <c:v>106.51296296296296</c:v>
                </c:pt>
                <c:pt idx="259">
                  <c:v>107.20277777777777</c:v>
                </c:pt>
                <c:pt idx="260">
                  <c:v>108.04666666666668</c:v>
                </c:pt>
                <c:pt idx="261">
                  <c:v>108.62629629629629</c:v>
                </c:pt>
                <c:pt idx="262">
                  <c:v>109.12333333333333</c:v>
                </c:pt>
                <c:pt idx="263">
                  <c:v>109.50777777777779</c:v>
                </c:pt>
                <c:pt idx="264">
                  <c:v>109.57518518518519</c:v>
                </c:pt>
                <c:pt idx="265">
                  <c:v>109.2811111111111</c:v>
                </c:pt>
                <c:pt idx="266">
                  <c:v>108.86444444444444</c:v>
                </c:pt>
                <c:pt idx="267">
                  <c:v>108.36685185185186</c:v>
                </c:pt>
                <c:pt idx="268">
                  <c:v>107.68444444444444</c:v>
                </c:pt>
                <c:pt idx="269">
                  <c:v>106.90722222222222</c:v>
                </c:pt>
                <c:pt idx="270">
                  <c:v>106.00925925925928</c:v>
                </c:pt>
                <c:pt idx="271">
                  <c:v>105.41277777777778</c:v>
                </c:pt>
                <c:pt idx="272">
                  <c:v>104.95944444444446</c:v>
                </c:pt>
                <c:pt idx="273">
                  <c:v>104.64611111111113</c:v>
                </c:pt>
                <c:pt idx="274">
                  <c:v>104.46111111111112</c:v>
                </c:pt>
                <c:pt idx="275">
                  <c:v>104.32833333333335</c:v>
                </c:pt>
                <c:pt idx="276">
                  <c:v>104.23166666666668</c:v>
                </c:pt>
                <c:pt idx="277">
                  <c:v>104.30833333333337</c:v>
                </c:pt>
                <c:pt idx="278">
                  <c:v>104.1316666666667</c:v>
                </c:pt>
                <c:pt idx="279">
                  <c:v>104.21277777777779</c:v>
                </c:pt>
                <c:pt idx="280">
                  <c:v>104.35666666666667</c:v>
                </c:pt>
                <c:pt idx="281">
                  <c:v>104.62833333333333</c:v>
                </c:pt>
                <c:pt idx="282">
                  <c:v>105.17944444444446</c:v>
                </c:pt>
                <c:pt idx="283">
                  <c:v>105.87166666666666</c:v>
                </c:pt>
                <c:pt idx="284">
                  <c:v>106.4661111111111</c:v>
                </c:pt>
                <c:pt idx="285">
                  <c:v>107.00999999999999</c:v>
                </c:pt>
                <c:pt idx="286">
                  <c:v>107.49055555555556</c:v>
                </c:pt>
                <c:pt idx="287">
                  <c:v>107.92888888888889</c:v>
                </c:pt>
                <c:pt idx="288">
                  <c:v>108.66944444444444</c:v>
                </c:pt>
                <c:pt idx="289">
                  <c:v>109.20111111111112</c:v>
                </c:pt>
                <c:pt idx="290">
                  <c:v>109.76111111111112</c:v>
                </c:pt>
                <c:pt idx="291">
                  <c:v>110.45</c:v>
                </c:pt>
                <c:pt idx="292">
                  <c:v>110.95833333333333</c:v>
                </c:pt>
                <c:pt idx="293">
                  <c:v>111.38277777777778</c:v>
                </c:pt>
                <c:pt idx="294">
                  <c:v>111.83777777777777</c:v>
                </c:pt>
                <c:pt idx="295">
                  <c:v>112.22499999999999</c:v>
                </c:pt>
                <c:pt idx="296">
                  <c:v>112.67444444444443</c:v>
                </c:pt>
                <c:pt idx="297">
                  <c:v>112.93222222222222</c:v>
                </c:pt>
                <c:pt idx="298">
                  <c:v>113.25055555555554</c:v>
                </c:pt>
                <c:pt idx="299">
                  <c:v>113.57777777777777</c:v>
                </c:pt>
                <c:pt idx="300">
                  <c:v>113.88333333333331</c:v>
                </c:pt>
                <c:pt idx="301">
                  <c:v>114.27777777777777</c:v>
                </c:pt>
                <c:pt idx="302">
                  <c:v>114.86994444444443</c:v>
                </c:pt>
                <c:pt idx="303">
                  <c:v>115.45327777777776</c:v>
                </c:pt>
                <c:pt idx="304">
                  <c:v>116.14216666666665</c:v>
                </c:pt>
                <c:pt idx="305">
                  <c:v>116.75883333333331</c:v>
                </c:pt>
                <c:pt idx="306">
                  <c:v>117.45327777777776</c:v>
                </c:pt>
                <c:pt idx="307">
                  <c:v>118.15327777777777</c:v>
                </c:pt>
                <c:pt idx="308">
                  <c:v>118.84772222222222</c:v>
                </c:pt>
                <c:pt idx="309">
                  <c:v>119.65883333333333</c:v>
                </c:pt>
                <c:pt idx="310">
                  <c:v>120.34216666666664</c:v>
                </c:pt>
                <c:pt idx="311">
                  <c:v>120.81694444444445</c:v>
                </c:pt>
                <c:pt idx="312">
                  <c:v>121.22805555555558</c:v>
                </c:pt>
                <c:pt idx="313">
                  <c:v>121.65583333333335</c:v>
                </c:pt>
                <c:pt idx="314">
                  <c:v>122.06694444444445</c:v>
                </c:pt>
                <c:pt idx="315">
                  <c:v>122.57805555555557</c:v>
                </c:pt>
                <c:pt idx="316">
                  <c:v>127.16424666666668</c:v>
                </c:pt>
                <c:pt idx="317">
                  <c:v>132.86142000000001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6602752"/>
        <c:axId val="437558656"/>
      </c:lineChart>
      <c:dateAx>
        <c:axId val="43547148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435473024"/>
        <c:crosses val="autoZero"/>
        <c:auto val="1"/>
        <c:lblOffset val="100"/>
        <c:baseTimeUnit val="months"/>
      </c:dateAx>
      <c:valAx>
        <c:axId val="4354730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35471488"/>
        <c:crosses val="autoZero"/>
        <c:crossBetween val="between"/>
      </c:valAx>
      <c:valAx>
        <c:axId val="43755865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436602752"/>
        <c:crosses val="max"/>
        <c:crossBetween val="between"/>
      </c:valAx>
      <c:dateAx>
        <c:axId val="436602752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437558656"/>
        <c:auto val="1"/>
        <c:lblOffset val="100"/>
        <c:baseTimeUnit val="months"/>
      </c:date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Regression!$AD$1</c:f>
              <c:strCache>
                <c:ptCount val="1"/>
                <c:pt idx="0">
                  <c:v>MBA CAI</c:v>
                </c:pt>
              </c:strCache>
            </c:strRef>
          </c:tx>
          <c:marker>
            <c:symbol val="none"/>
          </c:marker>
          <c:cat>
            <c:numRef>
              <c:f>Regression!$AB$50:$AB$319</c:f>
              <c:numCache>
                <c:formatCode>m/d/yyyy</c:formatCode>
                <c:ptCount val="270"/>
                <c:pt idx="0">
                  <c:v>34335</c:v>
                </c:pt>
                <c:pt idx="1">
                  <c:v>34366</c:v>
                </c:pt>
                <c:pt idx="2">
                  <c:v>34394</c:v>
                </c:pt>
                <c:pt idx="3">
                  <c:v>34425</c:v>
                </c:pt>
                <c:pt idx="4">
                  <c:v>34455</c:v>
                </c:pt>
                <c:pt idx="5">
                  <c:v>34486</c:v>
                </c:pt>
                <c:pt idx="6">
                  <c:v>34516</c:v>
                </c:pt>
                <c:pt idx="7">
                  <c:v>34547</c:v>
                </c:pt>
                <c:pt idx="8">
                  <c:v>34578</c:v>
                </c:pt>
                <c:pt idx="9">
                  <c:v>34608</c:v>
                </c:pt>
                <c:pt idx="10">
                  <c:v>34639</c:v>
                </c:pt>
                <c:pt idx="11">
                  <c:v>34669</c:v>
                </c:pt>
                <c:pt idx="12">
                  <c:v>34700</c:v>
                </c:pt>
                <c:pt idx="13">
                  <c:v>34731</c:v>
                </c:pt>
                <c:pt idx="14">
                  <c:v>34759</c:v>
                </c:pt>
                <c:pt idx="15">
                  <c:v>34790</c:v>
                </c:pt>
                <c:pt idx="16">
                  <c:v>34820</c:v>
                </c:pt>
                <c:pt idx="17">
                  <c:v>34851</c:v>
                </c:pt>
                <c:pt idx="18">
                  <c:v>34881</c:v>
                </c:pt>
                <c:pt idx="19">
                  <c:v>34912</c:v>
                </c:pt>
                <c:pt idx="20">
                  <c:v>34943</c:v>
                </c:pt>
                <c:pt idx="21">
                  <c:v>34973</c:v>
                </c:pt>
                <c:pt idx="22">
                  <c:v>35004</c:v>
                </c:pt>
                <c:pt idx="23">
                  <c:v>35034</c:v>
                </c:pt>
                <c:pt idx="24">
                  <c:v>35065</c:v>
                </c:pt>
                <c:pt idx="25">
                  <c:v>35096</c:v>
                </c:pt>
                <c:pt idx="26">
                  <c:v>35125</c:v>
                </c:pt>
                <c:pt idx="27">
                  <c:v>35156</c:v>
                </c:pt>
                <c:pt idx="28">
                  <c:v>35186</c:v>
                </c:pt>
                <c:pt idx="29">
                  <c:v>35217</c:v>
                </c:pt>
                <c:pt idx="30">
                  <c:v>35247</c:v>
                </c:pt>
                <c:pt idx="31">
                  <c:v>35278</c:v>
                </c:pt>
                <c:pt idx="32">
                  <c:v>35309</c:v>
                </c:pt>
                <c:pt idx="33">
                  <c:v>35339</c:v>
                </c:pt>
                <c:pt idx="34">
                  <c:v>35370</c:v>
                </c:pt>
                <c:pt idx="35">
                  <c:v>35400</c:v>
                </c:pt>
                <c:pt idx="36">
                  <c:v>35431</c:v>
                </c:pt>
                <c:pt idx="37">
                  <c:v>35462</c:v>
                </c:pt>
                <c:pt idx="38">
                  <c:v>35490</c:v>
                </c:pt>
                <c:pt idx="39">
                  <c:v>35521</c:v>
                </c:pt>
                <c:pt idx="40">
                  <c:v>35551</c:v>
                </c:pt>
                <c:pt idx="41">
                  <c:v>35582</c:v>
                </c:pt>
                <c:pt idx="42">
                  <c:v>35612</c:v>
                </c:pt>
                <c:pt idx="43">
                  <c:v>35643</c:v>
                </c:pt>
                <c:pt idx="44">
                  <c:v>35674</c:v>
                </c:pt>
                <c:pt idx="45">
                  <c:v>35704</c:v>
                </c:pt>
                <c:pt idx="46">
                  <c:v>35735</c:v>
                </c:pt>
                <c:pt idx="47">
                  <c:v>35765</c:v>
                </c:pt>
                <c:pt idx="48">
                  <c:v>35796</c:v>
                </c:pt>
                <c:pt idx="49">
                  <c:v>35827</c:v>
                </c:pt>
                <c:pt idx="50">
                  <c:v>35855</c:v>
                </c:pt>
                <c:pt idx="51">
                  <c:v>35886</c:v>
                </c:pt>
                <c:pt idx="52">
                  <c:v>35916</c:v>
                </c:pt>
                <c:pt idx="53">
                  <c:v>35947</c:v>
                </c:pt>
                <c:pt idx="54">
                  <c:v>35977</c:v>
                </c:pt>
                <c:pt idx="55">
                  <c:v>36008</c:v>
                </c:pt>
                <c:pt idx="56">
                  <c:v>36039</c:v>
                </c:pt>
                <c:pt idx="57">
                  <c:v>36069</c:v>
                </c:pt>
                <c:pt idx="58">
                  <c:v>36100</c:v>
                </c:pt>
                <c:pt idx="59">
                  <c:v>36130</c:v>
                </c:pt>
                <c:pt idx="60">
                  <c:v>36161</c:v>
                </c:pt>
                <c:pt idx="61">
                  <c:v>36192</c:v>
                </c:pt>
                <c:pt idx="62">
                  <c:v>36220</c:v>
                </c:pt>
                <c:pt idx="63">
                  <c:v>36251</c:v>
                </c:pt>
                <c:pt idx="64">
                  <c:v>36281</c:v>
                </c:pt>
                <c:pt idx="65">
                  <c:v>36312</c:v>
                </c:pt>
                <c:pt idx="66">
                  <c:v>36342</c:v>
                </c:pt>
                <c:pt idx="67">
                  <c:v>36373</c:v>
                </c:pt>
                <c:pt idx="68">
                  <c:v>36404</c:v>
                </c:pt>
                <c:pt idx="69">
                  <c:v>36434</c:v>
                </c:pt>
                <c:pt idx="70">
                  <c:v>36465</c:v>
                </c:pt>
                <c:pt idx="71">
                  <c:v>36495</c:v>
                </c:pt>
                <c:pt idx="72">
                  <c:v>36526</c:v>
                </c:pt>
                <c:pt idx="73">
                  <c:v>36557</c:v>
                </c:pt>
                <c:pt idx="74">
                  <c:v>36586</c:v>
                </c:pt>
                <c:pt idx="75">
                  <c:v>36617</c:v>
                </c:pt>
                <c:pt idx="76">
                  <c:v>36647</c:v>
                </c:pt>
                <c:pt idx="77">
                  <c:v>36678</c:v>
                </c:pt>
                <c:pt idx="78">
                  <c:v>36708</c:v>
                </c:pt>
                <c:pt idx="79">
                  <c:v>36739</c:v>
                </c:pt>
                <c:pt idx="80">
                  <c:v>36770</c:v>
                </c:pt>
                <c:pt idx="81">
                  <c:v>36800</c:v>
                </c:pt>
                <c:pt idx="82">
                  <c:v>36831</c:v>
                </c:pt>
                <c:pt idx="83">
                  <c:v>36861</c:v>
                </c:pt>
                <c:pt idx="84">
                  <c:v>36892</c:v>
                </c:pt>
                <c:pt idx="85">
                  <c:v>36923</c:v>
                </c:pt>
                <c:pt idx="86">
                  <c:v>36951</c:v>
                </c:pt>
                <c:pt idx="87">
                  <c:v>36982</c:v>
                </c:pt>
                <c:pt idx="88">
                  <c:v>37012</c:v>
                </c:pt>
                <c:pt idx="89">
                  <c:v>37043</c:v>
                </c:pt>
                <c:pt idx="90">
                  <c:v>37073</c:v>
                </c:pt>
                <c:pt idx="91">
                  <c:v>37104</c:v>
                </c:pt>
                <c:pt idx="92">
                  <c:v>37135</c:v>
                </c:pt>
                <c:pt idx="93">
                  <c:v>37165</c:v>
                </c:pt>
                <c:pt idx="94">
                  <c:v>37196</c:v>
                </c:pt>
                <c:pt idx="95">
                  <c:v>37226</c:v>
                </c:pt>
                <c:pt idx="96">
                  <c:v>37257</c:v>
                </c:pt>
                <c:pt idx="97">
                  <c:v>37288</c:v>
                </c:pt>
                <c:pt idx="98">
                  <c:v>37316</c:v>
                </c:pt>
                <c:pt idx="99">
                  <c:v>37347</c:v>
                </c:pt>
                <c:pt idx="100">
                  <c:v>37377</c:v>
                </c:pt>
                <c:pt idx="101">
                  <c:v>37408</c:v>
                </c:pt>
                <c:pt idx="102">
                  <c:v>37438</c:v>
                </c:pt>
                <c:pt idx="103">
                  <c:v>37469</c:v>
                </c:pt>
                <c:pt idx="104">
                  <c:v>37500</c:v>
                </c:pt>
                <c:pt idx="105">
                  <c:v>37530</c:v>
                </c:pt>
                <c:pt idx="106">
                  <c:v>37561</c:v>
                </c:pt>
                <c:pt idx="107">
                  <c:v>37591</c:v>
                </c:pt>
                <c:pt idx="108">
                  <c:v>37622</c:v>
                </c:pt>
                <c:pt idx="109">
                  <c:v>37653</c:v>
                </c:pt>
                <c:pt idx="110">
                  <c:v>37681</c:v>
                </c:pt>
                <c:pt idx="111">
                  <c:v>37712</c:v>
                </c:pt>
                <c:pt idx="112">
                  <c:v>37742</c:v>
                </c:pt>
                <c:pt idx="113">
                  <c:v>37773</c:v>
                </c:pt>
                <c:pt idx="114">
                  <c:v>37803</c:v>
                </c:pt>
                <c:pt idx="115">
                  <c:v>37834</c:v>
                </c:pt>
                <c:pt idx="116">
                  <c:v>37865</c:v>
                </c:pt>
                <c:pt idx="117">
                  <c:v>37895</c:v>
                </c:pt>
                <c:pt idx="118">
                  <c:v>37926</c:v>
                </c:pt>
                <c:pt idx="119">
                  <c:v>37956</c:v>
                </c:pt>
                <c:pt idx="120">
                  <c:v>37987</c:v>
                </c:pt>
                <c:pt idx="121">
                  <c:v>38018</c:v>
                </c:pt>
                <c:pt idx="122">
                  <c:v>38047</c:v>
                </c:pt>
                <c:pt idx="123">
                  <c:v>38078</c:v>
                </c:pt>
                <c:pt idx="124">
                  <c:v>38108</c:v>
                </c:pt>
                <c:pt idx="125">
                  <c:v>38139</c:v>
                </c:pt>
                <c:pt idx="126">
                  <c:v>38169</c:v>
                </c:pt>
                <c:pt idx="127">
                  <c:v>38200</c:v>
                </c:pt>
                <c:pt idx="128">
                  <c:v>38231</c:v>
                </c:pt>
                <c:pt idx="129">
                  <c:v>38261</c:v>
                </c:pt>
                <c:pt idx="130">
                  <c:v>38292</c:v>
                </c:pt>
                <c:pt idx="131">
                  <c:v>38322</c:v>
                </c:pt>
                <c:pt idx="132">
                  <c:v>38353</c:v>
                </c:pt>
                <c:pt idx="133">
                  <c:v>38384</c:v>
                </c:pt>
                <c:pt idx="134">
                  <c:v>38412</c:v>
                </c:pt>
                <c:pt idx="135">
                  <c:v>38443</c:v>
                </c:pt>
                <c:pt idx="136">
                  <c:v>38473</c:v>
                </c:pt>
                <c:pt idx="137">
                  <c:v>38504</c:v>
                </c:pt>
                <c:pt idx="138">
                  <c:v>38534</c:v>
                </c:pt>
                <c:pt idx="139">
                  <c:v>38565</c:v>
                </c:pt>
                <c:pt idx="140">
                  <c:v>38596</c:v>
                </c:pt>
                <c:pt idx="141">
                  <c:v>38626</c:v>
                </c:pt>
                <c:pt idx="142">
                  <c:v>38657</c:v>
                </c:pt>
                <c:pt idx="143">
                  <c:v>38687</c:v>
                </c:pt>
                <c:pt idx="144">
                  <c:v>38718</c:v>
                </c:pt>
                <c:pt idx="145">
                  <c:v>38749</c:v>
                </c:pt>
                <c:pt idx="146">
                  <c:v>38777</c:v>
                </c:pt>
                <c:pt idx="147">
                  <c:v>38808</c:v>
                </c:pt>
                <c:pt idx="148">
                  <c:v>38838</c:v>
                </c:pt>
                <c:pt idx="149">
                  <c:v>38869</c:v>
                </c:pt>
                <c:pt idx="150">
                  <c:v>38899</c:v>
                </c:pt>
                <c:pt idx="151">
                  <c:v>38930</c:v>
                </c:pt>
                <c:pt idx="152">
                  <c:v>38961</c:v>
                </c:pt>
                <c:pt idx="153">
                  <c:v>38991</c:v>
                </c:pt>
                <c:pt idx="154">
                  <c:v>39022</c:v>
                </c:pt>
                <c:pt idx="155">
                  <c:v>39052</c:v>
                </c:pt>
                <c:pt idx="156">
                  <c:v>39083</c:v>
                </c:pt>
                <c:pt idx="157">
                  <c:v>39114</c:v>
                </c:pt>
                <c:pt idx="158">
                  <c:v>39142</c:v>
                </c:pt>
                <c:pt idx="159">
                  <c:v>39173</c:v>
                </c:pt>
                <c:pt idx="160">
                  <c:v>39203</c:v>
                </c:pt>
                <c:pt idx="161">
                  <c:v>39234</c:v>
                </c:pt>
                <c:pt idx="162">
                  <c:v>39264</c:v>
                </c:pt>
                <c:pt idx="163">
                  <c:v>39295</c:v>
                </c:pt>
                <c:pt idx="164">
                  <c:v>39326</c:v>
                </c:pt>
                <c:pt idx="165">
                  <c:v>39356</c:v>
                </c:pt>
                <c:pt idx="166">
                  <c:v>39387</c:v>
                </c:pt>
                <c:pt idx="167">
                  <c:v>39417</c:v>
                </c:pt>
                <c:pt idx="168">
                  <c:v>39448</c:v>
                </c:pt>
                <c:pt idx="169">
                  <c:v>39479</c:v>
                </c:pt>
                <c:pt idx="170">
                  <c:v>39508</c:v>
                </c:pt>
                <c:pt idx="171">
                  <c:v>39539</c:v>
                </c:pt>
                <c:pt idx="172">
                  <c:v>39569</c:v>
                </c:pt>
                <c:pt idx="173">
                  <c:v>39600</c:v>
                </c:pt>
                <c:pt idx="174">
                  <c:v>39630</c:v>
                </c:pt>
                <c:pt idx="175">
                  <c:v>39661</c:v>
                </c:pt>
                <c:pt idx="176">
                  <c:v>39692</c:v>
                </c:pt>
                <c:pt idx="177">
                  <c:v>39722</c:v>
                </c:pt>
                <c:pt idx="178">
                  <c:v>39753</c:v>
                </c:pt>
                <c:pt idx="179">
                  <c:v>39783</c:v>
                </c:pt>
                <c:pt idx="180">
                  <c:v>39814</c:v>
                </c:pt>
                <c:pt idx="181">
                  <c:v>39845</c:v>
                </c:pt>
                <c:pt idx="182">
                  <c:v>39873</c:v>
                </c:pt>
                <c:pt idx="183">
                  <c:v>39904</c:v>
                </c:pt>
                <c:pt idx="184">
                  <c:v>39934</c:v>
                </c:pt>
                <c:pt idx="185">
                  <c:v>39965</c:v>
                </c:pt>
                <c:pt idx="186">
                  <c:v>39995</c:v>
                </c:pt>
                <c:pt idx="187">
                  <c:v>40026</c:v>
                </c:pt>
                <c:pt idx="188">
                  <c:v>40057</c:v>
                </c:pt>
                <c:pt idx="189">
                  <c:v>40087</c:v>
                </c:pt>
                <c:pt idx="190">
                  <c:v>40118</c:v>
                </c:pt>
                <c:pt idx="191">
                  <c:v>40148</c:v>
                </c:pt>
                <c:pt idx="192">
                  <c:v>40179</c:v>
                </c:pt>
                <c:pt idx="193">
                  <c:v>40210</c:v>
                </c:pt>
                <c:pt idx="194">
                  <c:v>40238</c:v>
                </c:pt>
                <c:pt idx="195">
                  <c:v>40269</c:v>
                </c:pt>
                <c:pt idx="196">
                  <c:v>40299</c:v>
                </c:pt>
                <c:pt idx="197">
                  <c:v>40330</c:v>
                </c:pt>
                <c:pt idx="198">
                  <c:v>40360</c:v>
                </c:pt>
                <c:pt idx="199">
                  <c:v>40391</c:v>
                </c:pt>
                <c:pt idx="200">
                  <c:v>40422</c:v>
                </c:pt>
                <c:pt idx="201">
                  <c:v>40452</c:v>
                </c:pt>
                <c:pt idx="202">
                  <c:v>40483</c:v>
                </c:pt>
                <c:pt idx="203">
                  <c:v>40513</c:v>
                </c:pt>
                <c:pt idx="204">
                  <c:v>40544</c:v>
                </c:pt>
                <c:pt idx="205">
                  <c:v>40575</c:v>
                </c:pt>
                <c:pt idx="206">
                  <c:v>40603</c:v>
                </c:pt>
                <c:pt idx="207">
                  <c:v>40634</c:v>
                </c:pt>
                <c:pt idx="208">
                  <c:v>40664</c:v>
                </c:pt>
                <c:pt idx="209">
                  <c:v>40695</c:v>
                </c:pt>
                <c:pt idx="210">
                  <c:v>40725</c:v>
                </c:pt>
                <c:pt idx="211">
                  <c:v>40756</c:v>
                </c:pt>
                <c:pt idx="212">
                  <c:v>40787</c:v>
                </c:pt>
                <c:pt idx="213">
                  <c:v>40817</c:v>
                </c:pt>
                <c:pt idx="214">
                  <c:v>40848</c:v>
                </c:pt>
                <c:pt idx="215">
                  <c:v>40878</c:v>
                </c:pt>
                <c:pt idx="216">
                  <c:v>40909</c:v>
                </c:pt>
                <c:pt idx="217">
                  <c:v>40940</c:v>
                </c:pt>
                <c:pt idx="218">
                  <c:v>40969</c:v>
                </c:pt>
                <c:pt idx="219">
                  <c:v>41000</c:v>
                </c:pt>
                <c:pt idx="220">
                  <c:v>41030</c:v>
                </c:pt>
                <c:pt idx="221">
                  <c:v>41061</c:v>
                </c:pt>
                <c:pt idx="222">
                  <c:v>41091</c:v>
                </c:pt>
                <c:pt idx="223">
                  <c:v>41122</c:v>
                </c:pt>
                <c:pt idx="224">
                  <c:v>41153</c:v>
                </c:pt>
                <c:pt idx="225">
                  <c:v>41183</c:v>
                </c:pt>
                <c:pt idx="226">
                  <c:v>41214</c:v>
                </c:pt>
                <c:pt idx="227">
                  <c:v>41244</c:v>
                </c:pt>
                <c:pt idx="228">
                  <c:v>41275</c:v>
                </c:pt>
                <c:pt idx="229">
                  <c:v>41306</c:v>
                </c:pt>
                <c:pt idx="230">
                  <c:v>41334</c:v>
                </c:pt>
                <c:pt idx="231">
                  <c:v>41365</c:v>
                </c:pt>
                <c:pt idx="232">
                  <c:v>41395</c:v>
                </c:pt>
                <c:pt idx="233">
                  <c:v>41426</c:v>
                </c:pt>
                <c:pt idx="234">
                  <c:v>41456</c:v>
                </c:pt>
                <c:pt idx="235">
                  <c:v>41487</c:v>
                </c:pt>
                <c:pt idx="236">
                  <c:v>41518</c:v>
                </c:pt>
                <c:pt idx="237">
                  <c:v>41548</c:v>
                </c:pt>
                <c:pt idx="238">
                  <c:v>41579</c:v>
                </c:pt>
                <c:pt idx="239">
                  <c:v>41609</c:v>
                </c:pt>
                <c:pt idx="240">
                  <c:v>41640</c:v>
                </c:pt>
                <c:pt idx="241">
                  <c:v>41671</c:v>
                </c:pt>
                <c:pt idx="242">
                  <c:v>41699</c:v>
                </c:pt>
                <c:pt idx="243">
                  <c:v>41730</c:v>
                </c:pt>
                <c:pt idx="244">
                  <c:v>41760</c:v>
                </c:pt>
                <c:pt idx="245">
                  <c:v>41791</c:v>
                </c:pt>
                <c:pt idx="246">
                  <c:v>41821</c:v>
                </c:pt>
                <c:pt idx="247">
                  <c:v>41852</c:v>
                </c:pt>
                <c:pt idx="248">
                  <c:v>41883</c:v>
                </c:pt>
                <c:pt idx="249">
                  <c:v>41913</c:v>
                </c:pt>
                <c:pt idx="250">
                  <c:v>41944</c:v>
                </c:pt>
                <c:pt idx="251">
                  <c:v>41974</c:v>
                </c:pt>
                <c:pt idx="252">
                  <c:v>42005</c:v>
                </c:pt>
                <c:pt idx="253">
                  <c:v>42036</c:v>
                </c:pt>
                <c:pt idx="254">
                  <c:v>42064</c:v>
                </c:pt>
                <c:pt idx="255">
                  <c:v>42095</c:v>
                </c:pt>
                <c:pt idx="256">
                  <c:v>42125</c:v>
                </c:pt>
                <c:pt idx="257">
                  <c:v>42156</c:v>
                </c:pt>
                <c:pt idx="258">
                  <c:v>42186</c:v>
                </c:pt>
                <c:pt idx="259">
                  <c:v>42217</c:v>
                </c:pt>
                <c:pt idx="260">
                  <c:v>42248</c:v>
                </c:pt>
                <c:pt idx="261">
                  <c:v>42278</c:v>
                </c:pt>
                <c:pt idx="262">
                  <c:v>42309</c:v>
                </c:pt>
                <c:pt idx="263">
                  <c:v>42339</c:v>
                </c:pt>
                <c:pt idx="264">
                  <c:v>42370</c:v>
                </c:pt>
                <c:pt idx="265">
                  <c:v>42401</c:v>
                </c:pt>
                <c:pt idx="266">
                  <c:v>42430</c:v>
                </c:pt>
                <c:pt idx="267">
                  <c:v>42461</c:v>
                </c:pt>
                <c:pt idx="268">
                  <c:v>42491</c:v>
                </c:pt>
                <c:pt idx="269">
                  <c:v>42522</c:v>
                </c:pt>
              </c:numCache>
            </c:numRef>
          </c:cat>
          <c:val>
            <c:numRef>
              <c:f>Regression!$AD$50:$AD$319</c:f>
              <c:numCache>
                <c:formatCode>General</c:formatCode>
                <c:ptCount val="27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598.08333333333337</c:v>
                </c:pt>
                <c:pt idx="143">
                  <c:v>624.25</c:v>
                </c:pt>
                <c:pt idx="144">
                  <c:v>650.26851851851859</c:v>
                </c:pt>
                <c:pt idx="145">
                  <c:v>676.13888888888891</c:v>
                </c:pt>
                <c:pt idx="146">
                  <c:v>701.86111111111109</c:v>
                </c:pt>
                <c:pt idx="147">
                  <c:v>727.43518518518522</c:v>
                </c:pt>
                <c:pt idx="148">
                  <c:v>752.86111111111109</c:v>
                </c:pt>
                <c:pt idx="149">
                  <c:v>778.13888888888891</c:v>
                </c:pt>
                <c:pt idx="150">
                  <c:v>798.47222222222229</c:v>
                </c:pt>
                <c:pt idx="151">
                  <c:v>813.86111111111097</c:v>
                </c:pt>
                <c:pt idx="152">
                  <c:v>824.30555555555543</c:v>
                </c:pt>
                <c:pt idx="153">
                  <c:v>829.80555555555554</c:v>
                </c:pt>
                <c:pt idx="154">
                  <c:v>830.36111111111109</c:v>
                </c:pt>
                <c:pt idx="155">
                  <c:v>825.97222222222217</c:v>
                </c:pt>
                <c:pt idx="156">
                  <c:v>819.53703703703695</c:v>
                </c:pt>
                <c:pt idx="157">
                  <c:v>811.05555555555554</c:v>
                </c:pt>
                <c:pt idx="158">
                  <c:v>800.52777777777783</c:v>
                </c:pt>
                <c:pt idx="159">
                  <c:v>787.9537037037037</c:v>
                </c:pt>
                <c:pt idx="160">
                  <c:v>773.33333333333348</c:v>
                </c:pt>
                <c:pt idx="161">
                  <c:v>756.66666666666663</c:v>
                </c:pt>
                <c:pt idx="162">
                  <c:v>737.64814814814827</c:v>
                </c:pt>
                <c:pt idx="163">
                  <c:v>716.27777777777783</c:v>
                </c:pt>
                <c:pt idx="164">
                  <c:v>692.55555555555554</c:v>
                </c:pt>
                <c:pt idx="165">
                  <c:v>666.48148148148152</c:v>
                </c:pt>
                <c:pt idx="166">
                  <c:v>638.05555555555554</c:v>
                </c:pt>
                <c:pt idx="167">
                  <c:v>607.27777777777783</c:v>
                </c:pt>
                <c:pt idx="168">
                  <c:v>576.00000000000011</c:v>
                </c:pt>
                <c:pt idx="169">
                  <c:v>544.22222222222217</c:v>
                </c:pt>
                <c:pt idx="170">
                  <c:v>511.94444444444446</c:v>
                </c:pt>
                <c:pt idx="171">
                  <c:v>479.16666666666669</c:v>
                </c:pt>
                <c:pt idx="172">
                  <c:v>445.88888888888891</c:v>
                </c:pt>
                <c:pt idx="173">
                  <c:v>412.11111111111109</c:v>
                </c:pt>
                <c:pt idx="174">
                  <c:v>379.66666666666674</c:v>
                </c:pt>
                <c:pt idx="175">
                  <c:v>348.55555555555554</c:v>
                </c:pt>
                <c:pt idx="176">
                  <c:v>318.77777777777777</c:v>
                </c:pt>
                <c:pt idx="177">
                  <c:v>290.33333333333331</c:v>
                </c:pt>
                <c:pt idx="178">
                  <c:v>263.22222222222223</c:v>
                </c:pt>
                <c:pt idx="179">
                  <c:v>237.44444444444446</c:v>
                </c:pt>
                <c:pt idx="180">
                  <c:v>214.2037037037037</c:v>
                </c:pt>
                <c:pt idx="181">
                  <c:v>193.5</c:v>
                </c:pt>
                <c:pt idx="182">
                  <c:v>175.33333333333334</c:v>
                </c:pt>
                <c:pt idx="183">
                  <c:v>159.7037037037037</c:v>
                </c:pt>
                <c:pt idx="184">
                  <c:v>146.61111111111111</c:v>
                </c:pt>
                <c:pt idx="185">
                  <c:v>136.05555555555554</c:v>
                </c:pt>
                <c:pt idx="186">
                  <c:v>127.03703703703705</c:v>
                </c:pt>
                <c:pt idx="187">
                  <c:v>119.55555555555556</c:v>
                </c:pt>
                <c:pt idx="188">
                  <c:v>113.61111111111111</c:v>
                </c:pt>
                <c:pt idx="189">
                  <c:v>109.2037037037037</c:v>
                </c:pt>
                <c:pt idx="190">
                  <c:v>106.33333333333331</c:v>
                </c:pt>
                <c:pt idx="191">
                  <c:v>105</c:v>
                </c:pt>
                <c:pt idx="192">
                  <c:v>104.01851851851852</c:v>
                </c:pt>
                <c:pt idx="193">
                  <c:v>103.38888888888889</c:v>
                </c:pt>
                <c:pt idx="194">
                  <c:v>103.11111111111111</c:v>
                </c:pt>
                <c:pt idx="195">
                  <c:v>103.18518518518518</c:v>
                </c:pt>
                <c:pt idx="196">
                  <c:v>103.61111111111111</c:v>
                </c:pt>
                <c:pt idx="197">
                  <c:v>104.38888888888889</c:v>
                </c:pt>
                <c:pt idx="198">
                  <c:v>104.94444444444446</c:v>
                </c:pt>
                <c:pt idx="199">
                  <c:v>105.27777777777777</c:v>
                </c:pt>
                <c:pt idx="200">
                  <c:v>105.38888888888889</c:v>
                </c:pt>
                <c:pt idx="201">
                  <c:v>105.27777777777777</c:v>
                </c:pt>
                <c:pt idx="202">
                  <c:v>104.94444444444444</c:v>
                </c:pt>
                <c:pt idx="203">
                  <c:v>104.38888888888889</c:v>
                </c:pt>
                <c:pt idx="204">
                  <c:v>104.07407407407408</c:v>
                </c:pt>
                <c:pt idx="205">
                  <c:v>104</c:v>
                </c:pt>
                <c:pt idx="206">
                  <c:v>104.08777777777777</c:v>
                </c:pt>
                <c:pt idx="207">
                  <c:v>104.20111111111112</c:v>
                </c:pt>
                <c:pt idx="208">
                  <c:v>104.74444444444444</c:v>
                </c:pt>
                <c:pt idx="209">
                  <c:v>105.66388888888888</c:v>
                </c:pt>
                <c:pt idx="210">
                  <c:v>106.51296296296296</c:v>
                </c:pt>
                <c:pt idx="211">
                  <c:v>107.20277777777777</c:v>
                </c:pt>
                <c:pt idx="212">
                  <c:v>108.04666666666668</c:v>
                </c:pt>
                <c:pt idx="213">
                  <c:v>108.62629629629629</c:v>
                </c:pt>
                <c:pt idx="214">
                  <c:v>109.12333333333333</c:v>
                </c:pt>
                <c:pt idx="215">
                  <c:v>109.50777777777779</c:v>
                </c:pt>
                <c:pt idx="216">
                  <c:v>109.57518518518519</c:v>
                </c:pt>
                <c:pt idx="217">
                  <c:v>109.2811111111111</c:v>
                </c:pt>
                <c:pt idx="218">
                  <c:v>108.86444444444444</c:v>
                </c:pt>
                <c:pt idx="219">
                  <c:v>108.36685185185186</c:v>
                </c:pt>
                <c:pt idx="220">
                  <c:v>107.68444444444444</c:v>
                </c:pt>
                <c:pt idx="221">
                  <c:v>106.90722222222222</c:v>
                </c:pt>
                <c:pt idx="222">
                  <c:v>106.00925925925928</c:v>
                </c:pt>
                <c:pt idx="223">
                  <c:v>105.41277777777778</c:v>
                </c:pt>
                <c:pt idx="224">
                  <c:v>104.95944444444446</c:v>
                </c:pt>
                <c:pt idx="225">
                  <c:v>104.64611111111113</c:v>
                </c:pt>
                <c:pt idx="226">
                  <c:v>104.46111111111112</c:v>
                </c:pt>
                <c:pt idx="227">
                  <c:v>104.32833333333335</c:v>
                </c:pt>
                <c:pt idx="228">
                  <c:v>104.23166666666668</c:v>
                </c:pt>
                <c:pt idx="229">
                  <c:v>104.30833333333337</c:v>
                </c:pt>
                <c:pt idx="230">
                  <c:v>104.1316666666667</c:v>
                </c:pt>
                <c:pt idx="231">
                  <c:v>104.21277777777779</c:v>
                </c:pt>
                <c:pt idx="232">
                  <c:v>104.35666666666667</c:v>
                </c:pt>
                <c:pt idx="233">
                  <c:v>104.62833333333333</c:v>
                </c:pt>
                <c:pt idx="234">
                  <c:v>105.17944444444446</c:v>
                </c:pt>
                <c:pt idx="235">
                  <c:v>105.87166666666666</c:v>
                </c:pt>
                <c:pt idx="236">
                  <c:v>106.4661111111111</c:v>
                </c:pt>
                <c:pt idx="237">
                  <c:v>107.00999999999999</c:v>
                </c:pt>
                <c:pt idx="238">
                  <c:v>107.49055555555556</c:v>
                </c:pt>
                <c:pt idx="239">
                  <c:v>107.92888888888889</c:v>
                </c:pt>
                <c:pt idx="240">
                  <c:v>108.66944444444444</c:v>
                </c:pt>
                <c:pt idx="241">
                  <c:v>109.20111111111112</c:v>
                </c:pt>
                <c:pt idx="242">
                  <c:v>109.76111111111112</c:v>
                </c:pt>
                <c:pt idx="243">
                  <c:v>110.45</c:v>
                </c:pt>
                <c:pt idx="244">
                  <c:v>110.95833333333333</c:v>
                </c:pt>
                <c:pt idx="245">
                  <c:v>111.38277777777778</c:v>
                </c:pt>
                <c:pt idx="246">
                  <c:v>111.83777777777777</c:v>
                </c:pt>
                <c:pt idx="247">
                  <c:v>112.22499999999999</c:v>
                </c:pt>
                <c:pt idx="248">
                  <c:v>112.67444444444443</c:v>
                </c:pt>
                <c:pt idx="249">
                  <c:v>112.93222222222222</c:v>
                </c:pt>
                <c:pt idx="250">
                  <c:v>113.25055555555554</c:v>
                </c:pt>
                <c:pt idx="251">
                  <c:v>113.57777777777777</c:v>
                </c:pt>
                <c:pt idx="252">
                  <c:v>113.88333333333331</c:v>
                </c:pt>
                <c:pt idx="253">
                  <c:v>114.27777777777777</c:v>
                </c:pt>
                <c:pt idx="254">
                  <c:v>114.86994444444443</c:v>
                </c:pt>
                <c:pt idx="255">
                  <c:v>115.45327777777776</c:v>
                </c:pt>
                <c:pt idx="256">
                  <c:v>116.14216666666665</c:v>
                </c:pt>
                <c:pt idx="257">
                  <c:v>116.75883333333331</c:v>
                </c:pt>
                <c:pt idx="258">
                  <c:v>117.45327777777776</c:v>
                </c:pt>
                <c:pt idx="259">
                  <c:v>118.15327777777777</c:v>
                </c:pt>
                <c:pt idx="260">
                  <c:v>118.84772222222222</c:v>
                </c:pt>
                <c:pt idx="261">
                  <c:v>119.65883333333333</c:v>
                </c:pt>
                <c:pt idx="262">
                  <c:v>120.34216666666664</c:v>
                </c:pt>
                <c:pt idx="263">
                  <c:v>120.81694444444445</c:v>
                </c:pt>
                <c:pt idx="264">
                  <c:v>121.22805555555558</c:v>
                </c:pt>
                <c:pt idx="265">
                  <c:v>121.65583333333335</c:v>
                </c:pt>
                <c:pt idx="266">
                  <c:v>122.06694444444445</c:v>
                </c:pt>
                <c:pt idx="267">
                  <c:v>122.57805555555557</c:v>
                </c:pt>
                <c:pt idx="268">
                  <c:v>#N/A</c:v>
                </c:pt>
                <c:pt idx="269">
                  <c:v>#N/A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Regression!$AE$1</c:f>
              <c:strCache>
                <c:ptCount val="1"/>
                <c:pt idx="0">
                  <c:v>Regression</c:v>
                </c:pt>
              </c:strCache>
            </c:strRef>
          </c:tx>
          <c:marker>
            <c:symbol val="none"/>
          </c:marker>
          <c:cat>
            <c:numRef>
              <c:f>Regression!$AB$50:$AB$319</c:f>
              <c:numCache>
                <c:formatCode>m/d/yyyy</c:formatCode>
                <c:ptCount val="270"/>
                <c:pt idx="0">
                  <c:v>34335</c:v>
                </c:pt>
                <c:pt idx="1">
                  <c:v>34366</c:v>
                </c:pt>
                <c:pt idx="2">
                  <c:v>34394</c:v>
                </c:pt>
                <c:pt idx="3">
                  <c:v>34425</c:v>
                </c:pt>
                <c:pt idx="4">
                  <c:v>34455</c:v>
                </c:pt>
                <c:pt idx="5">
                  <c:v>34486</c:v>
                </c:pt>
                <c:pt idx="6">
                  <c:v>34516</c:v>
                </c:pt>
                <c:pt idx="7">
                  <c:v>34547</c:v>
                </c:pt>
                <c:pt idx="8">
                  <c:v>34578</c:v>
                </c:pt>
                <c:pt idx="9">
                  <c:v>34608</c:v>
                </c:pt>
                <c:pt idx="10">
                  <c:v>34639</c:v>
                </c:pt>
                <c:pt idx="11">
                  <c:v>34669</c:v>
                </c:pt>
                <c:pt idx="12">
                  <c:v>34700</c:v>
                </c:pt>
                <c:pt idx="13">
                  <c:v>34731</c:v>
                </c:pt>
                <c:pt idx="14">
                  <c:v>34759</c:v>
                </c:pt>
                <c:pt idx="15">
                  <c:v>34790</c:v>
                </c:pt>
                <c:pt idx="16">
                  <c:v>34820</c:v>
                </c:pt>
                <c:pt idx="17">
                  <c:v>34851</c:v>
                </c:pt>
                <c:pt idx="18">
                  <c:v>34881</c:v>
                </c:pt>
                <c:pt idx="19">
                  <c:v>34912</c:v>
                </c:pt>
                <c:pt idx="20">
                  <c:v>34943</c:v>
                </c:pt>
                <c:pt idx="21">
                  <c:v>34973</c:v>
                </c:pt>
                <c:pt idx="22">
                  <c:v>35004</c:v>
                </c:pt>
                <c:pt idx="23">
                  <c:v>35034</c:v>
                </c:pt>
                <c:pt idx="24">
                  <c:v>35065</c:v>
                </c:pt>
                <c:pt idx="25">
                  <c:v>35096</c:v>
                </c:pt>
                <c:pt idx="26">
                  <c:v>35125</c:v>
                </c:pt>
                <c:pt idx="27">
                  <c:v>35156</c:v>
                </c:pt>
                <c:pt idx="28">
                  <c:v>35186</c:v>
                </c:pt>
                <c:pt idx="29">
                  <c:v>35217</c:v>
                </c:pt>
                <c:pt idx="30">
                  <c:v>35247</c:v>
                </c:pt>
                <c:pt idx="31">
                  <c:v>35278</c:v>
                </c:pt>
                <c:pt idx="32">
                  <c:v>35309</c:v>
                </c:pt>
                <c:pt idx="33">
                  <c:v>35339</c:v>
                </c:pt>
                <c:pt idx="34">
                  <c:v>35370</c:v>
                </c:pt>
                <c:pt idx="35">
                  <c:v>35400</c:v>
                </c:pt>
                <c:pt idx="36">
                  <c:v>35431</c:v>
                </c:pt>
                <c:pt idx="37">
                  <c:v>35462</c:v>
                </c:pt>
                <c:pt idx="38">
                  <c:v>35490</c:v>
                </c:pt>
                <c:pt idx="39">
                  <c:v>35521</c:v>
                </c:pt>
                <c:pt idx="40">
                  <c:v>35551</c:v>
                </c:pt>
                <c:pt idx="41">
                  <c:v>35582</c:v>
                </c:pt>
                <c:pt idx="42">
                  <c:v>35612</c:v>
                </c:pt>
                <c:pt idx="43">
                  <c:v>35643</c:v>
                </c:pt>
                <c:pt idx="44">
                  <c:v>35674</c:v>
                </c:pt>
                <c:pt idx="45">
                  <c:v>35704</c:v>
                </c:pt>
                <c:pt idx="46">
                  <c:v>35735</c:v>
                </c:pt>
                <c:pt idx="47">
                  <c:v>35765</c:v>
                </c:pt>
                <c:pt idx="48">
                  <c:v>35796</c:v>
                </c:pt>
                <c:pt idx="49">
                  <c:v>35827</c:v>
                </c:pt>
                <c:pt idx="50">
                  <c:v>35855</c:v>
                </c:pt>
                <c:pt idx="51">
                  <c:v>35886</c:v>
                </c:pt>
                <c:pt idx="52">
                  <c:v>35916</c:v>
                </c:pt>
                <c:pt idx="53">
                  <c:v>35947</c:v>
                </c:pt>
                <c:pt idx="54">
                  <c:v>35977</c:v>
                </c:pt>
                <c:pt idx="55">
                  <c:v>36008</c:v>
                </c:pt>
                <c:pt idx="56">
                  <c:v>36039</c:v>
                </c:pt>
                <c:pt idx="57">
                  <c:v>36069</c:v>
                </c:pt>
                <c:pt idx="58">
                  <c:v>36100</c:v>
                </c:pt>
                <c:pt idx="59">
                  <c:v>36130</c:v>
                </c:pt>
                <c:pt idx="60">
                  <c:v>36161</c:v>
                </c:pt>
                <c:pt idx="61">
                  <c:v>36192</c:v>
                </c:pt>
                <c:pt idx="62">
                  <c:v>36220</c:v>
                </c:pt>
                <c:pt idx="63">
                  <c:v>36251</c:v>
                </c:pt>
                <c:pt idx="64">
                  <c:v>36281</c:v>
                </c:pt>
                <c:pt idx="65">
                  <c:v>36312</c:v>
                </c:pt>
                <c:pt idx="66">
                  <c:v>36342</c:v>
                </c:pt>
                <c:pt idx="67">
                  <c:v>36373</c:v>
                </c:pt>
                <c:pt idx="68">
                  <c:v>36404</c:v>
                </c:pt>
                <c:pt idx="69">
                  <c:v>36434</c:v>
                </c:pt>
                <c:pt idx="70">
                  <c:v>36465</c:v>
                </c:pt>
                <c:pt idx="71">
                  <c:v>36495</c:v>
                </c:pt>
                <c:pt idx="72">
                  <c:v>36526</c:v>
                </c:pt>
                <c:pt idx="73">
                  <c:v>36557</c:v>
                </c:pt>
                <c:pt idx="74">
                  <c:v>36586</c:v>
                </c:pt>
                <c:pt idx="75">
                  <c:v>36617</c:v>
                </c:pt>
                <c:pt idx="76">
                  <c:v>36647</c:v>
                </c:pt>
                <c:pt idx="77">
                  <c:v>36678</c:v>
                </c:pt>
                <c:pt idx="78">
                  <c:v>36708</c:v>
                </c:pt>
                <c:pt idx="79">
                  <c:v>36739</c:v>
                </c:pt>
                <c:pt idx="80">
                  <c:v>36770</c:v>
                </c:pt>
                <c:pt idx="81">
                  <c:v>36800</c:v>
                </c:pt>
                <c:pt idx="82">
                  <c:v>36831</c:v>
                </c:pt>
                <c:pt idx="83">
                  <c:v>36861</c:v>
                </c:pt>
                <c:pt idx="84">
                  <c:v>36892</c:v>
                </c:pt>
                <c:pt idx="85">
                  <c:v>36923</c:v>
                </c:pt>
                <c:pt idx="86">
                  <c:v>36951</c:v>
                </c:pt>
                <c:pt idx="87">
                  <c:v>36982</c:v>
                </c:pt>
                <c:pt idx="88">
                  <c:v>37012</c:v>
                </c:pt>
                <c:pt idx="89">
                  <c:v>37043</c:v>
                </c:pt>
                <c:pt idx="90">
                  <c:v>37073</c:v>
                </c:pt>
                <c:pt idx="91">
                  <c:v>37104</c:v>
                </c:pt>
                <c:pt idx="92">
                  <c:v>37135</c:v>
                </c:pt>
                <c:pt idx="93">
                  <c:v>37165</c:v>
                </c:pt>
                <c:pt idx="94">
                  <c:v>37196</c:v>
                </c:pt>
                <c:pt idx="95">
                  <c:v>37226</c:v>
                </c:pt>
                <c:pt idx="96">
                  <c:v>37257</c:v>
                </c:pt>
                <c:pt idx="97">
                  <c:v>37288</c:v>
                </c:pt>
                <c:pt idx="98">
                  <c:v>37316</c:v>
                </c:pt>
                <c:pt idx="99">
                  <c:v>37347</c:v>
                </c:pt>
                <c:pt idx="100">
                  <c:v>37377</c:v>
                </c:pt>
                <c:pt idx="101">
                  <c:v>37408</c:v>
                </c:pt>
                <c:pt idx="102">
                  <c:v>37438</c:v>
                </c:pt>
                <c:pt idx="103">
                  <c:v>37469</c:v>
                </c:pt>
                <c:pt idx="104">
                  <c:v>37500</c:v>
                </c:pt>
                <c:pt idx="105">
                  <c:v>37530</c:v>
                </c:pt>
                <c:pt idx="106">
                  <c:v>37561</c:v>
                </c:pt>
                <c:pt idx="107">
                  <c:v>37591</c:v>
                </c:pt>
                <c:pt idx="108">
                  <c:v>37622</c:v>
                </c:pt>
                <c:pt idx="109">
                  <c:v>37653</c:v>
                </c:pt>
                <c:pt idx="110">
                  <c:v>37681</c:v>
                </c:pt>
                <c:pt idx="111">
                  <c:v>37712</c:v>
                </c:pt>
                <c:pt idx="112">
                  <c:v>37742</c:v>
                </c:pt>
                <c:pt idx="113">
                  <c:v>37773</c:v>
                </c:pt>
                <c:pt idx="114">
                  <c:v>37803</c:v>
                </c:pt>
                <c:pt idx="115">
                  <c:v>37834</c:v>
                </c:pt>
                <c:pt idx="116">
                  <c:v>37865</c:v>
                </c:pt>
                <c:pt idx="117">
                  <c:v>37895</c:v>
                </c:pt>
                <c:pt idx="118">
                  <c:v>37926</c:v>
                </c:pt>
                <c:pt idx="119">
                  <c:v>37956</c:v>
                </c:pt>
                <c:pt idx="120">
                  <c:v>37987</c:v>
                </c:pt>
                <c:pt idx="121">
                  <c:v>38018</c:v>
                </c:pt>
                <c:pt idx="122">
                  <c:v>38047</c:v>
                </c:pt>
                <c:pt idx="123">
                  <c:v>38078</c:v>
                </c:pt>
                <c:pt idx="124">
                  <c:v>38108</c:v>
                </c:pt>
                <c:pt idx="125">
                  <c:v>38139</c:v>
                </c:pt>
                <c:pt idx="126">
                  <c:v>38169</c:v>
                </c:pt>
                <c:pt idx="127">
                  <c:v>38200</c:v>
                </c:pt>
                <c:pt idx="128">
                  <c:v>38231</c:v>
                </c:pt>
                <c:pt idx="129">
                  <c:v>38261</c:v>
                </c:pt>
                <c:pt idx="130">
                  <c:v>38292</c:v>
                </c:pt>
                <c:pt idx="131">
                  <c:v>38322</c:v>
                </c:pt>
                <c:pt idx="132">
                  <c:v>38353</c:v>
                </c:pt>
                <c:pt idx="133">
                  <c:v>38384</c:v>
                </c:pt>
                <c:pt idx="134">
                  <c:v>38412</c:v>
                </c:pt>
                <c:pt idx="135">
                  <c:v>38443</c:v>
                </c:pt>
                <c:pt idx="136">
                  <c:v>38473</c:v>
                </c:pt>
                <c:pt idx="137">
                  <c:v>38504</c:v>
                </c:pt>
                <c:pt idx="138">
                  <c:v>38534</c:v>
                </c:pt>
                <c:pt idx="139">
                  <c:v>38565</c:v>
                </c:pt>
                <c:pt idx="140">
                  <c:v>38596</c:v>
                </c:pt>
                <c:pt idx="141">
                  <c:v>38626</c:v>
                </c:pt>
                <c:pt idx="142">
                  <c:v>38657</c:v>
                </c:pt>
                <c:pt idx="143">
                  <c:v>38687</c:v>
                </c:pt>
                <c:pt idx="144">
                  <c:v>38718</c:v>
                </c:pt>
                <c:pt idx="145">
                  <c:v>38749</c:v>
                </c:pt>
                <c:pt idx="146">
                  <c:v>38777</c:v>
                </c:pt>
                <c:pt idx="147">
                  <c:v>38808</c:v>
                </c:pt>
                <c:pt idx="148">
                  <c:v>38838</c:v>
                </c:pt>
                <c:pt idx="149">
                  <c:v>38869</c:v>
                </c:pt>
                <c:pt idx="150">
                  <c:v>38899</c:v>
                </c:pt>
                <c:pt idx="151">
                  <c:v>38930</c:v>
                </c:pt>
                <c:pt idx="152">
                  <c:v>38961</c:v>
                </c:pt>
                <c:pt idx="153">
                  <c:v>38991</c:v>
                </c:pt>
                <c:pt idx="154">
                  <c:v>39022</c:v>
                </c:pt>
                <c:pt idx="155">
                  <c:v>39052</c:v>
                </c:pt>
                <c:pt idx="156">
                  <c:v>39083</c:v>
                </c:pt>
                <c:pt idx="157">
                  <c:v>39114</c:v>
                </c:pt>
                <c:pt idx="158">
                  <c:v>39142</c:v>
                </c:pt>
                <c:pt idx="159">
                  <c:v>39173</c:v>
                </c:pt>
                <c:pt idx="160">
                  <c:v>39203</c:v>
                </c:pt>
                <c:pt idx="161">
                  <c:v>39234</c:v>
                </c:pt>
                <c:pt idx="162">
                  <c:v>39264</c:v>
                </c:pt>
                <c:pt idx="163">
                  <c:v>39295</c:v>
                </c:pt>
                <c:pt idx="164">
                  <c:v>39326</c:v>
                </c:pt>
                <c:pt idx="165">
                  <c:v>39356</c:v>
                </c:pt>
                <c:pt idx="166">
                  <c:v>39387</c:v>
                </c:pt>
                <c:pt idx="167">
                  <c:v>39417</c:v>
                </c:pt>
                <c:pt idx="168">
                  <c:v>39448</c:v>
                </c:pt>
                <c:pt idx="169">
                  <c:v>39479</c:v>
                </c:pt>
                <c:pt idx="170">
                  <c:v>39508</c:v>
                </c:pt>
                <c:pt idx="171">
                  <c:v>39539</c:v>
                </c:pt>
                <c:pt idx="172">
                  <c:v>39569</c:v>
                </c:pt>
                <c:pt idx="173">
                  <c:v>39600</c:v>
                </c:pt>
                <c:pt idx="174">
                  <c:v>39630</c:v>
                </c:pt>
                <c:pt idx="175">
                  <c:v>39661</c:v>
                </c:pt>
                <c:pt idx="176">
                  <c:v>39692</c:v>
                </c:pt>
                <c:pt idx="177">
                  <c:v>39722</c:v>
                </c:pt>
                <c:pt idx="178">
                  <c:v>39753</c:v>
                </c:pt>
                <c:pt idx="179">
                  <c:v>39783</c:v>
                </c:pt>
                <c:pt idx="180">
                  <c:v>39814</c:v>
                </c:pt>
                <c:pt idx="181">
                  <c:v>39845</c:v>
                </c:pt>
                <c:pt idx="182">
                  <c:v>39873</c:v>
                </c:pt>
                <c:pt idx="183">
                  <c:v>39904</c:v>
                </c:pt>
                <c:pt idx="184">
                  <c:v>39934</c:v>
                </c:pt>
                <c:pt idx="185">
                  <c:v>39965</c:v>
                </c:pt>
                <c:pt idx="186">
                  <c:v>39995</c:v>
                </c:pt>
                <c:pt idx="187">
                  <c:v>40026</c:v>
                </c:pt>
                <c:pt idx="188">
                  <c:v>40057</c:v>
                </c:pt>
                <c:pt idx="189">
                  <c:v>40087</c:v>
                </c:pt>
                <c:pt idx="190">
                  <c:v>40118</c:v>
                </c:pt>
                <c:pt idx="191">
                  <c:v>40148</c:v>
                </c:pt>
                <c:pt idx="192">
                  <c:v>40179</c:v>
                </c:pt>
                <c:pt idx="193">
                  <c:v>40210</c:v>
                </c:pt>
                <c:pt idx="194">
                  <c:v>40238</c:v>
                </c:pt>
                <c:pt idx="195">
                  <c:v>40269</c:v>
                </c:pt>
                <c:pt idx="196">
                  <c:v>40299</c:v>
                </c:pt>
                <c:pt idx="197">
                  <c:v>40330</c:v>
                </c:pt>
                <c:pt idx="198">
                  <c:v>40360</c:v>
                </c:pt>
                <c:pt idx="199">
                  <c:v>40391</c:v>
                </c:pt>
                <c:pt idx="200">
                  <c:v>40422</c:v>
                </c:pt>
                <c:pt idx="201">
                  <c:v>40452</c:v>
                </c:pt>
                <c:pt idx="202">
                  <c:v>40483</c:v>
                </c:pt>
                <c:pt idx="203">
                  <c:v>40513</c:v>
                </c:pt>
                <c:pt idx="204">
                  <c:v>40544</c:v>
                </c:pt>
                <c:pt idx="205">
                  <c:v>40575</c:v>
                </c:pt>
                <c:pt idx="206">
                  <c:v>40603</c:v>
                </c:pt>
                <c:pt idx="207">
                  <c:v>40634</c:v>
                </c:pt>
                <c:pt idx="208">
                  <c:v>40664</c:v>
                </c:pt>
                <c:pt idx="209">
                  <c:v>40695</c:v>
                </c:pt>
                <c:pt idx="210">
                  <c:v>40725</c:v>
                </c:pt>
                <c:pt idx="211">
                  <c:v>40756</c:v>
                </c:pt>
                <c:pt idx="212">
                  <c:v>40787</c:v>
                </c:pt>
                <c:pt idx="213">
                  <c:v>40817</c:v>
                </c:pt>
                <c:pt idx="214">
                  <c:v>40848</c:v>
                </c:pt>
                <c:pt idx="215">
                  <c:v>40878</c:v>
                </c:pt>
                <c:pt idx="216">
                  <c:v>40909</c:v>
                </c:pt>
                <c:pt idx="217">
                  <c:v>40940</c:v>
                </c:pt>
                <c:pt idx="218">
                  <c:v>40969</c:v>
                </c:pt>
                <c:pt idx="219">
                  <c:v>41000</c:v>
                </c:pt>
                <c:pt idx="220">
                  <c:v>41030</c:v>
                </c:pt>
                <c:pt idx="221">
                  <c:v>41061</c:v>
                </c:pt>
                <c:pt idx="222">
                  <c:v>41091</c:v>
                </c:pt>
                <c:pt idx="223">
                  <c:v>41122</c:v>
                </c:pt>
                <c:pt idx="224">
                  <c:v>41153</c:v>
                </c:pt>
                <c:pt idx="225">
                  <c:v>41183</c:v>
                </c:pt>
                <c:pt idx="226">
                  <c:v>41214</c:v>
                </c:pt>
                <c:pt idx="227">
                  <c:v>41244</c:v>
                </c:pt>
                <c:pt idx="228">
                  <c:v>41275</c:v>
                </c:pt>
                <c:pt idx="229">
                  <c:v>41306</c:v>
                </c:pt>
                <c:pt idx="230">
                  <c:v>41334</c:v>
                </c:pt>
                <c:pt idx="231">
                  <c:v>41365</c:v>
                </c:pt>
                <c:pt idx="232">
                  <c:v>41395</c:v>
                </c:pt>
                <c:pt idx="233">
                  <c:v>41426</c:v>
                </c:pt>
                <c:pt idx="234">
                  <c:v>41456</c:v>
                </c:pt>
                <c:pt idx="235">
                  <c:v>41487</c:v>
                </c:pt>
                <c:pt idx="236">
                  <c:v>41518</c:v>
                </c:pt>
                <c:pt idx="237">
                  <c:v>41548</c:v>
                </c:pt>
                <c:pt idx="238">
                  <c:v>41579</c:v>
                </c:pt>
                <c:pt idx="239">
                  <c:v>41609</c:v>
                </c:pt>
                <c:pt idx="240">
                  <c:v>41640</c:v>
                </c:pt>
                <c:pt idx="241">
                  <c:v>41671</c:v>
                </c:pt>
                <c:pt idx="242">
                  <c:v>41699</c:v>
                </c:pt>
                <c:pt idx="243">
                  <c:v>41730</c:v>
                </c:pt>
                <c:pt idx="244">
                  <c:v>41760</c:v>
                </c:pt>
                <c:pt idx="245">
                  <c:v>41791</c:v>
                </c:pt>
                <c:pt idx="246">
                  <c:v>41821</c:v>
                </c:pt>
                <c:pt idx="247">
                  <c:v>41852</c:v>
                </c:pt>
                <c:pt idx="248">
                  <c:v>41883</c:v>
                </c:pt>
                <c:pt idx="249">
                  <c:v>41913</c:v>
                </c:pt>
                <c:pt idx="250">
                  <c:v>41944</c:v>
                </c:pt>
                <c:pt idx="251">
                  <c:v>41974</c:v>
                </c:pt>
                <c:pt idx="252">
                  <c:v>42005</c:v>
                </c:pt>
                <c:pt idx="253">
                  <c:v>42036</c:v>
                </c:pt>
                <c:pt idx="254">
                  <c:v>42064</c:v>
                </c:pt>
                <c:pt idx="255">
                  <c:v>42095</c:v>
                </c:pt>
                <c:pt idx="256">
                  <c:v>42125</c:v>
                </c:pt>
                <c:pt idx="257">
                  <c:v>42156</c:v>
                </c:pt>
                <c:pt idx="258">
                  <c:v>42186</c:v>
                </c:pt>
                <c:pt idx="259">
                  <c:v>42217</c:v>
                </c:pt>
                <c:pt idx="260">
                  <c:v>42248</c:v>
                </c:pt>
                <c:pt idx="261">
                  <c:v>42278</c:v>
                </c:pt>
                <c:pt idx="262">
                  <c:v>42309</c:v>
                </c:pt>
                <c:pt idx="263">
                  <c:v>42339</c:v>
                </c:pt>
                <c:pt idx="264">
                  <c:v>42370</c:v>
                </c:pt>
                <c:pt idx="265">
                  <c:v>42401</c:v>
                </c:pt>
                <c:pt idx="266">
                  <c:v>42430</c:v>
                </c:pt>
                <c:pt idx="267">
                  <c:v>42461</c:v>
                </c:pt>
                <c:pt idx="268">
                  <c:v>42491</c:v>
                </c:pt>
                <c:pt idx="269">
                  <c:v>42522</c:v>
                </c:pt>
              </c:numCache>
            </c:numRef>
          </c:cat>
          <c:val>
            <c:numRef>
              <c:f>Regression!$AE$50:$AE$319</c:f>
              <c:numCache>
                <c:formatCode>General</c:formatCode>
                <c:ptCount val="270"/>
                <c:pt idx="0">
                  <c:v>35.547922555555573</c:v>
                </c:pt>
                <c:pt idx="1">
                  <c:v>36.96132922222224</c:v>
                </c:pt>
                <c:pt idx="2">
                  <c:v>37.383627555555563</c:v>
                </c:pt>
                <c:pt idx="3">
                  <c:v>39.934654222222235</c:v>
                </c:pt>
                <c:pt idx="4">
                  <c:v>40.822342555555579</c:v>
                </c:pt>
                <c:pt idx="5">
                  <c:v>41.965708111111127</c:v>
                </c:pt>
                <c:pt idx="6">
                  <c:v>42.664367666666671</c:v>
                </c:pt>
                <c:pt idx="7">
                  <c:v>41.253833777777793</c:v>
                </c:pt>
                <c:pt idx="8">
                  <c:v>39.843874444444459</c:v>
                </c:pt>
                <c:pt idx="9">
                  <c:v>36.232792777777782</c:v>
                </c:pt>
                <c:pt idx="10">
                  <c:v>34.566581666666671</c:v>
                </c:pt>
                <c:pt idx="11">
                  <c:v>30.736594333333343</c:v>
                </c:pt>
                <c:pt idx="12">
                  <c:v>26.538891444444456</c:v>
                </c:pt>
                <c:pt idx="13">
                  <c:v>25.111120888888898</c:v>
                </c:pt>
                <c:pt idx="14">
                  <c:v>20.797357777777783</c:v>
                </c:pt>
                <c:pt idx="15">
                  <c:v>19.19377322222223</c:v>
                </c:pt>
                <c:pt idx="16">
                  <c:v>18.495688222222228</c:v>
                </c:pt>
                <c:pt idx="17">
                  <c:v>20.890435777777775</c:v>
                </c:pt>
                <c:pt idx="18">
                  <c:v>23.987290222222217</c:v>
                </c:pt>
                <c:pt idx="19">
                  <c:v>23.906852444444443</c:v>
                </c:pt>
                <c:pt idx="20">
                  <c:v>28.256237999999996</c:v>
                </c:pt>
                <c:pt idx="21">
                  <c:v>31.231861222222214</c:v>
                </c:pt>
                <c:pt idx="22">
                  <c:v>36.112710666666658</c:v>
                </c:pt>
                <c:pt idx="23">
                  <c:v>42.950496333333327</c:v>
                </c:pt>
                <c:pt idx="24">
                  <c:v>46.701769555555551</c:v>
                </c:pt>
                <c:pt idx="25">
                  <c:v>50.338706222222221</c:v>
                </c:pt>
                <c:pt idx="26">
                  <c:v>55.075342222222226</c:v>
                </c:pt>
                <c:pt idx="27">
                  <c:v>59.910227222222225</c:v>
                </c:pt>
                <c:pt idx="28">
                  <c:v>66.053949777777774</c:v>
                </c:pt>
                <c:pt idx="29">
                  <c:v>72.851516555555563</c:v>
                </c:pt>
                <c:pt idx="30">
                  <c:v>78.809657666666652</c:v>
                </c:pt>
                <c:pt idx="31">
                  <c:v>83.733024222222241</c:v>
                </c:pt>
                <c:pt idx="32">
                  <c:v>89.124079000000009</c:v>
                </c:pt>
                <c:pt idx="33">
                  <c:v>92.829962333333327</c:v>
                </c:pt>
                <c:pt idx="34">
                  <c:v>97.855025222222238</c:v>
                </c:pt>
                <c:pt idx="35">
                  <c:v>99.915955999999994</c:v>
                </c:pt>
                <c:pt idx="36">
                  <c:v>102.50777611111113</c:v>
                </c:pt>
                <c:pt idx="37">
                  <c:v>105.9378727777778</c:v>
                </c:pt>
                <c:pt idx="38">
                  <c:v>107.79656000000003</c:v>
                </c:pt>
                <c:pt idx="39">
                  <c:v>106.97207277777781</c:v>
                </c:pt>
                <c:pt idx="40">
                  <c:v>107.49894022222227</c:v>
                </c:pt>
                <c:pt idx="41">
                  <c:v>107.85171733333338</c:v>
                </c:pt>
                <c:pt idx="42">
                  <c:v>111.84200566666669</c:v>
                </c:pt>
                <c:pt idx="43">
                  <c:v>116.49820388888891</c:v>
                </c:pt>
                <c:pt idx="44">
                  <c:v>120.98261000000005</c:v>
                </c:pt>
                <c:pt idx="45">
                  <c:v>125.89735822222227</c:v>
                </c:pt>
                <c:pt idx="46">
                  <c:v>129.99796122222227</c:v>
                </c:pt>
                <c:pt idx="47">
                  <c:v>135.07703233333339</c:v>
                </c:pt>
                <c:pt idx="48">
                  <c:v>145.26734966666669</c:v>
                </c:pt>
                <c:pt idx="49">
                  <c:v>151.3553403333334</c:v>
                </c:pt>
                <c:pt idx="50">
                  <c:v>155.76218144444451</c:v>
                </c:pt>
                <c:pt idx="51">
                  <c:v>163.6824297777778</c:v>
                </c:pt>
                <c:pt idx="52">
                  <c:v>171.15165200000004</c:v>
                </c:pt>
                <c:pt idx="53">
                  <c:v>179.46547088888892</c:v>
                </c:pt>
                <c:pt idx="54">
                  <c:v>188.47680022222224</c:v>
                </c:pt>
                <c:pt idx="55">
                  <c:v>196.57228800000001</c:v>
                </c:pt>
                <c:pt idx="56">
                  <c:v>206.62701022222225</c:v>
                </c:pt>
                <c:pt idx="57">
                  <c:v>220.27615200000002</c:v>
                </c:pt>
                <c:pt idx="58">
                  <c:v>230.8755528888889</c:v>
                </c:pt>
                <c:pt idx="59">
                  <c:v>239.32439233333332</c:v>
                </c:pt>
                <c:pt idx="60">
                  <c:v>245.62496855555557</c:v>
                </c:pt>
                <c:pt idx="61">
                  <c:v>249.42335533333335</c:v>
                </c:pt>
                <c:pt idx="62">
                  <c:v>253.89052477777776</c:v>
                </c:pt>
                <c:pt idx="63">
                  <c:v>260.44965100000002</c:v>
                </c:pt>
                <c:pt idx="64">
                  <c:v>267.74076099999996</c:v>
                </c:pt>
                <c:pt idx="65">
                  <c:v>277.13187155555556</c:v>
                </c:pt>
                <c:pt idx="66">
                  <c:v>278.93367777777775</c:v>
                </c:pt>
                <c:pt idx="67">
                  <c:v>283.81165444444446</c:v>
                </c:pt>
                <c:pt idx="68">
                  <c:v>288.42246277777781</c:v>
                </c:pt>
                <c:pt idx="69">
                  <c:v>290.85628011111106</c:v>
                </c:pt>
                <c:pt idx="70">
                  <c:v>294.37198555555563</c:v>
                </c:pt>
                <c:pt idx="71">
                  <c:v>295.21485855555551</c:v>
                </c:pt>
                <c:pt idx="72">
                  <c:v>297.35507800000005</c:v>
                </c:pt>
                <c:pt idx="73">
                  <c:v>300.23072855555557</c:v>
                </c:pt>
                <c:pt idx="74">
                  <c:v>300.66796533333337</c:v>
                </c:pt>
                <c:pt idx="75">
                  <c:v>301.39420355555563</c:v>
                </c:pt>
                <c:pt idx="76">
                  <c:v>303.52867744444444</c:v>
                </c:pt>
                <c:pt idx="77">
                  <c:v>307.38337066666674</c:v>
                </c:pt>
                <c:pt idx="78">
                  <c:v>312.66296166666666</c:v>
                </c:pt>
                <c:pt idx="79">
                  <c:v>319.72424944444452</c:v>
                </c:pt>
                <c:pt idx="80">
                  <c:v>326.45574233333343</c:v>
                </c:pt>
                <c:pt idx="81">
                  <c:v>329.56983344444455</c:v>
                </c:pt>
                <c:pt idx="82">
                  <c:v>332.39951955555563</c:v>
                </c:pt>
                <c:pt idx="83">
                  <c:v>330.76548355555565</c:v>
                </c:pt>
                <c:pt idx="84">
                  <c:v>334.01057333333341</c:v>
                </c:pt>
                <c:pt idx="85">
                  <c:v>335.30332333333331</c:v>
                </c:pt>
                <c:pt idx="86">
                  <c:v>339.27809866666672</c:v>
                </c:pt>
                <c:pt idx="87">
                  <c:v>342.64729244444447</c:v>
                </c:pt>
                <c:pt idx="88">
                  <c:v>344.07506300000006</c:v>
                </c:pt>
                <c:pt idx="89">
                  <c:v>350.46641900000009</c:v>
                </c:pt>
                <c:pt idx="90">
                  <c:v>353.98269900000008</c:v>
                </c:pt>
                <c:pt idx="91">
                  <c:v>356.88133177777786</c:v>
                </c:pt>
                <c:pt idx="92">
                  <c:v>356.89512111111122</c:v>
                </c:pt>
                <c:pt idx="93">
                  <c:v>353.11741833333338</c:v>
                </c:pt>
                <c:pt idx="94">
                  <c:v>354.40729555555561</c:v>
                </c:pt>
                <c:pt idx="95">
                  <c:v>354.42797955555557</c:v>
                </c:pt>
                <c:pt idx="96">
                  <c:v>359.48119566666668</c:v>
                </c:pt>
                <c:pt idx="97">
                  <c:v>360.27408233333335</c:v>
                </c:pt>
                <c:pt idx="98">
                  <c:v>361.70587477777781</c:v>
                </c:pt>
                <c:pt idx="99">
                  <c:v>366.67290755555558</c:v>
                </c:pt>
                <c:pt idx="100">
                  <c:v>373.13780666666668</c:v>
                </c:pt>
                <c:pt idx="101">
                  <c:v>382.07731655555557</c:v>
                </c:pt>
                <c:pt idx="102">
                  <c:v>388.98921988888895</c:v>
                </c:pt>
                <c:pt idx="103">
                  <c:v>397.25132877777781</c:v>
                </c:pt>
                <c:pt idx="104">
                  <c:v>405.30487399999998</c:v>
                </c:pt>
                <c:pt idx="105">
                  <c:v>410.69707788888888</c:v>
                </c:pt>
                <c:pt idx="106">
                  <c:v>416.33002055555556</c:v>
                </c:pt>
                <c:pt idx="107">
                  <c:v>420.0238382222222</c:v>
                </c:pt>
                <c:pt idx="108">
                  <c:v>426.14802588888892</c:v>
                </c:pt>
                <c:pt idx="109">
                  <c:v>428.96909366666665</c:v>
                </c:pt>
                <c:pt idx="110">
                  <c:v>436.30904088888889</c:v>
                </c:pt>
                <c:pt idx="111">
                  <c:v>447.93517255555554</c:v>
                </c:pt>
                <c:pt idx="112">
                  <c:v>459.61473788888884</c:v>
                </c:pt>
                <c:pt idx="113">
                  <c:v>471.89873566666665</c:v>
                </c:pt>
                <c:pt idx="114">
                  <c:v>480.6836901111111</c:v>
                </c:pt>
                <c:pt idx="115">
                  <c:v>491.03660666666667</c:v>
                </c:pt>
                <c:pt idx="116">
                  <c:v>500.46333966666657</c:v>
                </c:pt>
                <c:pt idx="117">
                  <c:v>505.44531088888874</c:v>
                </c:pt>
                <c:pt idx="118">
                  <c:v>511.94813066666666</c:v>
                </c:pt>
                <c:pt idx="119">
                  <c:v>516.14238622222229</c:v>
                </c:pt>
                <c:pt idx="120">
                  <c:v>524.7182024444445</c:v>
                </c:pt>
                <c:pt idx="121">
                  <c:v>531.03256800000008</c:v>
                </c:pt>
                <c:pt idx="122">
                  <c:v>539.52449911111103</c:v>
                </c:pt>
                <c:pt idx="123">
                  <c:v>552.08830544444436</c:v>
                </c:pt>
                <c:pt idx="124">
                  <c:v>564.45331555555549</c:v>
                </c:pt>
                <c:pt idx="125">
                  <c:v>559.73340722222213</c:v>
                </c:pt>
                <c:pt idx="126">
                  <c:v>554.501860111111</c:v>
                </c:pt>
                <c:pt idx="127">
                  <c:v>553.74179455555554</c:v>
                </c:pt>
                <c:pt idx="128">
                  <c:v>549.81219622222216</c:v>
                </c:pt>
                <c:pt idx="129">
                  <c:v>544.74699177777768</c:v>
                </c:pt>
                <c:pt idx="130">
                  <c:v>535.0511597777778</c:v>
                </c:pt>
                <c:pt idx="131">
                  <c:v>525.11200644444443</c:v>
                </c:pt>
                <c:pt idx="132">
                  <c:v>517.53941051851859</c:v>
                </c:pt>
                <c:pt idx="133">
                  <c:v>516.69769599999995</c:v>
                </c:pt>
                <c:pt idx="134">
                  <c:v>518.89993988888887</c:v>
                </c:pt>
                <c:pt idx="135">
                  <c:v>526.93273662962963</c:v>
                </c:pt>
                <c:pt idx="136">
                  <c:v>534.5604347777778</c:v>
                </c:pt>
                <c:pt idx="137">
                  <c:v>547.63718088888891</c:v>
                </c:pt>
                <c:pt idx="138">
                  <c:v>556.60698503703702</c:v>
                </c:pt>
                <c:pt idx="139">
                  <c:v>569.80492466666669</c:v>
                </c:pt>
                <c:pt idx="140">
                  <c:v>580.19786522222228</c:v>
                </c:pt>
                <c:pt idx="141">
                  <c:v>589.31872092592596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9953536"/>
        <c:axId val="319959424"/>
      </c:lineChart>
      <c:lineChart>
        <c:grouping val="standard"/>
        <c:varyColors val="0"/>
        <c:ser>
          <c:idx val="0"/>
          <c:order val="0"/>
          <c:tx>
            <c:strRef>
              <c:f>Regression!$AC$1</c:f>
              <c:strCache>
                <c:ptCount val="1"/>
                <c:pt idx="0">
                  <c:v>Purchase 18M</c:v>
                </c:pt>
              </c:strCache>
            </c:strRef>
          </c:tx>
          <c:marker>
            <c:symbol val="none"/>
          </c:marker>
          <c:cat>
            <c:numRef>
              <c:f>Regression!$AB$50:$AB$319</c:f>
              <c:numCache>
                <c:formatCode>m/d/yyyy</c:formatCode>
                <c:ptCount val="270"/>
                <c:pt idx="0">
                  <c:v>34335</c:v>
                </c:pt>
                <c:pt idx="1">
                  <c:v>34366</c:v>
                </c:pt>
                <c:pt idx="2">
                  <c:v>34394</c:v>
                </c:pt>
                <c:pt idx="3">
                  <c:v>34425</c:v>
                </c:pt>
                <c:pt idx="4">
                  <c:v>34455</c:v>
                </c:pt>
                <c:pt idx="5">
                  <c:v>34486</c:v>
                </c:pt>
                <c:pt idx="6">
                  <c:v>34516</c:v>
                </c:pt>
                <c:pt idx="7">
                  <c:v>34547</c:v>
                </c:pt>
                <c:pt idx="8">
                  <c:v>34578</c:v>
                </c:pt>
                <c:pt idx="9">
                  <c:v>34608</c:v>
                </c:pt>
                <c:pt idx="10">
                  <c:v>34639</c:v>
                </c:pt>
                <c:pt idx="11">
                  <c:v>34669</c:v>
                </c:pt>
                <c:pt idx="12">
                  <c:v>34700</c:v>
                </c:pt>
                <c:pt idx="13">
                  <c:v>34731</c:v>
                </c:pt>
                <c:pt idx="14">
                  <c:v>34759</c:v>
                </c:pt>
                <c:pt idx="15">
                  <c:v>34790</c:v>
                </c:pt>
                <c:pt idx="16">
                  <c:v>34820</c:v>
                </c:pt>
                <c:pt idx="17">
                  <c:v>34851</c:v>
                </c:pt>
                <c:pt idx="18">
                  <c:v>34881</c:v>
                </c:pt>
                <c:pt idx="19">
                  <c:v>34912</c:v>
                </c:pt>
                <c:pt idx="20">
                  <c:v>34943</c:v>
                </c:pt>
                <c:pt idx="21">
                  <c:v>34973</c:v>
                </c:pt>
                <c:pt idx="22">
                  <c:v>35004</c:v>
                </c:pt>
                <c:pt idx="23">
                  <c:v>35034</c:v>
                </c:pt>
                <c:pt idx="24">
                  <c:v>35065</c:v>
                </c:pt>
                <c:pt idx="25">
                  <c:v>35096</c:v>
                </c:pt>
                <c:pt idx="26">
                  <c:v>35125</c:v>
                </c:pt>
                <c:pt idx="27">
                  <c:v>35156</c:v>
                </c:pt>
                <c:pt idx="28">
                  <c:v>35186</c:v>
                </c:pt>
                <c:pt idx="29">
                  <c:v>35217</c:v>
                </c:pt>
                <c:pt idx="30">
                  <c:v>35247</c:v>
                </c:pt>
                <c:pt idx="31">
                  <c:v>35278</c:v>
                </c:pt>
                <c:pt idx="32">
                  <c:v>35309</c:v>
                </c:pt>
                <c:pt idx="33">
                  <c:v>35339</c:v>
                </c:pt>
                <c:pt idx="34">
                  <c:v>35370</c:v>
                </c:pt>
                <c:pt idx="35">
                  <c:v>35400</c:v>
                </c:pt>
                <c:pt idx="36">
                  <c:v>35431</c:v>
                </c:pt>
                <c:pt idx="37">
                  <c:v>35462</c:v>
                </c:pt>
                <c:pt idx="38">
                  <c:v>35490</c:v>
                </c:pt>
                <c:pt idx="39">
                  <c:v>35521</c:v>
                </c:pt>
                <c:pt idx="40">
                  <c:v>35551</c:v>
                </c:pt>
                <c:pt idx="41">
                  <c:v>35582</c:v>
                </c:pt>
                <c:pt idx="42">
                  <c:v>35612</c:v>
                </c:pt>
                <c:pt idx="43">
                  <c:v>35643</c:v>
                </c:pt>
                <c:pt idx="44">
                  <c:v>35674</c:v>
                </c:pt>
                <c:pt idx="45">
                  <c:v>35704</c:v>
                </c:pt>
                <c:pt idx="46">
                  <c:v>35735</c:v>
                </c:pt>
                <c:pt idx="47">
                  <c:v>35765</c:v>
                </c:pt>
                <c:pt idx="48">
                  <c:v>35796</c:v>
                </c:pt>
                <c:pt idx="49">
                  <c:v>35827</c:v>
                </c:pt>
                <c:pt idx="50">
                  <c:v>35855</c:v>
                </c:pt>
                <c:pt idx="51">
                  <c:v>35886</c:v>
                </c:pt>
                <c:pt idx="52">
                  <c:v>35916</c:v>
                </c:pt>
                <c:pt idx="53">
                  <c:v>35947</c:v>
                </c:pt>
                <c:pt idx="54">
                  <c:v>35977</c:v>
                </c:pt>
                <c:pt idx="55">
                  <c:v>36008</c:v>
                </c:pt>
                <c:pt idx="56">
                  <c:v>36039</c:v>
                </c:pt>
                <c:pt idx="57">
                  <c:v>36069</c:v>
                </c:pt>
                <c:pt idx="58">
                  <c:v>36100</c:v>
                </c:pt>
                <c:pt idx="59">
                  <c:v>36130</c:v>
                </c:pt>
                <c:pt idx="60">
                  <c:v>36161</c:v>
                </c:pt>
                <c:pt idx="61">
                  <c:v>36192</c:v>
                </c:pt>
                <c:pt idx="62">
                  <c:v>36220</c:v>
                </c:pt>
                <c:pt idx="63">
                  <c:v>36251</c:v>
                </c:pt>
                <c:pt idx="64">
                  <c:v>36281</c:v>
                </c:pt>
                <c:pt idx="65">
                  <c:v>36312</c:v>
                </c:pt>
                <c:pt idx="66">
                  <c:v>36342</c:v>
                </c:pt>
                <c:pt idx="67">
                  <c:v>36373</c:v>
                </c:pt>
                <c:pt idx="68">
                  <c:v>36404</c:v>
                </c:pt>
                <c:pt idx="69">
                  <c:v>36434</c:v>
                </c:pt>
                <c:pt idx="70">
                  <c:v>36465</c:v>
                </c:pt>
                <c:pt idx="71">
                  <c:v>36495</c:v>
                </c:pt>
                <c:pt idx="72">
                  <c:v>36526</c:v>
                </c:pt>
                <c:pt idx="73">
                  <c:v>36557</c:v>
                </c:pt>
                <c:pt idx="74">
                  <c:v>36586</c:v>
                </c:pt>
                <c:pt idx="75">
                  <c:v>36617</c:v>
                </c:pt>
                <c:pt idx="76">
                  <c:v>36647</c:v>
                </c:pt>
                <c:pt idx="77">
                  <c:v>36678</c:v>
                </c:pt>
                <c:pt idx="78">
                  <c:v>36708</c:v>
                </c:pt>
                <c:pt idx="79">
                  <c:v>36739</c:v>
                </c:pt>
                <c:pt idx="80">
                  <c:v>36770</c:v>
                </c:pt>
                <c:pt idx="81">
                  <c:v>36800</c:v>
                </c:pt>
                <c:pt idx="82">
                  <c:v>36831</c:v>
                </c:pt>
                <c:pt idx="83">
                  <c:v>36861</c:v>
                </c:pt>
                <c:pt idx="84">
                  <c:v>36892</c:v>
                </c:pt>
                <c:pt idx="85">
                  <c:v>36923</c:v>
                </c:pt>
                <c:pt idx="86">
                  <c:v>36951</c:v>
                </c:pt>
                <c:pt idx="87">
                  <c:v>36982</c:v>
                </c:pt>
                <c:pt idx="88">
                  <c:v>37012</c:v>
                </c:pt>
                <c:pt idx="89">
                  <c:v>37043</c:v>
                </c:pt>
                <c:pt idx="90">
                  <c:v>37073</c:v>
                </c:pt>
                <c:pt idx="91">
                  <c:v>37104</c:v>
                </c:pt>
                <c:pt idx="92">
                  <c:v>37135</c:v>
                </c:pt>
                <c:pt idx="93">
                  <c:v>37165</c:v>
                </c:pt>
                <c:pt idx="94">
                  <c:v>37196</c:v>
                </c:pt>
                <c:pt idx="95">
                  <c:v>37226</c:v>
                </c:pt>
                <c:pt idx="96">
                  <c:v>37257</c:v>
                </c:pt>
                <c:pt idx="97">
                  <c:v>37288</c:v>
                </c:pt>
                <c:pt idx="98">
                  <c:v>37316</c:v>
                </c:pt>
                <c:pt idx="99">
                  <c:v>37347</c:v>
                </c:pt>
                <c:pt idx="100">
                  <c:v>37377</c:v>
                </c:pt>
                <c:pt idx="101">
                  <c:v>37408</c:v>
                </c:pt>
                <c:pt idx="102">
                  <c:v>37438</c:v>
                </c:pt>
                <c:pt idx="103">
                  <c:v>37469</c:v>
                </c:pt>
                <c:pt idx="104">
                  <c:v>37500</c:v>
                </c:pt>
                <c:pt idx="105">
                  <c:v>37530</c:v>
                </c:pt>
                <c:pt idx="106">
                  <c:v>37561</c:v>
                </c:pt>
                <c:pt idx="107">
                  <c:v>37591</c:v>
                </c:pt>
                <c:pt idx="108">
                  <c:v>37622</c:v>
                </c:pt>
                <c:pt idx="109">
                  <c:v>37653</c:v>
                </c:pt>
                <c:pt idx="110">
                  <c:v>37681</c:v>
                </c:pt>
                <c:pt idx="111">
                  <c:v>37712</c:v>
                </c:pt>
                <c:pt idx="112">
                  <c:v>37742</c:v>
                </c:pt>
                <c:pt idx="113">
                  <c:v>37773</c:v>
                </c:pt>
                <c:pt idx="114">
                  <c:v>37803</c:v>
                </c:pt>
                <c:pt idx="115">
                  <c:v>37834</c:v>
                </c:pt>
                <c:pt idx="116">
                  <c:v>37865</c:v>
                </c:pt>
                <c:pt idx="117">
                  <c:v>37895</c:v>
                </c:pt>
                <c:pt idx="118">
                  <c:v>37926</c:v>
                </c:pt>
                <c:pt idx="119">
                  <c:v>37956</c:v>
                </c:pt>
                <c:pt idx="120">
                  <c:v>37987</c:v>
                </c:pt>
                <c:pt idx="121">
                  <c:v>38018</c:v>
                </c:pt>
                <c:pt idx="122">
                  <c:v>38047</c:v>
                </c:pt>
                <c:pt idx="123">
                  <c:v>38078</c:v>
                </c:pt>
                <c:pt idx="124">
                  <c:v>38108</c:v>
                </c:pt>
                <c:pt idx="125">
                  <c:v>38139</c:v>
                </c:pt>
                <c:pt idx="126">
                  <c:v>38169</c:v>
                </c:pt>
                <c:pt idx="127">
                  <c:v>38200</c:v>
                </c:pt>
                <c:pt idx="128">
                  <c:v>38231</c:v>
                </c:pt>
                <c:pt idx="129">
                  <c:v>38261</c:v>
                </c:pt>
                <c:pt idx="130">
                  <c:v>38292</c:v>
                </c:pt>
                <c:pt idx="131">
                  <c:v>38322</c:v>
                </c:pt>
                <c:pt idx="132">
                  <c:v>38353</c:v>
                </c:pt>
                <c:pt idx="133">
                  <c:v>38384</c:v>
                </c:pt>
                <c:pt idx="134">
                  <c:v>38412</c:v>
                </c:pt>
                <c:pt idx="135">
                  <c:v>38443</c:v>
                </c:pt>
                <c:pt idx="136">
                  <c:v>38473</c:v>
                </c:pt>
                <c:pt idx="137">
                  <c:v>38504</c:v>
                </c:pt>
                <c:pt idx="138">
                  <c:v>38534</c:v>
                </c:pt>
                <c:pt idx="139">
                  <c:v>38565</c:v>
                </c:pt>
                <c:pt idx="140">
                  <c:v>38596</c:v>
                </c:pt>
                <c:pt idx="141">
                  <c:v>38626</c:v>
                </c:pt>
                <c:pt idx="142">
                  <c:v>38657</c:v>
                </c:pt>
                <c:pt idx="143">
                  <c:v>38687</c:v>
                </c:pt>
                <c:pt idx="144">
                  <c:v>38718</c:v>
                </c:pt>
                <c:pt idx="145">
                  <c:v>38749</c:v>
                </c:pt>
                <c:pt idx="146">
                  <c:v>38777</c:v>
                </c:pt>
                <c:pt idx="147">
                  <c:v>38808</c:v>
                </c:pt>
                <c:pt idx="148">
                  <c:v>38838</c:v>
                </c:pt>
                <c:pt idx="149">
                  <c:v>38869</c:v>
                </c:pt>
                <c:pt idx="150">
                  <c:v>38899</c:v>
                </c:pt>
                <c:pt idx="151">
                  <c:v>38930</c:v>
                </c:pt>
                <c:pt idx="152">
                  <c:v>38961</c:v>
                </c:pt>
                <c:pt idx="153">
                  <c:v>38991</c:v>
                </c:pt>
                <c:pt idx="154">
                  <c:v>39022</c:v>
                </c:pt>
                <c:pt idx="155">
                  <c:v>39052</c:v>
                </c:pt>
                <c:pt idx="156">
                  <c:v>39083</c:v>
                </c:pt>
                <c:pt idx="157">
                  <c:v>39114</c:v>
                </c:pt>
                <c:pt idx="158">
                  <c:v>39142</c:v>
                </c:pt>
                <c:pt idx="159">
                  <c:v>39173</c:v>
                </c:pt>
                <c:pt idx="160">
                  <c:v>39203</c:v>
                </c:pt>
                <c:pt idx="161">
                  <c:v>39234</c:v>
                </c:pt>
                <c:pt idx="162">
                  <c:v>39264</c:v>
                </c:pt>
                <c:pt idx="163">
                  <c:v>39295</c:v>
                </c:pt>
                <c:pt idx="164">
                  <c:v>39326</c:v>
                </c:pt>
                <c:pt idx="165">
                  <c:v>39356</c:v>
                </c:pt>
                <c:pt idx="166">
                  <c:v>39387</c:v>
                </c:pt>
                <c:pt idx="167">
                  <c:v>39417</c:v>
                </c:pt>
                <c:pt idx="168">
                  <c:v>39448</c:v>
                </c:pt>
                <c:pt idx="169">
                  <c:v>39479</c:v>
                </c:pt>
                <c:pt idx="170">
                  <c:v>39508</c:v>
                </c:pt>
                <c:pt idx="171">
                  <c:v>39539</c:v>
                </c:pt>
                <c:pt idx="172">
                  <c:v>39569</c:v>
                </c:pt>
                <c:pt idx="173">
                  <c:v>39600</c:v>
                </c:pt>
                <c:pt idx="174">
                  <c:v>39630</c:v>
                </c:pt>
                <c:pt idx="175">
                  <c:v>39661</c:v>
                </c:pt>
                <c:pt idx="176">
                  <c:v>39692</c:v>
                </c:pt>
                <c:pt idx="177">
                  <c:v>39722</c:v>
                </c:pt>
                <c:pt idx="178">
                  <c:v>39753</c:v>
                </c:pt>
                <c:pt idx="179">
                  <c:v>39783</c:v>
                </c:pt>
                <c:pt idx="180">
                  <c:v>39814</c:v>
                </c:pt>
                <c:pt idx="181">
                  <c:v>39845</c:v>
                </c:pt>
                <c:pt idx="182">
                  <c:v>39873</c:v>
                </c:pt>
                <c:pt idx="183">
                  <c:v>39904</c:v>
                </c:pt>
                <c:pt idx="184">
                  <c:v>39934</c:v>
                </c:pt>
                <c:pt idx="185">
                  <c:v>39965</c:v>
                </c:pt>
                <c:pt idx="186">
                  <c:v>39995</c:v>
                </c:pt>
                <c:pt idx="187">
                  <c:v>40026</c:v>
                </c:pt>
                <c:pt idx="188">
                  <c:v>40057</c:v>
                </c:pt>
                <c:pt idx="189">
                  <c:v>40087</c:v>
                </c:pt>
                <c:pt idx="190">
                  <c:v>40118</c:v>
                </c:pt>
                <c:pt idx="191">
                  <c:v>40148</c:v>
                </c:pt>
                <c:pt idx="192">
                  <c:v>40179</c:v>
                </c:pt>
                <c:pt idx="193">
                  <c:v>40210</c:v>
                </c:pt>
                <c:pt idx="194">
                  <c:v>40238</c:v>
                </c:pt>
                <c:pt idx="195">
                  <c:v>40269</c:v>
                </c:pt>
                <c:pt idx="196">
                  <c:v>40299</c:v>
                </c:pt>
                <c:pt idx="197">
                  <c:v>40330</c:v>
                </c:pt>
                <c:pt idx="198">
                  <c:v>40360</c:v>
                </c:pt>
                <c:pt idx="199">
                  <c:v>40391</c:v>
                </c:pt>
                <c:pt idx="200">
                  <c:v>40422</c:v>
                </c:pt>
                <c:pt idx="201">
                  <c:v>40452</c:v>
                </c:pt>
                <c:pt idx="202">
                  <c:v>40483</c:v>
                </c:pt>
                <c:pt idx="203">
                  <c:v>40513</c:v>
                </c:pt>
                <c:pt idx="204">
                  <c:v>40544</c:v>
                </c:pt>
                <c:pt idx="205">
                  <c:v>40575</c:v>
                </c:pt>
                <c:pt idx="206">
                  <c:v>40603</c:v>
                </c:pt>
                <c:pt idx="207">
                  <c:v>40634</c:v>
                </c:pt>
                <c:pt idx="208">
                  <c:v>40664</c:v>
                </c:pt>
                <c:pt idx="209">
                  <c:v>40695</c:v>
                </c:pt>
                <c:pt idx="210">
                  <c:v>40725</c:v>
                </c:pt>
                <c:pt idx="211">
                  <c:v>40756</c:v>
                </c:pt>
                <c:pt idx="212">
                  <c:v>40787</c:v>
                </c:pt>
                <c:pt idx="213">
                  <c:v>40817</c:v>
                </c:pt>
                <c:pt idx="214">
                  <c:v>40848</c:v>
                </c:pt>
                <c:pt idx="215">
                  <c:v>40878</c:v>
                </c:pt>
                <c:pt idx="216">
                  <c:v>40909</c:v>
                </c:pt>
                <c:pt idx="217">
                  <c:v>40940</c:v>
                </c:pt>
                <c:pt idx="218">
                  <c:v>40969</c:v>
                </c:pt>
                <c:pt idx="219">
                  <c:v>41000</c:v>
                </c:pt>
                <c:pt idx="220">
                  <c:v>41030</c:v>
                </c:pt>
                <c:pt idx="221">
                  <c:v>41061</c:v>
                </c:pt>
                <c:pt idx="222">
                  <c:v>41091</c:v>
                </c:pt>
                <c:pt idx="223">
                  <c:v>41122</c:v>
                </c:pt>
                <c:pt idx="224">
                  <c:v>41153</c:v>
                </c:pt>
                <c:pt idx="225">
                  <c:v>41183</c:v>
                </c:pt>
                <c:pt idx="226">
                  <c:v>41214</c:v>
                </c:pt>
                <c:pt idx="227">
                  <c:v>41244</c:v>
                </c:pt>
                <c:pt idx="228">
                  <c:v>41275</c:v>
                </c:pt>
                <c:pt idx="229">
                  <c:v>41306</c:v>
                </c:pt>
                <c:pt idx="230">
                  <c:v>41334</c:v>
                </c:pt>
                <c:pt idx="231">
                  <c:v>41365</c:v>
                </c:pt>
                <c:pt idx="232">
                  <c:v>41395</c:v>
                </c:pt>
                <c:pt idx="233">
                  <c:v>41426</c:v>
                </c:pt>
                <c:pt idx="234">
                  <c:v>41456</c:v>
                </c:pt>
                <c:pt idx="235">
                  <c:v>41487</c:v>
                </c:pt>
                <c:pt idx="236">
                  <c:v>41518</c:v>
                </c:pt>
                <c:pt idx="237">
                  <c:v>41548</c:v>
                </c:pt>
                <c:pt idx="238">
                  <c:v>41579</c:v>
                </c:pt>
                <c:pt idx="239">
                  <c:v>41609</c:v>
                </c:pt>
                <c:pt idx="240">
                  <c:v>41640</c:v>
                </c:pt>
                <c:pt idx="241">
                  <c:v>41671</c:v>
                </c:pt>
                <c:pt idx="242">
                  <c:v>41699</c:v>
                </c:pt>
                <c:pt idx="243">
                  <c:v>41730</c:v>
                </c:pt>
                <c:pt idx="244">
                  <c:v>41760</c:v>
                </c:pt>
                <c:pt idx="245">
                  <c:v>41791</c:v>
                </c:pt>
                <c:pt idx="246">
                  <c:v>41821</c:v>
                </c:pt>
                <c:pt idx="247">
                  <c:v>41852</c:v>
                </c:pt>
                <c:pt idx="248">
                  <c:v>41883</c:v>
                </c:pt>
                <c:pt idx="249">
                  <c:v>41913</c:v>
                </c:pt>
                <c:pt idx="250">
                  <c:v>41944</c:v>
                </c:pt>
                <c:pt idx="251">
                  <c:v>41974</c:v>
                </c:pt>
                <c:pt idx="252">
                  <c:v>42005</c:v>
                </c:pt>
                <c:pt idx="253">
                  <c:v>42036</c:v>
                </c:pt>
                <c:pt idx="254">
                  <c:v>42064</c:v>
                </c:pt>
                <c:pt idx="255">
                  <c:v>42095</c:v>
                </c:pt>
                <c:pt idx="256">
                  <c:v>42125</c:v>
                </c:pt>
                <c:pt idx="257">
                  <c:v>42156</c:v>
                </c:pt>
                <c:pt idx="258">
                  <c:v>42186</c:v>
                </c:pt>
                <c:pt idx="259">
                  <c:v>42217</c:v>
                </c:pt>
                <c:pt idx="260">
                  <c:v>42248</c:v>
                </c:pt>
                <c:pt idx="261">
                  <c:v>42278</c:v>
                </c:pt>
                <c:pt idx="262">
                  <c:v>42309</c:v>
                </c:pt>
                <c:pt idx="263">
                  <c:v>42339</c:v>
                </c:pt>
                <c:pt idx="264">
                  <c:v>42370</c:v>
                </c:pt>
                <c:pt idx="265">
                  <c:v>42401</c:v>
                </c:pt>
                <c:pt idx="266">
                  <c:v>42430</c:v>
                </c:pt>
                <c:pt idx="267">
                  <c:v>42461</c:v>
                </c:pt>
                <c:pt idx="268">
                  <c:v>42491</c:v>
                </c:pt>
                <c:pt idx="269">
                  <c:v>42522</c:v>
                </c:pt>
              </c:numCache>
            </c:numRef>
          </c:cat>
          <c:val>
            <c:numRef>
              <c:f>Regression!$AC$50:$AC$319</c:f>
              <c:numCache>
                <c:formatCode>General</c:formatCode>
                <c:ptCount val="270"/>
                <c:pt idx="0">
                  <c:v>151.4702777777778</c:v>
                </c:pt>
                <c:pt idx="1">
                  <c:v>152.1536111111111</c:v>
                </c:pt>
                <c:pt idx="2">
                  <c:v>152.35777777777778</c:v>
                </c:pt>
                <c:pt idx="3">
                  <c:v>153.59111111111113</c:v>
                </c:pt>
                <c:pt idx="4">
                  <c:v>154.02027777777778</c:v>
                </c:pt>
                <c:pt idx="5">
                  <c:v>154.57305555555558</c:v>
                </c:pt>
                <c:pt idx="6">
                  <c:v>154.91083333333336</c:v>
                </c:pt>
                <c:pt idx="7">
                  <c:v>154.22888888888892</c:v>
                </c:pt>
                <c:pt idx="8">
                  <c:v>153.54722222222225</c:v>
                </c:pt>
                <c:pt idx="9">
                  <c:v>151.80138888888891</c:v>
                </c:pt>
                <c:pt idx="10">
                  <c:v>150.99583333333334</c:v>
                </c:pt>
                <c:pt idx="11">
                  <c:v>149.14416666666668</c:v>
                </c:pt>
                <c:pt idx="12">
                  <c:v>147.11472222222221</c:v>
                </c:pt>
                <c:pt idx="13">
                  <c:v>146.42444444444448</c:v>
                </c:pt>
                <c:pt idx="14">
                  <c:v>144.3388888888889</c:v>
                </c:pt>
                <c:pt idx="15">
                  <c:v>143.5636111111111</c:v>
                </c:pt>
                <c:pt idx="16">
                  <c:v>143.22611111111112</c:v>
                </c:pt>
                <c:pt idx="17">
                  <c:v>144.38388888888889</c:v>
                </c:pt>
                <c:pt idx="18">
                  <c:v>145.8811111111111</c:v>
                </c:pt>
                <c:pt idx="19">
                  <c:v>145.8422222222222</c:v>
                </c:pt>
                <c:pt idx="20">
                  <c:v>147.94499999999999</c:v>
                </c:pt>
                <c:pt idx="21">
                  <c:v>149.38361111111109</c:v>
                </c:pt>
                <c:pt idx="22">
                  <c:v>151.74333333333334</c:v>
                </c:pt>
                <c:pt idx="23">
                  <c:v>155.04916666666665</c:v>
                </c:pt>
                <c:pt idx="24">
                  <c:v>156.86277777777775</c:v>
                </c:pt>
                <c:pt idx="25">
                  <c:v>158.62111111111108</c:v>
                </c:pt>
                <c:pt idx="26">
                  <c:v>160.9111111111111</c:v>
                </c:pt>
                <c:pt idx="27">
                  <c:v>163.2486111111111</c:v>
                </c:pt>
                <c:pt idx="28">
                  <c:v>166.21888888888887</c:v>
                </c:pt>
                <c:pt idx="29">
                  <c:v>169.50527777777776</c:v>
                </c:pt>
                <c:pt idx="30">
                  <c:v>172.38583333333335</c:v>
                </c:pt>
                <c:pt idx="31">
                  <c:v>174.76611111111114</c:v>
                </c:pt>
                <c:pt idx="32">
                  <c:v>177.3725</c:v>
                </c:pt>
                <c:pt idx="33">
                  <c:v>179.16416666666669</c:v>
                </c:pt>
                <c:pt idx="34">
                  <c:v>181.59361111111113</c:v>
                </c:pt>
                <c:pt idx="35">
                  <c:v>182.59000000000003</c:v>
                </c:pt>
                <c:pt idx="36">
                  <c:v>183.84305555555559</c:v>
                </c:pt>
                <c:pt idx="37">
                  <c:v>185.50138888888893</c:v>
                </c:pt>
                <c:pt idx="38">
                  <c:v>186.4</c:v>
                </c:pt>
                <c:pt idx="39">
                  <c:v>186.00138888888893</c:v>
                </c:pt>
                <c:pt idx="40">
                  <c:v>186.25611111111115</c:v>
                </c:pt>
                <c:pt idx="41">
                  <c:v>186.42666666666668</c:v>
                </c:pt>
                <c:pt idx="42">
                  <c:v>188.35583333333335</c:v>
                </c:pt>
                <c:pt idx="43">
                  <c:v>190.60694444444445</c:v>
                </c:pt>
                <c:pt idx="44">
                  <c:v>192.77499999999998</c:v>
                </c:pt>
                <c:pt idx="45">
                  <c:v>195.15111111111113</c:v>
                </c:pt>
                <c:pt idx="46">
                  <c:v>197.13361111111109</c:v>
                </c:pt>
                <c:pt idx="47">
                  <c:v>199.58916666666664</c:v>
                </c:pt>
                <c:pt idx="48">
                  <c:v>204.51583333333329</c:v>
                </c:pt>
                <c:pt idx="49">
                  <c:v>207.45916666666665</c:v>
                </c:pt>
                <c:pt idx="50">
                  <c:v>209.58972222222218</c:v>
                </c:pt>
                <c:pt idx="51">
                  <c:v>213.41888888888886</c:v>
                </c:pt>
                <c:pt idx="52">
                  <c:v>217.03</c:v>
                </c:pt>
                <c:pt idx="53">
                  <c:v>221.04944444444445</c:v>
                </c:pt>
                <c:pt idx="54">
                  <c:v>225.4061111111111</c:v>
                </c:pt>
                <c:pt idx="55">
                  <c:v>229.32000000000002</c:v>
                </c:pt>
                <c:pt idx="56">
                  <c:v>234.18111111111114</c:v>
                </c:pt>
                <c:pt idx="57">
                  <c:v>240.78</c:v>
                </c:pt>
                <c:pt idx="58">
                  <c:v>245.90444444444444</c:v>
                </c:pt>
                <c:pt idx="59">
                  <c:v>249.98916666666662</c:v>
                </c:pt>
                <c:pt idx="60">
                  <c:v>253.03527777777774</c:v>
                </c:pt>
                <c:pt idx="61">
                  <c:v>254.8716666666667</c:v>
                </c:pt>
                <c:pt idx="62">
                  <c:v>257.03138888888884</c:v>
                </c:pt>
                <c:pt idx="63">
                  <c:v>260.20249999999999</c:v>
                </c:pt>
                <c:pt idx="64">
                  <c:v>263.72749999999996</c:v>
                </c:pt>
                <c:pt idx="65">
                  <c:v>268.26777777777784</c:v>
                </c:pt>
                <c:pt idx="66">
                  <c:v>269.13888888888891</c:v>
                </c:pt>
                <c:pt idx="67">
                  <c:v>271.49722222222221</c:v>
                </c:pt>
                <c:pt idx="68">
                  <c:v>273.72638888888889</c:v>
                </c:pt>
                <c:pt idx="69">
                  <c:v>274.90305555555557</c:v>
                </c:pt>
                <c:pt idx="70">
                  <c:v>276.60277777777787</c:v>
                </c:pt>
                <c:pt idx="71">
                  <c:v>277.01027777777779</c:v>
                </c:pt>
                <c:pt idx="72">
                  <c:v>278.04499999999996</c:v>
                </c:pt>
                <c:pt idx="73">
                  <c:v>279.4352777777778</c:v>
                </c:pt>
                <c:pt idx="74">
                  <c:v>279.6466666666667</c:v>
                </c:pt>
                <c:pt idx="75">
                  <c:v>279.9977777777778</c:v>
                </c:pt>
                <c:pt idx="76">
                  <c:v>281.02972222222223</c:v>
                </c:pt>
                <c:pt idx="77">
                  <c:v>282.89333333333326</c:v>
                </c:pt>
                <c:pt idx="78">
                  <c:v>285.44583333333338</c:v>
                </c:pt>
                <c:pt idx="79">
                  <c:v>288.85972222222222</c:v>
                </c:pt>
                <c:pt idx="80">
                  <c:v>292.11416666666668</c:v>
                </c:pt>
                <c:pt idx="81">
                  <c:v>293.61972222222226</c:v>
                </c:pt>
                <c:pt idx="82">
                  <c:v>294.98777777777775</c:v>
                </c:pt>
                <c:pt idx="83">
                  <c:v>294.19777777777779</c:v>
                </c:pt>
                <c:pt idx="84">
                  <c:v>295.76666666666665</c:v>
                </c:pt>
                <c:pt idx="85">
                  <c:v>296.39166666666665</c:v>
                </c:pt>
                <c:pt idx="86">
                  <c:v>298.31333333333333</c:v>
                </c:pt>
                <c:pt idx="87">
                  <c:v>299.9422222222222</c:v>
                </c:pt>
                <c:pt idx="88">
                  <c:v>300.63249999999999</c:v>
                </c:pt>
                <c:pt idx="89">
                  <c:v>303.72249999999997</c:v>
                </c:pt>
                <c:pt idx="90">
                  <c:v>305.42249999999996</c:v>
                </c:pt>
                <c:pt idx="91">
                  <c:v>306.82388888888886</c:v>
                </c:pt>
                <c:pt idx="92">
                  <c:v>306.83055555555552</c:v>
                </c:pt>
                <c:pt idx="93">
                  <c:v>305.00416666666666</c:v>
                </c:pt>
                <c:pt idx="94">
                  <c:v>305.62777777777774</c:v>
                </c:pt>
                <c:pt idx="95">
                  <c:v>305.63777777777773</c:v>
                </c:pt>
                <c:pt idx="96">
                  <c:v>308.08083333333326</c:v>
                </c:pt>
                <c:pt idx="97">
                  <c:v>308.46416666666664</c:v>
                </c:pt>
                <c:pt idx="98">
                  <c:v>309.15638888888884</c:v>
                </c:pt>
                <c:pt idx="99">
                  <c:v>311.55777777777774</c:v>
                </c:pt>
                <c:pt idx="100">
                  <c:v>314.68333333333328</c:v>
                </c:pt>
                <c:pt idx="101">
                  <c:v>319.00527777777774</c:v>
                </c:pt>
                <c:pt idx="102">
                  <c:v>322.34694444444443</c:v>
                </c:pt>
                <c:pt idx="103">
                  <c:v>326.34138888888884</c:v>
                </c:pt>
                <c:pt idx="104">
                  <c:v>330.2349999999999</c:v>
                </c:pt>
                <c:pt idx="105">
                  <c:v>332.84194444444444</c:v>
                </c:pt>
                <c:pt idx="106">
                  <c:v>335.56527777777774</c:v>
                </c:pt>
                <c:pt idx="107">
                  <c:v>337.35111111111109</c:v>
                </c:pt>
                <c:pt idx="108">
                  <c:v>340.31194444444441</c:v>
                </c:pt>
                <c:pt idx="109">
                  <c:v>341.67583333333334</c:v>
                </c:pt>
                <c:pt idx="110">
                  <c:v>345.22444444444443</c:v>
                </c:pt>
                <c:pt idx="111">
                  <c:v>350.84527777777777</c:v>
                </c:pt>
                <c:pt idx="112">
                  <c:v>356.49194444444447</c:v>
                </c:pt>
                <c:pt idx="113">
                  <c:v>362.43083333333334</c:v>
                </c:pt>
                <c:pt idx="114">
                  <c:v>366.67805555555555</c:v>
                </c:pt>
                <c:pt idx="115">
                  <c:v>371.68333333333328</c:v>
                </c:pt>
                <c:pt idx="116">
                  <c:v>376.24083333333328</c:v>
                </c:pt>
                <c:pt idx="117">
                  <c:v>378.64944444444444</c:v>
                </c:pt>
                <c:pt idx="118">
                  <c:v>381.79333333333329</c:v>
                </c:pt>
                <c:pt idx="119">
                  <c:v>383.82111111111112</c:v>
                </c:pt>
                <c:pt idx="120">
                  <c:v>387.96722222222223</c:v>
                </c:pt>
                <c:pt idx="121">
                  <c:v>391.02</c:v>
                </c:pt>
                <c:pt idx="122">
                  <c:v>395.12555555555559</c:v>
                </c:pt>
                <c:pt idx="123">
                  <c:v>401.19972222222231</c:v>
                </c:pt>
                <c:pt idx="124">
                  <c:v>407.17777777777781</c:v>
                </c:pt>
                <c:pt idx="125">
                  <c:v>411.91527777777782</c:v>
                </c:pt>
                <c:pt idx="126">
                  <c:v>417.25638888888886</c:v>
                </c:pt>
                <c:pt idx="127">
                  <c:v>423.86888888888893</c:v>
                </c:pt>
                <c:pt idx="128">
                  <c:v>429.6563888888889</c:v>
                </c:pt>
                <c:pt idx="129">
                  <c:v>434.41305555555556</c:v>
                </c:pt>
                <c:pt idx="130">
                  <c:v>437.47333333333336</c:v>
                </c:pt>
                <c:pt idx="131">
                  <c:v>440.16777777777776</c:v>
                </c:pt>
                <c:pt idx="132">
                  <c:v>440.02749999999992</c:v>
                </c:pt>
                <c:pt idx="133">
                  <c:v>441.47222222222229</c:v>
                </c:pt>
                <c:pt idx="134">
                  <c:v>444.12083333333334</c:v>
                </c:pt>
                <c:pt idx="135">
                  <c:v>448.53527777777776</c:v>
                </c:pt>
                <c:pt idx="136">
                  <c:v>451.83388888888891</c:v>
                </c:pt>
                <c:pt idx="137">
                  <c:v>456.37138888888887</c:v>
                </c:pt>
                <c:pt idx="138">
                  <c:v>458.96805555555562</c:v>
                </c:pt>
                <c:pt idx="139">
                  <c:v>463.06388888888887</c:v>
                </c:pt>
                <c:pt idx="140">
                  <c:v>465.87027777777774</c:v>
                </c:pt>
                <c:pt idx="141">
                  <c:v>466.50305555555559</c:v>
                </c:pt>
                <c:pt idx="142">
                  <c:v>466.97527777777782</c:v>
                </c:pt>
                <c:pt idx="143">
                  <c:v>467.67305555555566</c:v>
                </c:pt>
                <c:pt idx="144">
                  <c:v>467.19055555555559</c:v>
                </c:pt>
                <c:pt idx="145">
                  <c:v>464.86277777777781</c:v>
                </c:pt>
                <c:pt idx="146">
                  <c:v>461.70888888888891</c:v>
                </c:pt>
                <c:pt idx="147">
                  <c:v>459.10499999999996</c:v>
                </c:pt>
                <c:pt idx="148">
                  <c:v>455.6077777777777</c:v>
                </c:pt>
                <c:pt idx="149">
                  <c:v>452.01</c:v>
                </c:pt>
                <c:pt idx="150">
                  <c:v>450.17944444444441</c:v>
                </c:pt>
                <c:pt idx="151">
                  <c:v>447.50166666666667</c:v>
                </c:pt>
                <c:pt idx="152">
                  <c:v>444.04111111111115</c:v>
                </c:pt>
                <c:pt idx="153">
                  <c:v>439.10555555555555</c:v>
                </c:pt>
                <c:pt idx="154">
                  <c:v>434.69861111111118</c:v>
                </c:pt>
                <c:pt idx="155">
                  <c:v>431.00138888888893</c:v>
                </c:pt>
                <c:pt idx="156">
                  <c:v>427.40027777777783</c:v>
                </c:pt>
                <c:pt idx="157">
                  <c:v>422.27527777777783</c:v>
                </c:pt>
                <c:pt idx="158">
                  <c:v>417.54750000000001</c:v>
                </c:pt>
                <c:pt idx="159">
                  <c:v>414.36972222222221</c:v>
                </c:pt>
                <c:pt idx="160">
                  <c:v>412.19749999999999</c:v>
                </c:pt>
                <c:pt idx="161">
                  <c:v>411.50972222222219</c:v>
                </c:pt>
                <c:pt idx="162">
                  <c:v>410.54444444444448</c:v>
                </c:pt>
                <c:pt idx="163">
                  <c:v>412.44138888888887</c:v>
                </c:pt>
                <c:pt idx="164">
                  <c:v>413.82861111111117</c:v>
                </c:pt>
                <c:pt idx="165">
                  <c:v>414.24944444444446</c:v>
                </c:pt>
                <c:pt idx="166">
                  <c:v>415.28305555555562</c:v>
                </c:pt>
                <c:pt idx="167">
                  <c:v>415.65722222222229</c:v>
                </c:pt>
                <c:pt idx="168">
                  <c:v>416.88499999999999</c:v>
                </c:pt>
                <c:pt idx="169">
                  <c:v>416.57361111111118</c:v>
                </c:pt>
                <c:pt idx="170">
                  <c:v>415.33555555555557</c:v>
                </c:pt>
                <c:pt idx="171">
                  <c:v>414.47027777777777</c:v>
                </c:pt>
                <c:pt idx="172">
                  <c:v>411.91027777777776</c:v>
                </c:pt>
                <c:pt idx="173">
                  <c:v>407.92972222222215</c:v>
                </c:pt>
                <c:pt idx="174">
                  <c:v>403.03249999999991</c:v>
                </c:pt>
                <c:pt idx="175">
                  <c:v>398.85666666666657</c:v>
                </c:pt>
                <c:pt idx="176">
                  <c:v>395.57249999999999</c:v>
                </c:pt>
                <c:pt idx="177">
                  <c:v>389.02305555555557</c:v>
                </c:pt>
                <c:pt idx="178">
                  <c:v>380.9661111111111</c:v>
                </c:pt>
                <c:pt idx="179">
                  <c:v>373.33805555555551</c:v>
                </c:pt>
                <c:pt idx="180">
                  <c:v>365.80805555555548</c:v>
                </c:pt>
                <c:pt idx="181">
                  <c:v>354.93611111111102</c:v>
                </c:pt>
                <c:pt idx="182">
                  <c:v>345.43611111111107</c:v>
                </c:pt>
                <c:pt idx="183">
                  <c:v>336.94027777777779</c:v>
                </c:pt>
                <c:pt idx="184">
                  <c:v>327.73361111111109</c:v>
                </c:pt>
                <c:pt idx="185">
                  <c:v>319.82250000000005</c:v>
                </c:pt>
                <c:pt idx="186">
                  <c:v>311.33944444444455</c:v>
                </c:pt>
                <c:pt idx="187">
                  <c:v>305.67861111111119</c:v>
                </c:pt>
                <c:pt idx="188">
                  <c:v>300.70916666666676</c:v>
                </c:pt>
                <c:pt idx="189">
                  <c:v>295.6133333333334</c:v>
                </c:pt>
                <c:pt idx="190">
                  <c:v>287.84972222222228</c:v>
                </c:pt>
                <c:pt idx="191">
                  <c:v>280.74</c:v>
                </c:pt>
                <c:pt idx="192">
                  <c:v>273.95055555555552</c:v>
                </c:pt>
                <c:pt idx="193">
                  <c:v>267.80277777777769</c:v>
                </c:pt>
                <c:pt idx="194">
                  <c:v>261.13472222222219</c:v>
                </c:pt>
                <c:pt idx="195">
                  <c:v>258.68583333333328</c:v>
                </c:pt>
                <c:pt idx="196">
                  <c:v>254.01638888888888</c:v>
                </c:pt>
                <c:pt idx="197">
                  <c:v>246.72055555555548</c:v>
                </c:pt>
                <c:pt idx="198">
                  <c:v>239.48944444444442</c:v>
                </c:pt>
                <c:pt idx="199">
                  <c:v>235.44499999999996</c:v>
                </c:pt>
                <c:pt idx="200">
                  <c:v>231.01999999999992</c:v>
                </c:pt>
                <c:pt idx="201">
                  <c:v>226.26999999999995</c:v>
                </c:pt>
                <c:pt idx="202">
                  <c:v>222.56805555555553</c:v>
                </c:pt>
                <c:pt idx="203">
                  <c:v>218.76611111111109</c:v>
                </c:pt>
                <c:pt idx="204">
                  <c:v>214.26444444444442</c:v>
                </c:pt>
                <c:pt idx="205">
                  <c:v>208.92000000000002</c:v>
                </c:pt>
                <c:pt idx="206">
                  <c:v>203.71861111111116</c:v>
                </c:pt>
                <c:pt idx="207">
                  <c:v>199.2463888888889</c:v>
                </c:pt>
                <c:pt idx="208">
                  <c:v>197.66861111111109</c:v>
                </c:pt>
                <c:pt idx="209">
                  <c:v>195.43805555555554</c:v>
                </c:pt>
                <c:pt idx="210">
                  <c:v>193.4025</c:v>
                </c:pt>
                <c:pt idx="211">
                  <c:v>190.95944444444444</c:v>
                </c:pt>
                <c:pt idx="212">
                  <c:v>187.69144444444444</c:v>
                </c:pt>
                <c:pt idx="213">
                  <c:v>183.30644444444442</c:v>
                </c:pt>
                <c:pt idx="214">
                  <c:v>182.31074999999998</c:v>
                </c:pt>
                <c:pt idx="215">
                  <c:v>182.9060833333333</c:v>
                </c:pt>
                <c:pt idx="216">
                  <c:v>183.7476111111111</c:v>
                </c:pt>
                <c:pt idx="217">
                  <c:v>183.69899999999996</c:v>
                </c:pt>
                <c:pt idx="218">
                  <c:v>184.0912222222222</c:v>
                </c:pt>
                <c:pt idx="219">
                  <c:v>184.5842777777778</c:v>
                </c:pt>
                <c:pt idx="220">
                  <c:v>184.33011111111111</c:v>
                </c:pt>
                <c:pt idx="221">
                  <c:v>183.66455555555555</c:v>
                </c:pt>
                <c:pt idx="222">
                  <c:v>183.81733333333332</c:v>
                </c:pt>
                <c:pt idx="223">
                  <c:v>183.7448333333333</c:v>
                </c:pt>
                <c:pt idx="224">
                  <c:v>183.72677777777776</c:v>
                </c:pt>
                <c:pt idx="225">
                  <c:v>183.65316666666664</c:v>
                </c:pt>
                <c:pt idx="226">
                  <c:v>183.96566666666661</c:v>
                </c:pt>
                <c:pt idx="227">
                  <c:v>184.3101111111111</c:v>
                </c:pt>
                <c:pt idx="228">
                  <c:v>185.5059444444444</c:v>
                </c:pt>
                <c:pt idx="229">
                  <c:v>187.12538888888884</c:v>
                </c:pt>
                <c:pt idx="230">
                  <c:v>189.10116666666664</c:v>
                </c:pt>
                <c:pt idx="231">
                  <c:v>191.55255555555556</c:v>
                </c:pt>
                <c:pt idx="232">
                  <c:v>192.8943611111111</c:v>
                </c:pt>
                <c:pt idx="233">
                  <c:v>194.41847222222219</c:v>
                </c:pt>
                <c:pt idx="234">
                  <c:v>195.19083333333333</c:v>
                </c:pt>
                <c:pt idx="235">
                  <c:v>196.10138888888889</c:v>
                </c:pt>
                <c:pt idx="236">
                  <c:v>196.18277777777777</c:v>
                </c:pt>
                <c:pt idx="237">
                  <c:v>195.79388888888889</c:v>
                </c:pt>
                <c:pt idx="238">
                  <c:v>195.60333333333332</c:v>
                </c:pt>
                <c:pt idx="239">
                  <c:v>194.82361111111109</c:v>
                </c:pt>
                <c:pt idx="240">
                  <c:v>194.54583333333335</c:v>
                </c:pt>
                <c:pt idx="241">
                  <c:v>193.76694444444445</c:v>
                </c:pt>
                <c:pt idx="242">
                  <c:v>192.76277777777779</c:v>
                </c:pt>
                <c:pt idx="243">
                  <c:v>191.95166666666668</c:v>
                </c:pt>
                <c:pt idx="244">
                  <c:v>190.99611111111113</c:v>
                </c:pt>
                <c:pt idx="245">
                  <c:v>190.3405555555556</c:v>
                </c:pt>
                <c:pt idx="246">
                  <c:v>188.46833333333336</c:v>
                </c:pt>
                <c:pt idx="247">
                  <c:v>186.7763888888889</c:v>
                </c:pt>
                <c:pt idx="248">
                  <c:v>184.59083333333334</c:v>
                </c:pt>
                <c:pt idx="249">
                  <c:v>181.76333333333335</c:v>
                </c:pt>
                <c:pt idx="250">
                  <c:v>179.58388888888891</c:v>
                </c:pt>
                <c:pt idx="251">
                  <c:v>176.98527777777778</c:v>
                </c:pt>
                <c:pt idx="252">
                  <c:v>176.20027777777776</c:v>
                </c:pt>
                <c:pt idx="253">
                  <c:v>175.18416666666664</c:v>
                </c:pt>
                <c:pt idx="254">
                  <c:v>174.48</c:v>
                </c:pt>
                <c:pt idx="255">
                  <c:v>175.5397222222222</c:v>
                </c:pt>
                <c:pt idx="256">
                  <c:v>176.36972222222221</c:v>
                </c:pt>
                <c:pt idx="257">
                  <c:v>178.10027777777776</c:v>
                </c:pt>
                <c:pt idx="258">
                  <c:v>179.13694444444445</c:v>
                </c:pt>
                <c:pt idx="259">
                  <c:v>181.10222222222222</c:v>
                </c:pt>
                <c:pt idx="260">
                  <c:v>182.90777777777782</c:v>
                </c:pt>
                <c:pt idx="261">
                  <c:v>184.20472222222224</c:v>
                </c:pt>
                <c:pt idx="262">
                  <c:v>185.9088888888889</c:v>
                </c:pt>
                <c:pt idx="263">
                  <c:v>188.46166666666667</c:v>
                </c:pt>
                <c:pt idx="264">
                  <c:v>191.29916666666665</c:v>
                </c:pt>
                <c:pt idx="265">
                  <c:v>194.1577777777778</c:v>
                </c:pt>
                <c:pt idx="266">
                  <c:v>197.43833333333333</c:v>
                </c:pt>
                <c:pt idx="267">
                  <c:v>201.36166666666665</c:v>
                </c:pt>
                <c:pt idx="268">
                  <c:v>204.57</c:v>
                </c:pt>
                <c:pt idx="269">
                  <c:v>208.67972222222221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1233408"/>
        <c:axId val="443274752"/>
      </c:lineChart>
      <c:dateAx>
        <c:axId val="31995353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19959424"/>
        <c:crosses val="autoZero"/>
        <c:auto val="1"/>
        <c:lblOffset val="100"/>
        <c:baseTimeUnit val="months"/>
      </c:dateAx>
      <c:valAx>
        <c:axId val="3199594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19953536"/>
        <c:crosses val="autoZero"/>
        <c:crossBetween val="between"/>
      </c:valAx>
      <c:valAx>
        <c:axId val="443274752"/>
        <c:scaling>
          <c:orientation val="minMax"/>
          <c:min val="150"/>
        </c:scaling>
        <c:delete val="0"/>
        <c:axPos val="r"/>
        <c:numFmt formatCode="General" sourceLinked="1"/>
        <c:majorTickMark val="out"/>
        <c:minorTickMark val="none"/>
        <c:tickLblPos val="nextTo"/>
        <c:crossAx val="441233408"/>
        <c:crosses val="max"/>
        <c:crossBetween val="between"/>
      </c:valAx>
      <c:dateAx>
        <c:axId val="44123340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443274752"/>
        <c:auto val="1"/>
        <c:lblOffset val="100"/>
        <c:baseTimeUnit val="months"/>
      </c:date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333375</xdr:colOff>
      <xdr:row>9</xdr:row>
      <xdr:rowOff>95250</xdr:rowOff>
    </xdr:from>
    <xdr:to>
      <xdr:col>34</xdr:col>
      <xdr:colOff>152400</xdr:colOff>
      <xdr:row>42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123824</xdr:colOff>
      <xdr:row>8</xdr:row>
      <xdr:rowOff>38100</xdr:rowOff>
    </xdr:from>
    <xdr:to>
      <xdr:col>24</xdr:col>
      <xdr:colOff>76199</xdr:colOff>
      <xdr:row>36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600075</xdr:colOff>
      <xdr:row>12</xdr:row>
      <xdr:rowOff>123824</xdr:rowOff>
    </xdr:from>
    <xdr:to>
      <xdr:col>32</xdr:col>
      <xdr:colOff>371475</xdr:colOff>
      <xdr:row>34</xdr:row>
      <xdr:rowOff>38099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333375</xdr:colOff>
      <xdr:row>4</xdr:row>
      <xdr:rowOff>76200</xdr:rowOff>
    </xdr:from>
    <xdr:to>
      <xdr:col>16</xdr:col>
      <xdr:colOff>28575</xdr:colOff>
      <xdr:row>18</xdr:row>
      <xdr:rowOff>152400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323849</xdr:colOff>
      <xdr:row>6</xdr:row>
      <xdr:rowOff>95250</xdr:rowOff>
    </xdr:from>
    <xdr:to>
      <xdr:col>25</xdr:col>
      <xdr:colOff>276224</xdr:colOff>
      <xdr:row>35</xdr:row>
      <xdr:rowOff>152400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161924</xdr:colOff>
      <xdr:row>10</xdr:row>
      <xdr:rowOff>19049</xdr:rowOff>
    </xdr:from>
    <xdr:to>
      <xdr:col>23</xdr:col>
      <xdr:colOff>209549</xdr:colOff>
      <xdr:row>35</xdr:row>
      <xdr:rowOff>161924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38100</xdr:colOff>
      <xdr:row>5</xdr:row>
      <xdr:rowOff>152399</xdr:rowOff>
    </xdr:from>
    <xdr:to>
      <xdr:col>25</xdr:col>
      <xdr:colOff>133350</xdr:colOff>
      <xdr:row>34</xdr:row>
      <xdr:rowOff>104774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19050</xdr:colOff>
      <xdr:row>36</xdr:row>
      <xdr:rowOff>114300</xdr:rowOff>
    </xdr:from>
    <xdr:to>
      <xdr:col>25</xdr:col>
      <xdr:colOff>209550</xdr:colOff>
      <xdr:row>63</xdr:row>
      <xdr:rowOff>38100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Lien%20Workspace/01.Work%20Progress%20Documents/Turnover%20Model%20Analysis_OTM%20Refi_2016041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using Stock"/>
      <sheetName val="EHS"/>
      <sheetName val="Turnover EHS"/>
      <sheetName val="OTM Turnover MBS"/>
      <sheetName val="Mtg Rate"/>
      <sheetName val="OTM Refi"/>
      <sheetName val="model vs actual"/>
    </sheetNames>
    <sheetDataSet>
      <sheetData sheetId="0">
        <row r="5">
          <cell r="S5">
            <v>70097</v>
          </cell>
        </row>
        <row r="6">
          <cell r="S6">
            <v>70193.083333333328</v>
          </cell>
        </row>
        <row r="7">
          <cell r="S7">
            <v>70289.166666666672</v>
          </cell>
        </row>
        <row r="8">
          <cell r="S8">
            <v>70385.25</v>
          </cell>
        </row>
        <row r="9">
          <cell r="S9">
            <v>70481.333333333328</v>
          </cell>
        </row>
        <row r="10">
          <cell r="S10">
            <v>70577.416666666672</v>
          </cell>
        </row>
        <row r="11">
          <cell r="S11">
            <v>70673.5</v>
          </cell>
        </row>
        <row r="12">
          <cell r="S12">
            <v>70769.583333333328</v>
          </cell>
        </row>
        <row r="13">
          <cell r="S13">
            <v>70865.666666666672</v>
          </cell>
        </row>
        <row r="14">
          <cell r="S14">
            <v>70961.75</v>
          </cell>
        </row>
        <row r="15">
          <cell r="S15">
            <v>71057.833333333328</v>
          </cell>
        </row>
        <row r="16">
          <cell r="S16">
            <v>71153.916666666672</v>
          </cell>
        </row>
        <row r="17">
          <cell r="S17">
            <v>71250</v>
          </cell>
        </row>
        <row r="18">
          <cell r="S18">
            <v>71361.916666666672</v>
          </cell>
        </row>
        <row r="19">
          <cell r="S19">
            <v>71473.833333333328</v>
          </cell>
        </row>
        <row r="20">
          <cell r="S20">
            <v>71585.75</v>
          </cell>
        </row>
        <row r="21">
          <cell r="S21">
            <v>71697.666666666672</v>
          </cell>
        </row>
        <row r="22">
          <cell r="S22">
            <v>71809.583333333328</v>
          </cell>
        </row>
        <row r="23">
          <cell r="S23">
            <v>71921.5</v>
          </cell>
        </row>
        <row r="24">
          <cell r="S24">
            <v>72033.416666666672</v>
          </cell>
        </row>
        <row r="25">
          <cell r="S25">
            <v>72145.333333333328</v>
          </cell>
        </row>
        <row r="26">
          <cell r="S26">
            <v>72257.25</v>
          </cell>
        </row>
        <row r="27">
          <cell r="S27">
            <v>72369.166666666672</v>
          </cell>
        </row>
        <row r="28">
          <cell r="S28">
            <v>72481.083333333328</v>
          </cell>
        </row>
        <row r="29">
          <cell r="S29">
            <v>72593</v>
          </cell>
        </row>
        <row r="30">
          <cell r="S30">
            <v>72686.333333333328</v>
          </cell>
        </row>
        <row r="31">
          <cell r="S31">
            <v>72779.666666666672</v>
          </cell>
        </row>
        <row r="32">
          <cell r="S32">
            <v>72873</v>
          </cell>
        </row>
        <row r="33">
          <cell r="S33">
            <v>72966.333333333328</v>
          </cell>
        </row>
        <row r="34">
          <cell r="S34">
            <v>73059.666666666672</v>
          </cell>
        </row>
        <row r="35">
          <cell r="S35">
            <v>73153</v>
          </cell>
        </row>
        <row r="36">
          <cell r="S36">
            <v>73246.333333333328</v>
          </cell>
        </row>
        <row r="37">
          <cell r="S37">
            <v>73339.666666666672</v>
          </cell>
        </row>
        <row r="38">
          <cell r="S38">
            <v>73433</v>
          </cell>
        </row>
        <row r="39">
          <cell r="S39">
            <v>73526.333333333328</v>
          </cell>
        </row>
        <row r="40">
          <cell r="S40">
            <v>73619.666666666672</v>
          </cell>
        </row>
        <row r="41">
          <cell r="S41">
            <v>73713</v>
          </cell>
        </row>
        <row r="42">
          <cell r="S42">
            <v>73510.083333333328</v>
          </cell>
        </row>
        <row r="43">
          <cell r="S43">
            <v>73307.166666666672</v>
          </cell>
        </row>
        <row r="44">
          <cell r="S44">
            <v>73104.25</v>
          </cell>
        </row>
        <row r="45">
          <cell r="S45">
            <v>72901.333333333328</v>
          </cell>
        </row>
        <row r="46">
          <cell r="S46">
            <v>72698.416666666672</v>
          </cell>
        </row>
        <row r="47">
          <cell r="S47">
            <v>72495.5</v>
          </cell>
        </row>
        <row r="48">
          <cell r="S48">
            <v>72292.583333333328</v>
          </cell>
        </row>
        <row r="49">
          <cell r="S49">
            <v>72089.666666666672</v>
          </cell>
        </row>
        <row r="50">
          <cell r="S50">
            <v>71886.75</v>
          </cell>
        </row>
        <row r="51">
          <cell r="S51">
            <v>71683.833333333328</v>
          </cell>
        </row>
        <row r="52">
          <cell r="S52">
            <v>71480.916666666672</v>
          </cell>
        </row>
        <row r="53">
          <cell r="S53">
            <v>71278</v>
          </cell>
        </row>
        <row r="54">
          <cell r="S54">
            <v>71342.666666666672</v>
          </cell>
        </row>
        <row r="55">
          <cell r="S55">
            <v>71407.333333333328</v>
          </cell>
        </row>
        <row r="56">
          <cell r="S56">
            <v>71472</v>
          </cell>
        </row>
        <row r="57">
          <cell r="S57">
            <v>71536.666666666672</v>
          </cell>
        </row>
        <row r="58">
          <cell r="S58">
            <v>71601.333333333328</v>
          </cell>
        </row>
        <row r="59">
          <cell r="S59">
            <v>71666</v>
          </cell>
        </row>
        <row r="60">
          <cell r="S60">
            <v>71730.666666666672</v>
          </cell>
        </row>
        <row r="61">
          <cell r="S61">
            <v>71795.333333333328</v>
          </cell>
        </row>
        <row r="62">
          <cell r="S62">
            <v>71860</v>
          </cell>
        </row>
        <row r="63">
          <cell r="S63">
            <v>71924.666666666672</v>
          </cell>
        </row>
        <row r="64">
          <cell r="S64">
            <v>71989.333333333328</v>
          </cell>
        </row>
        <row r="65">
          <cell r="S65">
            <v>72054</v>
          </cell>
        </row>
        <row r="66">
          <cell r="S66">
            <v>72180.75</v>
          </cell>
        </row>
        <row r="67">
          <cell r="S67">
            <v>72307.5</v>
          </cell>
        </row>
        <row r="68">
          <cell r="S68">
            <v>72434.25</v>
          </cell>
        </row>
        <row r="69">
          <cell r="S69">
            <v>72561</v>
          </cell>
        </row>
        <row r="70">
          <cell r="S70">
            <v>72687.75</v>
          </cell>
        </row>
        <row r="71">
          <cell r="S71">
            <v>72814.5</v>
          </cell>
        </row>
        <row r="72">
          <cell r="S72">
            <v>72941.25</v>
          </cell>
        </row>
        <row r="73">
          <cell r="S73">
            <v>73068</v>
          </cell>
        </row>
        <row r="74">
          <cell r="S74">
            <v>73194.75</v>
          </cell>
        </row>
        <row r="75">
          <cell r="S75">
            <v>73321.5</v>
          </cell>
        </row>
        <row r="76">
          <cell r="S76">
            <v>73448.25</v>
          </cell>
        </row>
        <row r="77">
          <cell r="S77">
            <v>73575</v>
          </cell>
        </row>
        <row r="78">
          <cell r="S78">
            <v>73656.5</v>
          </cell>
        </row>
        <row r="79">
          <cell r="S79">
            <v>73738</v>
          </cell>
        </row>
        <row r="80">
          <cell r="S80">
            <v>73819.5</v>
          </cell>
        </row>
        <row r="81">
          <cell r="S81">
            <v>73901</v>
          </cell>
        </row>
        <row r="82">
          <cell r="S82">
            <v>73982.5</v>
          </cell>
        </row>
        <row r="83">
          <cell r="S83">
            <v>74064</v>
          </cell>
        </row>
        <row r="84">
          <cell r="S84">
            <v>74145.5</v>
          </cell>
        </row>
        <row r="85">
          <cell r="S85">
            <v>74227</v>
          </cell>
        </row>
        <row r="86">
          <cell r="S86">
            <v>74308.5</v>
          </cell>
        </row>
        <row r="87">
          <cell r="S87">
            <v>74390</v>
          </cell>
        </row>
        <row r="88">
          <cell r="S88">
            <v>74471.5</v>
          </cell>
        </row>
        <row r="89">
          <cell r="S89">
            <v>74553</v>
          </cell>
        </row>
        <row r="90">
          <cell r="S90">
            <v>74621.916666666672</v>
          </cell>
        </row>
        <row r="91">
          <cell r="S91">
            <v>74690.833333333328</v>
          </cell>
        </row>
        <row r="92">
          <cell r="S92">
            <v>74759.75</v>
          </cell>
        </row>
        <row r="93">
          <cell r="S93">
            <v>74828.666666666672</v>
          </cell>
        </row>
        <row r="94">
          <cell r="S94">
            <v>74897.583333333328</v>
          </cell>
        </row>
        <row r="95">
          <cell r="S95">
            <v>74966.5</v>
          </cell>
        </row>
        <row r="96">
          <cell r="S96">
            <v>75035.416666666672</v>
          </cell>
        </row>
        <row r="97">
          <cell r="S97">
            <v>75104.333333333328</v>
          </cell>
        </row>
        <row r="98">
          <cell r="S98">
            <v>75173.25</v>
          </cell>
        </row>
        <row r="99">
          <cell r="S99">
            <v>75242.166666666672</v>
          </cell>
        </row>
        <row r="100">
          <cell r="S100">
            <v>75311.083333333328</v>
          </cell>
        </row>
        <row r="101">
          <cell r="S101">
            <v>75380</v>
          </cell>
        </row>
        <row r="102">
          <cell r="S102">
            <v>75361.583333333328</v>
          </cell>
        </row>
        <row r="103">
          <cell r="S103">
            <v>75343.166666666672</v>
          </cell>
        </row>
        <row r="104">
          <cell r="S104">
            <v>75324.75</v>
          </cell>
        </row>
        <row r="105">
          <cell r="S105">
            <v>75306.333333333328</v>
          </cell>
        </row>
        <row r="106">
          <cell r="S106">
            <v>75287.916666666672</v>
          </cell>
        </row>
        <row r="107">
          <cell r="S107">
            <v>75269.5</v>
          </cell>
        </row>
        <row r="108">
          <cell r="S108">
            <v>75251.083333333328</v>
          </cell>
        </row>
        <row r="109">
          <cell r="S109">
            <v>75232.666666666672</v>
          </cell>
        </row>
        <row r="110">
          <cell r="S110">
            <v>75214.25</v>
          </cell>
        </row>
        <row r="111">
          <cell r="S111">
            <v>75195.833333333328</v>
          </cell>
        </row>
        <row r="112">
          <cell r="S112">
            <v>75177.416666666672</v>
          </cell>
        </row>
        <row r="113">
          <cell r="S113">
            <v>75159</v>
          </cell>
        </row>
        <row r="114">
          <cell r="S114">
            <v>75192.916666666672</v>
          </cell>
        </row>
        <row r="115">
          <cell r="S115">
            <v>75226.833333333328</v>
          </cell>
        </row>
        <row r="116">
          <cell r="S116">
            <v>75260.75</v>
          </cell>
        </row>
        <row r="117">
          <cell r="S117">
            <v>75294.666666666672</v>
          </cell>
        </row>
        <row r="118">
          <cell r="S118">
            <v>75328.583333333328</v>
          </cell>
        </row>
        <row r="119">
          <cell r="S119">
            <v>75362.5</v>
          </cell>
        </row>
        <row r="120">
          <cell r="S120">
            <v>75396.416666666672</v>
          </cell>
        </row>
        <row r="121">
          <cell r="S121">
            <v>75430.333333333328</v>
          </cell>
        </row>
        <row r="122">
          <cell r="S122">
            <v>75464.25</v>
          </cell>
        </row>
        <row r="123">
          <cell r="S123">
            <v>75498.166666666672</v>
          </cell>
        </row>
        <row r="124">
          <cell r="S124">
            <v>75532.083333333328</v>
          </cell>
        </row>
        <row r="125">
          <cell r="S125">
            <v>75566</v>
          </cell>
        </row>
        <row r="126">
          <cell r="S126">
            <v>75520</v>
          </cell>
        </row>
        <row r="127">
          <cell r="S127">
            <v>75474</v>
          </cell>
        </row>
        <row r="128">
          <cell r="S128">
            <v>75428</v>
          </cell>
        </row>
        <row r="129">
          <cell r="S129">
            <v>75382</v>
          </cell>
        </row>
        <row r="130">
          <cell r="S130">
            <v>75336</v>
          </cell>
        </row>
        <row r="131">
          <cell r="S131">
            <v>75290</v>
          </cell>
        </row>
        <row r="132">
          <cell r="S132">
            <v>75244</v>
          </cell>
        </row>
        <row r="133">
          <cell r="S133">
            <v>75198</v>
          </cell>
        </row>
        <row r="134">
          <cell r="S134">
            <v>75152</v>
          </cell>
        </row>
        <row r="135">
          <cell r="S135">
            <v>75106</v>
          </cell>
        </row>
        <row r="136">
          <cell r="S136">
            <v>75060</v>
          </cell>
        </row>
        <row r="137">
          <cell r="S137">
            <v>75014</v>
          </cell>
        </row>
        <row r="138">
          <cell r="S138">
            <v>74995.416666666672</v>
          </cell>
        </row>
        <row r="139">
          <cell r="S139">
            <v>74976.833333333328</v>
          </cell>
        </row>
        <row r="140">
          <cell r="S140">
            <v>74958.25</v>
          </cell>
        </row>
        <row r="141">
          <cell r="S141">
            <v>74939.666666666672</v>
          </cell>
        </row>
        <row r="142">
          <cell r="S142">
            <v>74921.083333333328</v>
          </cell>
        </row>
        <row r="143">
          <cell r="S143">
            <v>74902.5</v>
          </cell>
        </row>
        <row r="144">
          <cell r="S144">
            <v>74883.916666666672</v>
          </cell>
        </row>
        <row r="145">
          <cell r="S145">
            <v>74865.333333333328</v>
          </cell>
        </row>
        <row r="146">
          <cell r="S146">
            <v>74846.75</v>
          </cell>
        </row>
        <row r="147">
          <cell r="S147">
            <v>74828.166666666672</v>
          </cell>
        </row>
        <row r="148">
          <cell r="S148">
            <v>74809.583333333328</v>
          </cell>
        </row>
        <row r="149">
          <cell r="S149">
            <v>74791</v>
          </cell>
        </row>
        <row r="150">
          <cell r="S150">
            <v>74816</v>
          </cell>
        </row>
        <row r="151">
          <cell r="S151">
            <v>74841</v>
          </cell>
        </row>
        <row r="152">
          <cell r="S152">
            <v>74866</v>
          </cell>
        </row>
        <row r="153">
          <cell r="S153">
            <v>74891</v>
          </cell>
        </row>
        <row r="154">
          <cell r="S154">
            <v>74916</v>
          </cell>
        </row>
        <row r="155">
          <cell r="S155">
            <v>74941</v>
          </cell>
        </row>
        <row r="156">
          <cell r="S156">
            <v>74966</v>
          </cell>
        </row>
        <row r="157">
          <cell r="S157">
            <v>74991</v>
          </cell>
        </row>
        <row r="158">
          <cell r="S158">
            <v>75016</v>
          </cell>
        </row>
        <row r="159">
          <cell r="S159">
            <v>75041</v>
          </cell>
        </row>
        <row r="160">
          <cell r="S160">
            <v>75066</v>
          </cell>
        </row>
        <row r="161">
          <cell r="S161">
            <v>75091</v>
          </cell>
        </row>
        <row r="162">
          <cell r="S162">
            <v>75055.75</v>
          </cell>
        </row>
        <row r="163">
          <cell r="S163">
            <v>75020.5</v>
          </cell>
        </row>
        <row r="164">
          <cell r="S164">
            <v>74985.25</v>
          </cell>
        </row>
        <row r="165">
          <cell r="S165">
            <v>74950</v>
          </cell>
        </row>
        <row r="166">
          <cell r="S166">
            <v>74914.75</v>
          </cell>
        </row>
        <row r="167">
          <cell r="S167">
            <v>74879.5</v>
          </cell>
        </row>
        <row r="168">
          <cell r="S168">
            <v>74844.25</v>
          </cell>
        </row>
        <row r="169">
          <cell r="S169">
            <v>74809</v>
          </cell>
        </row>
        <row r="170">
          <cell r="S170">
            <v>74773.75</v>
          </cell>
        </row>
        <row r="171">
          <cell r="S171">
            <v>74738.5</v>
          </cell>
        </row>
        <row r="172">
          <cell r="S172">
            <v>74703.25</v>
          </cell>
        </row>
        <row r="173">
          <cell r="S173">
            <v>74668</v>
          </cell>
        </row>
        <row r="174">
          <cell r="S174">
            <v>74647.916666666672</v>
          </cell>
        </row>
        <row r="175">
          <cell r="S175">
            <v>74627.833333333328</v>
          </cell>
        </row>
        <row r="176">
          <cell r="S176">
            <v>74607.75</v>
          </cell>
        </row>
        <row r="177">
          <cell r="S177">
            <v>74587.666666666672</v>
          </cell>
        </row>
        <row r="178">
          <cell r="S178">
            <v>74567.583333333328</v>
          </cell>
        </row>
        <row r="179">
          <cell r="S179">
            <v>74547.5</v>
          </cell>
        </row>
        <row r="180">
          <cell r="S180">
            <v>74527.416666666672</v>
          </cell>
        </row>
        <row r="181">
          <cell r="S181">
            <v>74507.333333333328</v>
          </cell>
        </row>
        <row r="182">
          <cell r="S182">
            <v>74487.25</v>
          </cell>
        </row>
        <row r="183">
          <cell r="S183">
            <v>74467.166666666672</v>
          </cell>
        </row>
        <row r="184">
          <cell r="S184">
            <v>74447.083333333328</v>
          </cell>
        </row>
        <row r="185">
          <cell r="S185">
            <v>74427</v>
          </cell>
        </row>
        <row r="186">
          <cell r="S186">
            <v>74450.25</v>
          </cell>
        </row>
        <row r="187">
          <cell r="S187">
            <v>74473.5</v>
          </cell>
        </row>
        <row r="188">
          <cell r="S188">
            <v>74496.75</v>
          </cell>
        </row>
        <row r="189">
          <cell r="S189">
            <v>74520</v>
          </cell>
        </row>
        <row r="190">
          <cell r="S190">
            <v>74543.25</v>
          </cell>
        </row>
        <row r="191">
          <cell r="S191">
            <v>74566.5</v>
          </cell>
        </row>
        <row r="192">
          <cell r="S192">
            <v>74589.75</v>
          </cell>
        </row>
        <row r="193">
          <cell r="S193">
            <v>74613</v>
          </cell>
        </row>
        <row r="194">
          <cell r="S194">
            <v>74636.25</v>
          </cell>
        </row>
        <row r="195">
          <cell r="S195">
            <v>74659.5</v>
          </cell>
        </row>
        <row r="196">
          <cell r="S196">
            <v>74682.75</v>
          </cell>
        </row>
        <row r="197">
          <cell r="S197">
            <v>74706</v>
          </cell>
        </row>
        <row r="198">
          <cell r="S198">
            <v>74706</v>
          </cell>
        </row>
        <row r="199">
          <cell r="S199">
            <v>74706</v>
          </cell>
        </row>
        <row r="200">
          <cell r="S200">
            <v>74706</v>
          </cell>
        </row>
        <row r="201">
          <cell r="S201">
            <v>74706</v>
          </cell>
        </row>
        <row r="202">
          <cell r="S202">
            <v>74706</v>
          </cell>
        </row>
        <row r="203">
          <cell r="S203">
            <v>74706</v>
          </cell>
        </row>
        <row r="204">
          <cell r="S204">
            <v>74706</v>
          </cell>
        </row>
        <row r="205">
          <cell r="S205">
            <v>74706</v>
          </cell>
        </row>
        <row r="206">
          <cell r="S206">
            <v>74706</v>
          </cell>
        </row>
        <row r="207">
          <cell r="S207">
            <v>74706</v>
          </cell>
        </row>
        <row r="208">
          <cell r="S208">
            <v>74706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ien Chen" refreshedDate="42544.659066087966" createdVersion="4" refreshedVersion="4" minRefreshableVersion="3" recordCount="1382">
  <cacheSource type="worksheet">
    <worksheetSource ref="B1:C1048576" sheet="Purchase Index"/>
  </cacheSource>
  <cacheFields count="2">
    <cacheField name="Month" numFmtId="0">
      <sharedItems containsNonDate="0" containsDate="1" containsString="0" containsBlank="1" minDate="1990-01-01T00:00:00" maxDate="2016-06-02T00:00:00" count="319">
        <d v="1990-01-01T00:00:00"/>
        <d v="1990-02-01T00:00:00"/>
        <d v="1990-03-01T00:00:00"/>
        <d v="1990-04-01T00:00:00"/>
        <d v="1990-05-01T00:00:00"/>
        <d v="1990-06-01T00:00:00"/>
        <d v="1990-07-01T00:00:00"/>
        <d v="1990-08-01T00:00:00"/>
        <d v="1990-09-01T00:00:00"/>
        <d v="1990-10-01T00:00:00"/>
        <d v="1990-11-01T00:00:00"/>
        <d v="1990-12-01T00:00:00"/>
        <d v="1991-01-01T00:00:00"/>
        <d v="1991-02-01T00:00:00"/>
        <d v="1991-03-01T00:00:00"/>
        <d v="1991-04-01T00:00:00"/>
        <d v="1991-05-01T00:00:00"/>
        <d v="1991-06-01T00:00:00"/>
        <d v="1991-07-01T00:00:00"/>
        <d v="1991-08-01T00:00:00"/>
        <d v="1991-09-01T00:00:00"/>
        <d v="1991-10-01T00:00:00"/>
        <d v="1991-11-01T00:00:00"/>
        <d v="1991-12-01T00:00:00"/>
        <d v="1992-01-01T00:00:00"/>
        <d v="1992-02-01T00:00:00"/>
        <d v="1992-03-01T00:00:00"/>
        <d v="1992-04-01T00:00:00"/>
        <d v="1992-05-01T00:00:00"/>
        <d v="1992-06-01T00:00:00"/>
        <d v="1992-07-01T00:00:00"/>
        <d v="1992-08-01T00:00:00"/>
        <d v="1992-09-01T00:00:00"/>
        <d v="1992-10-01T00:00:00"/>
        <d v="1992-11-01T00:00:00"/>
        <d v="1992-12-01T00:00:00"/>
        <d v="1993-01-01T00:00:00"/>
        <d v="1993-02-01T00:00:00"/>
        <d v="1993-03-01T00:00:00"/>
        <d v="1993-04-01T00:00:00"/>
        <d v="1993-05-01T00:00:00"/>
        <d v="1993-06-01T00:00:00"/>
        <d v="1993-07-01T00:00:00"/>
        <d v="1993-08-01T00:00:00"/>
        <d v="1993-09-01T00:00:00"/>
        <d v="1993-10-01T00:00:00"/>
        <d v="1993-11-01T00:00:00"/>
        <d v="1993-12-01T00:00:00"/>
        <d v="1994-01-01T00:00:00"/>
        <d v="1994-02-01T00:00:00"/>
        <d v="1994-03-01T00:00:00"/>
        <d v="1994-04-01T00:00:00"/>
        <d v="1994-05-01T00:00:00"/>
        <d v="1994-06-01T00:00:00"/>
        <d v="1994-07-01T00:00:00"/>
        <d v="1994-08-01T00:00:00"/>
        <d v="1994-09-01T00:00:00"/>
        <d v="1994-10-01T00:00:00"/>
        <d v="1994-11-01T00:00:00"/>
        <d v="1994-12-01T00:00:00"/>
        <d v="1995-01-01T00:00:00"/>
        <d v="1995-02-01T00:00:00"/>
        <d v="1995-03-01T00:00:00"/>
        <d v="1995-04-01T00:00:00"/>
        <d v="1995-05-01T00:00:00"/>
        <d v="1995-06-01T00:00:00"/>
        <d v="1995-07-01T00:00:00"/>
        <d v="1995-08-01T00:00:00"/>
        <d v="1995-09-01T00:00:00"/>
        <d v="1995-10-01T00:00:00"/>
        <d v="1995-11-01T00:00:00"/>
        <d v="1995-12-01T00:00:00"/>
        <d v="1996-01-01T00:00:00"/>
        <d v="1996-02-01T00:00:00"/>
        <d v="1996-03-01T00:00:00"/>
        <d v="1996-04-01T00:00:00"/>
        <d v="1996-05-01T00:00:00"/>
        <d v="1996-06-01T00:00:00"/>
        <d v="1996-07-01T00:00:00"/>
        <d v="1996-08-01T00:00:00"/>
        <d v="1996-09-01T00:00:00"/>
        <d v="1996-10-01T00:00:00"/>
        <d v="1996-11-01T00:00:00"/>
        <d v="1996-12-01T00:00:00"/>
        <d v="1997-01-01T00:00:00"/>
        <d v="1997-02-01T00:00:00"/>
        <d v="1997-03-01T00:00:00"/>
        <d v="1997-04-01T00:00:00"/>
        <d v="1997-05-01T00:00:00"/>
        <d v="1997-06-01T00:00:00"/>
        <d v="1997-07-01T00:00:00"/>
        <d v="1997-08-01T00:00:00"/>
        <d v="1997-09-01T00:00:00"/>
        <d v="1997-10-01T00:00:00"/>
        <d v="1997-11-01T00:00:00"/>
        <d v="1997-12-01T00:00:00"/>
        <d v="1998-01-01T00:00:00"/>
        <d v="1998-02-01T00:00:00"/>
        <d v="1998-03-01T00:00:00"/>
        <d v="1998-04-01T00:00:00"/>
        <d v="1998-05-01T00:00:00"/>
        <d v="1998-06-01T00:00:00"/>
        <d v="1998-07-01T00:00:00"/>
        <d v="1998-08-01T00:00:00"/>
        <d v="1998-09-01T00:00:00"/>
        <d v="1998-10-01T00:00:00"/>
        <d v="1998-11-01T00:00:00"/>
        <d v="1998-12-01T00:00:00"/>
        <d v="1999-01-01T00:00:00"/>
        <d v="1999-02-01T00:00:00"/>
        <d v="1999-03-01T00:00:00"/>
        <d v="1999-04-01T00:00:00"/>
        <d v="1999-05-01T00:00:00"/>
        <d v="1999-06-01T00:00:00"/>
        <d v="1999-07-01T00:00:00"/>
        <d v="1999-08-01T00:00:00"/>
        <d v="1999-09-01T00:00:00"/>
        <d v="1999-10-01T00:00:00"/>
        <d v="1999-11-01T00:00:00"/>
        <d v="1999-12-01T00:00:00"/>
        <d v="2000-01-01T00:00:00"/>
        <d v="2000-02-01T00:00:00"/>
        <d v="2000-03-01T00:00:00"/>
        <d v="2000-04-01T00:00:00"/>
        <d v="2000-05-01T00:00:00"/>
        <d v="2000-06-01T00:00:00"/>
        <d v="2000-07-01T00:00:00"/>
        <d v="2000-08-01T00:00:00"/>
        <d v="2000-09-01T00:00:00"/>
        <d v="2000-10-01T00:00:00"/>
        <d v="2000-11-01T00:00:00"/>
        <d v="2000-12-01T00:00:00"/>
        <d v="2001-01-01T00:00:00"/>
        <d v="2001-02-01T00:00:00"/>
        <d v="2001-03-01T00:00:00"/>
        <d v="2001-04-01T00:00:00"/>
        <d v="2001-05-01T00:00:00"/>
        <d v="2001-06-01T00:00:00"/>
        <d v="2001-07-01T00:00:00"/>
        <d v="2001-08-01T00:00:00"/>
        <d v="2001-09-01T00:00:00"/>
        <d v="2001-10-01T00:00:00"/>
        <d v="2001-11-01T00:00:00"/>
        <d v="2001-12-01T00:00:00"/>
        <d v="2002-01-01T00:00:00"/>
        <d v="2002-02-01T00:00:00"/>
        <d v="2002-03-01T00:00:00"/>
        <d v="2002-04-01T00:00:00"/>
        <d v="2002-05-01T00:00:00"/>
        <d v="2002-06-01T00:00:00"/>
        <d v="2002-07-01T00:00:00"/>
        <d v="2002-08-01T00:00:00"/>
        <d v="2002-09-01T00:00:00"/>
        <d v="2002-10-01T00:00:00"/>
        <d v="2002-11-01T00:00:00"/>
        <d v="2002-12-01T00:00:00"/>
        <d v="2003-01-01T00:00:00"/>
        <d v="2003-02-01T00:00:00"/>
        <d v="2003-03-01T00:00:00"/>
        <d v="2003-04-01T00:00:00"/>
        <d v="2003-05-01T00:00:00"/>
        <d v="2003-06-01T00:00:00"/>
        <d v="2003-07-01T00:00:00"/>
        <d v="2003-08-01T00:00:00"/>
        <d v="2003-09-01T00:00:00"/>
        <d v="2003-10-01T00:00:00"/>
        <d v="2003-11-01T00:00:00"/>
        <d v="2003-12-01T00:00:00"/>
        <d v="2004-01-01T00:00:00"/>
        <d v="2004-02-01T00:00:00"/>
        <d v="2004-03-01T00:00:00"/>
        <d v="2004-04-01T00:00:00"/>
        <d v="2004-05-01T00:00:00"/>
        <d v="2004-06-01T00:00:00"/>
        <d v="2004-07-01T00:00:00"/>
        <d v="2004-08-01T00:00:00"/>
        <d v="2004-09-01T00:00:00"/>
        <d v="2004-10-01T00:00:00"/>
        <d v="2004-11-01T00:00:00"/>
        <d v="2004-12-01T00:00:00"/>
        <d v="2005-01-01T00:00:00"/>
        <d v="2005-02-01T00:00:00"/>
        <d v="2005-03-01T00:00:00"/>
        <d v="2005-04-01T00:00:00"/>
        <d v="2005-05-01T00:00:00"/>
        <d v="2005-06-01T00:00:00"/>
        <d v="2005-07-01T00:00:00"/>
        <d v="2005-08-01T00:00:00"/>
        <d v="2005-09-01T00:00:00"/>
        <d v="2005-10-01T00:00:00"/>
        <d v="2005-11-01T00:00:00"/>
        <d v="2005-12-01T00:00:00"/>
        <d v="2006-01-01T00:00:00"/>
        <d v="2006-02-01T00:00:00"/>
        <d v="2006-03-01T00:00:00"/>
        <d v="2006-04-01T00:00:00"/>
        <d v="2006-05-01T00:00:00"/>
        <d v="2006-06-01T00:00:00"/>
        <d v="2006-07-01T00:00:00"/>
        <d v="2006-08-01T00:00:00"/>
        <d v="2006-09-01T00:00:00"/>
        <d v="2006-10-01T00:00:00"/>
        <d v="2006-11-01T00:00:00"/>
        <d v="2006-12-01T00:00:00"/>
        <d v="2007-01-01T00:00:00"/>
        <d v="2007-02-01T00:00:00"/>
        <d v="2007-03-01T00:00:00"/>
        <d v="2007-04-01T00:00:00"/>
        <d v="2007-05-01T00:00:00"/>
        <d v="2007-06-01T00:00:00"/>
        <d v="2007-07-01T00:00:00"/>
        <d v="2007-08-01T00:00:00"/>
        <d v="2007-09-01T00:00:00"/>
        <d v="2007-10-01T00:00:00"/>
        <d v="2007-11-01T00:00:00"/>
        <d v="2007-12-01T00:00:00"/>
        <d v="2008-01-01T00:00:00"/>
        <d v="2008-02-01T00:00:00"/>
        <d v="2008-03-01T00:00:00"/>
        <d v="2008-04-01T00:00:00"/>
        <d v="2008-05-01T00:00:00"/>
        <d v="2008-06-01T00:00:00"/>
        <d v="2008-07-01T00:00:00"/>
        <d v="2008-08-01T00:00:00"/>
        <d v="2008-09-01T00:00:00"/>
        <d v="2008-10-01T00:00:00"/>
        <d v="2008-11-01T00:00:00"/>
        <d v="2008-12-01T00:00:00"/>
        <d v="2009-01-01T00:00:00"/>
        <d v="2009-02-01T00:00:00"/>
        <d v="2009-03-01T00:00:00"/>
        <d v="2009-04-01T00:00:00"/>
        <d v="2009-05-01T00:00:00"/>
        <d v="2009-06-01T00:00:00"/>
        <d v="2009-07-01T00:00:00"/>
        <d v="2009-08-01T00:00:00"/>
        <d v="2009-09-01T00:00:00"/>
        <d v="2009-10-01T00:00:00"/>
        <d v="2009-11-01T00:00:00"/>
        <d v="2009-12-01T00:00:00"/>
        <d v="2010-01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10-09-01T00:00:00"/>
        <d v="2010-10-01T00:00:00"/>
        <d v="2010-11-01T00:00:00"/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  <d v="2012-01-01T00:00:00"/>
        <d v="2012-02-01T00:00:00"/>
        <d v="2012-03-01T00:00:00"/>
        <d v="2012-04-01T00:00:00"/>
        <d v="2012-05-01T00:00:00"/>
        <d v="2012-06-01T00:00:00"/>
        <d v="2012-07-01T00:00:00"/>
        <d v="2012-08-01T00:00:00"/>
        <d v="2012-09-01T00:00:00"/>
        <d v="2012-10-01T00:00:00"/>
        <d v="2012-11-01T00:00:00"/>
        <d v="2012-12-01T00:00:00"/>
        <d v="2013-01-01T00:00:00"/>
        <d v="2013-02-01T00:00:00"/>
        <d v="2013-03-01T00:00:00"/>
        <d v="2013-04-01T00:00:00"/>
        <d v="2013-05-01T00:00:00"/>
        <d v="2013-06-01T00:00:00"/>
        <d v="2013-07-01T00:00:00"/>
        <d v="2013-08-01T00:00:00"/>
        <d v="2013-09-01T00:00:00"/>
        <d v="2013-10-01T00:00:00"/>
        <d v="2013-11-01T00:00:00"/>
        <d v="2013-12-01T00:00:00"/>
        <d v="2014-01-01T00:00:00"/>
        <d v="2014-02-01T00:00:00"/>
        <d v="2014-03-01T00:00:00"/>
        <d v="2014-04-01T00:00:00"/>
        <d v="2014-05-01T00:00:00"/>
        <d v="2014-06-01T00:00:00"/>
        <d v="2014-07-01T00:00:00"/>
        <d v="2014-08-01T00:00:00"/>
        <d v="2014-09-01T00:00:00"/>
        <d v="2014-10-01T00:00:00"/>
        <d v="2014-11-01T00:00:00"/>
        <d v="2014-12-01T00:00:00"/>
        <d v="2015-01-01T00:00:00"/>
        <d v="2015-02-01T00:00:00"/>
        <d v="2015-03-01T00:00:00"/>
        <d v="2015-04-01T00:00:00"/>
        <d v="2015-05-01T00:00:00"/>
        <d v="2015-06-01T00:00:00"/>
        <d v="2015-07-01T00:00:00"/>
        <d v="2015-08-01T00:00:00"/>
        <d v="2015-09-01T00:00:00"/>
        <d v="2015-10-01T00:00:00"/>
        <d v="2015-11-01T00:00:00"/>
        <d v="2015-12-01T00:00:00"/>
        <d v="2016-01-01T00:00:00"/>
        <d v="2016-02-01T00:00:00"/>
        <d v="2016-03-01T00:00:00"/>
        <d v="2016-04-01T00:00:00"/>
        <d v="2016-05-01T00:00:00"/>
        <d v="2016-06-01T00:00:00"/>
        <m/>
      </sharedItems>
    </cacheField>
    <cacheField name="MBAVPRCH" numFmtId="0">
      <sharedItems containsString="0" containsBlank="1" containsNumber="1" minValue="53.5" maxValue="529.2999999999999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382">
  <r>
    <x v="0"/>
    <n v="80.2"/>
  </r>
  <r>
    <x v="0"/>
    <n v="83.3"/>
  </r>
  <r>
    <x v="0"/>
    <n v="101.2"/>
  </r>
  <r>
    <x v="0"/>
    <n v="104.9"/>
  </r>
  <r>
    <x v="1"/>
    <n v="95.3"/>
  </r>
  <r>
    <x v="1"/>
    <n v="93.2"/>
  </r>
  <r>
    <x v="1"/>
    <n v="93.4"/>
  </r>
  <r>
    <x v="1"/>
    <n v="118.8"/>
  </r>
  <r>
    <x v="2"/>
    <n v="95.5"/>
  </r>
  <r>
    <x v="2"/>
    <n v="88.7"/>
  </r>
  <r>
    <x v="2"/>
    <n v="86.7"/>
  </r>
  <r>
    <x v="2"/>
    <n v="94.3"/>
  </r>
  <r>
    <x v="2"/>
    <n v="96.2"/>
  </r>
  <r>
    <x v="3"/>
    <n v="86.7"/>
  </r>
  <r>
    <x v="3"/>
    <n v="114.2"/>
  </r>
  <r>
    <x v="3"/>
    <n v="81.2"/>
  </r>
  <r>
    <x v="3"/>
    <n v="82.9"/>
  </r>
  <r>
    <x v="4"/>
    <n v="81.5"/>
  </r>
  <r>
    <x v="4"/>
    <n v="85.8"/>
  </r>
  <r>
    <x v="4"/>
    <n v="85.2"/>
  </r>
  <r>
    <x v="4"/>
    <n v="89.5"/>
  </r>
  <r>
    <x v="5"/>
    <n v="101.1"/>
  </r>
  <r>
    <x v="5"/>
    <n v="99.8"/>
  </r>
  <r>
    <x v="5"/>
    <n v="91.8"/>
  </r>
  <r>
    <x v="5"/>
    <n v="81.5"/>
  </r>
  <r>
    <x v="5"/>
    <n v="85.8"/>
  </r>
  <r>
    <x v="6"/>
    <n v="98.4"/>
  </r>
  <r>
    <x v="6"/>
    <n v="84.2"/>
  </r>
  <r>
    <x v="6"/>
    <n v="86.5"/>
  </r>
  <r>
    <x v="6"/>
    <n v="85.5"/>
  </r>
  <r>
    <x v="7"/>
    <n v="93.6"/>
  </r>
  <r>
    <x v="7"/>
    <n v="102.6"/>
  </r>
  <r>
    <x v="7"/>
    <n v="82.3"/>
  </r>
  <r>
    <x v="7"/>
    <n v="90.7"/>
  </r>
  <r>
    <x v="7"/>
    <n v="76.7"/>
  </r>
  <r>
    <x v="8"/>
    <n v="76"/>
  </r>
  <r>
    <x v="8"/>
    <n v="82.9"/>
  </r>
  <r>
    <x v="8"/>
    <n v="81.900000000000006"/>
  </r>
  <r>
    <x v="8"/>
    <n v="81"/>
  </r>
  <r>
    <x v="9"/>
    <n v="81.3"/>
  </r>
  <r>
    <x v="9"/>
    <n v="83.6"/>
  </r>
  <r>
    <x v="9"/>
    <n v="63.4"/>
  </r>
  <r>
    <x v="9"/>
    <n v="71.5"/>
  </r>
  <r>
    <x v="10"/>
    <n v="79.8"/>
  </r>
  <r>
    <x v="10"/>
    <n v="82"/>
  </r>
  <r>
    <x v="10"/>
    <n v="79.599999999999994"/>
  </r>
  <r>
    <x v="10"/>
    <n v="75.5"/>
  </r>
  <r>
    <x v="10"/>
    <n v="92.3"/>
  </r>
  <r>
    <x v="11"/>
    <n v="88.7"/>
  </r>
  <r>
    <x v="11"/>
    <n v="92.9"/>
  </r>
  <r>
    <x v="11"/>
    <n v="80.5"/>
  </r>
  <r>
    <x v="11"/>
    <n v="53.5"/>
  </r>
  <r>
    <x v="12"/>
    <n v="67.2"/>
  </r>
  <r>
    <x v="12"/>
    <n v="108"/>
  </r>
  <r>
    <x v="12"/>
    <n v="92.4"/>
  </r>
  <r>
    <x v="12"/>
    <n v="81.900000000000006"/>
  </r>
  <r>
    <x v="13"/>
    <n v="77.8"/>
  </r>
  <r>
    <x v="13"/>
    <n v="84.4"/>
  </r>
  <r>
    <x v="13"/>
    <n v="92"/>
  </r>
  <r>
    <x v="13"/>
    <n v="141"/>
  </r>
  <r>
    <x v="14"/>
    <n v="108"/>
  </r>
  <r>
    <x v="14"/>
    <n v="96.1"/>
  </r>
  <r>
    <x v="14"/>
    <n v="103.3"/>
  </r>
  <r>
    <x v="14"/>
    <n v="118.4"/>
  </r>
  <r>
    <x v="14"/>
    <n v="147.19999999999999"/>
  </r>
  <r>
    <x v="15"/>
    <n v="105.5"/>
  </r>
  <r>
    <x v="15"/>
    <n v="112.4"/>
  </r>
  <r>
    <x v="15"/>
    <n v="113.2"/>
  </r>
  <r>
    <x v="15"/>
    <n v="116.9"/>
  </r>
  <r>
    <x v="16"/>
    <n v="106.7"/>
  </r>
  <r>
    <x v="16"/>
    <n v="113.3"/>
  </r>
  <r>
    <x v="16"/>
    <n v="117.7"/>
  </r>
  <r>
    <x v="16"/>
    <n v="119.8"/>
  </r>
  <r>
    <x v="16"/>
    <n v="129.1"/>
  </r>
  <r>
    <x v="17"/>
    <n v="128.19999999999999"/>
  </r>
  <r>
    <x v="17"/>
    <n v="109.7"/>
  </r>
  <r>
    <x v="17"/>
    <n v="107.1"/>
  </r>
  <r>
    <x v="17"/>
    <n v="110.5"/>
  </r>
  <r>
    <x v="18"/>
    <n v="121.6"/>
  </r>
  <r>
    <x v="18"/>
    <n v="111.9"/>
  </r>
  <r>
    <x v="18"/>
    <n v="130.19999999999999"/>
  </r>
  <r>
    <x v="18"/>
    <n v="103.8"/>
  </r>
  <r>
    <x v="19"/>
    <n v="105.2"/>
  </r>
  <r>
    <x v="19"/>
    <n v="101.7"/>
  </r>
  <r>
    <x v="19"/>
    <n v="100.3"/>
  </r>
  <r>
    <x v="19"/>
    <n v="108.5"/>
  </r>
  <r>
    <x v="19"/>
    <n v="110.6"/>
  </r>
  <r>
    <x v="20"/>
    <n v="104.8"/>
  </r>
  <r>
    <x v="20"/>
    <n v="109.1"/>
  </r>
  <r>
    <x v="20"/>
    <n v="102.7"/>
  </r>
  <r>
    <x v="20"/>
    <n v="111"/>
  </r>
  <r>
    <x v="21"/>
    <n v="104.7"/>
  </r>
  <r>
    <x v="21"/>
    <n v="126.4"/>
  </r>
  <r>
    <x v="21"/>
    <n v="108.2"/>
  </r>
  <r>
    <x v="21"/>
    <n v="109.6"/>
  </r>
  <r>
    <x v="22"/>
    <n v="99.2"/>
  </r>
  <r>
    <x v="22"/>
    <n v="106.3"/>
  </r>
  <r>
    <x v="22"/>
    <n v="113.9"/>
  </r>
  <r>
    <x v="22"/>
    <n v="106.1"/>
  </r>
  <r>
    <x v="22"/>
    <n v="92"/>
  </r>
  <r>
    <x v="23"/>
    <n v="107.7"/>
  </r>
  <r>
    <x v="23"/>
    <n v="115.1"/>
  </r>
  <r>
    <x v="23"/>
    <n v="99.4"/>
  </r>
  <r>
    <x v="23"/>
    <n v="78.8"/>
  </r>
  <r>
    <x v="24"/>
    <n v="92.8"/>
  </r>
  <r>
    <x v="24"/>
    <n v="122.2"/>
  </r>
  <r>
    <x v="24"/>
    <n v="148.9"/>
  </r>
  <r>
    <x v="24"/>
    <n v="144.4"/>
  </r>
  <r>
    <x v="24"/>
    <n v="155.9"/>
  </r>
  <r>
    <x v="25"/>
    <n v="143.6"/>
  </r>
  <r>
    <x v="25"/>
    <n v="138.4"/>
  </r>
  <r>
    <x v="25"/>
    <n v="132.6"/>
  </r>
  <r>
    <x v="25"/>
    <n v="102.9"/>
  </r>
  <r>
    <x v="26"/>
    <n v="115.2"/>
  </r>
  <r>
    <x v="26"/>
    <n v="118.8"/>
  </r>
  <r>
    <x v="26"/>
    <n v="111.8"/>
  </r>
  <r>
    <x v="26"/>
    <n v="117.9"/>
  </r>
  <r>
    <x v="27"/>
    <n v="104.1"/>
  </r>
  <r>
    <x v="27"/>
    <n v="109.6"/>
  </r>
  <r>
    <x v="27"/>
    <n v="146.6"/>
  </r>
  <r>
    <x v="27"/>
    <n v="111.5"/>
  </r>
  <r>
    <x v="28"/>
    <n v="110.9"/>
  </r>
  <r>
    <x v="28"/>
    <n v="112.2"/>
  </r>
  <r>
    <x v="28"/>
    <n v="112"/>
  </r>
  <r>
    <x v="28"/>
    <n v="116.3"/>
  </r>
  <r>
    <x v="28"/>
    <n v="136.9"/>
  </r>
  <r>
    <x v="29"/>
    <n v="117.3"/>
  </r>
  <r>
    <x v="29"/>
    <n v="118.4"/>
  </r>
  <r>
    <x v="29"/>
    <n v="117.6"/>
  </r>
  <r>
    <x v="29"/>
    <n v="114.9"/>
  </r>
  <r>
    <x v="30"/>
    <n v="128.80000000000001"/>
  </r>
  <r>
    <x v="30"/>
    <n v="114.5"/>
  </r>
  <r>
    <x v="30"/>
    <n v="147.6"/>
  </r>
  <r>
    <x v="30"/>
    <n v="143.6"/>
  </r>
  <r>
    <x v="30"/>
    <n v="157.69999999999999"/>
  </r>
  <r>
    <x v="31"/>
    <n v="130"/>
  </r>
  <r>
    <x v="31"/>
    <n v="142.4"/>
  </r>
  <r>
    <x v="31"/>
    <n v="152.4"/>
  </r>
  <r>
    <x v="31"/>
    <n v="146.19999999999999"/>
  </r>
  <r>
    <x v="32"/>
    <n v="140.9"/>
  </r>
  <r>
    <x v="32"/>
    <n v="169.5"/>
  </r>
  <r>
    <x v="32"/>
    <n v="150.30000000000001"/>
  </r>
  <r>
    <x v="32"/>
    <n v="128"/>
  </r>
  <r>
    <x v="33"/>
    <n v="132.19999999999999"/>
  </r>
  <r>
    <x v="33"/>
    <n v="131.19999999999999"/>
  </r>
  <r>
    <x v="33"/>
    <n v="134.30000000000001"/>
  </r>
  <r>
    <x v="33"/>
    <n v="148.6"/>
  </r>
  <r>
    <x v="33"/>
    <n v="148.1"/>
  </r>
  <r>
    <x v="34"/>
    <n v="163.9"/>
  </r>
  <r>
    <x v="34"/>
    <n v="138.80000000000001"/>
  </r>
  <r>
    <x v="34"/>
    <n v="147.19999999999999"/>
  </r>
  <r>
    <x v="34"/>
    <n v="102.8"/>
  </r>
  <r>
    <x v="35"/>
    <n v="136.1"/>
  </r>
  <r>
    <x v="35"/>
    <n v="152"/>
  </r>
  <r>
    <x v="35"/>
    <n v="132.1"/>
  </r>
  <r>
    <x v="35"/>
    <n v="120.7"/>
  </r>
  <r>
    <x v="36"/>
    <n v="176"/>
  </r>
  <r>
    <x v="36"/>
    <n v="120.2"/>
  </r>
  <r>
    <x v="36"/>
    <n v="124.9"/>
  </r>
  <r>
    <x v="36"/>
    <n v="125"/>
  </r>
  <r>
    <x v="36"/>
    <n v="143.9"/>
  </r>
  <r>
    <x v="37"/>
    <n v="140.69999999999999"/>
  </r>
  <r>
    <x v="37"/>
    <n v="141.5"/>
  </r>
  <r>
    <x v="37"/>
    <n v="194.6"/>
  </r>
  <r>
    <x v="37"/>
    <n v="139.30000000000001"/>
  </r>
  <r>
    <x v="38"/>
    <n v="145.19999999999999"/>
  </r>
  <r>
    <x v="38"/>
    <n v="147.69999999999999"/>
  </r>
  <r>
    <x v="38"/>
    <n v="145.6"/>
  </r>
  <r>
    <x v="38"/>
    <n v="162.9"/>
  </r>
  <r>
    <x v="39"/>
    <n v="161.4"/>
  </r>
  <r>
    <x v="39"/>
    <n v="192.3"/>
  </r>
  <r>
    <x v="39"/>
    <n v="156.30000000000001"/>
  </r>
  <r>
    <x v="39"/>
    <n v="155.9"/>
  </r>
  <r>
    <x v="39"/>
    <n v="167.6"/>
  </r>
  <r>
    <x v="40"/>
    <n v="143.1"/>
  </r>
  <r>
    <x v="40"/>
    <n v="151.4"/>
  </r>
  <r>
    <x v="40"/>
    <n v="149.4"/>
  </r>
  <r>
    <x v="40"/>
    <n v="156.80000000000001"/>
  </r>
  <r>
    <x v="41"/>
    <n v="171.6"/>
  </r>
  <r>
    <x v="41"/>
    <n v="154.19999999999999"/>
  </r>
  <r>
    <x v="41"/>
    <n v="158.69999999999999"/>
  </r>
  <r>
    <x v="41"/>
    <n v="146.9"/>
  </r>
  <r>
    <x v="42"/>
    <n v="163.19999999999999"/>
  </r>
  <r>
    <x v="42"/>
    <n v="175.4"/>
  </r>
  <r>
    <x v="42"/>
    <n v="157.1"/>
  </r>
  <r>
    <x v="42"/>
    <n v="179.9"/>
  </r>
  <r>
    <x v="42"/>
    <n v="155.30000000000001"/>
  </r>
  <r>
    <x v="43"/>
    <n v="154.19999999999999"/>
  </r>
  <r>
    <x v="43"/>
    <n v="151.1"/>
  </r>
  <r>
    <x v="43"/>
    <n v="146.69999999999999"/>
  </r>
  <r>
    <x v="43"/>
    <n v="154.4"/>
  </r>
  <r>
    <x v="44"/>
    <n v="173.2"/>
  </r>
  <r>
    <x v="44"/>
    <n v="180.6"/>
  </r>
  <r>
    <x v="44"/>
    <n v="186"/>
  </r>
  <r>
    <x v="44"/>
    <n v="168.2"/>
  </r>
  <r>
    <x v="45"/>
    <n v="164.3"/>
  </r>
  <r>
    <x v="45"/>
    <n v="158.19999999999999"/>
  </r>
  <r>
    <x v="45"/>
    <n v="170.4"/>
  </r>
  <r>
    <x v="45"/>
    <n v="167"/>
  </r>
  <r>
    <x v="45"/>
    <n v="160"/>
  </r>
  <r>
    <x v="46"/>
    <n v="170.9"/>
  </r>
  <r>
    <x v="46"/>
    <n v="167.3"/>
  </r>
  <r>
    <x v="46"/>
    <n v="181.1"/>
  </r>
  <r>
    <x v="46"/>
    <n v="129.6"/>
  </r>
  <r>
    <x v="47"/>
    <n v="173"/>
  </r>
  <r>
    <x v="47"/>
    <n v="174.2"/>
  </r>
  <r>
    <x v="47"/>
    <n v="160.4"/>
  </r>
  <r>
    <x v="47"/>
    <n v="111.9"/>
  </r>
  <r>
    <x v="47"/>
    <n v="137.5"/>
  </r>
  <r>
    <x v="48"/>
    <n v="111.9"/>
  </r>
  <r>
    <x v="48"/>
    <n v="154.1"/>
  </r>
  <r>
    <x v="48"/>
    <n v="129.80000000000001"/>
  </r>
  <r>
    <x v="48"/>
    <n v="143.30000000000001"/>
  </r>
  <r>
    <x v="49"/>
    <n v="156.69999999999999"/>
  </r>
  <r>
    <x v="49"/>
    <n v="135.1"/>
  </r>
  <r>
    <x v="49"/>
    <n v="141"/>
  </r>
  <r>
    <x v="49"/>
    <n v="187.4"/>
  </r>
  <r>
    <x v="50"/>
    <n v="154.9"/>
  </r>
  <r>
    <x v="50"/>
    <n v="145.6"/>
  </r>
  <r>
    <x v="50"/>
    <n v="142.30000000000001"/>
  </r>
  <r>
    <x v="50"/>
    <n v="160.6"/>
  </r>
  <r>
    <x v="51"/>
    <n v="204.9"/>
  </r>
  <r>
    <x v="51"/>
    <n v="146.19999999999999"/>
  </r>
  <r>
    <x v="51"/>
    <n v="144.80000000000001"/>
  </r>
  <r>
    <x v="51"/>
    <n v="158.19999999999999"/>
  </r>
  <r>
    <x v="51"/>
    <n v="151.30000000000001"/>
  </r>
  <r>
    <x v="52"/>
    <n v="145.5"/>
  </r>
  <r>
    <x v="52"/>
    <n v="143.69999999999999"/>
  </r>
  <r>
    <x v="52"/>
    <n v="154.80000000000001"/>
  </r>
  <r>
    <x v="52"/>
    <n v="139.6"/>
  </r>
  <r>
    <x v="53"/>
    <n v="147.80000000000001"/>
  </r>
  <r>
    <x v="53"/>
    <n v="148.69999999999999"/>
  </r>
  <r>
    <x v="53"/>
    <n v="143.80000000000001"/>
  </r>
  <r>
    <x v="53"/>
    <n v="140.4"/>
  </r>
  <r>
    <x v="54"/>
    <n v="147.19999999999999"/>
  </r>
  <r>
    <x v="54"/>
    <n v="150.19999999999999"/>
  </r>
  <r>
    <x v="54"/>
    <n v="136.9"/>
  </r>
  <r>
    <x v="54"/>
    <n v="146.19999999999999"/>
  </r>
  <r>
    <x v="54"/>
    <n v="139.9"/>
  </r>
  <r>
    <x v="55"/>
    <n v="147.1"/>
  </r>
  <r>
    <x v="55"/>
    <n v="139"/>
  </r>
  <r>
    <x v="55"/>
    <n v="150.5"/>
  </r>
  <r>
    <x v="55"/>
    <n v="130.4"/>
  </r>
  <r>
    <x v="56"/>
    <n v="137.19999999999999"/>
  </r>
  <r>
    <x v="56"/>
    <n v="139.6"/>
  </r>
  <r>
    <x v="56"/>
    <n v="134.69999999999999"/>
  </r>
  <r>
    <x v="56"/>
    <n v="136.80000000000001"/>
  </r>
  <r>
    <x v="56"/>
    <n v="142.1"/>
  </r>
  <r>
    <x v="57"/>
    <n v="142"/>
  </r>
  <r>
    <x v="57"/>
    <n v="133.30000000000001"/>
  </r>
  <r>
    <x v="57"/>
    <n v="134.1"/>
  </r>
  <r>
    <x v="57"/>
    <n v="131.69999999999999"/>
  </r>
  <r>
    <x v="58"/>
    <n v="136.80000000000001"/>
  </r>
  <r>
    <x v="58"/>
    <n v="133.4"/>
  </r>
  <r>
    <x v="58"/>
    <n v="167.5"/>
  </r>
  <r>
    <x v="58"/>
    <n v="105"/>
  </r>
  <r>
    <x v="59"/>
    <n v="139.69999999999999"/>
  </r>
  <r>
    <x v="59"/>
    <n v="140.6"/>
  </r>
  <r>
    <x v="59"/>
    <n v="133.9"/>
  </r>
  <r>
    <x v="59"/>
    <n v="112.7"/>
  </r>
  <r>
    <x v="59"/>
    <n v="95.7"/>
  </r>
  <r>
    <x v="60"/>
    <n v="125.3"/>
  </r>
  <r>
    <x v="60"/>
    <n v="124.9"/>
  </r>
  <r>
    <x v="60"/>
    <n v="130.4"/>
  </r>
  <r>
    <x v="60"/>
    <n v="138"/>
  </r>
  <r>
    <x v="61"/>
    <n v="154.1"/>
  </r>
  <r>
    <x v="61"/>
    <n v="125.3"/>
  </r>
  <r>
    <x v="61"/>
    <n v="113.9"/>
  </r>
  <r>
    <x v="61"/>
    <n v="163.4"/>
  </r>
  <r>
    <x v="62"/>
    <n v="134.19999999999999"/>
  </r>
  <r>
    <x v="62"/>
    <n v="135.19999999999999"/>
  </r>
  <r>
    <x v="62"/>
    <n v="143.19999999999999"/>
  </r>
  <r>
    <x v="62"/>
    <n v="138.69999999999999"/>
  </r>
  <r>
    <x v="62"/>
    <n v="146"/>
  </r>
  <r>
    <x v="63"/>
    <n v="136.80000000000001"/>
  </r>
  <r>
    <x v="63"/>
    <n v="177.9"/>
  </r>
  <r>
    <x v="63"/>
    <n v="138.69999999999999"/>
  </r>
  <r>
    <x v="63"/>
    <n v="146.69999999999999"/>
  </r>
  <r>
    <x v="64"/>
    <n v="145.69999999999999"/>
  </r>
  <r>
    <x v="64"/>
    <n v="173.8"/>
  </r>
  <r>
    <x v="64"/>
    <n v="153.9"/>
  </r>
  <r>
    <x v="64"/>
    <n v="151.19999999999999"/>
  </r>
  <r>
    <x v="65"/>
    <n v="183.2"/>
  </r>
  <r>
    <x v="65"/>
    <n v="184.6"/>
  </r>
  <r>
    <x v="65"/>
    <n v="169.8"/>
  </r>
  <r>
    <x v="65"/>
    <n v="157.80000000000001"/>
  </r>
  <r>
    <x v="65"/>
    <n v="165.8"/>
  </r>
  <r>
    <x v="66"/>
    <n v="153.19999999999999"/>
  </r>
  <r>
    <x v="66"/>
    <n v="174.8"/>
  </r>
  <r>
    <x v="66"/>
    <n v="165.5"/>
  </r>
  <r>
    <x v="66"/>
    <n v="153.4"/>
  </r>
  <r>
    <x v="67"/>
    <n v="156.69999999999999"/>
  </r>
  <r>
    <x v="67"/>
    <n v="155.6"/>
  </r>
  <r>
    <x v="67"/>
    <n v="151.30000000000001"/>
  </r>
  <r>
    <x v="67"/>
    <n v="153.80000000000001"/>
  </r>
  <r>
    <x v="68"/>
    <n v="185.8"/>
  </r>
  <r>
    <x v="68"/>
    <n v="190.7"/>
  </r>
  <r>
    <x v="68"/>
    <n v="184.6"/>
  </r>
  <r>
    <x v="68"/>
    <n v="202.1"/>
  </r>
  <r>
    <x v="68"/>
    <n v="180.3"/>
  </r>
  <r>
    <x v="69"/>
    <n v="180.7"/>
  </r>
  <r>
    <x v="69"/>
    <n v="184.6"/>
  </r>
  <r>
    <x v="69"/>
    <n v="193.7"/>
  </r>
  <r>
    <x v="69"/>
    <n v="188.9"/>
  </r>
  <r>
    <x v="70"/>
    <n v="183.7"/>
  </r>
  <r>
    <x v="70"/>
    <n v="199.1"/>
  </r>
  <r>
    <x v="70"/>
    <n v="197.7"/>
  </r>
  <r>
    <x v="70"/>
    <n v="173"/>
  </r>
  <r>
    <x v="71"/>
    <n v="198.6"/>
  </r>
  <r>
    <x v="71"/>
    <n v="213.9"/>
  </r>
  <r>
    <x v="71"/>
    <n v="190"/>
  </r>
  <r>
    <x v="71"/>
    <n v="218.3"/>
  </r>
  <r>
    <x v="71"/>
    <n v="202.6"/>
  </r>
  <r>
    <x v="72"/>
    <n v="170.4"/>
  </r>
  <r>
    <x v="72"/>
    <n v="165.8"/>
  </r>
  <r>
    <x v="72"/>
    <n v="180.9"/>
  </r>
  <r>
    <x v="72"/>
    <n v="189.8"/>
  </r>
  <r>
    <x v="73"/>
    <n v="163.30000000000001"/>
  </r>
  <r>
    <x v="73"/>
    <n v="157.4"/>
  </r>
  <r>
    <x v="73"/>
    <n v="173"/>
  </r>
  <r>
    <x v="73"/>
    <n v="199.9"/>
  </r>
  <r>
    <x v="74"/>
    <n v="181.3"/>
  </r>
  <r>
    <x v="74"/>
    <n v="173.4"/>
  </r>
  <r>
    <x v="74"/>
    <n v="176.4"/>
  </r>
  <r>
    <x v="74"/>
    <n v="164.9"/>
  </r>
  <r>
    <x v="74"/>
    <n v="200.5"/>
  </r>
  <r>
    <x v="75"/>
    <n v="195.1"/>
  </r>
  <r>
    <x v="75"/>
    <n v="166.7"/>
  </r>
  <r>
    <x v="75"/>
    <n v="172.4"/>
  </r>
  <r>
    <x v="75"/>
    <n v="175.2"/>
  </r>
  <r>
    <x v="76"/>
    <n v="209.6"/>
  </r>
  <r>
    <x v="76"/>
    <n v="172"/>
  </r>
  <r>
    <x v="76"/>
    <n v="175.5"/>
  </r>
  <r>
    <x v="76"/>
    <n v="178.4"/>
  </r>
  <r>
    <x v="76"/>
    <n v="210.2"/>
  </r>
  <r>
    <x v="77"/>
    <n v="183.9"/>
  </r>
  <r>
    <x v="77"/>
    <n v="181.4"/>
  </r>
  <r>
    <x v="77"/>
    <n v="175.5"/>
  </r>
  <r>
    <x v="77"/>
    <n v="193.9"/>
  </r>
  <r>
    <x v="78"/>
    <n v="197.6"/>
  </r>
  <r>
    <x v="78"/>
    <n v="167"/>
  </r>
  <r>
    <x v="78"/>
    <n v="184.8"/>
  </r>
  <r>
    <x v="78"/>
    <n v="176.6"/>
  </r>
  <r>
    <x v="79"/>
    <n v="189.9"/>
  </r>
  <r>
    <x v="79"/>
    <n v="176.3"/>
  </r>
  <r>
    <x v="79"/>
    <n v="177.6"/>
  </r>
  <r>
    <x v="79"/>
    <n v="172.8"/>
  </r>
  <r>
    <x v="79"/>
    <n v="193.5"/>
  </r>
  <r>
    <x v="80"/>
    <n v="188.9"/>
  </r>
  <r>
    <x v="80"/>
    <n v="179.9"/>
  </r>
  <r>
    <x v="80"/>
    <n v="192.4"/>
  </r>
  <r>
    <x v="80"/>
    <n v="184.3"/>
  </r>
  <r>
    <x v="81"/>
    <n v="182.4"/>
  </r>
  <r>
    <x v="81"/>
    <n v="189.1"/>
  </r>
  <r>
    <x v="81"/>
    <n v="179.2"/>
  </r>
  <r>
    <x v="81"/>
    <n v="178.4"/>
  </r>
  <r>
    <x v="82"/>
    <n v="189.7"/>
  </r>
  <r>
    <x v="82"/>
    <n v="194.2"/>
  </r>
  <r>
    <x v="82"/>
    <n v="196.3"/>
  </r>
  <r>
    <x v="82"/>
    <n v="198.7"/>
  </r>
  <r>
    <x v="82"/>
    <n v="220.5"/>
  </r>
  <r>
    <x v="83"/>
    <n v="219.2"/>
  </r>
  <r>
    <x v="83"/>
    <n v="204.7"/>
  </r>
  <r>
    <x v="83"/>
    <n v="180"/>
  </r>
  <r>
    <x v="83"/>
    <n v="156.80000000000001"/>
  </r>
  <r>
    <x v="84"/>
    <n v="206.9"/>
  </r>
  <r>
    <x v="84"/>
    <n v="178.3"/>
  </r>
  <r>
    <x v="84"/>
    <n v="180"/>
  </r>
  <r>
    <x v="84"/>
    <n v="179.6"/>
  </r>
  <r>
    <x v="84"/>
    <n v="176.6"/>
  </r>
  <r>
    <x v="85"/>
    <n v="177.8"/>
  </r>
  <r>
    <x v="85"/>
    <n v="167.3"/>
  </r>
  <r>
    <x v="85"/>
    <n v="205.3"/>
  </r>
  <r>
    <x v="85"/>
    <n v="186.4"/>
  </r>
  <r>
    <x v="86"/>
    <n v="176"/>
  </r>
  <r>
    <x v="86"/>
    <n v="189"/>
  </r>
  <r>
    <x v="86"/>
    <n v="197.2"/>
  </r>
  <r>
    <x v="86"/>
    <n v="257.3"/>
  </r>
  <r>
    <x v="87"/>
    <n v="174"/>
  </r>
  <r>
    <x v="87"/>
    <n v="176.3"/>
  </r>
  <r>
    <x v="87"/>
    <n v="181.2"/>
  </r>
  <r>
    <x v="87"/>
    <n v="187.7"/>
  </r>
  <r>
    <x v="88"/>
    <n v="189.4"/>
  </r>
  <r>
    <x v="88"/>
    <n v="205.1"/>
  </r>
  <r>
    <x v="88"/>
    <n v="192"/>
  </r>
  <r>
    <x v="88"/>
    <n v="191.1"/>
  </r>
  <r>
    <x v="88"/>
    <n v="187.2"/>
  </r>
  <r>
    <x v="89"/>
    <n v="206.4"/>
  </r>
  <r>
    <x v="89"/>
    <n v="210.1"/>
  </r>
  <r>
    <x v="89"/>
    <n v="206.5"/>
  </r>
  <r>
    <x v="89"/>
    <n v="208"/>
  </r>
  <r>
    <x v="90"/>
    <n v="218.6"/>
  </r>
  <r>
    <x v="90"/>
    <n v="212.9"/>
  </r>
  <r>
    <x v="90"/>
    <n v="208.4"/>
  </r>
  <r>
    <x v="90"/>
    <n v="205.9"/>
  </r>
  <r>
    <x v="91"/>
    <n v="211.7"/>
  </r>
  <r>
    <x v="91"/>
    <n v="220.5"/>
  </r>
  <r>
    <x v="91"/>
    <n v="211.8"/>
  </r>
  <r>
    <x v="91"/>
    <n v="219.8"/>
  </r>
  <r>
    <x v="91"/>
    <n v="205.8"/>
  </r>
  <r>
    <x v="92"/>
    <n v="214.7"/>
  </r>
  <r>
    <x v="92"/>
    <n v="214.3"/>
  </r>
  <r>
    <x v="92"/>
    <n v="227.3"/>
  </r>
  <r>
    <x v="92"/>
    <n v="217"/>
  </r>
  <r>
    <x v="93"/>
    <n v="220"/>
  </r>
  <r>
    <x v="93"/>
    <n v="234.6"/>
  </r>
  <r>
    <x v="93"/>
    <n v="207.8"/>
  </r>
  <r>
    <x v="93"/>
    <n v="204.3"/>
  </r>
  <r>
    <x v="93"/>
    <n v="233.9"/>
  </r>
  <r>
    <x v="94"/>
    <n v="202.1"/>
  </r>
  <r>
    <x v="94"/>
    <n v="227"/>
  </r>
  <r>
    <x v="94"/>
    <n v="224.1"/>
  </r>
  <r>
    <x v="94"/>
    <n v="246.1"/>
  </r>
  <r>
    <x v="95"/>
    <n v="235.7"/>
  </r>
  <r>
    <x v="95"/>
    <n v="234.9"/>
  </r>
  <r>
    <x v="95"/>
    <n v="217.8"/>
  </r>
  <r>
    <x v="95"/>
    <n v="223.1"/>
  </r>
  <r>
    <x v="96"/>
    <n v="234.1"/>
  </r>
  <r>
    <x v="96"/>
    <n v="266"/>
  </r>
  <r>
    <x v="96"/>
    <n v="283.60000000000002"/>
  </r>
  <r>
    <x v="96"/>
    <n v="313.39999999999998"/>
  </r>
  <r>
    <x v="96"/>
    <n v="253.8"/>
  </r>
  <r>
    <x v="97"/>
    <n v="249.4"/>
  </r>
  <r>
    <x v="97"/>
    <n v="222.5"/>
  </r>
  <r>
    <x v="97"/>
    <n v="250.8"/>
  </r>
  <r>
    <x v="97"/>
    <n v="217.3"/>
  </r>
  <r>
    <x v="98"/>
    <n v="225.4"/>
  </r>
  <r>
    <x v="98"/>
    <n v="217.2"/>
  </r>
  <r>
    <x v="98"/>
    <n v="234.1"/>
  </r>
  <r>
    <x v="98"/>
    <n v="222.2"/>
  </r>
  <r>
    <x v="99"/>
    <n v="248.8"/>
  </r>
  <r>
    <x v="99"/>
    <n v="287.3"/>
  </r>
  <r>
    <x v="99"/>
    <n v="227.3"/>
  </r>
  <r>
    <x v="99"/>
    <n v="241.4"/>
  </r>
  <r>
    <x v="100"/>
    <n v="282.5"/>
  </r>
  <r>
    <x v="100"/>
    <n v="279.2"/>
  </r>
  <r>
    <x v="100"/>
    <n v="254.8"/>
  </r>
  <r>
    <x v="100"/>
    <n v="248.1"/>
  </r>
  <r>
    <x v="100"/>
    <n v="259.8"/>
  </r>
  <r>
    <x v="101"/>
    <n v="272.10000000000002"/>
  </r>
  <r>
    <x v="101"/>
    <n v="262.10000000000002"/>
  </r>
  <r>
    <x v="101"/>
    <n v="274.60000000000002"/>
  </r>
  <r>
    <x v="101"/>
    <n v="241.3"/>
  </r>
  <r>
    <x v="102"/>
    <n v="286.39999999999998"/>
  </r>
  <r>
    <x v="102"/>
    <n v="262.5"/>
  </r>
  <r>
    <x v="102"/>
    <n v="255"/>
  </r>
  <r>
    <x v="102"/>
    <n v="252.4"/>
  </r>
  <r>
    <x v="102"/>
    <n v="257.2"/>
  </r>
  <r>
    <x v="103"/>
    <n v="254.7"/>
  </r>
  <r>
    <x v="103"/>
    <n v="251.4"/>
  </r>
  <r>
    <x v="103"/>
    <n v="243.1"/>
  </r>
  <r>
    <x v="103"/>
    <n v="269.39999999999998"/>
  </r>
  <r>
    <x v="104"/>
    <n v="305.10000000000002"/>
  </r>
  <r>
    <x v="104"/>
    <n v="302.5"/>
  </r>
  <r>
    <x v="104"/>
    <n v="278.3"/>
  </r>
  <r>
    <x v="104"/>
    <n v="283.60000000000002"/>
  </r>
  <r>
    <x v="105"/>
    <n v="304"/>
  </r>
  <r>
    <x v="105"/>
    <n v="343.1"/>
  </r>
  <r>
    <x v="105"/>
    <n v="296.89999999999998"/>
  </r>
  <r>
    <x v="105"/>
    <n v="299.60000000000002"/>
  </r>
  <r>
    <x v="105"/>
    <n v="249.3"/>
  </r>
  <r>
    <x v="106"/>
    <n v="291.89999999999998"/>
  </r>
  <r>
    <x v="106"/>
    <n v="295.8"/>
  </r>
  <r>
    <x v="106"/>
    <n v="259.3"/>
  </r>
  <r>
    <x v="106"/>
    <n v="293.8"/>
  </r>
  <r>
    <x v="107"/>
    <n v="299.60000000000002"/>
  </r>
  <r>
    <x v="107"/>
    <n v="277.2"/>
  </r>
  <r>
    <x v="107"/>
    <n v="268.5"/>
  </r>
  <r>
    <x v="107"/>
    <n v="279.8"/>
  </r>
  <r>
    <x v="108"/>
    <n v="249"/>
  </r>
  <r>
    <x v="108"/>
    <n v="254.8"/>
  </r>
  <r>
    <x v="108"/>
    <n v="276.39999999999998"/>
  </r>
  <r>
    <x v="108"/>
    <n v="278.3"/>
  </r>
  <r>
    <x v="108"/>
    <n v="272.89999999999998"/>
  </r>
  <r>
    <x v="109"/>
    <n v="253.5"/>
  </r>
  <r>
    <x v="109"/>
    <n v="232.9"/>
  </r>
  <r>
    <x v="109"/>
    <n v="231.7"/>
  </r>
  <r>
    <x v="109"/>
    <n v="269.8"/>
  </r>
  <r>
    <x v="110"/>
    <n v="259.8"/>
  </r>
  <r>
    <x v="110"/>
    <n v="246.4"/>
  </r>
  <r>
    <x v="110"/>
    <n v="259.39999999999998"/>
  </r>
  <r>
    <x v="110"/>
    <n v="263.2"/>
  </r>
  <r>
    <x v="111"/>
    <n v="269"/>
  </r>
  <r>
    <x v="111"/>
    <n v="251.2"/>
  </r>
  <r>
    <x v="111"/>
    <n v="288.2"/>
  </r>
  <r>
    <x v="111"/>
    <n v="278.89999999999998"/>
  </r>
  <r>
    <x v="111"/>
    <n v="298.7"/>
  </r>
  <r>
    <x v="112"/>
    <n v="289"/>
  </r>
  <r>
    <x v="112"/>
    <n v="271.10000000000002"/>
  </r>
  <r>
    <x v="112"/>
    <n v="292.89999999999998"/>
  </r>
  <r>
    <x v="112"/>
    <n v="300.10000000000002"/>
  </r>
  <r>
    <x v="113"/>
    <n v="305.5"/>
  </r>
  <r>
    <x v="113"/>
    <n v="327.2"/>
  </r>
  <r>
    <x v="113"/>
    <n v="301.60000000000002"/>
  </r>
  <r>
    <x v="113"/>
    <n v="304.10000000000002"/>
  </r>
  <r>
    <x v="114"/>
    <n v="317.89999999999998"/>
  </r>
  <r>
    <x v="114"/>
    <n v="274.10000000000002"/>
  </r>
  <r>
    <x v="114"/>
    <n v="276.3"/>
  </r>
  <r>
    <x v="114"/>
    <n v="267.60000000000002"/>
  </r>
  <r>
    <x v="114"/>
    <n v="293.39999999999998"/>
  </r>
  <r>
    <x v="115"/>
    <n v="277.5"/>
  </r>
  <r>
    <x v="115"/>
    <n v="271.8"/>
  </r>
  <r>
    <x v="115"/>
    <n v="271"/>
  </r>
  <r>
    <x v="115"/>
    <n v="289.5"/>
  </r>
  <r>
    <x v="116"/>
    <n v="254.1"/>
  </r>
  <r>
    <x v="116"/>
    <n v="278.7"/>
  </r>
  <r>
    <x v="116"/>
    <n v="266.39999999999998"/>
  </r>
  <r>
    <x v="116"/>
    <n v="260.2"/>
  </r>
  <r>
    <x v="117"/>
    <n v="288.8"/>
  </r>
  <r>
    <x v="117"/>
    <n v="262.7"/>
  </r>
  <r>
    <x v="117"/>
    <n v="277.3"/>
  </r>
  <r>
    <x v="117"/>
    <n v="255.4"/>
  </r>
  <r>
    <x v="117"/>
    <n v="277.7"/>
  </r>
  <r>
    <x v="118"/>
    <n v="268.8"/>
  </r>
  <r>
    <x v="118"/>
    <n v="298.5"/>
  </r>
  <r>
    <x v="118"/>
    <n v="315.7"/>
  </r>
  <r>
    <x v="118"/>
    <n v="298.89999999999998"/>
  </r>
  <r>
    <x v="119"/>
    <n v="287.89999999999998"/>
  </r>
  <r>
    <x v="119"/>
    <n v="285.8"/>
  </r>
  <r>
    <x v="119"/>
    <n v="284.3"/>
  </r>
  <r>
    <x v="119"/>
    <n v="253.3"/>
  </r>
  <r>
    <x v="119"/>
    <n v="238"/>
  </r>
  <r>
    <x v="120"/>
    <n v="254.6"/>
  </r>
  <r>
    <x v="120"/>
    <n v="292"/>
  </r>
  <r>
    <x v="120"/>
    <n v="286.10000000000002"/>
  </r>
  <r>
    <x v="120"/>
    <n v="292.60000000000002"/>
  </r>
  <r>
    <x v="121"/>
    <n v="307.10000000000002"/>
  </r>
  <r>
    <x v="121"/>
    <n v="270.8"/>
  </r>
  <r>
    <x v="121"/>
    <n v="262.39999999999998"/>
  </r>
  <r>
    <x v="121"/>
    <n v="278.39999999999998"/>
  </r>
  <r>
    <x v="122"/>
    <n v="291.7"/>
  </r>
  <r>
    <x v="122"/>
    <n v="290"/>
  </r>
  <r>
    <x v="122"/>
    <n v="293.5"/>
  </r>
  <r>
    <x v="122"/>
    <n v="312.2"/>
  </r>
  <r>
    <x v="122"/>
    <n v="293.5"/>
  </r>
  <r>
    <x v="123"/>
    <n v="316.60000000000002"/>
  </r>
  <r>
    <x v="123"/>
    <n v="300.8"/>
  </r>
  <r>
    <x v="123"/>
    <n v="302.8"/>
  </r>
  <r>
    <x v="123"/>
    <n v="299.39999999999998"/>
  </r>
  <r>
    <x v="124"/>
    <n v="322.39999999999998"/>
  </r>
  <r>
    <x v="124"/>
    <n v="296.60000000000002"/>
  </r>
  <r>
    <x v="124"/>
    <n v="309.60000000000002"/>
  </r>
  <r>
    <x v="124"/>
    <n v="286.5"/>
  </r>
  <r>
    <x v="125"/>
    <n v="335"/>
  </r>
  <r>
    <x v="125"/>
    <n v="309.5"/>
  </r>
  <r>
    <x v="125"/>
    <n v="305.7"/>
  </r>
  <r>
    <x v="125"/>
    <n v="305.8"/>
  </r>
  <r>
    <x v="125"/>
    <n v="318.10000000000002"/>
  </r>
  <r>
    <x v="126"/>
    <n v="298"/>
  </r>
  <r>
    <x v="126"/>
    <n v="331.2"/>
  </r>
  <r>
    <x v="126"/>
    <n v="313.10000000000002"/>
  </r>
  <r>
    <x v="126"/>
    <n v="306.60000000000002"/>
  </r>
  <r>
    <x v="127"/>
    <n v="327.39999999999998"/>
  </r>
  <r>
    <x v="127"/>
    <n v="313.3"/>
  </r>
  <r>
    <x v="127"/>
    <n v="294.39999999999998"/>
  </r>
  <r>
    <x v="127"/>
    <n v="298.60000000000002"/>
  </r>
  <r>
    <x v="128"/>
    <n v="307.39999999999998"/>
  </r>
  <r>
    <x v="128"/>
    <n v="324.39999999999998"/>
  </r>
  <r>
    <x v="128"/>
    <n v="318.8"/>
  </r>
  <r>
    <x v="128"/>
    <n v="307.89999999999998"/>
  </r>
  <r>
    <x v="128"/>
    <n v="320.39999999999998"/>
  </r>
  <r>
    <x v="129"/>
    <n v="302.8"/>
  </r>
  <r>
    <x v="129"/>
    <n v="311.10000000000002"/>
  </r>
  <r>
    <x v="129"/>
    <n v="298.7"/>
  </r>
  <r>
    <x v="129"/>
    <n v="304.60000000000002"/>
  </r>
  <r>
    <x v="130"/>
    <n v="310.5"/>
  </r>
  <r>
    <x v="130"/>
    <n v="327.10000000000002"/>
  </r>
  <r>
    <x v="130"/>
    <n v="307"/>
  </r>
  <r>
    <x v="130"/>
    <n v="307"/>
  </r>
  <r>
    <x v="131"/>
    <n v="333.8"/>
  </r>
  <r>
    <x v="131"/>
    <n v="344"/>
  </r>
  <r>
    <x v="131"/>
    <n v="302.2"/>
  </r>
  <r>
    <x v="131"/>
    <n v="278.2"/>
  </r>
  <r>
    <x v="131"/>
    <n v="218.7"/>
  </r>
  <r>
    <x v="132"/>
    <n v="292.8"/>
  </r>
  <r>
    <x v="132"/>
    <n v="332.9"/>
  </r>
  <r>
    <x v="132"/>
    <n v="332.6"/>
  </r>
  <r>
    <x v="132"/>
    <n v="298.10000000000002"/>
  </r>
  <r>
    <x v="133"/>
    <n v="311.5"/>
  </r>
  <r>
    <x v="133"/>
    <n v="277.60000000000002"/>
  </r>
  <r>
    <x v="133"/>
    <n v="274.3"/>
  </r>
  <r>
    <x v="133"/>
    <n v="291.39999999999998"/>
  </r>
  <r>
    <x v="134"/>
    <n v="321.89999999999998"/>
  </r>
  <r>
    <x v="134"/>
    <n v="289.89999999999998"/>
  </r>
  <r>
    <x v="134"/>
    <n v="299.8"/>
  </r>
  <r>
    <x v="134"/>
    <n v="291.60000000000002"/>
  </r>
  <r>
    <x v="134"/>
    <n v="294"/>
  </r>
  <r>
    <x v="135"/>
    <n v="310.60000000000002"/>
  </r>
  <r>
    <x v="135"/>
    <n v="295.89999999999998"/>
  </r>
  <r>
    <x v="135"/>
    <n v="290.5"/>
  </r>
  <r>
    <x v="135"/>
    <n v="309.8"/>
  </r>
  <r>
    <x v="136"/>
    <n v="316.3"/>
  </r>
  <r>
    <x v="136"/>
    <n v="321.89999999999998"/>
  </r>
  <r>
    <x v="136"/>
    <n v="291.2"/>
  </r>
  <r>
    <x v="136"/>
    <n v="302.2"/>
  </r>
  <r>
    <x v="137"/>
    <n v="344.1"/>
  </r>
  <r>
    <x v="137"/>
    <n v="342.9"/>
  </r>
  <r>
    <x v="137"/>
    <n v="324.2"/>
  </r>
  <r>
    <x v="137"/>
    <n v="307.89999999999998"/>
  </r>
  <r>
    <x v="137"/>
    <n v="308.3"/>
  </r>
  <r>
    <x v="138"/>
    <n v="300.39999999999998"/>
  </r>
  <r>
    <x v="138"/>
    <n v="310.39999999999998"/>
  </r>
  <r>
    <x v="138"/>
    <n v="324.89999999999998"/>
  </r>
  <r>
    <x v="138"/>
    <n v="312"/>
  </r>
  <r>
    <x v="139"/>
    <n v="318.2"/>
  </r>
  <r>
    <x v="139"/>
    <n v="300.7"/>
  </r>
  <r>
    <x v="139"/>
    <n v="293.2"/>
  </r>
  <r>
    <x v="139"/>
    <n v="295"/>
  </r>
  <r>
    <x v="139"/>
    <n v="317.39999999999998"/>
  </r>
  <r>
    <x v="140"/>
    <n v="310.5"/>
  </r>
  <r>
    <x v="140"/>
    <n v="282.39999999999998"/>
  </r>
  <r>
    <x v="140"/>
    <n v="283.5"/>
  </r>
  <r>
    <x v="140"/>
    <n v="308.8"/>
  </r>
  <r>
    <x v="141"/>
    <n v="271.2"/>
  </r>
  <r>
    <x v="141"/>
    <n v="286.89999999999998"/>
  </r>
  <r>
    <x v="141"/>
    <n v="264.10000000000002"/>
  </r>
  <r>
    <x v="141"/>
    <n v="265.89999999999998"/>
  </r>
  <r>
    <x v="142"/>
    <n v="318.39999999999998"/>
  </r>
  <r>
    <x v="142"/>
    <n v="285.39999999999998"/>
  </r>
  <r>
    <x v="142"/>
    <n v="296"/>
  </r>
  <r>
    <x v="142"/>
    <n v="324.3"/>
  </r>
  <r>
    <x v="142"/>
    <n v="350.9"/>
  </r>
  <r>
    <x v="143"/>
    <n v="342.7"/>
  </r>
  <r>
    <x v="143"/>
    <n v="320.60000000000002"/>
  </r>
  <r>
    <x v="143"/>
    <n v="302.89999999999998"/>
  </r>
  <r>
    <x v="143"/>
    <n v="293.8"/>
  </r>
  <r>
    <x v="144"/>
    <n v="375.9"/>
  </r>
  <r>
    <x v="144"/>
    <n v="348.6"/>
  </r>
  <r>
    <x v="144"/>
    <n v="371.8"/>
  </r>
  <r>
    <x v="144"/>
    <n v="328.5"/>
  </r>
  <r>
    <x v="145"/>
    <n v="340.9"/>
  </r>
  <r>
    <x v="145"/>
    <n v="314.7"/>
  </r>
  <r>
    <x v="145"/>
    <n v="290.2"/>
  </r>
  <r>
    <x v="145"/>
    <n v="315.5"/>
  </r>
  <r>
    <x v="146"/>
    <n v="335.4"/>
  </r>
  <r>
    <x v="146"/>
    <n v="314.60000000000002"/>
  </r>
  <r>
    <x v="146"/>
    <n v="310.89999999999998"/>
  </r>
  <r>
    <x v="146"/>
    <n v="330.4"/>
  </r>
  <r>
    <x v="146"/>
    <n v="349.9"/>
  </r>
  <r>
    <x v="147"/>
    <n v="332.8"/>
  </r>
  <r>
    <x v="147"/>
    <n v="337.3"/>
  </r>
  <r>
    <x v="147"/>
    <n v="351.6"/>
  </r>
  <r>
    <x v="147"/>
    <n v="368.4"/>
  </r>
  <r>
    <x v="148"/>
    <n v="382.7"/>
  </r>
  <r>
    <x v="148"/>
    <n v="356.5"/>
  </r>
  <r>
    <x v="148"/>
    <n v="344.3"/>
  </r>
  <r>
    <x v="148"/>
    <n v="348.3"/>
  </r>
  <r>
    <x v="148"/>
    <n v="414"/>
  </r>
  <r>
    <x v="149"/>
    <n v="359"/>
  </r>
  <r>
    <x v="149"/>
    <n v="359.3"/>
  </r>
  <r>
    <x v="149"/>
    <n v="396.5"/>
  </r>
  <r>
    <x v="149"/>
    <n v="377.9"/>
  </r>
  <r>
    <x v="150"/>
    <n v="408"/>
  </r>
  <r>
    <x v="150"/>
    <n v="377.1"/>
  </r>
  <r>
    <x v="150"/>
    <n v="351.4"/>
  </r>
  <r>
    <x v="150"/>
    <n v="360.5"/>
  </r>
  <r>
    <x v="151"/>
    <n v="374"/>
  </r>
  <r>
    <x v="151"/>
    <n v="353"/>
  </r>
  <r>
    <x v="151"/>
    <n v="371.6"/>
  </r>
  <r>
    <x v="151"/>
    <n v="344.7"/>
  </r>
  <r>
    <x v="151"/>
    <n v="359.7"/>
  </r>
  <r>
    <x v="152"/>
    <n v="401.6"/>
  </r>
  <r>
    <x v="152"/>
    <n v="357.4"/>
  </r>
  <r>
    <x v="152"/>
    <n v="359.7"/>
  </r>
  <r>
    <x v="152"/>
    <n v="359.4"/>
  </r>
  <r>
    <x v="153"/>
    <n v="352.5"/>
  </r>
  <r>
    <x v="153"/>
    <n v="341.9"/>
  </r>
  <r>
    <x v="153"/>
    <n v="361.5"/>
  </r>
  <r>
    <x v="153"/>
    <n v="338.6"/>
  </r>
  <r>
    <x v="154"/>
    <n v="369.5"/>
  </r>
  <r>
    <x v="154"/>
    <n v="333.3"/>
  </r>
  <r>
    <x v="154"/>
    <n v="345"/>
  </r>
  <r>
    <x v="154"/>
    <n v="350.2"/>
  </r>
  <r>
    <x v="154"/>
    <n v="386.6"/>
  </r>
  <r>
    <x v="155"/>
    <n v="358.8"/>
  </r>
  <r>
    <x v="155"/>
    <n v="379.9"/>
  </r>
  <r>
    <x v="155"/>
    <n v="359.4"/>
  </r>
  <r>
    <x v="155"/>
    <n v="332.4"/>
  </r>
  <r>
    <x v="156"/>
    <n v="376.2"/>
  </r>
  <r>
    <x v="156"/>
    <n v="358"/>
  </r>
  <r>
    <x v="156"/>
    <n v="355.3"/>
  </r>
  <r>
    <x v="156"/>
    <n v="365.5"/>
  </r>
  <r>
    <x v="156"/>
    <n v="371.1"/>
  </r>
  <r>
    <x v="157"/>
    <n v="328.8"/>
  </r>
  <r>
    <x v="157"/>
    <n v="334.1"/>
  </r>
  <r>
    <x v="157"/>
    <n v="309"/>
  </r>
  <r>
    <x v="157"/>
    <n v="345.9"/>
  </r>
  <r>
    <x v="158"/>
    <n v="345"/>
  </r>
  <r>
    <x v="158"/>
    <n v="347.3"/>
  </r>
  <r>
    <x v="158"/>
    <n v="383.7"/>
  </r>
  <r>
    <x v="158"/>
    <n v="364.7"/>
  </r>
  <r>
    <x v="159"/>
    <n v="400.8"/>
  </r>
  <r>
    <x v="159"/>
    <n v="376.1"/>
  </r>
  <r>
    <x v="159"/>
    <n v="359.9"/>
  </r>
  <r>
    <x v="159"/>
    <n v="356"/>
  </r>
  <r>
    <x v="160"/>
    <n v="416"/>
  </r>
  <r>
    <x v="160"/>
    <n v="415.2"/>
  </r>
  <r>
    <x v="160"/>
    <n v="395.8"/>
  </r>
  <r>
    <x v="160"/>
    <n v="395.7"/>
  </r>
  <r>
    <x v="160"/>
    <n v="460.5"/>
  </r>
  <r>
    <x v="161"/>
    <n v="418.9"/>
  </r>
  <r>
    <x v="161"/>
    <n v="419.1"/>
  </r>
  <r>
    <x v="161"/>
    <n v="411.2"/>
  </r>
  <r>
    <x v="161"/>
    <n v="438.4"/>
  </r>
  <r>
    <x v="162"/>
    <n v="414.1"/>
  </r>
  <r>
    <x v="162"/>
    <n v="447.2"/>
  </r>
  <r>
    <x v="162"/>
    <n v="442.4"/>
  </r>
  <r>
    <x v="162"/>
    <n v="426.9"/>
  </r>
  <r>
    <x v="163"/>
    <n v="456.4"/>
  </r>
  <r>
    <x v="163"/>
    <n v="409.6"/>
  </r>
  <r>
    <x v="163"/>
    <n v="389.5"/>
  </r>
  <r>
    <x v="163"/>
    <n v="375.5"/>
  </r>
  <r>
    <x v="163"/>
    <n v="396.1"/>
  </r>
  <r>
    <x v="164"/>
    <n v="408.8"/>
  </r>
  <r>
    <x v="164"/>
    <n v="432.4"/>
  </r>
  <r>
    <x v="164"/>
    <n v="402.1"/>
  </r>
  <r>
    <x v="164"/>
    <n v="397.8"/>
  </r>
  <r>
    <x v="165"/>
    <n v="441.1"/>
  </r>
  <r>
    <x v="165"/>
    <n v="359"/>
  </r>
  <r>
    <x v="165"/>
    <n v="386.1"/>
  </r>
  <r>
    <x v="165"/>
    <n v="363.9"/>
  </r>
  <r>
    <x v="165"/>
    <n v="404.3"/>
  </r>
  <r>
    <x v="166"/>
    <n v="375.4"/>
  </r>
  <r>
    <x v="166"/>
    <n v="425.9"/>
  </r>
  <r>
    <x v="166"/>
    <n v="459.9"/>
  </r>
  <r>
    <x v="166"/>
    <n v="441.8"/>
  </r>
  <r>
    <x v="167"/>
    <n v="399.8"/>
  </r>
  <r>
    <x v="167"/>
    <n v="437.2"/>
  </r>
  <r>
    <x v="167"/>
    <n v="411.6"/>
  </r>
  <r>
    <x v="167"/>
    <n v="390.1"/>
  </r>
  <r>
    <x v="168"/>
    <n v="401.3"/>
  </r>
  <r>
    <x v="168"/>
    <n v="445.9"/>
  </r>
  <r>
    <x v="168"/>
    <n v="501.6"/>
  </r>
  <r>
    <x v="168"/>
    <n v="451.6"/>
  </r>
  <r>
    <x v="168"/>
    <n v="444"/>
  </r>
  <r>
    <x v="169"/>
    <n v="402.2"/>
  </r>
  <r>
    <x v="169"/>
    <n v="413.9"/>
  </r>
  <r>
    <x v="169"/>
    <n v="423.5"/>
  </r>
  <r>
    <x v="169"/>
    <n v="422.6"/>
  </r>
  <r>
    <x v="170"/>
    <n v="428.6"/>
  </r>
  <r>
    <x v="170"/>
    <n v="452.4"/>
  </r>
  <r>
    <x v="170"/>
    <n v="448.9"/>
  </r>
  <r>
    <x v="170"/>
    <n v="443.8"/>
  </r>
  <r>
    <x v="171"/>
    <n v="477.5"/>
  </r>
  <r>
    <x v="171"/>
    <n v="432.2"/>
  </r>
  <r>
    <x v="171"/>
    <n v="434.1"/>
  </r>
  <r>
    <x v="171"/>
    <n v="463.5"/>
  </r>
  <r>
    <x v="171"/>
    <n v="482.5"/>
  </r>
  <r>
    <x v="172"/>
    <n v="494.3"/>
  </r>
  <r>
    <x v="172"/>
    <n v="454.2"/>
  </r>
  <r>
    <x v="172"/>
    <n v="449.8"/>
  </r>
  <r>
    <x v="172"/>
    <n v="459.8"/>
  </r>
  <r>
    <x v="173"/>
    <n v="432.2"/>
  </r>
  <r>
    <x v="173"/>
    <n v="449.5"/>
  </r>
  <r>
    <x v="173"/>
    <n v="454.5"/>
  </r>
  <r>
    <x v="173"/>
    <n v="435.4"/>
  </r>
  <r>
    <x v="174"/>
    <n v="500.9"/>
  </r>
  <r>
    <x v="174"/>
    <n v="468.8"/>
  </r>
  <r>
    <x v="174"/>
    <n v="440.3"/>
  </r>
  <r>
    <x v="174"/>
    <n v="444.8"/>
  </r>
  <r>
    <x v="174"/>
    <n v="452"/>
  </r>
  <r>
    <x v="175"/>
    <n v="440"/>
  </r>
  <r>
    <x v="175"/>
    <n v="467.1"/>
  </r>
  <r>
    <x v="175"/>
    <n v="443.7"/>
  </r>
  <r>
    <x v="175"/>
    <n v="443.1"/>
  </r>
  <r>
    <x v="176"/>
    <n v="476"/>
  </r>
  <r>
    <x v="176"/>
    <n v="455.7"/>
  </r>
  <r>
    <x v="176"/>
    <n v="456.6"/>
  </r>
  <r>
    <x v="176"/>
    <n v="469.1"/>
  </r>
  <r>
    <x v="177"/>
    <n v="459"/>
  </r>
  <r>
    <x v="177"/>
    <n v="436.3"/>
  </r>
  <r>
    <x v="177"/>
    <n v="461.4"/>
  </r>
  <r>
    <x v="177"/>
    <n v="440.9"/>
  </r>
  <r>
    <x v="177"/>
    <n v="496.5"/>
  </r>
  <r>
    <x v="178"/>
    <n v="483"/>
  </r>
  <r>
    <x v="178"/>
    <n v="480.3"/>
  </r>
  <r>
    <x v="178"/>
    <n v="463.3"/>
  </r>
  <r>
    <x v="178"/>
    <n v="460.3"/>
  </r>
  <r>
    <x v="179"/>
    <n v="490.9"/>
  </r>
  <r>
    <x v="179"/>
    <n v="488.9"/>
  </r>
  <r>
    <x v="179"/>
    <n v="471.1"/>
  </r>
  <r>
    <x v="179"/>
    <n v="483.8"/>
  </r>
  <r>
    <x v="179"/>
    <n v="417.3"/>
  </r>
  <r>
    <x v="180"/>
    <n v="393.1"/>
  </r>
  <r>
    <x v="180"/>
    <n v="448.1"/>
  </r>
  <r>
    <x v="180"/>
    <n v="439"/>
  </r>
  <r>
    <x v="180"/>
    <n v="440.3"/>
  </r>
  <r>
    <x v="181"/>
    <n v="444.6"/>
  </r>
  <r>
    <x v="181"/>
    <n v="423.3"/>
  </r>
  <r>
    <x v="181"/>
    <n v="417.8"/>
  </r>
  <r>
    <x v="181"/>
    <n v="440"/>
  </r>
  <r>
    <x v="182"/>
    <n v="451.7"/>
  </r>
  <r>
    <x v="182"/>
    <n v="462.8"/>
  </r>
  <r>
    <x v="182"/>
    <n v="446.4"/>
  </r>
  <r>
    <x v="182"/>
    <n v="470.9"/>
  </r>
  <r>
    <x v="183"/>
    <n v="446"/>
  </r>
  <r>
    <x v="183"/>
    <n v="474.5"/>
  </r>
  <r>
    <x v="183"/>
    <n v="466.7"/>
  </r>
  <r>
    <x v="183"/>
    <n v="482"/>
  </r>
  <r>
    <x v="183"/>
    <n v="482.5"/>
  </r>
  <r>
    <x v="184"/>
    <n v="526.20000000000005"/>
  </r>
  <r>
    <x v="184"/>
    <n v="469.3"/>
  </r>
  <r>
    <x v="184"/>
    <n v="482.3"/>
  </r>
  <r>
    <x v="184"/>
    <n v="462.7"/>
  </r>
  <r>
    <x v="185"/>
    <n v="479.3"/>
  </r>
  <r>
    <x v="185"/>
    <n v="529.29999999999995"/>
  </r>
  <r>
    <x v="185"/>
    <n v="479.4"/>
  </r>
  <r>
    <x v="185"/>
    <n v="477.4"/>
  </r>
  <r>
    <x v="186"/>
    <n v="520.79999999999995"/>
  </r>
  <r>
    <x v="186"/>
    <n v="489"/>
  </r>
  <r>
    <x v="186"/>
    <n v="488.7"/>
  </r>
  <r>
    <x v="186"/>
    <n v="485.1"/>
  </r>
  <r>
    <x v="186"/>
    <n v="494.5"/>
  </r>
  <r>
    <x v="187"/>
    <n v="498.8"/>
  </r>
  <r>
    <x v="187"/>
    <n v="499.3"/>
  </r>
  <r>
    <x v="187"/>
    <n v="488.4"/>
  </r>
  <r>
    <x v="187"/>
    <n v="470.6"/>
  </r>
  <r>
    <x v="188"/>
    <n v="499.1"/>
  </r>
  <r>
    <x v="188"/>
    <n v="513.4"/>
  </r>
  <r>
    <x v="188"/>
    <n v="500.3"/>
  </r>
  <r>
    <x v="188"/>
    <n v="483.1"/>
  </r>
  <r>
    <x v="188"/>
    <n v="473.8"/>
  </r>
  <r>
    <x v="189"/>
    <n v="469.5"/>
  </r>
  <r>
    <x v="189"/>
    <n v="503.9"/>
  </r>
  <r>
    <x v="189"/>
    <n v="466.4"/>
  </r>
  <r>
    <x v="189"/>
    <n v="437.6"/>
  </r>
  <r>
    <x v="190"/>
    <n v="465.7"/>
  </r>
  <r>
    <x v="190"/>
    <n v="477.9"/>
  </r>
  <r>
    <x v="190"/>
    <n v="472.3"/>
  </r>
  <r>
    <x v="190"/>
    <n v="476.2"/>
  </r>
  <r>
    <x v="191"/>
    <n v="495.1"/>
  </r>
  <r>
    <x v="191"/>
    <n v="477.9"/>
  </r>
  <r>
    <x v="191"/>
    <n v="453.1"/>
  </r>
  <r>
    <x v="191"/>
    <n v="432.9"/>
  </r>
  <r>
    <x v="191"/>
    <n v="418.3"/>
  </r>
  <r>
    <x v="192"/>
    <n v="457.4"/>
  </r>
  <r>
    <x v="192"/>
    <n v="443.9"/>
  </r>
  <r>
    <x v="192"/>
    <n v="473.7"/>
  </r>
  <r>
    <x v="192"/>
    <n v="435.7"/>
  </r>
  <r>
    <x v="193"/>
    <n v="425.1"/>
  </r>
  <r>
    <x v="193"/>
    <n v="391.7"/>
  </r>
  <r>
    <x v="193"/>
    <n v="408.7"/>
  </r>
  <r>
    <x v="193"/>
    <n v="400.8"/>
  </r>
  <r>
    <x v="194"/>
    <n v="399"/>
  </r>
  <r>
    <x v="194"/>
    <n v="403"/>
  </r>
  <r>
    <x v="194"/>
    <n v="393.6"/>
  </r>
  <r>
    <x v="194"/>
    <n v="404.1"/>
  </r>
  <r>
    <x v="194"/>
    <n v="438.2"/>
  </r>
  <r>
    <x v="195"/>
    <n v="417.7"/>
  </r>
  <r>
    <x v="195"/>
    <n v="407.4"/>
  </r>
  <r>
    <x v="195"/>
    <n v="389.4"/>
  </r>
  <r>
    <x v="195"/>
    <n v="433.3"/>
  </r>
  <r>
    <x v="196"/>
    <n v="416.5"/>
  </r>
  <r>
    <x v="196"/>
    <n v="426.7"/>
  </r>
  <r>
    <x v="196"/>
    <n v="396.4"/>
  </r>
  <r>
    <x v="196"/>
    <n v="395.5"/>
  </r>
  <r>
    <x v="197"/>
    <n v="395.6"/>
  </r>
  <r>
    <x v="197"/>
    <n v="414.6"/>
  </r>
  <r>
    <x v="197"/>
    <n v="414.8"/>
  </r>
  <r>
    <x v="197"/>
    <n v="389"/>
  </r>
  <r>
    <x v="197"/>
    <n v="414.2"/>
  </r>
  <r>
    <x v="198"/>
    <n v="425"/>
  </r>
  <r>
    <x v="198"/>
    <n v="398.5"/>
  </r>
  <r>
    <x v="198"/>
    <n v="389"/>
  </r>
  <r>
    <x v="198"/>
    <n v="376.2"/>
  </r>
  <r>
    <x v="199"/>
    <n v="388.9"/>
  </r>
  <r>
    <x v="199"/>
    <n v="385.9"/>
  </r>
  <r>
    <x v="199"/>
    <n v="382.2"/>
  </r>
  <r>
    <x v="199"/>
    <n v="375.9"/>
  </r>
  <r>
    <x v="200"/>
    <n v="389.7"/>
  </r>
  <r>
    <x v="200"/>
    <n v="410.2"/>
  </r>
  <r>
    <x v="200"/>
    <n v="397.9"/>
  </r>
  <r>
    <x v="200"/>
    <n v="375.9"/>
  </r>
  <r>
    <x v="200"/>
    <n v="404.6"/>
  </r>
  <r>
    <x v="201"/>
    <n v="383.3"/>
  </r>
  <r>
    <x v="201"/>
    <n v="384.7"/>
  </r>
  <r>
    <x v="201"/>
    <n v="382.4"/>
  </r>
  <r>
    <x v="201"/>
    <n v="375.6"/>
  </r>
  <r>
    <x v="202"/>
    <n v="402.2"/>
  </r>
  <r>
    <x v="202"/>
    <n v="412.9"/>
  </r>
  <r>
    <x v="202"/>
    <n v="401.4"/>
  </r>
  <r>
    <x v="202"/>
    <n v="406.7"/>
  </r>
  <r>
    <x v="203"/>
    <n v="426.6"/>
  </r>
  <r>
    <x v="203"/>
    <n v="463.8"/>
  </r>
  <r>
    <x v="203"/>
    <n v="436.5"/>
  </r>
  <r>
    <x v="203"/>
    <n v="390.2"/>
  </r>
  <r>
    <x v="203"/>
    <n v="406.9"/>
  </r>
  <r>
    <x v="204"/>
    <n v="472.8"/>
  </r>
  <r>
    <x v="204"/>
    <n v="439.7"/>
  </r>
  <r>
    <x v="204"/>
    <n v="402.7"/>
  </r>
  <r>
    <x v="204"/>
    <n v="408"/>
  </r>
  <r>
    <x v="205"/>
    <n v="404.7"/>
  </r>
  <r>
    <x v="205"/>
    <n v="400.7"/>
  </r>
  <r>
    <x v="205"/>
    <n v="381.4"/>
  </r>
  <r>
    <x v="205"/>
    <n v="401.3"/>
  </r>
  <r>
    <x v="206"/>
    <n v="405.3"/>
  </r>
  <r>
    <x v="206"/>
    <n v="414.3"/>
  </r>
  <r>
    <x v="206"/>
    <n v="410.6"/>
  </r>
  <r>
    <x v="206"/>
    <n v="411.1"/>
  </r>
  <r>
    <x v="206"/>
    <n v="402.9"/>
  </r>
  <r>
    <x v="207"/>
    <n v="413.8"/>
  </r>
  <r>
    <x v="207"/>
    <n v="396.5"/>
  </r>
  <r>
    <x v="207"/>
    <n v="411"/>
  </r>
  <r>
    <x v="207"/>
    <n v="427.3"/>
  </r>
  <r>
    <x v="208"/>
    <n v="438.3"/>
  </r>
  <r>
    <x v="208"/>
    <n v="432.3"/>
  </r>
  <r>
    <x v="208"/>
    <n v="438.1"/>
  </r>
  <r>
    <x v="208"/>
    <n v="427"/>
  </r>
  <r>
    <x v="209"/>
    <n v="433.6"/>
  </r>
  <r>
    <x v="209"/>
    <n v="464.7"/>
  </r>
  <r>
    <x v="209"/>
    <n v="450.9"/>
  </r>
  <r>
    <x v="209"/>
    <n v="428.9"/>
  </r>
  <r>
    <x v="209"/>
    <n v="437.3"/>
  </r>
  <r>
    <x v="210"/>
    <n v="453.9"/>
  </r>
  <r>
    <x v="210"/>
    <n v="446.5"/>
  </r>
  <r>
    <x v="210"/>
    <n v="424.2"/>
  </r>
  <r>
    <x v="210"/>
    <n v="416.6"/>
  </r>
  <r>
    <x v="211"/>
    <n v="447.4"/>
  </r>
  <r>
    <x v="211"/>
    <n v="464.9"/>
  </r>
  <r>
    <x v="211"/>
    <n v="441.5"/>
  </r>
  <r>
    <x v="211"/>
    <n v="424"/>
  </r>
  <r>
    <x v="211"/>
    <n v="425.8"/>
  </r>
  <r>
    <x v="212"/>
    <n v="448"/>
  </r>
  <r>
    <x v="212"/>
    <n v="452"/>
  </r>
  <r>
    <x v="212"/>
    <n v="418.8"/>
  </r>
  <r>
    <x v="212"/>
    <n v="411.4"/>
  </r>
  <r>
    <x v="213"/>
    <n v="420.2"/>
  </r>
  <r>
    <x v="213"/>
    <n v="429.1"/>
  </r>
  <r>
    <x v="213"/>
    <n v="415.9"/>
  </r>
  <r>
    <x v="213"/>
    <n v="412.9"/>
  </r>
  <r>
    <x v="214"/>
    <n v="412.7"/>
  </r>
  <r>
    <x v="214"/>
    <n v="432.6"/>
  </r>
  <r>
    <x v="214"/>
    <n v="424.1"/>
  </r>
  <r>
    <x v="214"/>
    <n v="403.2"/>
  </r>
  <r>
    <x v="214"/>
    <n v="464.3"/>
  </r>
  <r>
    <x v="215"/>
    <n v="472"/>
  </r>
  <r>
    <x v="215"/>
    <n v="422.2"/>
  </r>
  <r>
    <x v="215"/>
    <n v="394.5"/>
  </r>
  <r>
    <x v="215"/>
    <n v="360.8"/>
  </r>
  <r>
    <x v="216"/>
    <n v="414"/>
  </r>
  <r>
    <x v="216"/>
    <n v="461.2"/>
  </r>
  <r>
    <x v="216"/>
    <n v="439.9"/>
  </r>
  <r>
    <x v="216"/>
    <n v="362"/>
  </r>
  <r>
    <x v="217"/>
    <n v="405.3"/>
  </r>
  <r>
    <x v="217"/>
    <n v="403.9"/>
  </r>
  <r>
    <x v="217"/>
    <n v="357.6"/>
  </r>
  <r>
    <x v="217"/>
    <n v="358.2"/>
  </r>
  <r>
    <x v="217"/>
    <n v="363.1"/>
  </r>
  <r>
    <x v="218"/>
    <n v="368.8"/>
  </r>
  <r>
    <x v="218"/>
    <n v="365"/>
  </r>
  <r>
    <x v="218"/>
    <n v="403.7"/>
  </r>
  <r>
    <x v="218"/>
    <n v="356"/>
  </r>
  <r>
    <x v="219"/>
    <n v="384.7"/>
  </r>
  <r>
    <x v="219"/>
    <n v="381.6"/>
  </r>
  <r>
    <x v="219"/>
    <n v="357.3"/>
  </r>
  <r>
    <x v="219"/>
    <n v="340.1"/>
  </r>
  <r>
    <x v="220"/>
    <n v="381.3"/>
  </r>
  <r>
    <x v="220"/>
    <n v="378.5"/>
  </r>
  <r>
    <x v="220"/>
    <n v="352.5"/>
  </r>
  <r>
    <x v="220"/>
    <n v="352.7"/>
  </r>
  <r>
    <x v="220"/>
    <n v="333.6"/>
  </r>
  <r>
    <x v="221"/>
    <n v="376.2"/>
  </r>
  <r>
    <x v="221"/>
    <n v="360.2"/>
  </r>
  <r>
    <x v="221"/>
    <n v="333.4"/>
  </r>
  <r>
    <x v="221"/>
    <n v="342.8"/>
  </r>
  <r>
    <x v="222"/>
    <n v="365.8"/>
  </r>
  <r>
    <x v="222"/>
    <n v="359.7"/>
  </r>
  <r>
    <x v="222"/>
    <n v="335.6"/>
  </r>
  <r>
    <x v="222"/>
    <n v="309.5"/>
  </r>
  <r>
    <x v="223"/>
    <n v="315.2"/>
  </r>
  <r>
    <x v="223"/>
    <n v="315.2"/>
  </r>
  <r>
    <x v="223"/>
    <n v="314"/>
  </r>
  <r>
    <x v="223"/>
    <n v="315.89999999999998"/>
  </r>
  <r>
    <x v="223"/>
    <n v="349"/>
  </r>
  <r>
    <x v="224"/>
    <n v="371.5"/>
  </r>
  <r>
    <x v="224"/>
    <n v="380.4"/>
  </r>
  <r>
    <x v="224"/>
    <n v="342.2"/>
  </r>
  <r>
    <x v="224"/>
    <n v="304.8"/>
  </r>
  <r>
    <x v="225"/>
    <n v="314.5"/>
  </r>
  <r>
    <x v="225"/>
    <n v="313.5"/>
  </r>
  <r>
    <x v="225"/>
    <n v="279.3"/>
  </r>
  <r>
    <x v="225"/>
    <n v="303.10000000000002"/>
  </r>
  <r>
    <x v="225"/>
    <n v="260.89999999999998"/>
  </r>
  <r>
    <x v="226"/>
    <n v="284.39999999999998"/>
  </r>
  <r>
    <x v="226"/>
    <n v="248.5"/>
  </r>
  <r>
    <x v="226"/>
    <n v="261.60000000000002"/>
  </r>
  <r>
    <x v="226"/>
    <n v="361.1"/>
  </r>
  <r>
    <x v="227"/>
    <n v="299.60000000000002"/>
  </r>
  <r>
    <x v="227"/>
    <n v="286.10000000000002"/>
  </r>
  <r>
    <x v="227"/>
    <n v="316.5"/>
  </r>
  <r>
    <x v="227"/>
    <n v="320.89999999999998"/>
  </r>
  <r>
    <x v="228"/>
    <n v="344.2"/>
  </r>
  <r>
    <x v="228"/>
    <n v="295.8"/>
  </r>
  <r>
    <x v="228"/>
    <n v="303.10000000000002"/>
  </r>
  <r>
    <x v="228"/>
    <n v="294.3"/>
  </r>
  <r>
    <x v="228"/>
    <n v="261.39999999999998"/>
  </r>
  <r>
    <x v="229"/>
    <n v="235.9"/>
  </r>
  <r>
    <x v="229"/>
    <n v="257.3"/>
  </r>
  <r>
    <x v="229"/>
    <n v="250.5"/>
  </r>
  <r>
    <x v="229"/>
    <n v="236.4"/>
  </r>
  <r>
    <x v="230"/>
    <n v="253.3"/>
  </r>
  <r>
    <x v="230"/>
    <n v="257.10000000000002"/>
  </r>
  <r>
    <x v="230"/>
    <n v="267.8"/>
  </r>
  <r>
    <x v="230"/>
    <n v="268"/>
  </r>
  <r>
    <x v="231"/>
    <n v="297.7"/>
  </r>
  <r>
    <x v="231"/>
    <n v="264.10000000000002"/>
  </r>
  <r>
    <x v="231"/>
    <n v="253"/>
  </r>
  <r>
    <x v="231"/>
    <n v="251.6"/>
  </r>
  <r>
    <x v="232"/>
    <n v="264.3"/>
  </r>
  <r>
    <x v="232"/>
    <n v="265.7"/>
  </r>
  <r>
    <x v="232"/>
    <n v="254"/>
  </r>
  <r>
    <x v="232"/>
    <n v="256.60000000000002"/>
  </r>
  <r>
    <x v="232"/>
    <n v="267.7"/>
  </r>
  <r>
    <x v="233"/>
    <n v="270.7"/>
  </r>
  <r>
    <x v="233"/>
    <n v="261.2"/>
  </r>
  <r>
    <x v="233"/>
    <n v="280.3"/>
  </r>
  <r>
    <x v="233"/>
    <n v="267.7"/>
  </r>
  <r>
    <x v="234"/>
    <n v="285.60000000000002"/>
  </r>
  <r>
    <x v="234"/>
    <n v="258.8"/>
  </r>
  <r>
    <x v="234"/>
    <n v="262.10000000000002"/>
  </r>
  <r>
    <x v="234"/>
    <n v="262"/>
  </r>
  <r>
    <x v="234"/>
    <n v="264.39999999999998"/>
  </r>
  <r>
    <x v="235"/>
    <n v="267.2"/>
  </r>
  <r>
    <x v="235"/>
    <n v="277.7"/>
  </r>
  <r>
    <x v="235"/>
    <n v="280.39999999999998"/>
  </r>
  <r>
    <x v="235"/>
    <n v="277.60000000000002"/>
  </r>
  <r>
    <x v="236"/>
    <n v="304.10000000000002"/>
  </r>
  <r>
    <x v="236"/>
    <n v="272.89999999999998"/>
  </r>
  <r>
    <x v="236"/>
    <n v="288.3"/>
  </r>
  <r>
    <x v="236"/>
    <n v="270.39999999999998"/>
  </r>
  <r>
    <x v="237"/>
    <n v="306.10000000000002"/>
  </r>
  <r>
    <x v="237"/>
    <n v="290.89999999999998"/>
  </r>
  <r>
    <x v="237"/>
    <n v="268.8"/>
  </r>
  <r>
    <x v="237"/>
    <n v="254.9"/>
  </r>
  <r>
    <x v="237"/>
    <n v="250.3"/>
  </r>
  <r>
    <x v="238"/>
    <n v="220.9"/>
  </r>
  <r>
    <x v="238"/>
    <n v="203.6"/>
  </r>
  <r>
    <x v="238"/>
    <n v="223.1"/>
  </r>
  <r>
    <x v="238"/>
    <n v="232.3"/>
  </r>
  <r>
    <x v="239"/>
    <n v="241.5"/>
  </r>
  <r>
    <x v="239"/>
    <n v="241.2"/>
  </r>
  <r>
    <x v="239"/>
    <n v="213.3"/>
  </r>
  <r>
    <x v="239"/>
    <n v="204.7"/>
  </r>
  <r>
    <x v="240"/>
    <n v="212.1"/>
  </r>
  <r>
    <x v="240"/>
    <n v="213.7"/>
  </r>
  <r>
    <x v="240"/>
    <n v="223"/>
  </r>
  <r>
    <x v="240"/>
    <n v="215.6"/>
  </r>
  <r>
    <x v="240"/>
    <n v="237.8"/>
  </r>
  <r>
    <x v="241"/>
    <n v="221.2"/>
  </r>
  <r>
    <x v="241"/>
    <n v="212.3"/>
  </r>
  <r>
    <x v="241"/>
    <n v="196.8"/>
  </r>
  <r>
    <x v="241"/>
    <n v="214.5"/>
  </r>
  <r>
    <x v="242"/>
    <n v="226.8"/>
  </r>
  <r>
    <x v="242"/>
    <n v="221.5"/>
  </r>
  <r>
    <x v="242"/>
    <n v="227.5"/>
  </r>
  <r>
    <x v="242"/>
    <n v="243"/>
  </r>
  <r>
    <x v="243"/>
    <n v="243.6"/>
  </r>
  <r>
    <x v="243"/>
    <n v="218"/>
  </r>
  <r>
    <x v="243"/>
    <n v="240.1"/>
  </r>
  <r>
    <x v="243"/>
    <n v="257.89999999999998"/>
  </r>
  <r>
    <x v="243"/>
    <n v="291.3"/>
  </r>
  <r>
    <x v="244"/>
    <n v="263.60000000000002"/>
  </r>
  <r>
    <x v="244"/>
    <n v="192.1"/>
  </r>
  <r>
    <x v="244"/>
    <n v="185.7"/>
  </r>
  <r>
    <x v="244"/>
    <n v="178"/>
  </r>
  <r>
    <x v="245"/>
    <n v="167.8"/>
  </r>
  <r>
    <x v="245"/>
    <n v="180"/>
  </r>
  <r>
    <x v="245"/>
    <n v="177.9"/>
  </r>
  <r>
    <x v="245"/>
    <n v="172.1"/>
  </r>
  <r>
    <x v="246"/>
    <n v="168.6"/>
  </r>
  <r>
    <x v="246"/>
    <n v="163.30000000000001"/>
  </r>
  <r>
    <x v="246"/>
    <n v="168.9"/>
  </r>
  <r>
    <x v="246"/>
    <n v="172.3"/>
  </r>
  <r>
    <x v="246"/>
    <n v="174.9"/>
  </r>
  <r>
    <x v="247"/>
    <n v="175.4"/>
  </r>
  <r>
    <x v="247"/>
    <n v="169.4"/>
  </r>
  <r>
    <x v="247"/>
    <n v="170.5"/>
  </r>
  <r>
    <x v="247"/>
    <n v="173.6"/>
  </r>
  <r>
    <x v="248"/>
    <n v="184.5"/>
  </r>
  <r>
    <x v="248"/>
    <n v="183.7"/>
  </r>
  <r>
    <x v="248"/>
    <n v="177.6"/>
  </r>
  <r>
    <x v="248"/>
    <n v="181.8"/>
  </r>
  <r>
    <x v="249"/>
    <n v="198.7"/>
  </r>
  <r>
    <x v="249"/>
    <n v="181.8"/>
  </r>
  <r>
    <x v="249"/>
    <n v="169.7"/>
  </r>
  <r>
    <x v="249"/>
    <n v="176.4"/>
  </r>
  <r>
    <x v="249"/>
    <n v="178.9"/>
  </r>
  <r>
    <x v="250"/>
    <n v="188.7"/>
  </r>
  <r>
    <x v="250"/>
    <n v="179.2"/>
  </r>
  <r>
    <x v="250"/>
    <n v="205"/>
  </r>
  <r>
    <x v="250"/>
    <n v="207.2"/>
  </r>
  <r>
    <x v="251"/>
    <n v="210.9"/>
  </r>
  <r>
    <x v="251"/>
    <n v="200.3"/>
  </r>
  <r>
    <x v="251"/>
    <n v="195.3"/>
  </r>
  <r>
    <x v="251"/>
    <n v="201.4"/>
  </r>
  <r>
    <x v="251"/>
    <n v="199.8"/>
  </r>
  <r>
    <x v="252"/>
    <n v="192.4"/>
  </r>
  <r>
    <x v="252"/>
    <n v="188.8"/>
  </r>
  <r>
    <x v="252"/>
    <n v="172.3"/>
  </r>
  <r>
    <x v="252"/>
    <n v="188.7"/>
  </r>
  <r>
    <x v="253"/>
    <n v="186.1"/>
  </r>
  <r>
    <x v="253"/>
    <n v="175.1"/>
  </r>
  <r>
    <x v="253"/>
    <n v="184.1"/>
  </r>
  <r>
    <x v="253"/>
    <n v="172.8"/>
  </r>
  <r>
    <x v="254"/>
    <n v="194.4"/>
  </r>
  <r>
    <x v="254"/>
    <n v="186.6"/>
  </r>
  <r>
    <x v="254"/>
    <n v="191.7"/>
  </r>
  <r>
    <x v="254"/>
    <n v="188.5"/>
  </r>
  <r>
    <x v="255"/>
    <n v="201.2"/>
  </r>
  <r>
    <x v="255"/>
    <n v="191.7"/>
  </r>
  <r>
    <x v="255"/>
    <n v="210.8"/>
  </r>
  <r>
    <x v="255"/>
    <n v="182.1"/>
  </r>
  <r>
    <x v="255"/>
    <n v="182.7"/>
  </r>
  <r>
    <x v="256"/>
    <n v="194.9"/>
  </r>
  <r>
    <x v="256"/>
    <n v="188.6"/>
  </r>
  <r>
    <x v="256"/>
    <n v="191.4"/>
  </r>
  <r>
    <x v="256"/>
    <n v="191.4"/>
  </r>
  <r>
    <x v="257"/>
    <n v="182.9"/>
  </r>
  <r>
    <x v="257"/>
    <n v="191.1"/>
  </r>
  <r>
    <x v="257"/>
    <n v="185.8"/>
  </r>
  <r>
    <x v="257"/>
    <n v="180.3"/>
  </r>
  <r>
    <x v="258"/>
    <n v="188.9"/>
  </r>
  <r>
    <x v="258"/>
    <n v="183.9"/>
  </r>
  <r>
    <x v="258"/>
    <n v="183.7"/>
  </r>
  <r>
    <x v="258"/>
    <n v="176.7"/>
  </r>
  <r>
    <x v="258"/>
    <n v="185.8"/>
  </r>
  <r>
    <x v="259"/>
    <n v="184.2"/>
  </r>
  <r>
    <x v="259"/>
    <n v="167.5"/>
  </r>
  <r>
    <x v="259"/>
    <n v="157.9"/>
  </r>
  <r>
    <x v="259"/>
    <n v="159.30000000000001"/>
  </r>
  <r>
    <x v="260"/>
    <n v="159.6"/>
  </r>
  <r>
    <x v="260"/>
    <n v="170.8"/>
  </r>
  <r>
    <x v="260"/>
    <n v="172.17"/>
  </r>
  <r>
    <x v="260"/>
    <n v="176.61"/>
  </r>
  <r>
    <x v="260"/>
    <n v="175.2"/>
  </r>
  <r>
    <x v="261"/>
    <n v="177.06"/>
  </r>
  <r>
    <x v="261"/>
    <n v="161.44"/>
  </r>
  <r>
    <x v="261"/>
    <n v="171.72"/>
  </r>
  <r>
    <x v="261"/>
    <n v="174.78"/>
  </r>
  <r>
    <x v="262"/>
    <n v="183.12"/>
  </r>
  <r>
    <x v="262"/>
    <n v="178.95"/>
  </r>
  <r>
    <x v="262"/>
    <n v="193.57"/>
  </r>
  <r>
    <x v="262"/>
    <n v="192.07"/>
  </r>
  <r>
    <x v="263"/>
    <n v="208.04"/>
  </r>
  <r>
    <x v="263"/>
    <n v="190.92"/>
  </r>
  <r>
    <x v="263"/>
    <n v="181.6"/>
  </r>
  <r>
    <x v="263"/>
    <n v="181.38"/>
  </r>
  <r>
    <x v="263"/>
    <n v="163.89"/>
  </r>
  <r>
    <x v="264"/>
    <n v="177.11"/>
  </r>
  <r>
    <x v="264"/>
    <n v="195.38"/>
  </r>
  <r>
    <x v="264"/>
    <n v="184.8"/>
  </r>
  <r>
    <x v="264"/>
    <n v="181.7"/>
  </r>
  <r>
    <x v="265"/>
    <n v="181.9"/>
  </r>
  <r>
    <x v="265"/>
    <n v="166.6"/>
  </r>
  <r>
    <x v="265"/>
    <n v="161.80000000000001"/>
  </r>
  <r>
    <x v="265"/>
    <n v="175.1"/>
  </r>
  <r>
    <x v="266"/>
    <n v="178.7"/>
  </r>
  <r>
    <x v="266"/>
    <n v="186.5"/>
  </r>
  <r>
    <x v="266"/>
    <n v="184.6"/>
  </r>
  <r>
    <x v="266"/>
    <n v="190.6"/>
  </r>
  <r>
    <x v="266"/>
    <n v="204.4"/>
  </r>
  <r>
    <x v="267"/>
    <n v="203.3"/>
  </r>
  <r>
    <x v="267"/>
    <n v="180.5"/>
  </r>
  <r>
    <x v="267"/>
    <n v="185.4"/>
  </r>
  <r>
    <x v="267"/>
    <n v="190.7"/>
  </r>
  <r>
    <x v="268"/>
    <n v="197.1"/>
  </r>
  <r>
    <x v="268"/>
    <n v="192.4"/>
  </r>
  <r>
    <x v="268"/>
    <n v="186.7"/>
  </r>
  <r>
    <x v="268"/>
    <n v="185.6"/>
  </r>
  <r>
    <x v="269"/>
    <n v="182.2"/>
  </r>
  <r>
    <x v="269"/>
    <n v="205.6"/>
  </r>
  <r>
    <x v="269"/>
    <n v="188.1"/>
  </r>
  <r>
    <x v="269"/>
    <n v="185.4"/>
  </r>
  <r>
    <x v="269"/>
    <n v="186.5"/>
  </r>
  <r>
    <x v="270"/>
    <n v="192.6"/>
  </r>
  <r>
    <x v="270"/>
    <n v="192.4"/>
  </r>
  <r>
    <x v="270"/>
    <n v="186.2"/>
  </r>
  <r>
    <x v="270"/>
    <n v="182"/>
  </r>
  <r>
    <x v="271"/>
    <n v="179.5"/>
  </r>
  <r>
    <x v="271"/>
    <n v="175.9"/>
  </r>
  <r>
    <x v="271"/>
    <n v="177.4"/>
  </r>
  <r>
    <x v="271"/>
    <n v="179.9"/>
  </r>
  <r>
    <x v="271"/>
    <n v="178.4"/>
  </r>
  <r>
    <x v="272"/>
    <n v="193"/>
  </r>
  <r>
    <x v="272"/>
    <n v="185.7"/>
  </r>
  <r>
    <x v="272"/>
    <n v="187"/>
  </r>
  <r>
    <x v="272"/>
    <n v="194.2"/>
  </r>
  <r>
    <x v="273"/>
    <n v="199.2"/>
  </r>
  <r>
    <x v="273"/>
    <n v="200.9"/>
  </r>
  <r>
    <x v="273"/>
    <n v="184.2"/>
  </r>
  <r>
    <x v="273"/>
    <n v="185.2"/>
  </r>
  <r>
    <x v="274"/>
    <n v="176.4"/>
  </r>
  <r>
    <x v="274"/>
    <n v="195.8"/>
  </r>
  <r>
    <x v="274"/>
    <n v="201"/>
  </r>
  <r>
    <x v="274"/>
    <n v="206.3"/>
  </r>
  <r>
    <x v="274"/>
    <n v="206.5"/>
  </r>
  <r>
    <x v="275"/>
    <n v="208"/>
  </r>
  <r>
    <x v="275"/>
    <n v="198"/>
  </r>
  <r>
    <x v="275"/>
    <n v="189.4"/>
  </r>
  <r>
    <x v="275"/>
    <n v="169.5"/>
  </r>
  <r>
    <x v="276"/>
    <n v="185.7"/>
  </r>
  <r>
    <x v="276"/>
    <n v="209.6"/>
  </r>
  <r>
    <x v="276"/>
    <n v="214.9"/>
  </r>
  <r>
    <x v="276"/>
    <n v="211.1"/>
  </r>
  <r>
    <x v="277"/>
    <n v="215.8"/>
  </r>
  <r>
    <x v="277"/>
    <n v="195.4"/>
  </r>
  <r>
    <x v="277"/>
    <n v="192.1"/>
  </r>
  <r>
    <x v="277"/>
    <n v="182.2"/>
  </r>
  <r>
    <x v="278"/>
    <n v="209.6"/>
  </r>
  <r>
    <x v="278"/>
    <n v="204.3"/>
  </r>
  <r>
    <x v="278"/>
    <n v="196.4"/>
  </r>
  <r>
    <x v="278"/>
    <n v="209.5"/>
  </r>
  <r>
    <x v="278"/>
    <n v="212.4"/>
  </r>
  <r>
    <x v="279"/>
    <n v="209.7"/>
  </r>
  <r>
    <x v="279"/>
    <n v="217.8"/>
  </r>
  <r>
    <x v="279"/>
    <n v="218.5"/>
  </r>
  <r>
    <x v="279"/>
    <n v="215.5"/>
  </r>
  <r>
    <x v="280"/>
    <n v="220.6"/>
  </r>
  <r>
    <x v="280"/>
    <n v="211.6"/>
  </r>
  <r>
    <x v="280"/>
    <n v="205.3"/>
  </r>
  <r>
    <x v="280"/>
    <n v="210.6"/>
  </r>
  <r>
    <x v="280"/>
    <n v="207.3"/>
  </r>
  <r>
    <x v="281"/>
    <n v="217"/>
  </r>
  <r>
    <x v="281"/>
    <n v="210.4"/>
  </r>
  <r>
    <x v="281"/>
    <n v="214.8"/>
  </r>
  <r>
    <x v="281"/>
    <n v="208.2"/>
  </r>
  <r>
    <x v="282"/>
    <n v="201.7"/>
  </r>
  <r>
    <x v="282"/>
    <n v="202.7"/>
  </r>
  <r>
    <x v="282"/>
    <n v="198.5"/>
  </r>
  <r>
    <x v="282"/>
    <n v="191.7"/>
  </r>
  <r>
    <x v="283"/>
    <n v="193.1"/>
  </r>
  <r>
    <x v="283"/>
    <n v="182.7"/>
  </r>
  <r>
    <x v="283"/>
    <n v="184.9"/>
  </r>
  <r>
    <x v="283"/>
    <n v="189.4"/>
  </r>
  <r>
    <x v="283"/>
    <n v="188.6"/>
  </r>
  <r>
    <x v="284"/>
    <n v="183.6"/>
  </r>
  <r>
    <x v="284"/>
    <n v="188.1"/>
  </r>
  <r>
    <x v="284"/>
    <n v="200.6"/>
  </r>
  <r>
    <x v="284"/>
    <n v="189.4"/>
  </r>
  <r>
    <x v="285"/>
    <n v="188.1"/>
  </r>
  <r>
    <x v="285"/>
    <n v="179"/>
  </r>
  <r>
    <x v="285"/>
    <n v="180.3"/>
  </r>
  <r>
    <x v="285"/>
    <n v="184.5"/>
  </r>
  <r>
    <x v="286"/>
    <n v="183.2"/>
  </r>
  <r>
    <x v="286"/>
    <n v="182.2"/>
  </r>
  <r>
    <x v="286"/>
    <n v="192.8"/>
  </r>
  <r>
    <x v="286"/>
    <n v="192.4"/>
  </r>
  <r>
    <x v="286"/>
    <n v="184.5"/>
  </r>
  <r>
    <x v="287"/>
    <n v="186.1"/>
  </r>
  <r>
    <x v="287"/>
    <n v="174.7"/>
  </r>
  <r>
    <x v="287"/>
    <n v="168.6"/>
  </r>
  <r>
    <x v="287"/>
    <n v="172.7"/>
  </r>
  <r>
    <x v="288"/>
    <n v="171.9"/>
  </r>
  <r>
    <x v="288"/>
    <n v="191.7"/>
  </r>
  <r>
    <x v="288"/>
    <n v="184.8"/>
  </r>
  <r>
    <x v="288"/>
    <n v="187.6"/>
  </r>
  <r>
    <x v="288"/>
    <n v="180.5"/>
  </r>
  <r>
    <x v="289"/>
    <n v="171.5"/>
  </r>
  <r>
    <x v="289"/>
    <n v="160.69999999999999"/>
  </r>
  <r>
    <x v="289"/>
    <n v="155"/>
  </r>
  <r>
    <x v="289"/>
    <n v="169.6"/>
  </r>
  <r>
    <x v="290"/>
    <n v="168.8"/>
  </r>
  <r>
    <x v="290"/>
    <n v="169.2"/>
  </r>
  <r>
    <x v="290"/>
    <n v="174"/>
  </r>
  <r>
    <x v="290"/>
    <n v="175.6"/>
  </r>
  <r>
    <x v="291"/>
    <n v="180.3"/>
  </r>
  <r>
    <x v="291"/>
    <n v="182.7"/>
  </r>
  <r>
    <x v="291"/>
    <n v="178"/>
  </r>
  <r>
    <x v="291"/>
    <n v="170.1"/>
  </r>
  <r>
    <x v="292"/>
    <n v="185.2"/>
  </r>
  <r>
    <x v="292"/>
    <n v="185.1"/>
  </r>
  <r>
    <x v="292"/>
    <n v="180"/>
  </r>
  <r>
    <x v="292"/>
    <n v="178.1"/>
  </r>
  <r>
    <x v="292"/>
    <n v="171.6"/>
  </r>
  <r>
    <x v="293"/>
    <n v="187.5"/>
  </r>
  <r>
    <x v="293"/>
    <n v="178.6"/>
  </r>
  <r>
    <x v="293"/>
    <n v="176.4"/>
  </r>
  <r>
    <x v="293"/>
    <n v="175.2"/>
  </r>
  <r>
    <x v="294"/>
    <n v="181.7"/>
  </r>
  <r>
    <x v="294"/>
    <n v="167.8"/>
  </r>
  <r>
    <x v="294"/>
    <n v="168.3"/>
  </r>
  <r>
    <x v="294"/>
    <n v="168.7"/>
  </r>
  <r>
    <x v="295"/>
    <n v="166.5"/>
  </r>
  <r>
    <x v="295"/>
    <n v="164.8"/>
  </r>
  <r>
    <x v="295"/>
    <n v="164.1"/>
  </r>
  <r>
    <x v="295"/>
    <n v="168.4"/>
  </r>
  <r>
    <x v="295"/>
    <n v="165.8"/>
  </r>
  <r>
    <x v="296"/>
    <n v="161.5"/>
  </r>
  <r>
    <x v="296"/>
    <n v="169.3"/>
  </r>
  <r>
    <x v="296"/>
    <n v="168.8"/>
  </r>
  <r>
    <x v="296"/>
    <n v="168.8"/>
  </r>
  <r>
    <x v="297"/>
    <n v="172.9"/>
  </r>
  <r>
    <x v="297"/>
    <n v="171.7"/>
  </r>
  <r>
    <x v="297"/>
    <n v="163.4"/>
  </r>
  <r>
    <x v="297"/>
    <n v="155.19999999999999"/>
  </r>
  <r>
    <x v="297"/>
    <n v="159.19999999999999"/>
  </r>
  <r>
    <x v="298"/>
    <n v="160.9"/>
  </r>
  <r>
    <x v="298"/>
    <n v="179.8"/>
  </r>
  <r>
    <x v="298"/>
    <n v="171.2"/>
  </r>
  <r>
    <x v="298"/>
    <n v="175.5"/>
  </r>
  <r>
    <x v="299"/>
    <n v="177.7"/>
  </r>
  <r>
    <x v="299"/>
    <n v="165.5"/>
  </r>
  <r>
    <x v="299"/>
    <n v="167.7"/>
  </r>
  <r>
    <x v="299"/>
    <n v="152.4"/>
  </r>
  <r>
    <x v="300"/>
    <n v="159.19999999999999"/>
  </r>
  <r>
    <x v="300"/>
    <n v="192.9"/>
  </r>
  <r>
    <x v="300"/>
    <n v="191.7"/>
  </r>
  <r>
    <x v="300"/>
    <n v="191.6"/>
  </r>
  <r>
    <x v="300"/>
    <n v="187.2"/>
  </r>
  <r>
    <x v="301"/>
    <n v="175.1"/>
  </r>
  <r>
    <x v="301"/>
    <n v="162.69999999999999"/>
  </r>
  <r>
    <x v="301"/>
    <n v="170.2"/>
  </r>
  <r>
    <x v="301"/>
    <n v="169.8"/>
  </r>
  <r>
    <x v="302"/>
    <n v="173"/>
  </r>
  <r>
    <x v="302"/>
    <n v="170.4"/>
  </r>
  <r>
    <x v="302"/>
    <n v="178.7"/>
  </r>
  <r>
    <x v="302"/>
    <n v="188.9"/>
  </r>
  <r>
    <x v="303"/>
    <n v="201.8"/>
  </r>
  <r>
    <x v="303"/>
    <n v="195.6"/>
  </r>
  <r>
    <x v="303"/>
    <n v="205.4"/>
  </r>
  <r>
    <x v="303"/>
    <n v="205.4"/>
  </r>
  <r>
    <x v="304"/>
    <n v="207.1"/>
  </r>
  <r>
    <x v="304"/>
    <n v="206.7"/>
  </r>
  <r>
    <x v="304"/>
    <n v="199.1"/>
  </r>
  <r>
    <x v="304"/>
    <n v="201.5"/>
  </r>
  <r>
    <x v="304"/>
    <n v="195.4"/>
  </r>
  <r>
    <x v="305"/>
    <n v="214.3"/>
  </r>
  <r>
    <x v="305"/>
    <n v="205.4"/>
  </r>
  <r>
    <x v="305"/>
    <n v="207.8"/>
  </r>
  <r>
    <x v="305"/>
    <n v="199.2"/>
  </r>
  <r>
    <x v="306"/>
    <n v="212.4"/>
  </r>
  <r>
    <x v="306"/>
    <n v="196.4"/>
  </r>
  <r>
    <x v="306"/>
    <n v="198.3"/>
  </r>
  <r>
    <x v="306"/>
    <n v="198.1"/>
  </r>
  <r>
    <x v="306"/>
    <n v="204.6"/>
  </r>
  <r>
    <x v="307"/>
    <n v="197.4"/>
  </r>
  <r>
    <x v="307"/>
    <n v="195.3"/>
  </r>
  <r>
    <x v="307"/>
    <n v="198.7"/>
  </r>
  <r>
    <x v="307"/>
    <n v="206.9"/>
  </r>
  <r>
    <x v="308"/>
    <n v="205"/>
  </r>
  <r>
    <x v="308"/>
    <n v="196.3"/>
  </r>
  <r>
    <x v="308"/>
    <n v="214.2"/>
  </r>
  <r>
    <x v="308"/>
    <n v="202.1"/>
  </r>
  <r>
    <x v="309"/>
    <n v="257.39999999999998"/>
  </r>
  <r>
    <x v="309"/>
    <n v="169.6"/>
  </r>
  <r>
    <x v="309"/>
    <n v="197.4"/>
  </r>
  <r>
    <x v="309"/>
    <n v="191.2"/>
  </r>
  <r>
    <x v="309"/>
    <n v="190"/>
  </r>
  <r>
    <x v="310"/>
    <n v="190.1"/>
  </r>
  <r>
    <x v="310"/>
    <n v="212.8"/>
  </r>
  <r>
    <x v="310"/>
    <n v="211.7"/>
  </r>
  <r>
    <x v="310"/>
    <n v="228.1"/>
  </r>
  <r>
    <x v="311"/>
    <n v="228.2"/>
  </r>
  <r>
    <x v="311"/>
    <n v="221.7"/>
  </r>
  <r>
    <x v="311"/>
    <n v="230.8"/>
  </r>
  <r>
    <x v="311"/>
    <n v="220.8"/>
  </r>
  <r>
    <x v="312"/>
    <n v="196.2"/>
  </r>
  <r>
    <x v="312"/>
    <n v="231.1"/>
  </r>
  <r>
    <x v="312"/>
    <n v="227.3"/>
  </r>
  <r>
    <x v="312"/>
    <n v="237.8"/>
  </r>
  <r>
    <x v="312"/>
    <n v="221.1"/>
  </r>
  <r>
    <x v="313"/>
    <n v="221.6"/>
  </r>
  <r>
    <x v="313"/>
    <n v="213.3"/>
  </r>
  <r>
    <x v="313"/>
    <n v="217.9"/>
  </r>
  <r>
    <x v="313"/>
    <n v="216.7"/>
  </r>
  <r>
    <x v="314"/>
    <n v="225.7"/>
  </r>
  <r>
    <x v="314"/>
    <n v="226.3"/>
  </r>
  <r>
    <x v="314"/>
    <n v="224"/>
  </r>
  <r>
    <x v="314"/>
    <n v="228.6"/>
  </r>
  <r>
    <x v="315"/>
    <n v="223.1"/>
  </r>
  <r>
    <x v="315"/>
    <n v="241.9"/>
  </r>
  <r>
    <x v="315"/>
    <n v="240.8"/>
  </r>
  <r>
    <x v="315"/>
    <n v="235"/>
  </r>
  <r>
    <x v="315"/>
    <n v="234.7"/>
  </r>
  <r>
    <x v="316"/>
    <n v="235.6"/>
  </r>
  <r>
    <x v="316"/>
    <n v="224.1"/>
  </r>
  <r>
    <x v="316"/>
    <n v="234.9"/>
  </r>
  <r>
    <x v="316"/>
    <n v="223.8"/>
  </r>
  <r>
    <x v="317"/>
    <n v="249.9"/>
  </r>
  <r>
    <x v="317"/>
    <n v="237.6"/>
  </r>
  <r>
    <x v="317"/>
    <n v="231.9"/>
  </r>
  <r>
    <x v="318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2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I1:J321" firstHeaderRow="1" firstDataRow="1" firstDataCol="1"/>
  <pivotFields count="2">
    <pivotField axis="axisRow" showAll="0">
      <items count="3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t="default"/>
      </items>
    </pivotField>
    <pivotField dataField="1" showAll="0"/>
  </pivotFields>
  <rowFields count="1">
    <field x="0"/>
  </rowFields>
  <rowItems count="3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 t="grand">
      <x/>
    </i>
  </rowItems>
  <colItems count="1">
    <i/>
  </colItems>
  <dataFields count="1">
    <dataField name="Average of MBAVPRCH" fld="1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6"/>
    <pageSetUpPr fitToPage="1"/>
  </sheetPr>
  <dimension ref="A1:R272"/>
  <sheetViews>
    <sheetView workbookViewId="0">
      <selection activeCell="J258" sqref="J258"/>
    </sheetView>
  </sheetViews>
  <sheetFormatPr defaultRowHeight="15" x14ac:dyDescent="0.25"/>
  <cols>
    <col min="1" max="2" width="9.7109375" bestFit="1" customWidth="1"/>
    <col min="5" max="5" width="9.140625" style="8"/>
    <col min="13" max="14" width="9.7109375" bestFit="1" customWidth="1"/>
  </cols>
  <sheetData>
    <row r="1" spans="1:18" x14ac:dyDescent="0.25">
      <c r="B1" t="s">
        <v>18</v>
      </c>
      <c r="N1" t="s">
        <v>19</v>
      </c>
    </row>
    <row r="2" spans="1:18" x14ac:dyDescent="0.25">
      <c r="B2" t="s">
        <v>4</v>
      </c>
      <c r="C2" t="s">
        <v>10</v>
      </c>
      <c r="D2" t="s">
        <v>11</v>
      </c>
      <c r="E2" s="8" t="s">
        <v>17</v>
      </c>
      <c r="N2" t="s">
        <v>4</v>
      </c>
      <c r="O2" t="s">
        <v>10</v>
      </c>
      <c r="P2" t="s">
        <v>11</v>
      </c>
      <c r="Q2" t="s">
        <v>24</v>
      </c>
      <c r="R2" t="s">
        <v>26</v>
      </c>
    </row>
    <row r="3" spans="1:18" x14ac:dyDescent="0.25">
      <c r="A3" s="1">
        <v>34335</v>
      </c>
      <c r="B3" s="8">
        <f>VLOOKUP(A3,HPA2Yr!A:F,6,0)*100</f>
        <v>105.07687504877801</v>
      </c>
      <c r="C3" t="e">
        <f>VLOOKUP(A3,'MBA CA Index'!A:F,3,0)</f>
        <v>#N/A</v>
      </c>
      <c r="D3" t="e">
        <f>VLOOKUP(A3,'Purchase Index'!M:T,5,0)</f>
        <v>#N/A</v>
      </c>
      <c r="E3" s="8" t="e">
        <f>VLOOKUP(A3,Cello!A:F,3,0)*100</f>
        <v>#N/A</v>
      </c>
      <c r="H3" s="8"/>
      <c r="I3" s="8"/>
      <c r="J3" s="8"/>
      <c r="K3" s="8"/>
      <c r="M3" s="1">
        <v>34335</v>
      </c>
      <c r="N3" s="8">
        <f t="shared" ref="N3:N66" si="0">(B3-H$6)/(H$7-H$6)*100</f>
        <v>48.786493241894412</v>
      </c>
      <c r="O3" s="8" t="e">
        <f t="shared" ref="O3:O66" si="1">(C3-I$6)/(I$7-I$6)*100</f>
        <v>#N/A</v>
      </c>
      <c r="P3" s="8" t="e">
        <f t="shared" ref="P3:P66" si="2">(D3-J$6)/(J$7-J$6)*100</f>
        <v>#N/A</v>
      </c>
      <c r="Q3" s="8" t="e">
        <f t="shared" ref="Q3:Q66" si="3">(E3-K$6)/(K$7-K$6)*100</f>
        <v>#N/A</v>
      </c>
      <c r="R3" s="8">
        <f>VLOOKUP(M3,'Tracking Diff'!A:D,4,0)</f>
        <v>1.4751266760067299</v>
      </c>
    </row>
    <row r="4" spans="1:18" x14ac:dyDescent="0.25">
      <c r="A4" s="1">
        <v>34366</v>
      </c>
      <c r="B4" s="8">
        <f>VLOOKUP(A4,HPA2Yr!A:F,6,0)*100</f>
        <v>105.03074887124299</v>
      </c>
      <c r="C4" t="e">
        <f>VLOOKUP(A4,'MBA CA Index'!A:F,3,0)</f>
        <v>#N/A</v>
      </c>
      <c r="D4" t="e">
        <f>VLOOKUP(A4,'Purchase Index'!M:T,5,0)</f>
        <v>#N/A</v>
      </c>
      <c r="E4" s="8" t="e">
        <f>VLOOKUP(A4,Cello!A:F,3,0)*100</f>
        <v>#N/A</v>
      </c>
      <c r="M4" s="1">
        <v>34366</v>
      </c>
      <c r="N4" s="8">
        <f t="shared" si="0"/>
        <v>48.657148412659659</v>
      </c>
      <c r="O4" s="8" t="e">
        <f t="shared" si="1"/>
        <v>#N/A</v>
      </c>
      <c r="P4" s="8" t="e">
        <f t="shared" si="2"/>
        <v>#N/A</v>
      </c>
      <c r="Q4" s="8" t="e">
        <f t="shared" si="3"/>
        <v>#N/A</v>
      </c>
      <c r="R4" s="8" t="e">
        <f>VLOOKUP(M4,'Tracking Diff'!A:D,4,0)</f>
        <v>#N/A</v>
      </c>
    </row>
    <row r="5" spans="1:18" x14ac:dyDescent="0.25">
      <c r="A5" s="1">
        <v>34394</v>
      </c>
      <c r="B5" s="8">
        <f>VLOOKUP(A5,HPA2Yr!A:F,6,0)*100</f>
        <v>104.984859072909</v>
      </c>
      <c r="C5" t="e">
        <f>VLOOKUP(A5,'MBA CA Index'!A:F,3,0)</f>
        <v>#N/A</v>
      </c>
      <c r="D5" t="e">
        <f>VLOOKUP(A5,'Purchase Index'!M:T,5,0)</f>
        <v>#N/A</v>
      </c>
      <c r="E5" s="8" t="e">
        <f>VLOOKUP(A5,Cello!A:F,3,0)*100</f>
        <v>#N/A</v>
      </c>
      <c r="H5" t="s">
        <v>4</v>
      </c>
      <c r="I5" t="s">
        <v>10</v>
      </c>
      <c r="J5" t="s">
        <v>11</v>
      </c>
      <c r="K5" t="s">
        <v>17</v>
      </c>
      <c r="M5" s="1">
        <v>34394</v>
      </c>
      <c r="N5" s="8">
        <f t="shared" si="0"/>
        <v>48.528466426717479</v>
      </c>
      <c r="O5" s="8" t="e">
        <f t="shared" si="1"/>
        <v>#N/A</v>
      </c>
      <c r="P5" s="8" t="e">
        <f t="shared" si="2"/>
        <v>#N/A</v>
      </c>
      <c r="Q5" s="8" t="e">
        <f t="shared" si="3"/>
        <v>#N/A</v>
      </c>
      <c r="R5" s="8">
        <f>VLOOKUP(M5,'Tracking Diff'!A:D,4,0)</f>
        <v>2.5557849772801973</v>
      </c>
    </row>
    <row r="6" spans="1:18" x14ac:dyDescent="0.25">
      <c r="A6" s="1">
        <v>34425</v>
      </c>
      <c r="B6" s="8">
        <f>VLOOKUP(A6,HPA2Yr!A:F,6,0)*100</f>
        <v>105.204511482538</v>
      </c>
      <c r="C6" t="e">
        <f>VLOOKUP(A6,'MBA CA Index'!A:F,3,0)</f>
        <v>#N/A</v>
      </c>
      <c r="D6" t="e">
        <f>VLOOKUP(A6,'Purchase Index'!M:T,5,0)</f>
        <v>#N/A</v>
      </c>
      <c r="E6" s="8" t="e">
        <f>VLOOKUP(A6,Cello!A:F,3,0)*100</f>
        <v>#N/A</v>
      </c>
      <c r="G6" t="s">
        <v>20</v>
      </c>
      <c r="H6" s="8">
        <f>MIN(B3:B272)</f>
        <v>87.6789283206395</v>
      </c>
      <c r="I6" s="8">
        <f>MIN(C128:C270)</f>
        <v>102.27083333333333</v>
      </c>
      <c r="J6" s="8">
        <f>MIN(D86:D271)</f>
        <v>169.50070421749135</v>
      </c>
      <c r="K6" s="8">
        <f>MIN(E138:E267)</f>
        <v>1.8177368768087936</v>
      </c>
      <c r="M6" s="1">
        <v>34425</v>
      </c>
      <c r="N6" s="8">
        <f t="shared" si="0"/>
        <v>49.144405247854294</v>
      </c>
      <c r="O6" s="8" t="e">
        <f t="shared" si="1"/>
        <v>#N/A</v>
      </c>
      <c r="P6" s="8" t="e">
        <f t="shared" si="2"/>
        <v>#N/A</v>
      </c>
      <c r="Q6" s="8" t="e">
        <f t="shared" si="3"/>
        <v>#N/A</v>
      </c>
      <c r="R6" s="8" t="e">
        <f>VLOOKUP(M6,'Tracking Diff'!A:D,4,0)</f>
        <v>#N/A</v>
      </c>
    </row>
    <row r="7" spans="1:18" x14ac:dyDescent="0.25">
      <c r="A7" s="1">
        <v>34455</v>
      </c>
      <c r="B7" s="8">
        <f>VLOOKUP(A7,HPA2Yr!A:F,6,0)*100</f>
        <v>105.42418947777099</v>
      </c>
      <c r="C7" t="e">
        <f>VLOOKUP(A7,'MBA CA Index'!A:F,3,0)</f>
        <v>#N/A</v>
      </c>
      <c r="D7" t="e">
        <f>VLOOKUP(A7,'Purchase Index'!M:T,5,0)</f>
        <v>#N/A</v>
      </c>
      <c r="E7" s="8" t="e">
        <f>VLOOKUP(A7,Cello!A:F,3,0)*100</f>
        <v>#N/A</v>
      </c>
      <c r="G7" t="s">
        <v>21</v>
      </c>
      <c r="H7" s="8">
        <f>MAX(B3:B272)</f>
        <v>123.340328786288</v>
      </c>
      <c r="I7" s="8">
        <f>MAX(C128:C270)</f>
        <v>795.33333333333337</v>
      </c>
      <c r="J7" s="8">
        <f>MAX(D86:D271)</f>
        <v>441.34893646384393</v>
      </c>
      <c r="K7" s="8">
        <f>MAX(E138:E267)</f>
        <v>5.9497534490533575</v>
      </c>
      <c r="M7" s="1">
        <v>34455</v>
      </c>
      <c r="N7" s="8">
        <f t="shared" si="0"/>
        <v>49.760415814922759</v>
      </c>
      <c r="O7" s="8" t="e">
        <f t="shared" si="1"/>
        <v>#N/A</v>
      </c>
      <c r="P7" s="8" t="e">
        <f t="shared" si="2"/>
        <v>#N/A</v>
      </c>
      <c r="Q7" s="8" t="e">
        <f t="shared" si="3"/>
        <v>#N/A</v>
      </c>
      <c r="R7" s="8" t="e">
        <f>VLOOKUP(M7,'Tracking Diff'!A:D,4,0)</f>
        <v>#N/A</v>
      </c>
    </row>
    <row r="8" spans="1:18" x14ac:dyDescent="0.25">
      <c r="A8" s="1">
        <v>34486</v>
      </c>
      <c r="B8" s="8">
        <f>VLOOKUP(A8,HPA2Yr!A:F,6,0)*100</f>
        <v>105.643893063078</v>
      </c>
      <c r="C8" t="e">
        <f>VLOOKUP(A8,'MBA CA Index'!A:F,3,0)</f>
        <v>#N/A</v>
      </c>
      <c r="D8" t="e">
        <f>VLOOKUP(A8,'Purchase Index'!M:T,5,0)</f>
        <v>#N/A</v>
      </c>
      <c r="E8" s="8" t="e">
        <f>VLOOKUP(A8,Cello!A:F,3,0)*100</f>
        <v>#N/A</v>
      </c>
      <c r="M8" s="1">
        <v>34486</v>
      </c>
      <c r="N8" s="8">
        <f t="shared" si="0"/>
        <v>50.376498140457436</v>
      </c>
      <c r="O8" s="8" t="e">
        <f t="shared" si="1"/>
        <v>#N/A</v>
      </c>
      <c r="P8" s="8" t="e">
        <f t="shared" si="2"/>
        <v>#N/A</v>
      </c>
      <c r="Q8" s="8" t="e">
        <f t="shared" si="3"/>
        <v>#N/A</v>
      </c>
      <c r="R8" s="8">
        <f>VLOOKUP(M8,'Tracking Diff'!A:D,4,0)</f>
        <v>2.1325189438782841</v>
      </c>
    </row>
    <row r="9" spans="1:18" x14ac:dyDescent="0.25">
      <c r="A9" s="1">
        <v>34516</v>
      </c>
      <c r="B9" s="8">
        <f>VLOOKUP(A9,HPA2Yr!A:F,6,0)*100</f>
        <v>105.390507137054</v>
      </c>
      <c r="C9" t="e">
        <f>VLOOKUP(A9,'MBA CA Index'!A:F,3,0)</f>
        <v>#N/A</v>
      </c>
      <c r="D9" t="e">
        <f>VLOOKUP(A9,'Purchase Index'!M:T,5,0)</f>
        <v>#N/A</v>
      </c>
      <c r="E9" s="8" t="e">
        <f>VLOOKUP(A9,Cello!A:F,3,0)*100</f>
        <v>#N/A</v>
      </c>
      <c r="M9" s="1">
        <v>34516</v>
      </c>
      <c r="N9" s="8">
        <f t="shared" si="0"/>
        <v>49.665965399972187</v>
      </c>
      <c r="O9" s="8" t="e">
        <f t="shared" si="1"/>
        <v>#N/A</v>
      </c>
      <c r="P9" s="8" t="e">
        <f t="shared" si="2"/>
        <v>#N/A</v>
      </c>
      <c r="Q9" s="8" t="e">
        <f t="shared" si="3"/>
        <v>#N/A</v>
      </c>
      <c r="R9" s="8">
        <f>VLOOKUP(M9,'Tracking Diff'!A:D,4,0)</f>
        <v>0.11230065380998955</v>
      </c>
    </row>
    <row r="10" spans="1:18" x14ac:dyDescent="0.25">
      <c r="A10" s="1">
        <v>34547</v>
      </c>
      <c r="B10" s="8">
        <f>VLOOKUP(A10,HPA2Yr!A:F,6,0)*100</f>
        <v>105.139025377189</v>
      </c>
      <c r="C10" t="e">
        <f>VLOOKUP(A10,'MBA CA Index'!A:F,3,0)</f>
        <v>#N/A</v>
      </c>
      <c r="D10" t="e">
        <f>VLOOKUP(A10,'Purchase Index'!M:T,5,0)</f>
        <v>#N/A</v>
      </c>
      <c r="E10" s="8" t="e">
        <f>VLOOKUP(A10,Cello!A:F,3,0)*100</f>
        <v>#N/A</v>
      </c>
      <c r="M10" s="1">
        <v>34547</v>
      </c>
      <c r="N10" s="8">
        <f t="shared" si="0"/>
        <v>48.960772231500727</v>
      </c>
      <c r="O10" s="8" t="e">
        <f t="shared" si="1"/>
        <v>#N/A</v>
      </c>
      <c r="P10" s="8" t="e">
        <f t="shared" si="2"/>
        <v>#N/A</v>
      </c>
      <c r="Q10" s="8" t="e">
        <f t="shared" si="3"/>
        <v>#N/A</v>
      </c>
      <c r="R10" s="8">
        <f>VLOOKUP(M10,'Tracking Diff'!A:D,4,0)</f>
        <v>0.93702257865176986</v>
      </c>
    </row>
    <row r="11" spans="1:18" x14ac:dyDescent="0.25">
      <c r="A11" s="1">
        <v>34578</v>
      </c>
      <c r="B11" s="8">
        <f>VLOOKUP(A11,HPA2Yr!A:F,6,0)*100</f>
        <v>104.889426399447</v>
      </c>
      <c r="C11" t="e">
        <f>VLOOKUP(A11,'MBA CA Index'!A:F,3,0)</f>
        <v>#N/A</v>
      </c>
      <c r="D11" t="e">
        <f>VLOOKUP(A11,'Purchase Index'!M:T,5,0)</f>
        <v>#N/A</v>
      </c>
      <c r="E11" s="8" t="e">
        <f>VLOOKUP(A11,Cello!A:F,3,0)*100</f>
        <v>#N/A</v>
      </c>
      <c r="M11" s="1">
        <v>34578</v>
      </c>
      <c r="N11" s="8">
        <f t="shared" si="0"/>
        <v>48.260858670948252</v>
      </c>
      <c r="O11" s="8" t="e">
        <f t="shared" si="1"/>
        <v>#N/A</v>
      </c>
      <c r="P11" s="8" t="e">
        <f t="shared" si="2"/>
        <v>#N/A</v>
      </c>
      <c r="Q11" s="8" t="e">
        <f t="shared" si="3"/>
        <v>#N/A</v>
      </c>
      <c r="R11" s="8">
        <f>VLOOKUP(M11,'Tracking Diff'!A:D,4,0)</f>
        <v>0.51841072318919057</v>
      </c>
    </row>
    <row r="12" spans="1:18" x14ac:dyDescent="0.25">
      <c r="A12" s="1">
        <v>34608</v>
      </c>
      <c r="B12" s="8">
        <f>VLOOKUP(A12,HPA2Yr!A:F,6,0)*100</f>
        <v>104.67794791207601</v>
      </c>
      <c r="C12" t="e">
        <f>VLOOKUP(A12,'MBA CA Index'!A:F,3,0)</f>
        <v>#N/A</v>
      </c>
      <c r="D12" t="e">
        <f>VLOOKUP(A12,'Purchase Index'!M:T,5,0)</f>
        <v>#N/A</v>
      </c>
      <c r="E12" s="8" t="e">
        <f>VLOOKUP(A12,Cello!A:F,3,0)*100</f>
        <v>#N/A</v>
      </c>
      <c r="M12" s="1">
        <v>34608</v>
      </c>
      <c r="N12" s="8">
        <f t="shared" si="0"/>
        <v>47.667840773138245</v>
      </c>
      <c r="O12" s="8" t="e">
        <f t="shared" si="1"/>
        <v>#N/A</v>
      </c>
      <c r="P12" s="8" t="e">
        <f t="shared" si="2"/>
        <v>#N/A</v>
      </c>
      <c r="Q12" s="8" t="e">
        <f t="shared" si="3"/>
        <v>#N/A</v>
      </c>
      <c r="R12" s="8">
        <f>VLOOKUP(M12,'Tracking Diff'!A:D,4,0)</f>
        <v>0.84196985614460029</v>
      </c>
    </row>
    <row r="13" spans="1:18" x14ac:dyDescent="0.25">
      <c r="A13" s="1">
        <v>34639</v>
      </c>
      <c r="B13" s="8">
        <f>VLOOKUP(A13,HPA2Yr!A:F,6,0)*100</f>
        <v>104.46718959250001</v>
      </c>
      <c r="C13" t="e">
        <f>VLOOKUP(A13,'MBA CA Index'!A:F,3,0)</f>
        <v>#N/A</v>
      </c>
      <c r="D13" t="e">
        <f>VLOOKUP(A13,'Purchase Index'!M:T,5,0)</f>
        <v>#N/A</v>
      </c>
      <c r="E13" s="8" t="e">
        <f>VLOOKUP(A13,Cello!A:F,3,0)*100</f>
        <v>#N/A</v>
      </c>
      <c r="M13" s="1">
        <v>34639</v>
      </c>
      <c r="N13" s="8">
        <f t="shared" si="0"/>
        <v>47.076842335544583</v>
      </c>
      <c r="O13" s="8" t="e">
        <f t="shared" si="1"/>
        <v>#N/A</v>
      </c>
      <c r="P13" s="8" t="e">
        <f t="shared" si="2"/>
        <v>#N/A</v>
      </c>
      <c r="Q13" s="8" t="e">
        <f t="shared" si="3"/>
        <v>#N/A</v>
      </c>
      <c r="R13" s="8">
        <f>VLOOKUP(M13,'Tracking Diff'!A:D,4,0)</f>
        <v>0.25037564865067985</v>
      </c>
    </row>
    <row r="14" spans="1:18" x14ac:dyDescent="0.25">
      <c r="A14" s="1">
        <v>34669</v>
      </c>
      <c r="B14" s="8">
        <f>VLOOKUP(A14,HPA2Yr!A:F,6,0)*100</f>
        <v>104.25714776829101</v>
      </c>
      <c r="C14" t="e">
        <f>VLOOKUP(A14,'MBA CA Index'!A:F,3,0)</f>
        <v>#N/A</v>
      </c>
      <c r="D14" t="e">
        <f>VLOOKUP(A14,'Purchase Index'!M:T,5,0)</f>
        <v>#N/A</v>
      </c>
      <c r="E14" s="8" t="e">
        <f>VLOOKUP(A14,Cello!A:F,3,0)*100</f>
        <v>#N/A</v>
      </c>
      <c r="M14" s="1">
        <v>34669</v>
      </c>
      <c r="N14" s="8">
        <f t="shared" si="0"/>
        <v>46.487853060119669</v>
      </c>
      <c r="O14" s="8" t="e">
        <f t="shared" si="1"/>
        <v>#N/A</v>
      </c>
      <c r="P14" s="8" t="e">
        <f t="shared" si="2"/>
        <v>#N/A</v>
      </c>
      <c r="Q14" s="8" t="e">
        <f t="shared" si="3"/>
        <v>#N/A</v>
      </c>
      <c r="R14" s="8">
        <f>VLOOKUP(M14,'Tracking Diff'!A:D,4,0)</f>
        <v>0.15709682599081987</v>
      </c>
    </row>
    <row r="15" spans="1:18" x14ac:dyDescent="0.25">
      <c r="A15" s="1">
        <v>34700</v>
      </c>
      <c r="B15" s="8">
        <f>VLOOKUP(A15,HPA2Yr!A:F,6,0)*100</f>
        <v>104.432349852</v>
      </c>
      <c r="C15" t="e">
        <f>VLOOKUP(A15,'MBA CA Index'!A:F,3,0)</f>
        <v>#N/A</v>
      </c>
      <c r="D15" t="e">
        <f>VLOOKUP(A15,'Purchase Index'!M:T,5,0)</f>
        <v>#N/A</v>
      </c>
      <c r="E15" s="8" t="e">
        <f>VLOOKUP(A15,Cello!A:F,3,0)*100</f>
        <v>#N/A</v>
      </c>
      <c r="M15" s="1">
        <v>34700</v>
      </c>
      <c r="N15" s="8">
        <f t="shared" si="0"/>
        <v>46.979146395269986</v>
      </c>
      <c r="O15" s="8" t="e">
        <f t="shared" si="1"/>
        <v>#N/A</v>
      </c>
      <c r="P15" s="8" t="e">
        <f t="shared" si="2"/>
        <v>#N/A</v>
      </c>
      <c r="Q15" s="8" t="e">
        <f t="shared" si="3"/>
        <v>#N/A</v>
      </c>
      <c r="R15" s="8">
        <f>VLOOKUP(M15,'Tracking Diff'!A:D,4,0)</f>
        <v>0.29732508301901017</v>
      </c>
    </row>
    <row r="16" spans="1:18" x14ac:dyDescent="0.25">
      <c r="A16" s="1">
        <v>34731</v>
      </c>
      <c r="B16" s="8">
        <f>VLOOKUP(A16,HPA2Yr!A:F,6,0)*100</f>
        <v>104.60751179087599</v>
      </c>
      <c r="C16" t="e">
        <f>VLOOKUP(A16,'MBA CA Index'!A:F,3,0)</f>
        <v>#N/A</v>
      </c>
      <c r="D16" t="e">
        <f>VLOOKUP(A16,'Purchase Index'!M:T,5,0)</f>
        <v>#N/A</v>
      </c>
      <c r="E16" s="8" t="e">
        <f>VLOOKUP(A16,Cello!A:F,3,0)*100</f>
        <v>#N/A</v>
      </c>
      <c r="M16" s="1">
        <v>34731</v>
      </c>
      <c r="N16" s="8">
        <f t="shared" si="0"/>
        <v>47.470327158192397</v>
      </c>
      <c r="O16" s="8" t="e">
        <f t="shared" si="1"/>
        <v>#N/A</v>
      </c>
      <c r="P16" s="8" t="e">
        <f t="shared" si="2"/>
        <v>#N/A</v>
      </c>
      <c r="Q16" s="8" t="e">
        <f t="shared" si="3"/>
        <v>#N/A</v>
      </c>
      <c r="R16" s="8">
        <f>VLOOKUP(M16,'Tracking Diff'!A:D,4,0)</f>
        <v>0.25883710066896981</v>
      </c>
    </row>
    <row r="17" spans="1:18" x14ac:dyDescent="0.25">
      <c r="A17" s="1">
        <v>34759</v>
      </c>
      <c r="B17" s="8">
        <f>VLOOKUP(A17,HPA2Yr!A:F,6,0)*100</f>
        <v>104.782633598716</v>
      </c>
      <c r="C17" t="e">
        <f>VLOOKUP(A17,'MBA CA Index'!A:F,3,0)</f>
        <v>#N/A</v>
      </c>
      <c r="D17" t="e">
        <f>VLOOKUP(A17,'Purchase Index'!M:T,5,0)</f>
        <v>#N/A</v>
      </c>
      <c r="E17" s="8" t="e">
        <f>VLOOKUP(A17,Cello!A:F,3,0)*100</f>
        <v>#N/A</v>
      </c>
      <c r="M17" s="1">
        <v>34759</v>
      </c>
      <c r="N17" s="8">
        <f t="shared" si="0"/>
        <v>47.961395387575884</v>
      </c>
      <c r="O17" s="8" t="e">
        <f t="shared" si="1"/>
        <v>#N/A</v>
      </c>
      <c r="P17" s="8" t="e">
        <f t="shared" si="2"/>
        <v>#N/A</v>
      </c>
      <c r="Q17" s="8" t="e">
        <f t="shared" si="3"/>
        <v>#N/A</v>
      </c>
      <c r="R17" s="8">
        <f>VLOOKUP(M17,'Tracking Diff'!A:D,4,0)</f>
        <v>2.1575241833159096</v>
      </c>
    </row>
    <row r="18" spans="1:18" x14ac:dyDescent="0.25">
      <c r="A18" s="1">
        <v>34790</v>
      </c>
      <c r="B18" s="8">
        <f>VLOOKUP(A18,HPA2Yr!A:F,6,0)*100</f>
        <v>105.01874655044401</v>
      </c>
      <c r="C18" t="e">
        <f>VLOOKUP(A18,'MBA CA Index'!A:F,3,0)</f>
        <v>#N/A</v>
      </c>
      <c r="D18" t="e">
        <f>VLOOKUP(A18,'Purchase Index'!M:T,5,0)</f>
        <v>#N/A</v>
      </c>
      <c r="E18" s="8" t="e">
        <f>VLOOKUP(A18,Cello!A:F,3,0)*100</f>
        <v>#N/A</v>
      </c>
      <c r="M18" s="1">
        <v>34790</v>
      </c>
      <c r="N18" s="8">
        <f t="shared" si="0"/>
        <v>48.623492076558819</v>
      </c>
      <c r="O18" s="8" t="e">
        <f t="shared" si="1"/>
        <v>#N/A</v>
      </c>
      <c r="P18" s="8" t="e">
        <f t="shared" si="2"/>
        <v>#N/A</v>
      </c>
      <c r="Q18" s="8" t="e">
        <f t="shared" si="3"/>
        <v>#N/A</v>
      </c>
      <c r="R18" s="8">
        <f>VLOOKUP(M18,'Tracking Diff'!A:D,4,0)</f>
        <v>2.8663997002585999</v>
      </c>
    </row>
    <row r="19" spans="1:18" x14ac:dyDescent="0.25">
      <c r="A19" s="1">
        <v>34820</v>
      </c>
      <c r="B19" s="8">
        <f>VLOOKUP(A19,HPA2Yr!A:F,6,0)*100</f>
        <v>105.25337228936201</v>
      </c>
      <c r="C19" t="e">
        <f>VLOOKUP(A19,'MBA CA Index'!A:F,3,0)</f>
        <v>#N/A</v>
      </c>
      <c r="D19" t="e">
        <f>VLOOKUP(A19,'Purchase Index'!M:T,5,0)</f>
        <v>#N/A</v>
      </c>
      <c r="E19" s="8" t="e">
        <f>VLOOKUP(A19,Cello!A:F,3,0)*100</f>
        <v>#N/A</v>
      </c>
      <c r="M19" s="1">
        <v>34820</v>
      </c>
      <c r="N19" s="8">
        <f t="shared" si="0"/>
        <v>49.281418394242294</v>
      </c>
      <c r="O19" s="8" t="e">
        <f t="shared" si="1"/>
        <v>#N/A</v>
      </c>
      <c r="P19" s="8" t="e">
        <f t="shared" si="2"/>
        <v>#N/A</v>
      </c>
      <c r="Q19" s="8" t="e">
        <f t="shared" si="3"/>
        <v>#N/A</v>
      </c>
      <c r="R19" s="8">
        <f>VLOOKUP(M19,'Tracking Diff'!A:D,4,0)</f>
        <v>3.2180771515011299</v>
      </c>
    </row>
    <row r="20" spans="1:18" x14ac:dyDescent="0.25">
      <c r="A20" s="1">
        <v>34851</v>
      </c>
      <c r="B20" s="8">
        <f>VLOOKUP(A20,HPA2Yr!A:F,6,0)*100</f>
        <v>105.486524822695</v>
      </c>
      <c r="C20" t="e">
        <f>VLOOKUP(A20,'MBA CA Index'!A:F,3,0)</f>
        <v>#N/A</v>
      </c>
      <c r="D20" t="e">
        <f>VLOOKUP(A20,'Purchase Index'!M:T,5,0)</f>
        <v>#N/A</v>
      </c>
      <c r="E20" s="8" t="e">
        <f>VLOOKUP(A20,Cello!A:F,3,0)*100</f>
        <v>#N/A</v>
      </c>
      <c r="M20" s="1">
        <v>34851</v>
      </c>
      <c r="N20" s="8">
        <f t="shared" si="0"/>
        <v>49.935213619019251</v>
      </c>
      <c r="O20" s="8" t="e">
        <f t="shared" si="1"/>
        <v>#N/A</v>
      </c>
      <c r="P20" s="8" t="e">
        <f t="shared" si="2"/>
        <v>#N/A</v>
      </c>
      <c r="Q20" s="8" t="e">
        <f t="shared" si="3"/>
        <v>#N/A</v>
      </c>
      <c r="R20" s="8">
        <f>VLOOKUP(M20,'Tracking Diff'!A:D,4,0)</f>
        <v>4.9536187036379804</v>
      </c>
    </row>
    <row r="21" spans="1:18" x14ac:dyDescent="0.25">
      <c r="A21" s="1">
        <v>34881</v>
      </c>
      <c r="B21" s="8">
        <f>VLOOKUP(A21,HPA2Yr!A:F,6,0)*100</f>
        <v>105.74155459569501</v>
      </c>
      <c r="C21" t="e">
        <f>VLOOKUP(A21,'MBA CA Index'!A:F,3,0)</f>
        <v>#N/A</v>
      </c>
      <c r="D21" t="e">
        <f>VLOOKUP(A21,'Purchase Index'!M:T,5,0)</f>
        <v>#N/A</v>
      </c>
      <c r="E21" s="8" t="e">
        <f>VLOOKUP(A21,Cello!A:F,3,0)*100</f>
        <v>#N/A</v>
      </c>
      <c r="M21" s="1">
        <v>34881</v>
      </c>
      <c r="N21" s="8">
        <f t="shared" si="0"/>
        <v>50.650355956869006</v>
      </c>
      <c r="O21" s="8" t="e">
        <f t="shared" si="1"/>
        <v>#N/A</v>
      </c>
      <c r="P21" s="8" t="e">
        <f t="shared" si="2"/>
        <v>#N/A</v>
      </c>
      <c r="Q21" s="8" t="e">
        <f t="shared" si="3"/>
        <v>#N/A</v>
      </c>
      <c r="R21" s="8">
        <f>VLOOKUP(M21,'Tracking Diff'!A:D,4,0)</f>
        <v>8.1016867770422696</v>
      </c>
    </row>
    <row r="22" spans="1:18" x14ac:dyDescent="0.25">
      <c r="A22" s="1">
        <v>34912</v>
      </c>
      <c r="B22" s="8">
        <f>VLOOKUP(A22,HPA2Yr!A:F,6,0)*100</f>
        <v>105.995221881525</v>
      </c>
      <c r="C22" t="e">
        <f>VLOOKUP(A22,'MBA CA Index'!A:F,3,0)</f>
        <v>#N/A</v>
      </c>
      <c r="D22" t="e">
        <f>VLOOKUP(A22,'Purchase Index'!M:T,5,0)</f>
        <v>#N/A</v>
      </c>
      <c r="E22" s="8" t="e">
        <f>VLOOKUP(A22,Cello!A:F,3,0)*100</f>
        <v>#N/A</v>
      </c>
      <c r="M22" s="1">
        <v>34912</v>
      </c>
      <c r="N22" s="8">
        <f t="shared" si="0"/>
        <v>51.361677673116077</v>
      </c>
      <c r="O22" s="8" t="e">
        <f t="shared" si="1"/>
        <v>#N/A</v>
      </c>
      <c r="P22" s="8" t="e">
        <f t="shared" si="2"/>
        <v>#N/A</v>
      </c>
      <c r="Q22" s="8" t="e">
        <f t="shared" si="3"/>
        <v>#N/A</v>
      </c>
      <c r="R22" s="8">
        <f>VLOOKUP(M22,'Tracking Diff'!A:D,4,0)</f>
        <v>6.3392690629448012</v>
      </c>
    </row>
    <row r="23" spans="1:18" x14ac:dyDescent="0.25">
      <c r="A23" s="1">
        <v>34943</v>
      </c>
      <c r="B23" s="8">
        <f>VLOOKUP(A23,HPA2Yr!A:F,6,0)*100</f>
        <v>106.247537569651</v>
      </c>
      <c r="C23" t="e">
        <f>VLOOKUP(A23,'MBA CA Index'!A:F,3,0)</f>
        <v>#N/A</v>
      </c>
      <c r="D23" t="e">
        <f>VLOOKUP(A23,'Purchase Index'!M:T,5,0)</f>
        <v>#N/A</v>
      </c>
      <c r="E23" s="8" t="e">
        <f>VLOOKUP(A23,Cello!A:F,3,0)*100</f>
        <v>#N/A</v>
      </c>
      <c r="M23" s="1">
        <v>34943</v>
      </c>
      <c r="N23" s="8">
        <f t="shared" si="0"/>
        <v>52.069209303482225</v>
      </c>
      <c r="O23" s="8" t="e">
        <f t="shared" si="1"/>
        <v>#N/A</v>
      </c>
      <c r="P23" s="8" t="e">
        <f t="shared" si="2"/>
        <v>#N/A</v>
      </c>
      <c r="Q23" s="8" t="e">
        <f t="shared" si="3"/>
        <v>#N/A</v>
      </c>
      <c r="R23" s="8">
        <f>VLOOKUP(M23,'Tracking Diff'!A:D,4,0)</f>
        <v>1.9249430780559003</v>
      </c>
    </row>
    <row r="24" spans="1:18" x14ac:dyDescent="0.25">
      <c r="A24" s="1">
        <v>34973</v>
      </c>
      <c r="B24" s="8">
        <f>VLOOKUP(A24,HPA2Yr!A:F,6,0)*100</f>
        <v>106.23608434523899</v>
      </c>
      <c r="C24" t="e">
        <f>VLOOKUP(A24,'MBA CA Index'!A:F,3,0)</f>
        <v>#N/A</v>
      </c>
      <c r="D24" t="e">
        <f>VLOOKUP(A24,'Purchase Index'!M:T,5,0)</f>
        <v>#N/A</v>
      </c>
      <c r="E24" s="8" t="e">
        <f>VLOOKUP(A24,Cello!A:F,3,0)*100</f>
        <v>#N/A</v>
      </c>
      <c r="M24" s="1">
        <v>34973</v>
      </c>
      <c r="N24" s="8">
        <f t="shared" si="0"/>
        <v>52.037092717306535</v>
      </c>
      <c r="O24" s="8" t="e">
        <f t="shared" si="1"/>
        <v>#N/A</v>
      </c>
      <c r="P24" s="8" t="e">
        <f t="shared" si="2"/>
        <v>#N/A</v>
      </c>
      <c r="Q24" s="8" t="e">
        <f t="shared" si="3"/>
        <v>#N/A</v>
      </c>
      <c r="R24" s="8">
        <f>VLOOKUP(M24,'Tracking Diff'!A:D,4,0)</f>
        <v>6.40278603590545</v>
      </c>
    </row>
    <row r="25" spans="1:18" x14ac:dyDescent="0.25">
      <c r="A25" s="1">
        <v>35004</v>
      </c>
      <c r="B25" s="8">
        <f>VLOOKUP(A25,HPA2Yr!A:F,6,0)*100</f>
        <v>106.224693523407</v>
      </c>
      <c r="C25" t="e">
        <f>VLOOKUP(A25,'MBA CA Index'!A:F,3,0)</f>
        <v>#N/A</v>
      </c>
      <c r="D25" t="e">
        <f>VLOOKUP(A25,'Purchase Index'!M:T,5,0)</f>
        <v>#N/A</v>
      </c>
      <c r="E25" s="8" t="e">
        <f>VLOOKUP(A25,Cello!A:F,3,0)*100</f>
        <v>#N/A</v>
      </c>
      <c r="M25" s="1">
        <v>35004</v>
      </c>
      <c r="N25" s="8">
        <f t="shared" si="0"/>
        <v>52.005151117472373</v>
      </c>
      <c r="O25" s="8" t="e">
        <f t="shared" si="1"/>
        <v>#N/A</v>
      </c>
      <c r="P25" s="8" t="e">
        <f t="shared" si="2"/>
        <v>#N/A</v>
      </c>
      <c r="Q25" s="8" t="e">
        <f t="shared" si="3"/>
        <v>#N/A</v>
      </c>
      <c r="R25" s="8">
        <f>VLOOKUP(M25,'Tracking Diff'!A:D,4,0)</f>
        <v>7.4676751559010306</v>
      </c>
    </row>
    <row r="26" spans="1:18" x14ac:dyDescent="0.25">
      <c r="A26" s="1">
        <v>35034</v>
      </c>
      <c r="B26" s="8">
        <f>VLOOKUP(A26,HPA2Yr!A:F,6,0)*100</f>
        <v>106.213364595545</v>
      </c>
      <c r="C26" t="e">
        <f>VLOOKUP(A26,'MBA CA Index'!A:F,3,0)</f>
        <v>#N/A</v>
      </c>
      <c r="D26" t="e">
        <f>VLOOKUP(A26,'Purchase Index'!M:T,5,0)</f>
        <v>#N/A</v>
      </c>
      <c r="E26" s="8" t="e">
        <f>VLOOKUP(A26,Cello!A:F,3,0)*100</f>
        <v>#N/A</v>
      </c>
      <c r="M26" s="1">
        <v>35034</v>
      </c>
      <c r="N26" s="8">
        <f t="shared" si="0"/>
        <v>51.97338307775977</v>
      </c>
      <c r="O26" s="8" t="e">
        <f t="shared" si="1"/>
        <v>#N/A</v>
      </c>
      <c r="P26" s="8" t="e">
        <f t="shared" si="2"/>
        <v>#N/A</v>
      </c>
      <c r="Q26" s="8" t="e">
        <f t="shared" si="3"/>
        <v>#N/A</v>
      </c>
      <c r="R26" s="8">
        <f>VLOOKUP(M26,'Tracking Diff'!A:D,4,0)</f>
        <v>8.279067203611298</v>
      </c>
    </row>
    <row r="27" spans="1:18" x14ac:dyDescent="0.25">
      <c r="A27" s="1">
        <v>35065</v>
      </c>
      <c r="B27" s="8">
        <f>VLOOKUP(A27,HPA2Yr!A:F,6,0)*100</f>
        <v>106.38578378579101</v>
      </c>
      <c r="C27" t="e">
        <f>VLOOKUP(A27,'MBA CA Index'!A:F,3,0)</f>
        <v>#N/A</v>
      </c>
      <c r="D27" t="e">
        <f>VLOOKUP(A27,'Purchase Index'!M:T,5,0)</f>
        <v>#N/A</v>
      </c>
      <c r="E27" s="8" t="e">
        <f>VLOOKUP(A27,Cello!A:F,3,0)*100</f>
        <v>#N/A</v>
      </c>
      <c r="M27" s="1">
        <v>35065</v>
      </c>
      <c r="N27" s="8">
        <f t="shared" si="0"/>
        <v>52.456872755659802</v>
      </c>
      <c r="O27" s="8" t="e">
        <f t="shared" si="1"/>
        <v>#N/A</v>
      </c>
      <c r="P27" s="8" t="e">
        <f t="shared" si="2"/>
        <v>#N/A</v>
      </c>
      <c r="Q27" s="8" t="e">
        <f t="shared" si="3"/>
        <v>#N/A</v>
      </c>
      <c r="R27" s="8">
        <f>VLOOKUP(M27,'Tracking Diff'!A:D,4,0)</f>
        <v>14.676614423070838</v>
      </c>
    </row>
    <row r="28" spans="1:18" x14ac:dyDescent="0.25">
      <c r="A28" s="1">
        <v>35096</v>
      </c>
      <c r="B28" s="8">
        <f>VLOOKUP(A28,HPA2Yr!A:F,6,0)*100</f>
        <v>106.55746817617499</v>
      </c>
      <c r="C28" t="e">
        <f>VLOOKUP(A28,'MBA CA Index'!A:F,3,0)</f>
        <v>#N/A</v>
      </c>
      <c r="D28" t="e">
        <f>VLOOKUP(A28,'Purchase Index'!M:T,5,0)</f>
        <v>#N/A</v>
      </c>
      <c r="E28" s="8" t="e">
        <f>VLOOKUP(A28,Cello!A:F,3,0)*100</f>
        <v>#N/A</v>
      </c>
      <c r="M28" s="1">
        <v>35096</v>
      </c>
      <c r="N28" s="8">
        <f t="shared" si="0"/>
        <v>52.93830194279834</v>
      </c>
      <c r="O28" s="8" t="e">
        <f t="shared" si="1"/>
        <v>#N/A</v>
      </c>
      <c r="P28" s="8" t="e">
        <f t="shared" si="2"/>
        <v>#N/A</v>
      </c>
      <c r="Q28" s="8" t="e">
        <f t="shared" si="3"/>
        <v>#N/A</v>
      </c>
      <c r="R28" s="8">
        <f>VLOOKUP(M28,'Tracking Diff'!A:D,4,0)</f>
        <v>15.716758685724299</v>
      </c>
    </row>
    <row r="29" spans="1:18" x14ac:dyDescent="0.25">
      <c r="A29" s="1">
        <v>35125</v>
      </c>
      <c r="B29" s="8">
        <f>VLOOKUP(A29,HPA2Yr!A:F,6,0)*100</f>
        <v>106.72842245395999</v>
      </c>
      <c r="C29" t="e">
        <f>VLOOKUP(A29,'MBA CA Index'!A:F,3,0)</f>
        <v>#N/A</v>
      </c>
      <c r="D29" t="e">
        <f>VLOOKUP(A29,'Purchase Index'!M:T,5,0)</f>
        <v>#N/A</v>
      </c>
      <c r="E29" s="8" t="e">
        <f>VLOOKUP(A29,Cello!A:F,3,0)*100</f>
        <v>#N/A</v>
      </c>
      <c r="M29" s="1">
        <v>35125</v>
      </c>
      <c r="N29" s="8">
        <f t="shared" si="0"/>
        <v>53.417683782975011</v>
      </c>
      <c r="O29" s="8" t="e">
        <f t="shared" si="1"/>
        <v>#N/A</v>
      </c>
      <c r="P29" s="8" t="e">
        <f t="shared" si="2"/>
        <v>#N/A</v>
      </c>
      <c r="Q29" s="8" t="e">
        <f t="shared" si="3"/>
        <v>#N/A</v>
      </c>
      <c r="R29" s="8">
        <f>VLOOKUP(M29,'Tracking Diff'!A:D,4,0)</f>
        <v>8.9076898568890996</v>
      </c>
    </row>
    <row r="30" spans="1:18" x14ac:dyDescent="0.25">
      <c r="A30" s="1">
        <v>35156</v>
      </c>
      <c r="B30" s="8">
        <f>VLOOKUP(A30,HPA2Yr!A:F,6,0)*100</f>
        <v>106.570838100158</v>
      </c>
      <c r="C30" t="e">
        <f>VLOOKUP(A30,'MBA CA Index'!A:F,3,0)</f>
        <v>#N/A</v>
      </c>
      <c r="D30" t="e">
        <f>VLOOKUP(A30,'Purchase Index'!M:T,5,0)</f>
        <v>#N/A</v>
      </c>
      <c r="E30" s="8" t="e">
        <f>VLOOKUP(A30,Cello!A:F,3,0)*100</f>
        <v>#N/A</v>
      </c>
      <c r="M30" s="1">
        <v>35156</v>
      </c>
      <c r="N30" s="8">
        <f t="shared" si="0"/>
        <v>52.97579324658458</v>
      </c>
      <c r="O30" s="8" t="e">
        <f t="shared" si="1"/>
        <v>#N/A</v>
      </c>
      <c r="P30" s="8" t="e">
        <f t="shared" si="2"/>
        <v>#N/A</v>
      </c>
      <c r="Q30" s="8" t="e">
        <f t="shared" si="3"/>
        <v>#N/A</v>
      </c>
      <c r="R30" s="8">
        <f>VLOOKUP(M30,'Tracking Diff'!A:D,4,0)</f>
        <v>0.3284377533466003</v>
      </c>
    </row>
    <row r="31" spans="1:18" x14ac:dyDescent="0.25">
      <c r="A31" s="1">
        <v>35186</v>
      </c>
      <c r="B31" s="8">
        <f>VLOOKUP(A31,HPA2Yr!A:F,6,0)*100</f>
        <v>106.41389216263899</v>
      </c>
      <c r="C31" t="e">
        <f>VLOOKUP(A31,'MBA CA Index'!A:F,3,0)</f>
        <v>#N/A</v>
      </c>
      <c r="D31" t="e">
        <f>VLOOKUP(A31,'Purchase Index'!M:T,5,0)</f>
        <v>#N/A</v>
      </c>
      <c r="E31" s="8" t="e">
        <f>VLOOKUP(A31,Cello!A:F,3,0)*100</f>
        <v>#N/A</v>
      </c>
      <c r="M31" s="1">
        <v>35186</v>
      </c>
      <c r="N31" s="8">
        <f t="shared" si="0"/>
        <v>52.535692926715782</v>
      </c>
      <c r="O31" s="8" t="e">
        <f t="shared" si="1"/>
        <v>#N/A</v>
      </c>
      <c r="P31" s="8" t="e">
        <f t="shared" si="2"/>
        <v>#N/A</v>
      </c>
      <c r="Q31" s="8" t="e">
        <f t="shared" si="3"/>
        <v>#N/A</v>
      </c>
      <c r="R31" s="8">
        <f>VLOOKUP(M31,'Tracking Diff'!A:D,4,0)</f>
        <v>0.49269772731190109</v>
      </c>
    </row>
    <row r="32" spans="1:18" x14ac:dyDescent="0.25">
      <c r="A32" s="1">
        <v>35217</v>
      </c>
      <c r="B32" s="8">
        <f>VLOOKUP(A32,HPA2Yr!A:F,6,0)*100</f>
        <v>106.257580769654</v>
      </c>
      <c r="C32" t="e">
        <f>VLOOKUP(A32,'MBA CA Index'!A:F,3,0)</f>
        <v>#N/A</v>
      </c>
      <c r="D32" t="e">
        <f>VLOOKUP(A32,'Purchase Index'!M:T,5,0)</f>
        <v>#N/A</v>
      </c>
      <c r="E32" s="8" t="e">
        <f>VLOOKUP(A32,Cello!A:F,3,0)*100</f>
        <v>#N/A</v>
      </c>
      <c r="M32" s="1">
        <v>35217</v>
      </c>
      <c r="N32" s="8">
        <f t="shared" si="0"/>
        <v>52.097371966394668</v>
      </c>
      <c r="O32" s="8" t="e">
        <f t="shared" si="1"/>
        <v>#N/A</v>
      </c>
      <c r="P32" s="8" t="e">
        <f t="shared" si="2"/>
        <v>#N/A</v>
      </c>
      <c r="Q32" s="8" t="e">
        <f t="shared" si="3"/>
        <v>#N/A</v>
      </c>
      <c r="R32" s="8">
        <f>VLOOKUP(M32,'Tracking Diff'!A:D,4,0)</f>
        <v>1.2117901074062711</v>
      </c>
    </row>
    <row r="33" spans="1:18" x14ac:dyDescent="0.25">
      <c r="A33" s="1">
        <v>35247</v>
      </c>
      <c r="B33" s="8">
        <f>VLOOKUP(A33,HPA2Yr!A:F,6,0)*100</f>
        <v>106.27282570794002</v>
      </c>
      <c r="C33" t="e">
        <f>VLOOKUP(A33,'MBA CA Index'!A:F,3,0)</f>
        <v>#N/A</v>
      </c>
      <c r="D33" t="e">
        <f>VLOOKUP(A33,'Purchase Index'!M:T,5,0)</f>
        <v>#N/A</v>
      </c>
      <c r="E33" s="8" t="e">
        <f>VLOOKUP(A33,Cello!A:F,3,0)*100</f>
        <v>#N/A</v>
      </c>
      <c r="M33" s="1">
        <v>35247</v>
      </c>
      <c r="N33" s="8">
        <f t="shared" si="0"/>
        <v>52.140121095949191</v>
      </c>
      <c r="O33" s="8" t="e">
        <f t="shared" si="1"/>
        <v>#N/A</v>
      </c>
      <c r="P33" s="8" t="e">
        <f t="shared" si="2"/>
        <v>#N/A</v>
      </c>
      <c r="Q33" s="8" t="e">
        <f t="shared" si="3"/>
        <v>#N/A</v>
      </c>
      <c r="R33" s="8">
        <f>VLOOKUP(M33,'Tracking Diff'!A:D,4,0)</f>
        <v>0.60108414219199879</v>
      </c>
    </row>
    <row r="34" spans="1:18" x14ac:dyDescent="0.25">
      <c r="A34" s="1">
        <v>35278</v>
      </c>
      <c r="B34" s="8">
        <f>VLOOKUP(A34,HPA2Yr!A:F,6,0)*100</f>
        <v>106.288028736895</v>
      </c>
      <c r="C34" t="e">
        <f>VLOOKUP(A34,'MBA CA Index'!A:F,3,0)</f>
        <v>#N/A</v>
      </c>
      <c r="D34" t="e">
        <f>VLOOKUP(A34,'Purchase Index'!M:T,5,0)</f>
        <v>#N/A</v>
      </c>
      <c r="E34" s="8" t="e">
        <f>VLOOKUP(A34,Cello!A:F,3,0)*100</f>
        <v>#N/A</v>
      </c>
      <c r="M34" s="1">
        <v>35278</v>
      </c>
      <c r="N34" s="8">
        <f t="shared" si="0"/>
        <v>52.182752705354517</v>
      </c>
      <c r="O34" s="8" t="e">
        <f t="shared" si="1"/>
        <v>#N/A</v>
      </c>
      <c r="P34" s="8" t="e">
        <f t="shared" si="2"/>
        <v>#N/A</v>
      </c>
      <c r="Q34" s="8" t="e">
        <f t="shared" si="3"/>
        <v>#N/A</v>
      </c>
      <c r="R34" s="8">
        <f>VLOOKUP(M34,'Tracking Diff'!A:D,4,0)</f>
        <v>1.6744759582605093</v>
      </c>
    </row>
    <row r="35" spans="1:18" x14ac:dyDescent="0.25">
      <c r="A35" s="1">
        <v>35309</v>
      </c>
      <c r="B35" s="8">
        <f>VLOOKUP(A35,HPA2Yr!A:F,6,0)*100</f>
        <v>106.30319002910001</v>
      </c>
      <c r="C35" t="e">
        <f>VLOOKUP(A35,'MBA CA Index'!A:F,3,0)</f>
        <v>#N/A</v>
      </c>
      <c r="D35" t="e">
        <f>VLOOKUP(A35,'Purchase Index'!M:T,5,0)</f>
        <v>#N/A</v>
      </c>
      <c r="E35" s="8" t="e">
        <f>VLOOKUP(A35,Cello!A:F,3,0)*100</f>
        <v>#N/A</v>
      </c>
      <c r="M35" s="1">
        <v>35309</v>
      </c>
      <c r="N35" s="8">
        <f t="shared" si="0"/>
        <v>52.22526727855422</v>
      </c>
      <c r="O35" s="8" t="e">
        <f t="shared" si="1"/>
        <v>#N/A</v>
      </c>
      <c r="P35" s="8" t="e">
        <f t="shared" si="2"/>
        <v>#N/A</v>
      </c>
      <c r="Q35" s="8" t="e">
        <f t="shared" si="3"/>
        <v>#N/A</v>
      </c>
      <c r="R35" s="8">
        <f>VLOOKUP(M35,'Tracking Diff'!A:D,4,0)</f>
        <v>2.3468860301674397</v>
      </c>
    </row>
    <row r="36" spans="1:18" x14ac:dyDescent="0.25">
      <c r="A36" s="1">
        <v>35339</v>
      </c>
      <c r="B36" s="8">
        <f>VLOOKUP(A36,HPA2Yr!A:F,6,0)*100</f>
        <v>106.60905862106699</v>
      </c>
      <c r="C36" t="e">
        <f>VLOOKUP(A36,'MBA CA Index'!A:F,3,0)</f>
        <v>#N/A</v>
      </c>
      <c r="D36" t="e">
        <f>VLOOKUP(A36,'Purchase Index'!M:T,5,0)</f>
        <v>#N/A</v>
      </c>
      <c r="E36" s="8" t="e">
        <f>VLOOKUP(A36,Cello!A:F,3,0)*100</f>
        <v>#N/A</v>
      </c>
      <c r="M36" s="1">
        <v>35339</v>
      </c>
      <c r="N36" s="8">
        <f t="shared" si="0"/>
        <v>53.08296941019546</v>
      </c>
      <c r="O36" s="8" t="e">
        <f t="shared" si="1"/>
        <v>#N/A</v>
      </c>
      <c r="P36" s="8" t="e">
        <f t="shared" si="2"/>
        <v>#N/A</v>
      </c>
      <c r="Q36" s="8" t="e">
        <f t="shared" si="3"/>
        <v>#N/A</v>
      </c>
      <c r="R36" s="8">
        <f>VLOOKUP(M36,'Tracking Diff'!A:D,4,0)</f>
        <v>1.7511781463980007</v>
      </c>
    </row>
    <row r="37" spans="1:18" x14ac:dyDescent="0.25">
      <c r="A37" s="1">
        <v>35370</v>
      </c>
      <c r="B37" s="8">
        <f>VLOOKUP(A37,HPA2Yr!A:F,6,0)*100</f>
        <v>106.91511766321699</v>
      </c>
      <c r="C37" t="e">
        <f>VLOOKUP(A37,'MBA CA Index'!A:F,3,0)</f>
        <v>#N/A</v>
      </c>
      <c r="D37" t="e">
        <f>VLOOKUP(A37,'Purchase Index'!M:T,5,0)</f>
        <v>#N/A</v>
      </c>
      <c r="E37" s="8" t="e">
        <f>VLOOKUP(A37,Cello!A:F,3,0)*100</f>
        <v>#N/A</v>
      </c>
      <c r="M37" s="1">
        <v>35370</v>
      </c>
      <c r="N37" s="8">
        <f t="shared" si="0"/>
        <v>53.941205593165378</v>
      </c>
      <c r="O37" s="8" t="e">
        <f t="shared" si="1"/>
        <v>#N/A</v>
      </c>
      <c r="P37" s="8" t="e">
        <f t="shared" si="2"/>
        <v>#N/A</v>
      </c>
      <c r="Q37" s="8" t="e">
        <f t="shared" si="3"/>
        <v>#N/A</v>
      </c>
      <c r="R37" s="8">
        <f>VLOOKUP(M37,'Tracking Diff'!A:D,4,0)</f>
        <v>3.0298156844281507</v>
      </c>
    </row>
    <row r="38" spans="1:18" x14ac:dyDescent="0.25">
      <c r="A38" s="1">
        <v>35400</v>
      </c>
      <c r="B38" s="8">
        <f>VLOOKUP(A38,HPA2Yr!A:F,6,0)*100</f>
        <v>107.22136733347899</v>
      </c>
      <c r="C38" t="e">
        <f>VLOOKUP(A38,'MBA CA Index'!A:F,3,0)</f>
        <v>#N/A</v>
      </c>
      <c r="D38" t="e">
        <f>VLOOKUP(A38,'Purchase Index'!M:T,5,0)</f>
        <v>#N/A</v>
      </c>
      <c r="E38" s="8" t="e">
        <f>VLOOKUP(A38,Cello!A:F,3,0)*100</f>
        <v>#N/A</v>
      </c>
      <c r="M38" s="1">
        <v>35400</v>
      </c>
      <c r="N38" s="8">
        <f t="shared" si="0"/>
        <v>54.799976326403979</v>
      </c>
      <c r="O38" s="8" t="e">
        <f t="shared" si="1"/>
        <v>#N/A</v>
      </c>
      <c r="P38" s="8" t="e">
        <f t="shared" si="2"/>
        <v>#N/A</v>
      </c>
      <c r="Q38" s="8" t="e">
        <f t="shared" si="3"/>
        <v>#N/A</v>
      </c>
      <c r="R38" s="8" t="e">
        <f>VLOOKUP(M38,'Tracking Diff'!A:D,4,0)</f>
        <v>#N/A</v>
      </c>
    </row>
    <row r="39" spans="1:18" x14ac:dyDescent="0.25">
      <c r="A39" s="1">
        <v>35431</v>
      </c>
      <c r="B39" s="8">
        <f>VLOOKUP(A39,HPA2Yr!A:F,6,0)*100</f>
        <v>107.32728669129199</v>
      </c>
      <c r="C39" t="e">
        <f>VLOOKUP(A39,'MBA CA Index'!A:F,3,0)</f>
        <v>#N/A</v>
      </c>
      <c r="D39" t="e">
        <f>VLOOKUP(A39,'Purchase Index'!M:T,5,0)</f>
        <v>#N/A</v>
      </c>
      <c r="E39" s="8" t="e">
        <f>VLOOKUP(A39,Cello!A:F,3,0)*100</f>
        <v>#N/A</v>
      </c>
      <c r="M39" s="1">
        <v>35431</v>
      </c>
      <c r="N39" s="8">
        <f t="shared" si="0"/>
        <v>55.096990342763263</v>
      </c>
      <c r="O39" s="8" t="e">
        <f t="shared" si="1"/>
        <v>#N/A</v>
      </c>
      <c r="P39" s="8" t="e">
        <f t="shared" si="2"/>
        <v>#N/A</v>
      </c>
      <c r="Q39" s="8" t="e">
        <f t="shared" si="3"/>
        <v>#N/A</v>
      </c>
      <c r="R39" s="8" t="e">
        <f>VLOOKUP(M39,'Tracking Diff'!A:D,4,0)</f>
        <v>#N/A</v>
      </c>
    </row>
    <row r="40" spans="1:18" x14ac:dyDescent="0.25">
      <c r="A40" s="1">
        <v>35462</v>
      </c>
      <c r="B40" s="8">
        <f>VLOOKUP(A40,HPA2Yr!A:F,6,0)*100</f>
        <v>107.432827102803</v>
      </c>
      <c r="C40" t="e">
        <f>VLOOKUP(A40,'MBA CA Index'!A:F,3,0)</f>
        <v>#N/A</v>
      </c>
      <c r="D40" t="e">
        <f>VLOOKUP(A40,'Purchase Index'!M:T,5,0)</f>
        <v>#N/A</v>
      </c>
      <c r="E40" s="8" t="e">
        <f>VLOOKUP(A40,Cello!A:F,3,0)*100</f>
        <v>#N/A</v>
      </c>
      <c r="M40" s="1">
        <v>35462</v>
      </c>
      <c r="N40" s="8">
        <f t="shared" si="0"/>
        <v>55.392941735958487</v>
      </c>
      <c r="O40" s="8" t="e">
        <f t="shared" si="1"/>
        <v>#N/A</v>
      </c>
      <c r="P40" s="8" t="e">
        <f t="shared" si="2"/>
        <v>#N/A</v>
      </c>
      <c r="Q40" s="8" t="e">
        <f t="shared" si="3"/>
        <v>#N/A</v>
      </c>
      <c r="R40" s="8">
        <f>VLOOKUP(M40,'Tracking Diff'!A:D,4,0)</f>
        <v>3.086702627191833</v>
      </c>
    </row>
    <row r="41" spans="1:18" x14ac:dyDescent="0.25">
      <c r="A41" s="1">
        <v>35490</v>
      </c>
      <c r="B41" s="8">
        <f>VLOOKUP(A41,HPA2Yr!A:F,6,0)*100</f>
        <v>107.53799059801</v>
      </c>
      <c r="C41" t="e">
        <f>VLOOKUP(A41,'MBA CA Index'!A:F,3,0)</f>
        <v>#N/A</v>
      </c>
      <c r="D41" t="e">
        <f>VLOOKUP(A41,'Purchase Index'!M:T,5,0)</f>
        <v>#N/A</v>
      </c>
      <c r="E41" s="8" t="e">
        <f>VLOOKUP(A41,Cello!A:F,3,0)*100</f>
        <v>#N/A</v>
      </c>
      <c r="M41" s="1">
        <v>35490</v>
      </c>
      <c r="N41" s="8">
        <f t="shared" si="0"/>
        <v>55.687836198413201</v>
      </c>
      <c r="O41" s="8" t="e">
        <f t="shared" si="1"/>
        <v>#N/A</v>
      </c>
      <c r="P41" s="8" t="e">
        <f t="shared" si="2"/>
        <v>#N/A</v>
      </c>
      <c r="Q41" s="8" t="e">
        <f t="shared" si="3"/>
        <v>#N/A</v>
      </c>
      <c r="R41" s="8">
        <f>VLOOKUP(M41,'Tracking Diff'!A:D,4,0)</f>
        <v>6.48549508899064</v>
      </c>
    </row>
    <row r="42" spans="1:18" x14ac:dyDescent="0.25">
      <c r="A42" s="1">
        <v>35521</v>
      </c>
      <c r="B42" s="8">
        <f>VLOOKUP(A42,HPA2Yr!A:F,6,0)*100</f>
        <v>107.25625226531299</v>
      </c>
      <c r="C42" t="e">
        <f>VLOOKUP(A42,'MBA CA Index'!A:F,3,0)</f>
        <v>#N/A</v>
      </c>
      <c r="D42" t="e">
        <f>VLOOKUP(A42,'Purchase Index'!M:T,5,0)</f>
        <v>#N/A</v>
      </c>
      <c r="E42" s="8" t="e">
        <f>VLOOKUP(A42,Cello!A:F,3,0)*100</f>
        <v>#N/A</v>
      </c>
      <c r="M42" s="1">
        <v>35521</v>
      </c>
      <c r="N42" s="8">
        <f t="shared" si="0"/>
        <v>54.897798990064096</v>
      </c>
      <c r="O42" s="8" t="e">
        <f t="shared" si="1"/>
        <v>#N/A</v>
      </c>
      <c r="P42" s="8" t="e">
        <f t="shared" si="2"/>
        <v>#N/A</v>
      </c>
      <c r="Q42" s="8" t="e">
        <f t="shared" si="3"/>
        <v>#N/A</v>
      </c>
      <c r="R42" s="8">
        <f>VLOOKUP(M42,'Tracking Diff'!A:D,4,0)</f>
        <v>2.7502751923574902</v>
      </c>
    </row>
    <row r="43" spans="1:18" x14ac:dyDescent="0.25">
      <c r="A43" s="1">
        <v>35551</v>
      </c>
      <c r="B43" s="8">
        <f>VLOOKUP(A43,HPA2Yr!A:F,6,0)*100</f>
        <v>106.97754064674301</v>
      </c>
      <c r="C43" t="e">
        <f>VLOOKUP(A43,'MBA CA Index'!A:F,3,0)</f>
        <v>#N/A</v>
      </c>
      <c r="D43" t="e">
        <f>VLOOKUP(A43,'Purchase Index'!M:T,5,0)</f>
        <v>#N/A</v>
      </c>
      <c r="E43" s="8" t="e">
        <f>VLOOKUP(A43,Cello!A:F,3,0)*100</f>
        <v>#N/A</v>
      </c>
      <c r="M43" s="1">
        <v>35551</v>
      </c>
      <c r="N43" s="8">
        <f t="shared" si="0"/>
        <v>54.116249149253839</v>
      </c>
      <c r="O43" s="8" t="e">
        <f t="shared" si="1"/>
        <v>#N/A</v>
      </c>
      <c r="P43" s="8" t="e">
        <f t="shared" si="2"/>
        <v>#N/A</v>
      </c>
      <c r="Q43" s="8" t="e">
        <f t="shared" si="3"/>
        <v>#N/A</v>
      </c>
      <c r="R43" s="8">
        <f>VLOOKUP(M43,'Tracking Diff'!A:D,4,0)</f>
        <v>2.1407467989007198</v>
      </c>
    </row>
    <row r="44" spans="1:18" x14ac:dyDescent="0.25">
      <c r="A44" s="1">
        <v>35582</v>
      </c>
      <c r="B44" s="8">
        <f>VLOOKUP(A44,HPA2Yr!A:F,6,0)*100</f>
        <v>106.701807228915</v>
      </c>
      <c r="C44" t="e">
        <f>VLOOKUP(A44,'MBA CA Index'!A:F,3,0)</f>
        <v>#N/A</v>
      </c>
      <c r="D44" t="e">
        <f>VLOOKUP(A44,'Purchase Index'!M:T,5,0)</f>
        <v>#N/A</v>
      </c>
      <c r="E44" s="8" t="e">
        <f>VLOOKUP(A44,Cello!A:F,3,0)*100</f>
        <v>#N/A</v>
      </c>
      <c r="M44" s="1">
        <v>35582</v>
      </c>
      <c r="N44" s="8">
        <f t="shared" si="0"/>
        <v>53.34305063705964</v>
      </c>
      <c r="O44" s="8" t="e">
        <f t="shared" si="1"/>
        <v>#N/A</v>
      </c>
      <c r="P44" s="8" t="e">
        <f t="shared" si="2"/>
        <v>#N/A</v>
      </c>
      <c r="Q44" s="8" t="e">
        <f t="shared" si="3"/>
        <v>#N/A</v>
      </c>
      <c r="R44" s="8">
        <f>VLOOKUP(M44,'Tracking Diff'!A:D,4,0)</f>
        <v>3.1840694322419107</v>
      </c>
    </row>
    <row r="45" spans="1:18" x14ac:dyDescent="0.25">
      <c r="A45" s="1">
        <v>35612</v>
      </c>
      <c r="B45" s="8">
        <f>VLOOKUP(A45,HPA2Yr!A:F,6,0)*100</f>
        <v>106.648115445675</v>
      </c>
      <c r="C45" t="e">
        <f>VLOOKUP(A45,'MBA CA Index'!A:F,3,0)</f>
        <v>#N/A</v>
      </c>
      <c r="D45" t="e">
        <f>VLOOKUP(A45,'Purchase Index'!M:T,5,0)</f>
        <v>#N/A</v>
      </c>
      <c r="E45" s="8" t="e">
        <f>VLOOKUP(A45,Cello!A:F,3,0)*100</f>
        <v>#N/A</v>
      </c>
      <c r="M45" s="1">
        <v>35612</v>
      </c>
      <c r="N45" s="8">
        <f t="shared" si="0"/>
        <v>53.192490696791126</v>
      </c>
      <c r="O45" s="8" t="e">
        <f t="shared" si="1"/>
        <v>#N/A</v>
      </c>
      <c r="P45" s="8" t="e">
        <f t="shared" si="2"/>
        <v>#N/A</v>
      </c>
      <c r="Q45" s="8" t="e">
        <f t="shared" si="3"/>
        <v>#N/A</v>
      </c>
      <c r="R45" s="8">
        <f>VLOOKUP(M45,'Tracking Diff'!A:D,4,0)</f>
        <v>4.9138927754830704</v>
      </c>
    </row>
    <row r="46" spans="1:18" x14ac:dyDescent="0.25">
      <c r="A46" s="1">
        <v>35643</v>
      </c>
      <c r="B46" s="8">
        <f>VLOOKUP(A46,HPA2Yr!A:F,6,0)*100</f>
        <v>106.594966812195</v>
      </c>
      <c r="C46" t="e">
        <f>VLOOKUP(A46,'MBA CA Index'!A:F,3,0)</f>
        <v>#N/A</v>
      </c>
      <c r="D46" t="e">
        <f>VLOOKUP(A46,'Purchase Index'!M:T,5,0)</f>
        <v>#N/A</v>
      </c>
      <c r="E46" s="8" t="e">
        <f>VLOOKUP(A46,Cello!A:F,3,0)*100</f>
        <v>#N/A</v>
      </c>
      <c r="M46" s="1">
        <v>35643</v>
      </c>
      <c r="N46" s="8">
        <f t="shared" si="0"/>
        <v>53.043453831199706</v>
      </c>
      <c r="O46" s="8" t="e">
        <f t="shared" si="1"/>
        <v>#N/A</v>
      </c>
      <c r="P46" s="8" t="e">
        <f t="shared" si="2"/>
        <v>#N/A</v>
      </c>
      <c r="Q46" s="8" t="e">
        <f t="shared" si="3"/>
        <v>#N/A</v>
      </c>
      <c r="R46" s="8">
        <f>VLOOKUP(M46,'Tracking Diff'!A:D,4,0)</f>
        <v>6.9335309209969989</v>
      </c>
    </row>
    <row r="47" spans="1:18" x14ac:dyDescent="0.25">
      <c r="A47" s="1">
        <v>35674</v>
      </c>
      <c r="B47" s="8">
        <f>VLOOKUP(A47,HPA2Yr!A:F,6,0)*100</f>
        <v>106.542353128145</v>
      </c>
      <c r="C47" t="e">
        <f>VLOOKUP(A47,'MBA CA Index'!A:F,3,0)</f>
        <v>#N/A</v>
      </c>
      <c r="D47" t="e">
        <f>VLOOKUP(A47,'Purchase Index'!M:T,5,0)</f>
        <v>#N/A</v>
      </c>
      <c r="E47" s="8" t="e">
        <f>VLOOKUP(A47,Cello!A:F,3,0)*100</f>
        <v>#N/A</v>
      </c>
      <c r="M47" s="1">
        <v>35674</v>
      </c>
      <c r="N47" s="8">
        <f t="shared" si="0"/>
        <v>52.89591704531076</v>
      </c>
      <c r="O47" s="8" t="e">
        <f t="shared" si="1"/>
        <v>#N/A</v>
      </c>
      <c r="P47" s="8" t="e">
        <f t="shared" si="2"/>
        <v>#N/A</v>
      </c>
      <c r="Q47" s="8" t="e">
        <f t="shared" si="3"/>
        <v>#N/A</v>
      </c>
      <c r="R47" s="8">
        <f>VLOOKUP(M47,'Tracking Diff'!A:D,4,0)</f>
        <v>4.8353684701338988</v>
      </c>
    </row>
    <row r="48" spans="1:18" x14ac:dyDescent="0.25">
      <c r="A48" s="1">
        <v>35704</v>
      </c>
      <c r="B48" s="8">
        <f>VLOOKUP(A48,HPA2Yr!A:F,6,0)*100</f>
        <v>106.720676294469</v>
      </c>
      <c r="C48" t="e">
        <f>VLOOKUP(A48,'MBA CA Index'!A:F,3,0)</f>
        <v>#N/A</v>
      </c>
      <c r="D48" t="e">
        <f>VLOOKUP(A48,'Purchase Index'!M:T,5,0)</f>
        <v>#N/A</v>
      </c>
      <c r="E48" s="8" t="e">
        <f>VLOOKUP(A48,Cello!A:F,3,0)*100</f>
        <v>#N/A</v>
      </c>
      <c r="M48" s="1">
        <v>35704</v>
      </c>
      <c r="N48" s="8">
        <f t="shared" si="0"/>
        <v>53.3959623716175</v>
      </c>
      <c r="O48" s="8" t="e">
        <f t="shared" si="1"/>
        <v>#N/A</v>
      </c>
      <c r="P48" s="8" t="e">
        <f t="shared" si="2"/>
        <v>#N/A</v>
      </c>
      <c r="Q48" s="8" t="e">
        <f t="shared" si="3"/>
        <v>#N/A</v>
      </c>
      <c r="R48" s="8">
        <f>VLOOKUP(M48,'Tracking Diff'!A:D,4,0)</f>
        <v>5.6718847885514005</v>
      </c>
    </row>
    <row r="49" spans="1:18" x14ac:dyDescent="0.25">
      <c r="A49" s="1">
        <v>35735</v>
      </c>
      <c r="B49" s="8">
        <f>VLOOKUP(A49,HPA2Yr!A:F,6,0)*100</f>
        <v>106.89806601205001</v>
      </c>
      <c r="C49" t="e">
        <f>VLOOKUP(A49,'MBA CA Index'!A:F,3,0)</f>
        <v>#N/A</v>
      </c>
      <c r="D49" t="e">
        <f>VLOOKUP(A49,'Purchase Index'!M:T,5,0)</f>
        <v>#N/A</v>
      </c>
      <c r="E49" s="8" t="e">
        <f>VLOOKUP(A49,Cello!A:F,3,0)*100</f>
        <v>#N/A</v>
      </c>
      <c r="M49" s="1">
        <v>35735</v>
      </c>
      <c r="N49" s="8">
        <f t="shared" si="0"/>
        <v>53.893390165435875</v>
      </c>
      <c r="O49" s="8" t="e">
        <f t="shared" si="1"/>
        <v>#N/A</v>
      </c>
      <c r="P49" s="8" t="e">
        <f t="shared" si="2"/>
        <v>#N/A</v>
      </c>
      <c r="Q49" s="8" t="e">
        <f t="shared" si="3"/>
        <v>#N/A</v>
      </c>
      <c r="R49" s="8">
        <f>VLOOKUP(M49,'Tracking Diff'!A:D,4,0)</f>
        <v>6.0147144497479008</v>
      </c>
    </row>
    <row r="50" spans="1:18" x14ac:dyDescent="0.25">
      <c r="A50" s="1">
        <v>35765</v>
      </c>
      <c r="B50" s="8">
        <f>VLOOKUP(A50,HPA2Yr!A:F,6,0)*100</f>
        <v>107.07452959108501</v>
      </c>
      <c r="C50" t="e">
        <f>VLOOKUP(A50,'MBA CA Index'!A:F,3,0)</f>
        <v>#N/A</v>
      </c>
      <c r="D50" t="e">
        <f>VLOOKUP(A50,'Purchase Index'!M:T,5,0)</f>
        <v>#N/A</v>
      </c>
      <c r="E50" s="8" t="e">
        <f>VLOOKUP(A50,Cello!A:F,3,0)*100</f>
        <v>#N/A</v>
      </c>
      <c r="M50" s="1">
        <v>35765</v>
      </c>
      <c r="N50" s="8">
        <f t="shared" si="0"/>
        <v>54.388220925671945</v>
      </c>
      <c r="O50" s="8" t="e">
        <f t="shared" si="1"/>
        <v>#N/A</v>
      </c>
      <c r="P50" s="8" t="e">
        <f t="shared" si="2"/>
        <v>#N/A</v>
      </c>
      <c r="Q50" s="8" t="e">
        <f t="shared" si="3"/>
        <v>#N/A</v>
      </c>
      <c r="R50" s="8">
        <f>VLOOKUP(M50,'Tracking Diff'!A:D,4,0)</f>
        <v>9.9913882823899005</v>
      </c>
    </row>
    <row r="51" spans="1:18" x14ac:dyDescent="0.25">
      <c r="A51" s="1">
        <v>35796</v>
      </c>
      <c r="B51" s="8">
        <f>VLOOKUP(A51,HPA2Yr!A:F,6,0)*100</f>
        <v>107.203323268113</v>
      </c>
      <c r="C51" t="e">
        <f>VLOOKUP(A51,'MBA CA Index'!A:F,3,0)</f>
        <v>#N/A</v>
      </c>
      <c r="D51" t="e">
        <f>VLOOKUP(A51,'Purchase Index'!M:T,5,0)</f>
        <v>#N/A</v>
      </c>
      <c r="E51" s="8" t="e">
        <f>VLOOKUP(A51,Cello!A:F,3,0)*100</f>
        <v>#N/A</v>
      </c>
      <c r="M51" s="1">
        <v>35796</v>
      </c>
      <c r="N51" s="8">
        <f t="shared" si="0"/>
        <v>54.749378018063901</v>
      </c>
      <c r="O51" s="8" t="e">
        <f t="shared" si="1"/>
        <v>#N/A</v>
      </c>
      <c r="P51" s="8" t="e">
        <f t="shared" si="2"/>
        <v>#N/A</v>
      </c>
      <c r="Q51" s="8" t="e">
        <f t="shared" si="3"/>
        <v>#N/A</v>
      </c>
      <c r="R51" s="8">
        <f>VLOOKUP(M51,'Tracking Diff'!A:D,4,0)</f>
        <v>11.874179596258099</v>
      </c>
    </row>
    <row r="52" spans="1:18" x14ac:dyDescent="0.25">
      <c r="A52" s="1">
        <v>35827</v>
      </c>
      <c r="B52" s="8">
        <f>VLOOKUP(A52,HPA2Yr!A:F,6,0)*100</f>
        <v>107.33115392641</v>
      </c>
      <c r="C52" t="e">
        <f>VLOOKUP(A52,'MBA CA Index'!A:F,3,0)</f>
        <v>#N/A</v>
      </c>
      <c r="D52" t="e">
        <f>VLOOKUP(A52,'Purchase Index'!M:T,5,0)</f>
        <v>#N/A</v>
      </c>
      <c r="E52" s="8" t="e">
        <f>VLOOKUP(A52,Cello!A:F,3,0)*100</f>
        <v>#N/A</v>
      </c>
      <c r="M52" s="1">
        <v>35827</v>
      </c>
      <c r="N52" s="8">
        <f t="shared" si="0"/>
        <v>55.107834659216103</v>
      </c>
      <c r="O52" s="8" t="e">
        <f t="shared" si="1"/>
        <v>#N/A</v>
      </c>
      <c r="P52" s="8" t="e">
        <f t="shared" si="2"/>
        <v>#N/A</v>
      </c>
      <c r="Q52" s="8" t="e">
        <f t="shared" si="3"/>
        <v>#N/A</v>
      </c>
      <c r="R52" s="8">
        <f>VLOOKUP(M52,'Tracking Diff'!A:D,4,0)</f>
        <v>8.9787451073494005</v>
      </c>
    </row>
    <row r="53" spans="1:18" x14ac:dyDescent="0.25">
      <c r="A53" s="1">
        <v>35855</v>
      </c>
      <c r="B53" s="8">
        <f>VLOOKUP(A53,HPA2Yr!A:F,6,0)*100</f>
        <v>107.458032326802</v>
      </c>
      <c r="C53" t="e">
        <f>VLOOKUP(A53,'MBA CA Index'!A:F,3,0)</f>
        <v>#N/A</v>
      </c>
      <c r="D53" t="e">
        <f>VLOOKUP(A53,'Purchase Index'!M:T,5,0)</f>
        <v>#N/A</v>
      </c>
      <c r="E53" s="8" t="e">
        <f>VLOOKUP(A53,Cello!A:F,3,0)*100</f>
        <v>#N/A</v>
      </c>
      <c r="M53" s="1">
        <v>35855</v>
      </c>
      <c r="N53" s="8">
        <f t="shared" si="0"/>
        <v>55.463621024124066</v>
      </c>
      <c r="O53" s="8" t="e">
        <f t="shared" si="1"/>
        <v>#N/A</v>
      </c>
      <c r="P53" s="8" t="e">
        <f t="shared" si="2"/>
        <v>#N/A</v>
      </c>
      <c r="Q53" s="8" t="e">
        <f t="shared" si="3"/>
        <v>#N/A</v>
      </c>
      <c r="R53" s="8">
        <f>VLOOKUP(M53,'Tracking Diff'!A:D,4,0)</f>
        <v>2.4574858834160977</v>
      </c>
    </row>
    <row r="54" spans="1:18" x14ac:dyDescent="0.25">
      <c r="A54" s="1">
        <v>35886</v>
      </c>
      <c r="B54" s="8">
        <f>VLOOKUP(A54,HPA2Yr!A:F,6,0)*100</f>
        <v>107.72054367587201</v>
      </c>
      <c r="C54" t="e">
        <f>VLOOKUP(A54,'MBA CA Index'!A:F,3,0)</f>
        <v>#N/A</v>
      </c>
      <c r="D54" t="e">
        <f>VLOOKUP(A54,'Purchase Index'!M:T,5,0)</f>
        <v>#N/A</v>
      </c>
      <c r="E54" s="8" t="e">
        <f>VLOOKUP(A54,Cello!A:F,3,0)*100</f>
        <v>#N/A</v>
      </c>
      <c r="M54" s="1">
        <v>35886</v>
      </c>
      <c r="N54" s="8">
        <f t="shared" si="0"/>
        <v>56.199742841109014</v>
      </c>
      <c r="O54" s="8" t="e">
        <f t="shared" si="1"/>
        <v>#N/A</v>
      </c>
      <c r="P54" s="8" t="e">
        <f t="shared" si="2"/>
        <v>#N/A</v>
      </c>
      <c r="Q54" s="8" t="e">
        <f t="shared" si="3"/>
        <v>#N/A</v>
      </c>
      <c r="R54" s="8">
        <f>VLOOKUP(M54,'Tracking Diff'!A:D,4,0)</f>
        <v>1.1966221870394023</v>
      </c>
    </row>
    <row r="55" spans="1:18" x14ac:dyDescent="0.25">
      <c r="A55" s="1">
        <v>35916</v>
      </c>
      <c r="B55" s="8">
        <f>VLOOKUP(A55,HPA2Yr!A:F,6,0)*100</f>
        <v>107.98276428954601</v>
      </c>
      <c r="C55" t="e">
        <f>VLOOKUP(A55,'MBA CA Index'!A:F,3,0)</f>
        <v>#N/A</v>
      </c>
      <c r="D55" t="e">
        <f>VLOOKUP(A55,'Purchase Index'!M:T,5,0)</f>
        <v>#N/A</v>
      </c>
      <c r="E55" s="8" t="e">
        <f>VLOOKUP(A55,Cello!A:F,3,0)*100</f>
        <v>#N/A</v>
      </c>
      <c r="M55" s="1">
        <v>35916</v>
      </c>
      <c r="N55" s="8">
        <f t="shared" si="0"/>
        <v>56.935049391749374</v>
      </c>
      <c r="O55" s="8" t="e">
        <f t="shared" si="1"/>
        <v>#N/A</v>
      </c>
      <c r="P55" s="8" t="e">
        <f t="shared" si="2"/>
        <v>#N/A</v>
      </c>
      <c r="Q55" s="8" t="e">
        <f t="shared" si="3"/>
        <v>#N/A</v>
      </c>
      <c r="R55" s="8">
        <f>VLOOKUP(M55,'Tracking Diff'!A:D,4,0)</f>
        <v>3.2577260161387009</v>
      </c>
    </row>
    <row r="56" spans="1:18" x14ac:dyDescent="0.25">
      <c r="A56" s="1">
        <v>35947</v>
      </c>
      <c r="B56" s="8">
        <f>VLOOKUP(A56,HPA2Yr!A:F,6,0)*100</f>
        <v>108.244694650547</v>
      </c>
      <c r="C56" t="e">
        <f>VLOOKUP(A56,'MBA CA Index'!A:F,3,0)</f>
        <v>#N/A</v>
      </c>
      <c r="D56" t="e">
        <f>VLOOKUP(A56,'Purchase Index'!M:T,5,0)</f>
        <v>#N/A</v>
      </c>
      <c r="E56" s="8" t="e">
        <f>VLOOKUP(A56,Cello!A:F,3,0)*100</f>
        <v>#N/A</v>
      </c>
      <c r="M56" s="1">
        <v>35947</v>
      </c>
      <c r="N56" s="8">
        <f t="shared" si="0"/>
        <v>57.669542029673963</v>
      </c>
      <c r="O56" s="8" t="e">
        <f t="shared" si="1"/>
        <v>#N/A</v>
      </c>
      <c r="P56" s="8" t="e">
        <f t="shared" si="2"/>
        <v>#N/A</v>
      </c>
      <c r="Q56" s="8" t="e">
        <f t="shared" si="3"/>
        <v>#N/A</v>
      </c>
      <c r="R56" s="8">
        <f>VLOOKUP(M56,'Tracking Diff'!A:D,4,0)</f>
        <v>8.1280931705947985</v>
      </c>
    </row>
    <row r="57" spans="1:18" x14ac:dyDescent="0.25">
      <c r="A57" s="1">
        <v>35977</v>
      </c>
      <c r="B57" s="8">
        <f>VLOOKUP(A57,HPA2Yr!A:F,6,0)*100</f>
        <v>108.582727476816</v>
      </c>
      <c r="C57" t="e">
        <f>VLOOKUP(A57,'MBA CA Index'!A:F,3,0)</f>
        <v>#N/A</v>
      </c>
      <c r="D57" t="e">
        <f>VLOOKUP(A57,'Purchase Index'!M:T,5,0)</f>
        <v>#N/A</v>
      </c>
      <c r="E57" s="8" t="e">
        <f>VLOOKUP(A57,Cello!A:F,3,0)*100</f>
        <v>#N/A</v>
      </c>
      <c r="M57" s="1">
        <v>35977</v>
      </c>
      <c r="N57" s="8">
        <f t="shared" si="0"/>
        <v>58.617437574591257</v>
      </c>
      <c r="O57" s="8" t="e">
        <f t="shared" si="1"/>
        <v>#N/A</v>
      </c>
      <c r="P57" s="8" t="e">
        <f t="shared" si="2"/>
        <v>#N/A</v>
      </c>
      <c r="Q57" s="8" t="e">
        <f t="shared" si="3"/>
        <v>#N/A</v>
      </c>
      <c r="R57" s="8">
        <f>VLOOKUP(M57,'Tracking Diff'!A:D,4,0)</f>
        <v>12.204598503994699</v>
      </c>
    </row>
    <row r="58" spans="1:18" x14ac:dyDescent="0.25">
      <c r="A58" s="1">
        <v>36008</v>
      </c>
      <c r="B58" s="8">
        <f>VLOOKUP(A58,HPA2Yr!A:F,6,0)*100</f>
        <v>108.919734459867</v>
      </c>
      <c r="C58" t="e">
        <f>VLOOKUP(A58,'MBA CA Index'!A:F,3,0)</f>
        <v>#N/A</v>
      </c>
      <c r="D58" t="e">
        <f>VLOOKUP(A58,'Purchase Index'!M:T,5,0)</f>
        <v>#N/A</v>
      </c>
      <c r="E58" s="8" t="e">
        <f>VLOOKUP(A58,Cello!A:F,3,0)*100</f>
        <v>#N/A</v>
      </c>
      <c r="M58" s="1">
        <v>36008</v>
      </c>
      <c r="N58" s="8">
        <f t="shared" si="0"/>
        <v>59.562456498835772</v>
      </c>
      <c r="O58" s="8" t="e">
        <f t="shared" si="1"/>
        <v>#N/A</v>
      </c>
      <c r="P58" s="8" t="e">
        <f t="shared" si="2"/>
        <v>#N/A</v>
      </c>
      <c r="Q58" s="8" t="e">
        <f t="shared" si="3"/>
        <v>#N/A</v>
      </c>
      <c r="R58" s="8">
        <f>VLOOKUP(M58,'Tracking Diff'!A:D,4,0)</f>
        <v>11.3768864463851</v>
      </c>
    </row>
    <row r="59" spans="1:18" x14ac:dyDescent="0.25">
      <c r="A59" s="1">
        <v>36039</v>
      </c>
      <c r="B59" s="8">
        <f>VLOOKUP(A59,HPA2Yr!A:F,6,0)*100</f>
        <v>109.25572026238299</v>
      </c>
      <c r="C59" t="e">
        <f>VLOOKUP(A59,'MBA CA Index'!A:F,3,0)</f>
        <v>#N/A</v>
      </c>
      <c r="D59" t="e">
        <f>VLOOKUP(A59,'Purchase Index'!M:T,5,0)</f>
        <v>#N/A</v>
      </c>
      <c r="E59" s="8" t="e">
        <f>VLOOKUP(A59,Cello!A:F,3,0)*100</f>
        <v>#N/A</v>
      </c>
      <c r="M59" s="1">
        <v>36039</v>
      </c>
      <c r="N59" s="8">
        <f t="shared" si="0"/>
        <v>60.504611877280979</v>
      </c>
      <c r="O59" s="8" t="e">
        <f t="shared" si="1"/>
        <v>#N/A</v>
      </c>
      <c r="P59" s="8" t="e">
        <f t="shared" si="2"/>
        <v>#N/A</v>
      </c>
      <c r="Q59" s="8" t="e">
        <f t="shared" si="3"/>
        <v>#N/A</v>
      </c>
      <c r="R59" s="8">
        <f>VLOOKUP(M59,'Tracking Diff'!A:D,4,0)</f>
        <v>10.048615915686099</v>
      </c>
    </row>
    <row r="60" spans="1:18" x14ac:dyDescent="0.25">
      <c r="A60" s="1">
        <v>36069</v>
      </c>
      <c r="B60" s="8">
        <f>VLOOKUP(A60,HPA2Yr!A:F,6,0)*100</f>
        <v>109.40719879104199</v>
      </c>
      <c r="C60" t="e">
        <f>VLOOKUP(A60,'MBA CA Index'!A:F,3,0)</f>
        <v>#N/A</v>
      </c>
      <c r="D60" t="e">
        <f>VLOOKUP(A60,'Purchase Index'!M:T,5,0)</f>
        <v>#N/A</v>
      </c>
      <c r="E60" s="8" t="e">
        <f>VLOOKUP(A60,Cello!A:F,3,0)*100</f>
        <v>#N/A</v>
      </c>
      <c r="M60" s="1">
        <v>36069</v>
      </c>
      <c r="N60" s="8">
        <f t="shared" si="0"/>
        <v>60.9293807497343</v>
      </c>
      <c r="O60" s="8" t="e">
        <f t="shared" si="1"/>
        <v>#N/A</v>
      </c>
      <c r="P60" s="8" t="e">
        <f t="shared" si="2"/>
        <v>#N/A</v>
      </c>
      <c r="Q60" s="8" t="e">
        <f t="shared" si="3"/>
        <v>#N/A</v>
      </c>
      <c r="R60" s="8">
        <f>VLOOKUP(M60,'Tracking Diff'!A:D,4,0)</f>
        <v>13.685821603737899</v>
      </c>
    </row>
    <row r="61" spans="1:18" x14ac:dyDescent="0.25">
      <c r="A61" s="1">
        <v>36100</v>
      </c>
      <c r="B61" s="8">
        <f>VLOOKUP(A61,HPA2Yr!A:F,6,0)*100</f>
        <v>109.55790411263899</v>
      </c>
      <c r="C61" t="e">
        <f>VLOOKUP(A61,'MBA CA Index'!A:F,3,0)</f>
        <v>#N/A</v>
      </c>
      <c r="D61" t="e">
        <f>VLOOKUP(A61,'Purchase Index'!M:T,5,0)</f>
        <v>#N/A</v>
      </c>
      <c r="E61" s="8" t="e">
        <f>VLOOKUP(A61,Cello!A:F,3,0)*100</f>
        <v>#N/A</v>
      </c>
      <c r="M61" s="1">
        <v>36100</v>
      </c>
      <c r="N61" s="8">
        <f t="shared" si="0"/>
        <v>61.351981431785951</v>
      </c>
      <c r="O61" s="8" t="e">
        <f t="shared" si="1"/>
        <v>#N/A</v>
      </c>
      <c r="P61" s="8" t="e">
        <f t="shared" si="2"/>
        <v>#N/A</v>
      </c>
      <c r="Q61" s="8" t="e">
        <f t="shared" si="3"/>
        <v>#N/A</v>
      </c>
      <c r="R61" s="8">
        <f>VLOOKUP(M61,'Tracking Diff'!A:D,4,0)</f>
        <v>3.9402775006152027</v>
      </c>
    </row>
    <row r="62" spans="1:18" x14ac:dyDescent="0.25">
      <c r="A62" s="1">
        <v>36130</v>
      </c>
      <c r="B62" s="8">
        <f>VLOOKUP(A62,HPA2Yr!A:F,6,0)*100</f>
        <v>109.70784213223901</v>
      </c>
      <c r="C62" t="e">
        <f>VLOOKUP(A62,'MBA CA Index'!A:F,3,0)</f>
        <v>#N/A</v>
      </c>
      <c r="D62" t="e">
        <f>VLOOKUP(A62,'Purchase Index'!M:T,5,0)</f>
        <v>#N/A</v>
      </c>
      <c r="E62" s="8" t="e">
        <f>VLOOKUP(A62,Cello!A:F,3,0)*100</f>
        <v>#N/A</v>
      </c>
      <c r="M62" s="1">
        <v>36130</v>
      </c>
      <c r="N62" s="8">
        <f t="shared" si="0"/>
        <v>61.772430482137864</v>
      </c>
      <c r="O62" s="8" t="e">
        <f t="shared" si="1"/>
        <v>#N/A</v>
      </c>
      <c r="P62" s="8" t="e">
        <f t="shared" si="2"/>
        <v>#N/A</v>
      </c>
      <c r="Q62" s="8" t="e">
        <f t="shared" si="3"/>
        <v>#N/A</v>
      </c>
      <c r="R62" s="8">
        <f>VLOOKUP(M62,'Tracking Diff'!A:D,4,0)</f>
        <v>4.8938947810167974</v>
      </c>
    </row>
    <row r="63" spans="1:18" x14ac:dyDescent="0.25">
      <c r="A63" s="1">
        <v>36161</v>
      </c>
      <c r="B63" s="8">
        <f>VLOOKUP(A63,HPA2Yr!A:F,6,0)*100</f>
        <v>109.78822006031299</v>
      </c>
      <c r="C63" t="e">
        <f>VLOOKUP(A63,'MBA CA Index'!A:F,3,0)</f>
        <v>#N/A</v>
      </c>
      <c r="D63" t="e">
        <f>VLOOKUP(A63,'Purchase Index'!M:T,5,0)</f>
        <v>#N/A</v>
      </c>
      <c r="E63" s="8" t="e">
        <f>VLOOKUP(A63,Cello!A:F,3,0)*100</f>
        <v>#N/A</v>
      </c>
      <c r="M63" s="1">
        <v>36161</v>
      </c>
      <c r="N63" s="8">
        <f t="shared" si="0"/>
        <v>61.997822438214889</v>
      </c>
      <c r="O63" s="8" t="e">
        <f t="shared" si="1"/>
        <v>#N/A</v>
      </c>
      <c r="P63" s="8" t="e">
        <f t="shared" si="2"/>
        <v>#N/A</v>
      </c>
      <c r="Q63" s="8" t="e">
        <f t="shared" si="3"/>
        <v>#N/A</v>
      </c>
      <c r="R63" s="8">
        <f>VLOOKUP(M63,'Tracking Diff'!A:D,4,0)</f>
        <v>1.265524312032305</v>
      </c>
    </row>
    <row r="64" spans="1:18" x14ac:dyDescent="0.25">
      <c r="A64" s="1">
        <v>36192</v>
      </c>
      <c r="B64" s="8">
        <f>VLOOKUP(A64,HPA2Yr!A:F,6,0)*100</f>
        <v>109.868152779665</v>
      </c>
      <c r="C64" t="e">
        <f>VLOOKUP(A64,'MBA CA Index'!A:F,3,0)</f>
        <v>#N/A</v>
      </c>
      <c r="D64" t="e">
        <f>VLOOKUP(A64,'Purchase Index'!M:T,5,0)</f>
        <v>#N/A</v>
      </c>
      <c r="E64" s="8" t="e">
        <f>VLOOKUP(A64,Cello!A:F,3,0)*100</f>
        <v>#N/A</v>
      </c>
      <c r="M64" s="1">
        <v>36192</v>
      </c>
      <c r="N64" s="8">
        <f t="shared" si="0"/>
        <v>62.221965961206926</v>
      </c>
      <c r="O64" s="8" t="e">
        <f t="shared" si="1"/>
        <v>#N/A</v>
      </c>
      <c r="P64" s="8" t="e">
        <f t="shared" si="2"/>
        <v>#N/A</v>
      </c>
      <c r="Q64" s="8" t="e">
        <f t="shared" si="3"/>
        <v>#N/A</v>
      </c>
      <c r="R64" s="8">
        <f>VLOOKUP(M64,'Tracking Diff'!A:D,4,0)</f>
        <v>3.8181408813520008</v>
      </c>
    </row>
    <row r="65" spans="1:18" x14ac:dyDescent="0.25">
      <c r="A65" s="1">
        <v>36220</v>
      </c>
      <c r="B65" s="8">
        <f>VLOOKUP(A65,HPA2Yr!A:F,6,0)*100</f>
        <v>109.94764397905701</v>
      </c>
      <c r="C65" t="e">
        <f>VLOOKUP(A65,'MBA CA Index'!A:F,3,0)</f>
        <v>#N/A</v>
      </c>
      <c r="D65" t="e">
        <f>VLOOKUP(A65,'Purchase Index'!M:T,5,0)</f>
        <v>#N/A</v>
      </c>
      <c r="E65" s="8" t="e">
        <f>VLOOKUP(A65,Cello!A:F,3,0)*100</f>
        <v>#N/A</v>
      </c>
      <c r="M65" s="1">
        <v>36220</v>
      </c>
      <c r="N65" s="8">
        <f t="shared" si="0"/>
        <v>62.444871394964586</v>
      </c>
      <c r="O65" s="8" t="e">
        <f t="shared" si="1"/>
        <v>#N/A</v>
      </c>
      <c r="P65" s="8" t="e">
        <f t="shared" si="2"/>
        <v>#N/A</v>
      </c>
      <c r="Q65" s="8" t="e">
        <f t="shared" si="3"/>
        <v>#N/A</v>
      </c>
      <c r="R65" s="8">
        <f>VLOOKUP(M65,'Tracking Diff'!A:D,4,0)</f>
        <v>2.019220937917499</v>
      </c>
    </row>
    <row r="66" spans="1:18" x14ac:dyDescent="0.25">
      <c r="A66" s="1">
        <v>36251</v>
      </c>
      <c r="B66" s="8">
        <f>VLOOKUP(A66,HPA2Yr!A:F,6,0)*100</f>
        <v>110.13111651797701</v>
      </c>
      <c r="C66" t="e">
        <f>VLOOKUP(A66,'MBA CA Index'!A:F,3,0)</f>
        <v>#N/A</v>
      </c>
      <c r="D66" t="e">
        <f>VLOOKUP(A66,'Purchase Index'!M:T,5,0)</f>
        <v>#N/A</v>
      </c>
      <c r="E66" s="8" t="e">
        <f>VLOOKUP(A66,Cello!A:F,3,0)*100</f>
        <v>#N/A</v>
      </c>
      <c r="M66" s="1">
        <v>36251</v>
      </c>
      <c r="N66" s="8">
        <f t="shared" si="0"/>
        <v>62.959356346548958</v>
      </c>
      <c r="O66" s="8" t="e">
        <f t="shared" si="1"/>
        <v>#N/A</v>
      </c>
      <c r="P66" s="8" t="e">
        <f t="shared" si="2"/>
        <v>#N/A</v>
      </c>
      <c r="Q66" s="8" t="e">
        <f t="shared" si="3"/>
        <v>#N/A</v>
      </c>
      <c r="R66" s="8">
        <f>VLOOKUP(M66,'Tracking Diff'!A:D,4,0)</f>
        <v>4.3539913481941994</v>
      </c>
    </row>
    <row r="67" spans="1:18" x14ac:dyDescent="0.25">
      <c r="A67" s="1">
        <v>36281</v>
      </c>
      <c r="B67" s="8">
        <f>VLOOKUP(A67,HPA2Yr!A:F,6,0)*100</f>
        <v>110.31356888911299</v>
      </c>
      <c r="C67" t="e">
        <f>VLOOKUP(A67,'MBA CA Index'!A:F,3,0)</f>
        <v>#N/A</v>
      </c>
      <c r="D67" t="e">
        <f>VLOOKUP(A67,'Purchase Index'!M:T,5,0)</f>
        <v>#N/A</v>
      </c>
      <c r="E67" s="8" t="e">
        <f>VLOOKUP(A67,Cello!A:F,3,0)*100</f>
        <v>#N/A</v>
      </c>
      <c r="M67" s="1">
        <v>36281</v>
      </c>
      <c r="N67" s="8">
        <f t="shared" ref="N67:N130" si="4">(B67-H$6)/(H$7-H$6)*100</f>
        <v>63.470980592242086</v>
      </c>
      <c r="O67" s="8" t="e">
        <f t="shared" ref="O67:O130" si="5">(C67-I$6)/(I$7-I$6)*100</f>
        <v>#N/A</v>
      </c>
      <c r="P67" s="8" t="e">
        <f t="shared" ref="P67:P130" si="6">(D67-J$6)/(J$7-J$6)*100</f>
        <v>#N/A</v>
      </c>
      <c r="Q67" s="8" t="e">
        <f t="shared" ref="Q67:Q130" si="7">(E67-K$6)/(K$7-K$6)*100</f>
        <v>#N/A</v>
      </c>
      <c r="R67" s="8">
        <f>VLOOKUP(M67,'Tracking Diff'!A:D,4,0)</f>
        <v>3.7212003517569023</v>
      </c>
    </row>
    <row r="68" spans="1:18" x14ac:dyDescent="0.25">
      <c r="A68" s="1">
        <v>36312</v>
      </c>
      <c r="B68" s="8">
        <f>VLOOKUP(A68,HPA2Yr!A:F,6,0)*100</f>
        <v>110.495009577578</v>
      </c>
      <c r="C68" t="e">
        <f>VLOOKUP(A68,'MBA CA Index'!A:F,3,0)</f>
        <v>#N/A</v>
      </c>
      <c r="D68" t="e">
        <f>VLOOKUP(A68,'Purchase Index'!M:T,5,0)</f>
        <v>#N/A</v>
      </c>
      <c r="E68" s="8" t="e">
        <f>VLOOKUP(A68,Cello!A:F,3,0)*100</f>
        <v>#N/A</v>
      </c>
      <c r="M68" s="1">
        <v>36312</v>
      </c>
      <c r="N68" s="8">
        <f t="shared" si="4"/>
        <v>63.979767925593713</v>
      </c>
      <c r="O68" s="8" t="e">
        <f t="shared" si="5"/>
        <v>#N/A</v>
      </c>
      <c r="P68" s="8" t="e">
        <f t="shared" si="6"/>
        <v>#N/A</v>
      </c>
      <c r="Q68" s="8" t="e">
        <f t="shared" si="7"/>
        <v>#N/A</v>
      </c>
      <c r="R68" s="8">
        <f>VLOOKUP(M68,'Tracking Diff'!A:D,4,0)</f>
        <v>2.4618006883500989</v>
      </c>
    </row>
    <row r="69" spans="1:18" x14ac:dyDescent="0.25">
      <c r="A69" s="1">
        <v>36342</v>
      </c>
      <c r="B69" s="8">
        <f>VLOOKUP(A69,HPA2Yr!A:F,6,0)*100</f>
        <v>110.50712517562</v>
      </c>
      <c r="C69" t="e">
        <f>VLOOKUP(A69,'MBA CA Index'!A:F,3,0)</f>
        <v>#N/A</v>
      </c>
      <c r="D69" t="e">
        <f>VLOOKUP(A69,'Purchase Index'!M:T,5,0)</f>
        <v>#N/A</v>
      </c>
      <c r="E69" s="8" t="e">
        <f>VLOOKUP(A69,Cello!A:F,3,0)*100</f>
        <v>#N/A</v>
      </c>
      <c r="M69" s="1">
        <v>36342</v>
      </c>
      <c r="N69" s="8">
        <f t="shared" si="4"/>
        <v>64.013741908341999</v>
      </c>
      <c r="O69" s="8" t="e">
        <f t="shared" si="5"/>
        <v>#N/A</v>
      </c>
      <c r="P69" s="8" t="e">
        <f t="shared" si="6"/>
        <v>#N/A</v>
      </c>
      <c r="Q69" s="8" t="e">
        <f t="shared" si="7"/>
        <v>#N/A</v>
      </c>
      <c r="R69" s="8">
        <f>VLOOKUP(M69,'Tracking Diff'!A:D,4,0)</f>
        <v>5.1346205495872024</v>
      </c>
    </row>
    <row r="70" spans="1:18" x14ac:dyDescent="0.25">
      <c r="A70" s="1">
        <v>36373</v>
      </c>
      <c r="B70" s="8">
        <f>VLOOKUP(A70,HPA2Yr!A:F,6,0)*100</f>
        <v>110.519130232093</v>
      </c>
      <c r="C70" t="e">
        <f>VLOOKUP(A70,'MBA CA Index'!A:F,3,0)</f>
        <v>#N/A</v>
      </c>
      <c r="D70" t="e">
        <f>VLOOKUP(A70,'Purchase Index'!M:T,5,0)</f>
        <v>#N/A</v>
      </c>
      <c r="E70" s="8" t="e">
        <f>VLOOKUP(A70,Cello!A:F,3,0)*100</f>
        <v>#N/A</v>
      </c>
      <c r="M70" s="1">
        <v>36373</v>
      </c>
      <c r="N70" s="8">
        <f t="shared" si="4"/>
        <v>64.047405915689566</v>
      </c>
      <c r="O70" s="8" t="e">
        <f t="shared" si="5"/>
        <v>#N/A</v>
      </c>
      <c r="P70" s="8" t="e">
        <f t="shared" si="6"/>
        <v>#N/A</v>
      </c>
      <c r="Q70" s="8" t="e">
        <f t="shared" si="7"/>
        <v>#N/A</v>
      </c>
      <c r="R70" s="8">
        <f>VLOOKUP(M70,'Tracking Diff'!A:D,4,0)</f>
        <v>1.3292732975529997</v>
      </c>
    </row>
    <row r="71" spans="1:18" x14ac:dyDescent="0.25">
      <c r="A71" s="1">
        <v>36404</v>
      </c>
      <c r="B71" s="8">
        <f>VLOOKUP(A71,HPA2Yr!A:F,6,0)*100</f>
        <v>110.53102625298298</v>
      </c>
      <c r="C71" t="e">
        <f>VLOOKUP(A71,'MBA CA Index'!A:F,3,0)</f>
        <v>#N/A</v>
      </c>
      <c r="D71" t="e">
        <f>VLOOKUP(A71,'Purchase Index'!M:T,5,0)</f>
        <v>#N/A</v>
      </c>
      <c r="E71" s="8" t="e">
        <f>VLOOKUP(A71,Cello!A:F,3,0)*100</f>
        <v>#N/A</v>
      </c>
      <c r="M71" s="1">
        <v>36404</v>
      </c>
      <c r="N71" s="8">
        <f t="shared" si="4"/>
        <v>64.080764170650525</v>
      </c>
      <c r="O71" s="8" t="e">
        <f t="shared" si="5"/>
        <v>#N/A</v>
      </c>
      <c r="P71" s="8" t="e">
        <f t="shared" si="6"/>
        <v>#N/A</v>
      </c>
      <c r="Q71" s="8" t="e">
        <f t="shared" si="7"/>
        <v>#N/A</v>
      </c>
      <c r="R71" s="8">
        <f>VLOOKUP(M71,'Tracking Diff'!A:D,4,0)</f>
        <v>2.6712050834505998</v>
      </c>
    </row>
    <row r="72" spans="1:18" x14ac:dyDescent="0.25">
      <c r="A72" s="1">
        <v>36434</v>
      </c>
      <c r="B72" s="8">
        <f>VLOOKUP(A72,HPA2Yr!A:F,6,0)*100</f>
        <v>110.436332431183</v>
      </c>
      <c r="C72" t="e">
        <f>VLOOKUP(A72,'MBA CA Index'!A:F,3,0)</f>
        <v>#N/A</v>
      </c>
      <c r="D72" t="e">
        <f>VLOOKUP(A72,'Purchase Index'!M:T,5,0)</f>
        <v>#N/A</v>
      </c>
      <c r="E72" s="8" t="e">
        <f>VLOOKUP(A72,Cello!A:F,3,0)*100</f>
        <v>#N/A</v>
      </c>
      <c r="M72" s="1">
        <v>36434</v>
      </c>
      <c r="N72" s="8">
        <f t="shared" si="4"/>
        <v>63.815228267507308</v>
      </c>
      <c r="O72" s="8" t="e">
        <f t="shared" si="5"/>
        <v>#N/A</v>
      </c>
      <c r="P72" s="8" t="e">
        <f t="shared" si="6"/>
        <v>#N/A</v>
      </c>
      <c r="Q72" s="8" t="e">
        <f t="shared" si="7"/>
        <v>#N/A</v>
      </c>
      <c r="R72" s="8">
        <f>VLOOKUP(M72,'Tracking Diff'!A:D,4,0)</f>
        <v>0.45632507212230067</v>
      </c>
    </row>
    <row r="73" spans="1:18" x14ac:dyDescent="0.25">
      <c r="A73" s="1">
        <v>36465</v>
      </c>
      <c r="B73" s="8">
        <f>VLOOKUP(A73,HPA2Yr!A:F,6,0)*100</f>
        <v>110.342447745497</v>
      </c>
      <c r="C73" t="e">
        <f>VLOOKUP(A73,'MBA CA Index'!A:F,3,0)</f>
        <v>#N/A</v>
      </c>
      <c r="D73" t="e">
        <f>VLOOKUP(A73,'Purchase Index'!M:T,5,0)</f>
        <v>#N/A</v>
      </c>
      <c r="E73" s="8" t="e">
        <f>VLOOKUP(A73,Cello!A:F,3,0)*100</f>
        <v>#N/A</v>
      </c>
      <c r="M73" s="1">
        <v>36465</v>
      </c>
      <c r="N73" s="8">
        <f t="shared" si="4"/>
        <v>63.551961305301376</v>
      </c>
      <c r="O73" s="8" t="e">
        <f t="shared" si="5"/>
        <v>#N/A</v>
      </c>
      <c r="P73" s="8" t="e">
        <f t="shared" si="6"/>
        <v>#N/A</v>
      </c>
      <c r="Q73" s="8" t="e">
        <f t="shared" si="7"/>
        <v>#N/A</v>
      </c>
      <c r="R73" s="8">
        <f>VLOOKUP(M73,'Tracking Diff'!A:D,4,0)</f>
        <v>0.6300269053337999</v>
      </c>
    </row>
    <row r="74" spans="1:18" x14ac:dyDescent="0.25">
      <c r="A74" s="1">
        <v>36495</v>
      </c>
      <c r="B74" s="8">
        <f>VLOOKUP(A74,HPA2Yr!A:F,6,0)*100</f>
        <v>110.249361869232</v>
      </c>
      <c r="C74" t="e">
        <f>VLOOKUP(A74,'MBA CA Index'!A:F,3,0)</f>
        <v>#N/A</v>
      </c>
      <c r="D74" t="e">
        <f>VLOOKUP(A74,'Purchase Index'!M:T,5,0)</f>
        <v>#N/A</v>
      </c>
      <c r="E74" s="8" t="e">
        <f>VLOOKUP(A74,Cello!A:F,3,0)*100</f>
        <v>#N/A</v>
      </c>
      <c r="M74" s="1">
        <v>36495</v>
      </c>
      <c r="N74" s="8">
        <f t="shared" si="4"/>
        <v>63.290934326412362</v>
      </c>
      <c r="O74" s="8" t="e">
        <f t="shared" si="5"/>
        <v>#N/A</v>
      </c>
      <c r="P74" s="8" t="e">
        <f t="shared" si="6"/>
        <v>#N/A</v>
      </c>
      <c r="Q74" s="8" t="e">
        <f t="shared" si="7"/>
        <v>#N/A</v>
      </c>
      <c r="R74" s="8">
        <f>VLOOKUP(M74,'Tracking Diff'!A:D,4,0)</f>
        <v>1.4977825233945001</v>
      </c>
    </row>
    <row r="75" spans="1:18" x14ac:dyDescent="0.25">
      <c r="A75" s="1">
        <v>36526</v>
      </c>
      <c r="B75" s="8">
        <f>VLOOKUP(A75,HPA2Yr!A:F,6,0)*100</f>
        <v>110.40214913708898</v>
      </c>
      <c r="C75" t="e">
        <f>VLOOKUP(A75,'MBA CA Index'!A:F,3,0)</f>
        <v>#N/A</v>
      </c>
      <c r="D75" t="e">
        <f>VLOOKUP(A75,'Purchase Index'!M:T,5,0)</f>
        <v>#N/A</v>
      </c>
      <c r="E75" s="8" t="e">
        <f>VLOOKUP(A75,Cello!A:F,3,0)*100</f>
        <v>#N/A</v>
      </c>
      <c r="M75" s="1">
        <v>36526</v>
      </c>
      <c r="N75" s="8">
        <f t="shared" si="4"/>
        <v>63.719373102966173</v>
      </c>
      <c r="O75" s="8" t="e">
        <f t="shared" si="5"/>
        <v>#N/A</v>
      </c>
      <c r="P75" s="8" t="e">
        <f t="shared" si="6"/>
        <v>#N/A</v>
      </c>
      <c r="Q75" s="8" t="e">
        <f t="shared" si="7"/>
        <v>#N/A</v>
      </c>
      <c r="R75" s="8">
        <f>VLOOKUP(M75,'Tracking Diff'!A:D,4,0)</f>
        <v>0.28743663081967075</v>
      </c>
    </row>
    <row r="76" spans="1:18" x14ac:dyDescent="0.25">
      <c r="A76" s="1">
        <v>36557</v>
      </c>
      <c r="B76" s="8">
        <f>VLOOKUP(A76,HPA2Yr!A:F,6,0)*100</f>
        <v>110.553431404316</v>
      </c>
      <c r="C76" t="e">
        <f>VLOOKUP(A76,'MBA CA Index'!A:F,3,0)</f>
        <v>#N/A</v>
      </c>
      <c r="D76" t="e">
        <f>VLOOKUP(A76,'Purchase Index'!M:T,5,0)</f>
        <v>#N/A</v>
      </c>
      <c r="E76" s="8" t="e">
        <f>VLOOKUP(A76,Cello!A:F,3,0)*100</f>
        <v>#N/A</v>
      </c>
      <c r="M76" s="1">
        <v>36557</v>
      </c>
      <c r="N76" s="8">
        <f t="shared" si="4"/>
        <v>64.143591628463355</v>
      </c>
      <c r="O76" s="8" t="e">
        <f t="shared" si="5"/>
        <v>#N/A</v>
      </c>
      <c r="P76" s="8" t="e">
        <f t="shared" si="6"/>
        <v>#N/A</v>
      </c>
      <c r="Q76" s="8" t="e">
        <f t="shared" si="7"/>
        <v>#N/A</v>
      </c>
      <c r="R76" s="8">
        <f>VLOOKUP(M76,'Tracking Diff'!A:D,4,0)</f>
        <v>0.52890301372336967</v>
      </c>
    </row>
    <row r="77" spans="1:18" x14ac:dyDescent="0.25">
      <c r="A77" s="1">
        <v>36586</v>
      </c>
      <c r="B77" s="8">
        <f>VLOOKUP(A77,HPA2Yr!A:F,6,0)*100</f>
        <v>110.703230798994</v>
      </c>
      <c r="C77" t="e">
        <f>VLOOKUP(A77,'MBA CA Index'!A:F,3,0)</f>
        <v>#N/A</v>
      </c>
      <c r="D77" t="e">
        <f>VLOOKUP(A77,'Purchase Index'!M:T,5,0)</f>
        <v>#N/A</v>
      </c>
      <c r="E77" s="8" t="e">
        <f>VLOOKUP(A77,Cello!A:F,3,0)*100</f>
        <v>#N/A</v>
      </c>
      <c r="M77" s="1">
        <v>36586</v>
      </c>
      <c r="N77" s="8">
        <f t="shared" si="4"/>
        <v>64.563651953414123</v>
      </c>
      <c r="O77" s="8" t="e">
        <f t="shared" si="5"/>
        <v>#N/A</v>
      </c>
      <c r="P77" s="8" t="e">
        <f t="shared" si="6"/>
        <v>#N/A</v>
      </c>
      <c r="Q77" s="8" t="e">
        <f t="shared" si="7"/>
        <v>#N/A</v>
      </c>
      <c r="R77" s="8">
        <f>VLOOKUP(M77,'Tracking Diff'!A:D,4,0)</f>
        <v>0.42587022918559025</v>
      </c>
    </row>
    <row r="78" spans="1:18" x14ac:dyDescent="0.25">
      <c r="A78" s="1">
        <v>36617</v>
      </c>
      <c r="B78" s="8">
        <f>VLOOKUP(A78,HPA2Yr!A:F,6,0)*100</f>
        <v>110.97180698878</v>
      </c>
      <c r="C78" t="e">
        <f>VLOOKUP(A78,'MBA CA Index'!A:F,3,0)</f>
        <v>#N/A</v>
      </c>
      <c r="D78" t="e">
        <f>VLOOKUP(A78,'Purchase Index'!M:T,5,0)</f>
        <v>#N/A</v>
      </c>
      <c r="E78" s="8" t="e">
        <f>VLOOKUP(A78,Cello!A:F,3,0)*100</f>
        <v>#N/A</v>
      </c>
      <c r="M78" s="1">
        <v>36617</v>
      </c>
      <c r="N78" s="8">
        <f t="shared" si="4"/>
        <v>65.316780507758793</v>
      </c>
      <c r="O78" s="8" t="e">
        <f t="shared" si="5"/>
        <v>#N/A</v>
      </c>
      <c r="P78" s="8" t="e">
        <f t="shared" si="6"/>
        <v>#N/A</v>
      </c>
      <c r="Q78" s="8" t="e">
        <f t="shared" si="7"/>
        <v>#N/A</v>
      </c>
      <c r="R78" s="8">
        <f>VLOOKUP(M78,'Tracking Diff'!A:D,4,0)</f>
        <v>0.34510080650633945</v>
      </c>
    </row>
    <row r="79" spans="1:18" x14ac:dyDescent="0.25">
      <c r="A79" s="1">
        <v>36647</v>
      </c>
      <c r="B79" s="8">
        <f>VLOOKUP(A79,HPA2Yr!A:F,6,0)*100</f>
        <v>111.23878205128099</v>
      </c>
      <c r="C79" t="e">
        <f>VLOOKUP(A79,'MBA CA Index'!A:F,3,0)</f>
        <v>#N/A</v>
      </c>
      <c r="D79" t="e">
        <f>VLOOKUP(A79,'Purchase Index'!M:T,5,0)</f>
        <v>#N/A</v>
      </c>
      <c r="E79" s="8" t="e">
        <f>VLOOKUP(A79,Cello!A:F,3,0)*100</f>
        <v>#N/A</v>
      </c>
      <c r="M79" s="1">
        <v>36647</v>
      </c>
      <c r="N79" s="8">
        <f t="shared" si="4"/>
        <v>66.065419257260956</v>
      </c>
      <c r="O79" s="8" t="e">
        <f t="shared" si="5"/>
        <v>#N/A</v>
      </c>
      <c r="P79" s="8" t="e">
        <f t="shared" si="6"/>
        <v>#N/A</v>
      </c>
      <c r="Q79" s="8" t="e">
        <f t="shared" si="7"/>
        <v>#N/A</v>
      </c>
      <c r="R79" s="8">
        <f>VLOOKUP(M79,'Tracking Diff'!A:D,4,0)</f>
        <v>1.0683353607519503</v>
      </c>
    </row>
    <row r="80" spans="1:18" x14ac:dyDescent="0.25">
      <c r="A80" s="1">
        <v>36678</v>
      </c>
      <c r="B80" s="8">
        <f>VLOOKUP(A80,HPA2Yr!A:F,6,0)*100</f>
        <v>111.504170261719</v>
      </c>
      <c r="C80" t="e">
        <f>VLOOKUP(A80,'MBA CA Index'!A:F,3,0)</f>
        <v>#N/A</v>
      </c>
      <c r="D80" t="e">
        <f>VLOOKUP(A80,'Purchase Index'!M:T,5,0)</f>
        <v>#N/A</v>
      </c>
      <c r="E80" s="8" t="e">
        <f>VLOOKUP(A80,Cello!A:F,3,0)*100</f>
        <v>#N/A</v>
      </c>
      <c r="M80" s="1">
        <v>36678</v>
      </c>
      <c r="N80" s="8">
        <f t="shared" si="4"/>
        <v>66.809608231818046</v>
      </c>
      <c r="O80" s="8" t="e">
        <f t="shared" si="5"/>
        <v>#N/A</v>
      </c>
      <c r="P80" s="8" t="e">
        <f t="shared" si="6"/>
        <v>#N/A</v>
      </c>
      <c r="Q80" s="8" t="e">
        <f t="shared" si="7"/>
        <v>#N/A</v>
      </c>
      <c r="R80" s="8">
        <f>VLOOKUP(M80,'Tracking Diff'!A:D,4,0)</f>
        <v>1.0861698570253893</v>
      </c>
    </row>
    <row r="81" spans="1:18" x14ac:dyDescent="0.25">
      <c r="A81" s="1">
        <v>36708</v>
      </c>
      <c r="B81" s="8">
        <f>VLOOKUP(A81,HPA2Yr!A:F,6,0)*100</f>
        <v>111.660861682332</v>
      </c>
      <c r="C81" t="e">
        <f>VLOOKUP(A81,'MBA CA Index'!A:F,3,0)</f>
        <v>#N/A</v>
      </c>
      <c r="D81" t="e">
        <f>VLOOKUP(A81,'Purchase Index'!M:T,5,0)</f>
        <v>#N/A</v>
      </c>
      <c r="E81" s="8" t="e">
        <f>VLOOKUP(A81,Cello!A:F,3,0)*100</f>
        <v>#N/A</v>
      </c>
      <c r="M81" s="1">
        <v>36708</v>
      </c>
      <c r="N81" s="8">
        <f t="shared" si="4"/>
        <v>67.248994847506154</v>
      </c>
      <c r="O81" s="8" t="e">
        <f t="shared" si="5"/>
        <v>#N/A</v>
      </c>
      <c r="P81" s="8" t="e">
        <f t="shared" si="6"/>
        <v>#N/A</v>
      </c>
      <c r="Q81" s="8" t="e">
        <f t="shared" si="7"/>
        <v>#N/A</v>
      </c>
      <c r="R81" s="8">
        <f>VLOOKUP(M81,'Tracking Diff'!A:D,4,0)</f>
        <v>0.54596491548269022</v>
      </c>
    </row>
    <row r="82" spans="1:18" x14ac:dyDescent="0.25">
      <c r="A82" s="1">
        <v>36739</v>
      </c>
      <c r="B82" s="8">
        <f>VLOOKUP(A82,HPA2Yr!A:F,6,0)*100</f>
        <v>111.816109422492</v>
      </c>
      <c r="C82" t="e">
        <f>VLOOKUP(A82,'MBA CA Index'!A:F,3,0)</f>
        <v>#N/A</v>
      </c>
      <c r="D82" t="e">
        <f>VLOOKUP(A82,'Purchase Index'!M:T,5,0)</f>
        <v>#N/A</v>
      </c>
      <c r="E82" s="8" t="e">
        <f>VLOOKUP(A82,Cello!A:F,3,0)*100</f>
        <v>#N/A</v>
      </c>
      <c r="M82" s="1">
        <v>36739</v>
      </c>
      <c r="N82" s="8">
        <f t="shared" si="4"/>
        <v>67.684333163256142</v>
      </c>
      <c r="O82" s="8" t="e">
        <f t="shared" si="5"/>
        <v>#N/A</v>
      </c>
      <c r="P82" s="8" t="e">
        <f t="shared" si="6"/>
        <v>#N/A</v>
      </c>
      <c r="Q82" s="8" t="e">
        <f t="shared" si="7"/>
        <v>#N/A</v>
      </c>
      <c r="R82" s="8">
        <f>VLOOKUP(M82,'Tracking Diff'!A:D,4,0)</f>
        <v>1.1888137371242404</v>
      </c>
    </row>
    <row r="83" spans="1:18" x14ac:dyDescent="0.25">
      <c r="A83" s="1">
        <v>36770</v>
      </c>
      <c r="B83" s="8">
        <f>VLOOKUP(A83,HPA2Yr!A:F,6,0)*100</f>
        <v>111.969933342788</v>
      </c>
      <c r="C83" t="e">
        <f>VLOOKUP(A83,'MBA CA Index'!A:F,3,0)</f>
        <v>#N/A</v>
      </c>
      <c r="D83" t="e">
        <f>VLOOKUP(A83,'Purchase Index'!M:T,5,0)</f>
        <v>#N/A</v>
      </c>
      <c r="E83" s="8" t="e">
        <f>VLOOKUP(A83,Cello!A:F,3,0)*100</f>
        <v>#N/A</v>
      </c>
      <c r="M83" s="1">
        <v>36770</v>
      </c>
      <c r="N83" s="8">
        <f t="shared" si="4"/>
        <v>68.115678871185253</v>
      </c>
      <c r="O83" s="8" t="e">
        <f t="shared" si="5"/>
        <v>#N/A</v>
      </c>
      <c r="P83" s="8" t="e">
        <f t="shared" si="6"/>
        <v>#N/A</v>
      </c>
      <c r="Q83" s="8" t="e">
        <f t="shared" si="7"/>
        <v>#N/A</v>
      </c>
      <c r="R83" s="8">
        <f>VLOOKUP(M83,'Tracking Diff'!A:D,4,0)</f>
        <v>0.62018736108093009</v>
      </c>
    </row>
    <row r="84" spans="1:18" x14ac:dyDescent="0.25">
      <c r="A84" s="1">
        <v>36800</v>
      </c>
      <c r="B84" s="8">
        <f>VLOOKUP(A84,HPA2Yr!A:F,6,0)*100</f>
        <v>112.10171087741301</v>
      </c>
      <c r="C84" t="e">
        <f>VLOOKUP(A84,'MBA CA Index'!A:F,3,0)</f>
        <v>#N/A</v>
      </c>
      <c r="D84" t="e">
        <f>VLOOKUP(A84,'Purchase Index'!M:T,5,0)</f>
        <v>#N/A</v>
      </c>
      <c r="E84" s="8" t="e">
        <f>VLOOKUP(A84,Cello!A:F,3,0)*100</f>
        <v>#N/A</v>
      </c>
      <c r="M84" s="1">
        <v>36800</v>
      </c>
      <c r="N84" s="8">
        <f t="shared" si="4"/>
        <v>68.485203154876686</v>
      </c>
      <c r="O84" s="8" t="e">
        <f t="shared" si="5"/>
        <v>#N/A</v>
      </c>
      <c r="P84" s="8" t="e">
        <f t="shared" si="6"/>
        <v>#N/A</v>
      </c>
      <c r="Q84" s="8" t="e">
        <f t="shared" si="7"/>
        <v>#N/A</v>
      </c>
      <c r="R84" s="8">
        <f>VLOOKUP(M84,'Tracking Diff'!A:D,4,0)</f>
        <v>2.4047455726790101</v>
      </c>
    </row>
    <row r="85" spans="1:18" x14ac:dyDescent="0.25">
      <c r="A85" s="1">
        <v>36831</v>
      </c>
      <c r="B85" s="8">
        <f>VLOOKUP(A85,HPA2Yr!A:F,6,0)*100</f>
        <v>112.232454151748</v>
      </c>
      <c r="C85" t="e">
        <f>VLOOKUP(A85,'MBA CA Index'!A:F,3,0)</f>
        <v>#N/A</v>
      </c>
      <c r="D85" t="e">
        <f>VLOOKUP(A85,'Purchase Index'!M:T,5,0)</f>
        <v>#N/A</v>
      </c>
      <c r="E85" s="8" t="e">
        <f>VLOOKUP(A85,Cello!A:F,3,0)*100</f>
        <v>#N/A</v>
      </c>
      <c r="M85" s="1">
        <v>36831</v>
      </c>
      <c r="N85" s="8">
        <f t="shared" si="4"/>
        <v>68.85182721514299</v>
      </c>
      <c r="O85" s="8" t="e">
        <f t="shared" si="5"/>
        <v>#N/A</v>
      </c>
      <c r="P85" s="8" t="e">
        <f t="shared" si="6"/>
        <v>#N/A</v>
      </c>
      <c r="Q85" s="8" t="e">
        <f t="shared" si="7"/>
        <v>#N/A</v>
      </c>
      <c r="R85" s="8">
        <f>VLOOKUP(M85,'Tracking Diff'!A:D,4,0)</f>
        <v>1.5403761468949</v>
      </c>
    </row>
    <row r="86" spans="1:18" x14ac:dyDescent="0.25">
      <c r="A86" s="1">
        <v>36861</v>
      </c>
      <c r="B86" s="8">
        <f>VLOOKUP(A86,HPA2Yr!A:F,6,0)*100</f>
        <v>112.36217529433701</v>
      </c>
      <c r="C86" t="e">
        <f>VLOOKUP(A86,'MBA CA Index'!A:F,3,0)</f>
        <v>#N/A</v>
      </c>
      <c r="D86">
        <f>VLOOKUP(A86,'Purchase Index'!M:T,5,0)</f>
        <v>284.43369760384161</v>
      </c>
      <c r="E86" s="8" t="e">
        <f>VLOOKUP(A86,Cello!A:F,3,0)*100</f>
        <v>#N/A</v>
      </c>
      <c r="M86" s="1">
        <v>36861</v>
      </c>
      <c r="N86" s="8">
        <f t="shared" si="4"/>
        <v>69.215585062269497</v>
      </c>
      <c r="O86" s="8" t="e">
        <f t="shared" si="5"/>
        <v>#N/A</v>
      </c>
      <c r="P86" s="8">
        <f t="shared" si="6"/>
        <v>42.278367027303823</v>
      </c>
      <c r="Q86" s="8" t="e">
        <f t="shared" si="7"/>
        <v>#N/A</v>
      </c>
      <c r="R86" s="8">
        <f>VLOOKUP(M86,'Tracking Diff'!A:D,4,0)</f>
        <v>2.9128632793128197</v>
      </c>
    </row>
    <row r="87" spans="1:18" x14ac:dyDescent="0.25">
      <c r="A87" s="1">
        <v>36892</v>
      </c>
      <c r="B87" s="8">
        <f>VLOOKUP(A87,HPA2Yr!A:F,6,0)*100</f>
        <v>112.888357801297</v>
      </c>
      <c r="C87" t="e">
        <f>VLOOKUP(A87,'MBA CA Index'!A:F,3,0)</f>
        <v>#N/A</v>
      </c>
      <c r="D87">
        <f>VLOOKUP(A87,'Purchase Index'!M:T,5,0)</f>
        <v>285.97620380278636</v>
      </c>
      <c r="E87" s="8" t="e">
        <f>VLOOKUP(A87,Cello!A:F,3,0)*100</f>
        <v>#N/A</v>
      </c>
      <c r="M87" s="1">
        <v>36892</v>
      </c>
      <c r="N87" s="8">
        <f t="shared" si="4"/>
        <v>70.691080976870083</v>
      </c>
      <c r="O87" s="8" t="e">
        <f t="shared" si="5"/>
        <v>#N/A</v>
      </c>
      <c r="P87" s="8">
        <f t="shared" si="6"/>
        <v>42.845781494633115</v>
      </c>
      <c r="Q87" s="8" t="e">
        <f t="shared" si="7"/>
        <v>#N/A</v>
      </c>
      <c r="R87" s="8">
        <f>VLOOKUP(M87,'Tracking Diff'!A:D,4,0)</f>
        <v>6.6446268785021703</v>
      </c>
    </row>
    <row r="88" spans="1:18" x14ac:dyDescent="0.25">
      <c r="A88" s="1">
        <v>36923</v>
      </c>
      <c r="B88" s="8">
        <f>VLOOKUP(A88,HPA2Yr!A:F,6,0)*100</f>
        <v>113.4108623036</v>
      </c>
      <c r="C88" t="e">
        <f>VLOOKUP(A88,'MBA CA Index'!A:F,3,0)</f>
        <v>#N/A</v>
      </c>
      <c r="D88">
        <f>VLOOKUP(A88,'Purchase Index'!M:T,5,0)</f>
        <v>287.30031207134851</v>
      </c>
      <c r="E88" s="8" t="e">
        <f>VLOOKUP(A88,Cello!A:F,3,0)*100</f>
        <v>#N/A</v>
      </c>
      <c r="M88" s="1">
        <v>36923</v>
      </c>
      <c r="N88" s="8">
        <f t="shared" si="4"/>
        <v>72.156263206060174</v>
      </c>
      <c r="O88" s="8" t="e">
        <f t="shared" si="5"/>
        <v>#N/A</v>
      </c>
      <c r="P88" s="8">
        <f t="shared" si="6"/>
        <v>43.332857778933629</v>
      </c>
      <c r="Q88" s="8" t="e">
        <f t="shared" si="7"/>
        <v>#N/A</v>
      </c>
      <c r="R88" s="8">
        <f>VLOOKUP(M88,'Tracking Diff'!A:D,4,0)</f>
        <v>6.5389685921152019</v>
      </c>
    </row>
    <row r="89" spans="1:18" x14ac:dyDescent="0.25">
      <c r="A89" s="1">
        <v>36951</v>
      </c>
      <c r="B89" s="8">
        <f>VLOOKUP(A89,HPA2Yr!A:F,6,0)*100</f>
        <v>113.92972723069801</v>
      </c>
      <c r="C89" t="e">
        <f>VLOOKUP(A89,'MBA CA Index'!A:F,3,0)</f>
        <v>#N/A</v>
      </c>
      <c r="D89">
        <f>VLOOKUP(A89,'Purchase Index'!M:T,5,0)</f>
        <v>288.62971951004846</v>
      </c>
      <c r="E89" s="8" t="e">
        <f>VLOOKUP(A89,Cello!A:F,3,0)*100</f>
        <v>#N/A</v>
      </c>
      <c r="M89" s="1">
        <v>36951</v>
      </c>
      <c r="N89" s="8">
        <f t="shared" si="4"/>
        <v>73.61123951187804</v>
      </c>
      <c r="O89" s="8" t="e">
        <f t="shared" si="5"/>
        <v>#N/A</v>
      </c>
      <c r="P89" s="8">
        <f t="shared" si="6"/>
        <v>43.82188337520649</v>
      </c>
      <c r="Q89" s="8" t="e">
        <f t="shared" si="7"/>
        <v>#N/A</v>
      </c>
      <c r="R89" s="8">
        <f>VLOOKUP(M89,'Tracking Diff'!A:D,4,0)</f>
        <v>1.3044624485712006</v>
      </c>
    </row>
    <row r="90" spans="1:18" x14ac:dyDescent="0.25">
      <c r="A90" s="1">
        <v>36982</v>
      </c>
      <c r="B90" s="8">
        <f>VLOOKUP(A90,HPA2Yr!A:F,6,0)*100</f>
        <v>114.056459036514</v>
      </c>
      <c r="C90" t="e">
        <f>VLOOKUP(A90,'MBA CA Index'!A:F,3,0)</f>
        <v>#N/A</v>
      </c>
      <c r="D90">
        <f>VLOOKUP(A90,'Purchase Index'!M:T,5,0)</f>
        <v>289.21898459513153</v>
      </c>
      <c r="E90" s="8" t="e">
        <f>VLOOKUP(A90,Cello!A:F,3,0)*100</f>
        <v>#N/A</v>
      </c>
      <c r="M90" s="1">
        <v>36982</v>
      </c>
      <c r="N90" s="8">
        <f t="shared" si="4"/>
        <v>73.966614803260867</v>
      </c>
      <c r="O90" s="8" t="e">
        <f t="shared" si="5"/>
        <v>#N/A</v>
      </c>
      <c r="P90" s="8">
        <f t="shared" si="6"/>
        <v>44.038645897520432</v>
      </c>
      <c r="Q90" s="8" t="e">
        <f t="shared" si="7"/>
        <v>#N/A</v>
      </c>
      <c r="R90" s="8">
        <f>VLOOKUP(M90,'Tracking Diff'!A:D,4,0)</f>
        <v>2.1604720114610991</v>
      </c>
    </row>
    <row r="91" spans="1:18" x14ac:dyDescent="0.25">
      <c r="A91" s="1">
        <v>37012</v>
      </c>
      <c r="B91" s="8">
        <f>VLOOKUP(A91,HPA2Yr!A:F,6,0)*100</f>
        <v>114.182068122804</v>
      </c>
      <c r="C91" t="e">
        <f>VLOOKUP(A91,'MBA CA Index'!A:F,3,0)</f>
        <v>#N/A</v>
      </c>
      <c r="D91">
        <f>VLOOKUP(A91,'Purchase Index'!M:T,5,0)</f>
        <v>289.59769610448336</v>
      </c>
      <c r="E91" s="8" t="e">
        <f>VLOOKUP(A91,Cello!A:F,3,0)*100</f>
        <v>#N/A</v>
      </c>
      <c r="M91" s="1">
        <v>37012</v>
      </c>
      <c r="N91" s="8">
        <f t="shared" si="4"/>
        <v>74.31884181804395</v>
      </c>
      <c r="O91" s="8" t="e">
        <f t="shared" si="5"/>
        <v>#N/A</v>
      </c>
      <c r="P91" s="8">
        <f t="shared" si="6"/>
        <v>44.177955800778747</v>
      </c>
      <c r="Q91" s="8" t="e">
        <f t="shared" si="7"/>
        <v>#N/A</v>
      </c>
      <c r="R91" s="8">
        <f>VLOOKUP(M91,'Tracking Diff'!A:D,4,0)</f>
        <v>4.1595458827572998</v>
      </c>
    </row>
    <row r="92" spans="1:18" x14ac:dyDescent="0.25">
      <c r="A92" s="1">
        <v>37043</v>
      </c>
      <c r="B92" s="8">
        <f>VLOOKUP(A92,HPA2Yr!A:F,6,0)*100</f>
        <v>114.30656934306501</v>
      </c>
      <c r="C92" t="e">
        <f>VLOOKUP(A92,'MBA CA Index'!A:F,3,0)</f>
        <v>#N/A</v>
      </c>
      <c r="D92">
        <f>VLOOKUP(A92,'Purchase Index'!M:T,5,0)</f>
        <v>289.79722875208034</v>
      </c>
      <c r="E92" s="8" t="e">
        <f>VLOOKUP(A92,Cello!A:F,3,0)*100</f>
        <v>#N/A</v>
      </c>
      <c r="M92" s="1">
        <v>37043</v>
      </c>
      <c r="N92" s="8">
        <f t="shared" si="4"/>
        <v>74.667962207695894</v>
      </c>
      <c r="O92" s="8" t="e">
        <f t="shared" si="5"/>
        <v>#N/A</v>
      </c>
      <c r="P92" s="8">
        <f t="shared" si="6"/>
        <v>44.251354345970007</v>
      </c>
      <c r="Q92" s="8" t="e">
        <f t="shared" si="7"/>
        <v>#N/A</v>
      </c>
      <c r="R92" s="8">
        <f>VLOOKUP(M92,'Tracking Diff'!A:D,4,0)</f>
        <v>11.6241722492938</v>
      </c>
    </row>
    <row r="93" spans="1:18" x14ac:dyDescent="0.25">
      <c r="A93" s="1">
        <v>37073</v>
      </c>
      <c r="B93" s="8">
        <f>VLOOKUP(A93,HPA2Yr!A:F,6,0)*100</f>
        <v>114.35749962161299</v>
      </c>
      <c r="C93" t="e">
        <f>VLOOKUP(A93,'MBA CA Index'!A:F,3,0)</f>
        <v>#N/A</v>
      </c>
      <c r="D93">
        <f>VLOOKUP(A93,'Purchase Index'!M:T,5,0)</f>
        <v>290.43747943503672</v>
      </c>
      <c r="E93" s="8" t="e">
        <f>VLOOKUP(A93,Cello!A:F,3,0)*100</f>
        <v>#N/A</v>
      </c>
      <c r="M93" s="1">
        <v>37073</v>
      </c>
      <c r="N93" s="8">
        <f t="shared" si="4"/>
        <v>74.810778468086554</v>
      </c>
      <c r="O93" s="8" t="e">
        <f t="shared" si="5"/>
        <v>#N/A</v>
      </c>
      <c r="P93" s="8">
        <f t="shared" si="6"/>
        <v>44.486872038200644</v>
      </c>
      <c r="Q93" s="8" t="e">
        <f t="shared" si="7"/>
        <v>#N/A</v>
      </c>
      <c r="R93" s="8">
        <f>VLOOKUP(M93,'Tracking Diff'!A:D,4,0)</f>
        <v>3.5109580325428027</v>
      </c>
    </row>
    <row r="94" spans="1:18" x14ac:dyDescent="0.25">
      <c r="A94" s="1">
        <v>37104</v>
      </c>
      <c r="B94" s="8">
        <f>VLOOKUP(A94,HPA2Yr!A:F,6,0)*100</f>
        <v>114.40795420307299</v>
      </c>
      <c r="C94" t="e">
        <f>VLOOKUP(A94,'MBA CA Index'!A:F,3,0)</f>
        <v>#N/A</v>
      </c>
      <c r="D94">
        <f>VLOOKUP(A94,'Purchase Index'!M:T,5,0)</f>
        <v>291.14486362843752</v>
      </c>
      <c r="E94" s="8" t="e">
        <f>VLOOKUP(A94,Cello!A:F,3,0)*100</f>
        <v>#N/A</v>
      </c>
      <c r="M94" s="1">
        <v>37104</v>
      </c>
      <c r="N94" s="8">
        <f t="shared" si="4"/>
        <v>74.952260801369022</v>
      </c>
      <c r="O94" s="8" t="e">
        <f t="shared" si="5"/>
        <v>#N/A</v>
      </c>
      <c r="P94" s="8">
        <f t="shared" si="6"/>
        <v>44.747084947276967</v>
      </c>
      <c r="Q94" s="8" t="e">
        <f t="shared" si="7"/>
        <v>#N/A</v>
      </c>
      <c r="R94" s="8">
        <f>VLOOKUP(M94,'Tracking Diff'!A:D,4,0)</f>
        <v>4.3792163971914988</v>
      </c>
    </row>
    <row r="95" spans="1:18" x14ac:dyDescent="0.25">
      <c r="A95" s="1">
        <v>37135</v>
      </c>
      <c r="B95" s="8">
        <f>VLOOKUP(A95,HPA2Yr!A:F,6,0)*100</f>
        <v>114.45793972109699</v>
      </c>
      <c r="C95" t="e">
        <f>VLOOKUP(A95,'MBA CA Index'!A:F,3,0)</f>
        <v>#N/A</v>
      </c>
      <c r="D95">
        <f>VLOOKUP(A95,'Purchase Index'!M:T,5,0)</f>
        <v>292.02911624077814</v>
      </c>
      <c r="E95" s="8" t="e">
        <f>VLOOKUP(A95,Cello!A:F,3,0)*100</f>
        <v>#N/A</v>
      </c>
      <c r="M95" s="1">
        <v>37135</v>
      </c>
      <c r="N95" s="8">
        <f t="shared" si="4"/>
        <v>75.092427809314074</v>
      </c>
      <c r="O95" s="8" t="e">
        <f t="shared" si="5"/>
        <v>#N/A</v>
      </c>
      <c r="P95" s="8">
        <f t="shared" si="6"/>
        <v>45.072359312695419</v>
      </c>
      <c r="Q95" s="8" t="e">
        <f t="shared" si="7"/>
        <v>#N/A</v>
      </c>
      <c r="R95" s="8">
        <f>VLOOKUP(M95,'Tracking Diff'!A:D,4,0)</f>
        <v>1.8985468240169006</v>
      </c>
    </row>
    <row r="96" spans="1:18" x14ac:dyDescent="0.25">
      <c r="A96" s="1">
        <v>37165</v>
      </c>
      <c r="B96" s="8">
        <f>VLOOKUP(A96,HPA2Yr!A:F,6,0)*100</f>
        <v>114.535265989241</v>
      </c>
      <c r="C96" t="e">
        <f>VLOOKUP(A96,'MBA CA Index'!A:F,3,0)</f>
        <v>#N/A</v>
      </c>
      <c r="D96">
        <f>VLOOKUP(A96,'Purchase Index'!M:T,5,0)</f>
        <v>291.63771592517901</v>
      </c>
      <c r="E96" s="8" t="e">
        <f>VLOOKUP(A96,Cello!A:F,3,0)*100</f>
        <v>#N/A</v>
      </c>
      <c r="M96" s="1">
        <v>37165</v>
      </c>
      <c r="N96" s="8">
        <f t="shared" si="4"/>
        <v>75.309262446020199</v>
      </c>
      <c r="O96" s="8" t="e">
        <f t="shared" si="5"/>
        <v>#N/A</v>
      </c>
      <c r="P96" s="8">
        <f t="shared" si="6"/>
        <v>44.928381802757286</v>
      </c>
      <c r="Q96" s="8" t="e">
        <f t="shared" si="7"/>
        <v>#N/A</v>
      </c>
      <c r="R96" s="8">
        <f>VLOOKUP(M96,'Tracking Diff'!A:D,4,0)</f>
        <v>3.1566055164212976</v>
      </c>
    </row>
    <row r="97" spans="1:18" x14ac:dyDescent="0.25">
      <c r="A97" s="1">
        <v>37196</v>
      </c>
      <c r="B97" s="8">
        <f>VLOOKUP(A97,HPA2Yr!A:F,6,0)*100</f>
        <v>114.612062546537</v>
      </c>
      <c r="C97" t="e">
        <f>VLOOKUP(A97,'MBA CA Index'!A:F,3,0)</f>
        <v>#N/A</v>
      </c>
      <c r="D97">
        <f>VLOOKUP(A97,'Purchase Index'!M:T,5,0)</f>
        <v>292.00556965028926</v>
      </c>
      <c r="E97" s="8" t="e">
        <f>VLOOKUP(A97,Cello!A:F,3,0)*100</f>
        <v>#N/A</v>
      </c>
      <c r="M97" s="1">
        <v>37196</v>
      </c>
      <c r="N97" s="8">
        <f t="shared" si="4"/>
        <v>75.524611692805905</v>
      </c>
      <c r="O97" s="8" t="e">
        <f t="shared" si="5"/>
        <v>#N/A</v>
      </c>
      <c r="P97" s="8">
        <f t="shared" si="6"/>
        <v>45.063697645008894</v>
      </c>
      <c r="Q97" s="8" t="e">
        <f t="shared" si="7"/>
        <v>#N/A</v>
      </c>
      <c r="R97" s="8">
        <f>VLOOKUP(M97,'Tracking Diff'!A:D,4,0)</f>
        <v>2.4035060567909952</v>
      </c>
    </row>
    <row r="98" spans="1:18" x14ac:dyDescent="0.25">
      <c r="A98" s="1">
        <v>37226</v>
      </c>
      <c r="B98" s="8">
        <f>VLOOKUP(A98,HPA2Yr!A:F,6,0)*100</f>
        <v>114.688334817453</v>
      </c>
      <c r="C98" t="e">
        <f>VLOOKUP(A98,'MBA CA Index'!A:F,3,0)</f>
        <v>#N/A</v>
      </c>
      <c r="D98">
        <f>VLOOKUP(A98,'Purchase Index'!M:T,5,0)</f>
        <v>293.42539814447923</v>
      </c>
      <c r="E98" s="8" t="e">
        <f>VLOOKUP(A98,Cello!A:F,3,0)*100</f>
        <v>#N/A</v>
      </c>
      <c r="M98" s="1">
        <v>37226</v>
      </c>
      <c r="N98" s="8">
        <f t="shared" si="4"/>
        <v>75.738490760705844</v>
      </c>
      <c r="O98" s="8" t="e">
        <f t="shared" si="5"/>
        <v>#N/A</v>
      </c>
      <c r="P98" s="8">
        <f t="shared" si="6"/>
        <v>45.585984835349464</v>
      </c>
      <c r="Q98" s="8" t="e">
        <f t="shared" si="7"/>
        <v>#N/A</v>
      </c>
      <c r="R98" s="8">
        <f>VLOOKUP(M98,'Tracking Diff'!A:D,4,0)</f>
        <v>9.8822399561716985</v>
      </c>
    </row>
    <row r="99" spans="1:18" x14ac:dyDescent="0.25">
      <c r="A99" s="1">
        <v>37257</v>
      </c>
      <c r="B99" s="8">
        <f>VLOOKUP(A99,HPA2Yr!A:F,6,0)*100</f>
        <v>114.50987332064999</v>
      </c>
      <c r="C99" t="e">
        <f>VLOOKUP(A99,'MBA CA Index'!A:F,3,0)</f>
        <v>#N/A</v>
      </c>
      <c r="D99">
        <f>VLOOKUP(A99,'Purchase Index'!M:T,5,0)</f>
        <v>296.00681881207612</v>
      </c>
      <c r="E99" s="8" t="e">
        <f>VLOOKUP(A99,Cello!A:F,3,0)*100</f>
        <v>#N/A</v>
      </c>
      <c r="M99" s="1">
        <v>37257</v>
      </c>
      <c r="N99" s="8">
        <f t="shared" si="4"/>
        <v>75.238057534661024</v>
      </c>
      <c r="O99" s="8" t="e">
        <f t="shared" si="5"/>
        <v>#N/A</v>
      </c>
      <c r="P99" s="8">
        <f t="shared" si="6"/>
        <v>46.535566389095806</v>
      </c>
      <c r="Q99" s="8" t="e">
        <f t="shared" si="7"/>
        <v>#N/A</v>
      </c>
      <c r="R99" s="8">
        <f>VLOOKUP(M99,'Tracking Diff'!A:D,4,0)</f>
        <v>16.582321918467301</v>
      </c>
    </row>
    <row r="100" spans="1:18" x14ac:dyDescent="0.25">
      <c r="A100" s="1">
        <v>37288</v>
      </c>
      <c r="B100" s="8">
        <f>VLOOKUP(A100,HPA2Yr!A:F,6,0)*100</f>
        <v>114.33365573434099</v>
      </c>
      <c r="C100" t="e">
        <f>VLOOKUP(A100,'MBA CA Index'!A:F,3,0)</f>
        <v>#N/A</v>
      </c>
      <c r="D100">
        <f>VLOOKUP(A100,'Purchase Index'!M:T,5,0)</f>
        <v>297.08876717211746</v>
      </c>
      <c r="E100" s="8" t="e">
        <f>VLOOKUP(A100,Cello!A:F,3,0)*100</f>
        <v>#N/A</v>
      </c>
      <c r="M100" s="1">
        <v>37288</v>
      </c>
      <c r="N100" s="8">
        <f t="shared" si="4"/>
        <v>74.743916575506191</v>
      </c>
      <c r="O100" s="8" t="e">
        <f t="shared" si="5"/>
        <v>#N/A</v>
      </c>
      <c r="P100" s="8">
        <f t="shared" si="6"/>
        <v>46.933563591836808</v>
      </c>
      <c r="Q100" s="8" t="e">
        <f t="shared" si="7"/>
        <v>#N/A</v>
      </c>
      <c r="R100" s="8">
        <f>VLOOKUP(M100,'Tracking Diff'!A:D,4,0)</f>
        <v>9.9775472062207005</v>
      </c>
    </row>
    <row r="101" spans="1:18" x14ac:dyDescent="0.25">
      <c r="A101" s="1">
        <v>37316</v>
      </c>
      <c r="B101" s="8">
        <f>VLOOKUP(A101,HPA2Yr!A:F,6,0)*100</f>
        <v>114.15964000174701</v>
      </c>
      <c r="C101" t="e">
        <f>VLOOKUP(A101,'MBA CA Index'!A:F,3,0)</f>
        <v>#N/A</v>
      </c>
      <c r="D101">
        <f>VLOOKUP(A101,'Purchase Index'!M:T,5,0)</f>
        <v>298.06341787016828</v>
      </c>
      <c r="E101" s="8" t="e">
        <f>VLOOKUP(A101,Cello!A:F,3,0)*100</f>
        <v>#N/A</v>
      </c>
      <c r="M101" s="1">
        <v>37316</v>
      </c>
      <c r="N101" s="8">
        <f t="shared" si="4"/>
        <v>74.255949949625617</v>
      </c>
      <c r="O101" s="8" t="e">
        <f t="shared" si="5"/>
        <v>#N/A</v>
      </c>
      <c r="P101" s="8">
        <f t="shared" si="6"/>
        <v>47.292091101836419</v>
      </c>
      <c r="Q101" s="8" t="e">
        <f t="shared" si="7"/>
        <v>#N/A</v>
      </c>
      <c r="R101" s="8">
        <f>VLOOKUP(M101,'Tracking Diff'!A:D,4,0)</f>
        <v>6.4404089430062008</v>
      </c>
    </row>
    <row r="102" spans="1:18" x14ac:dyDescent="0.25">
      <c r="A102" s="1">
        <v>37347</v>
      </c>
      <c r="B102" s="8">
        <f>VLOOKUP(A102,HPA2Yr!A:F,6,0)*100</f>
        <v>114.184530706836</v>
      </c>
      <c r="C102" t="e">
        <f>VLOOKUP(A102,'MBA CA Index'!A:F,3,0)</f>
        <v>#N/A</v>
      </c>
      <c r="D102">
        <f>VLOOKUP(A102,'Purchase Index'!M:T,5,0)</f>
        <v>299.50800024720752</v>
      </c>
      <c r="E102" s="8" t="e">
        <f>VLOOKUP(A102,Cello!A:F,3,0)*100</f>
        <v>#N/A</v>
      </c>
      <c r="M102" s="1">
        <v>37347</v>
      </c>
      <c r="N102" s="8">
        <f t="shared" si="4"/>
        <v>74.325747278849889</v>
      </c>
      <c r="O102" s="8" t="e">
        <f t="shared" si="5"/>
        <v>#N/A</v>
      </c>
      <c r="P102" s="8">
        <f t="shared" si="6"/>
        <v>47.823484065146239</v>
      </c>
      <c r="Q102" s="8" t="e">
        <f t="shared" si="7"/>
        <v>#N/A</v>
      </c>
      <c r="R102" s="8">
        <f>VLOOKUP(M102,'Tracking Diff'!A:D,4,0)</f>
        <v>5.9896809372390987</v>
      </c>
    </row>
    <row r="103" spans="1:18" x14ac:dyDescent="0.25">
      <c r="A103" s="1">
        <v>37377</v>
      </c>
      <c r="B103" s="8">
        <f>VLOOKUP(A103,HPA2Yr!A:F,6,0)*100</f>
        <v>114.209153904888</v>
      </c>
      <c r="C103" t="e">
        <f>VLOOKUP(A103,'MBA CA Index'!A:F,3,0)</f>
        <v>#N/A</v>
      </c>
      <c r="D103">
        <f>VLOOKUP(A103,'Purchase Index'!M:T,5,0)</f>
        <v>301.92325761847917</v>
      </c>
      <c r="E103" s="8" t="e">
        <f>VLOOKUP(A103,Cello!A:F,3,0)*100</f>
        <v>#N/A</v>
      </c>
      <c r="M103" s="1">
        <v>37377</v>
      </c>
      <c r="N103" s="8">
        <f t="shared" si="4"/>
        <v>74.394794477587126</v>
      </c>
      <c r="O103" s="8" t="e">
        <f t="shared" si="5"/>
        <v>#N/A</v>
      </c>
      <c r="P103" s="8">
        <f t="shared" si="6"/>
        <v>48.711942066625127</v>
      </c>
      <c r="Q103" s="8" t="e">
        <f t="shared" si="7"/>
        <v>#N/A</v>
      </c>
      <c r="R103" s="8">
        <f>VLOOKUP(M103,'Tracking Diff'!A:D,4,0)</f>
        <v>4.3000508491672988</v>
      </c>
    </row>
    <row r="104" spans="1:18" x14ac:dyDescent="0.25">
      <c r="A104" s="1">
        <v>37408</v>
      </c>
      <c r="B104" s="8">
        <f>VLOOKUP(A104,HPA2Yr!A:F,6,0)*100</f>
        <v>114.23351388530601</v>
      </c>
      <c r="C104" t="e">
        <f>VLOOKUP(A104,'MBA CA Index'!A:F,3,0)</f>
        <v>#N/A</v>
      </c>
      <c r="D104">
        <f>VLOOKUP(A104,'Purchase Index'!M:T,5,0)</f>
        <v>304.11115568063082</v>
      </c>
      <c r="E104" s="8" t="e">
        <f>VLOOKUP(A104,Cello!A:F,3,0)*100</f>
        <v>#N/A</v>
      </c>
      <c r="M104" s="1">
        <v>37408</v>
      </c>
      <c r="N104" s="8">
        <f t="shared" si="4"/>
        <v>74.463103573976866</v>
      </c>
      <c r="O104" s="8" t="e">
        <f t="shared" si="5"/>
        <v>#N/A</v>
      </c>
      <c r="P104" s="8">
        <f t="shared" si="6"/>
        <v>49.516765421212533</v>
      </c>
      <c r="Q104" s="8" t="e">
        <f t="shared" si="7"/>
        <v>#N/A</v>
      </c>
      <c r="R104" s="8">
        <f>VLOOKUP(M104,'Tracking Diff'!A:D,4,0)</f>
        <v>0.17469229677540099</v>
      </c>
    </row>
    <row r="105" spans="1:18" x14ac:dyDescent="0.25">
      <c r="A105" s="1">
        <v>37438</v>
      </c>
      <c r="B105" s="8">
        <f>VLOOKUP(A105,HPA2Yr!A:F,6,0)*100</f>
        <v>114.297312310387</v>
      </c>
      <c r="C105" t="e">
        <f>VLOOKUP(A105,'MBA CA Index'!A:F,3,0)</f>
        <v>#N/A</v>
      </c>
      <c r="D105">
        <f>VLOOKUP(A105,'Purchase Index'!M:T,5,0)</f>
        <v>306.50963538176671</v>
      </c>
      <c r="E105" s="8" t="e">
        <f>VLOOKUP(A105,Cello!A:F,3,0)*100</f>
        <v>#N/A</v>
      </c>
      <c r="M105" s="1">
        <v>37438</v>
      </c>
      <c r="N105" s="8">
        <f t="shared" si="4"/>
        <v>74.642004077737084</v>
      </c>
      <c r="O105" s="8" t="e">
        <f t="shared" si="5"/>
        <v>#N/A</v>
      </c>
      <c r="P105" s="8">
        <f t="shared" si="6"/>
        <v>50.399051717987994</v>
      </c>
      <c r="Q105" s="8" t="e">
        <f t="shared" si="7"/>
        <v>#N/A</v>
      </c>
      <c r="R105" s="8">
        <f>VLOOKUP(M105,'Tracking Diff'!A:D,4,0)</f>
        <v>2.9641735471894997</v>
      </c>
    </row>
    <row r="106" spans="1:18" x14ac:dyDescent="0.25">
      <c r="A106" s="1">
        <v>37469</v>
      </c>
      <c r="B106" s="8">
        <f>VLOOKUP(A106,HPA2Yr!A:F,6,0)*100</f>
        <v>114.360346585117</v>
      </c>
      <c r="C106" t="e">
        <f>VLOOKUP(A106,'MBA CA Index'!A:F,3,0)</f>
        <v>#N/A</v>
      </c>
      <c r="D106">
        <f>VLOOKUP(A106,'Purchase Index'!M:T,5,0)</f>
        <v>308.57273676235729</v>
      </c>
      <c r="E106" s="8" t="e">
        <f>VLOOKUP(A106,Cello!A:F,3,0)*100</f>
        <v>#N/A</v>
      </c>
      <c r="M106" s="1">
        <v>37469</v>
      </c>
      <c r="N106" s="8">
        <f t="shared" si="4"/>
        <v>74.818761787493088</v>
      </c>
      <c r="O106" s="8" t="e">
        <f t="shared" si="5"/>
        <v>#N/A</v>
      </c>
      <c r="P106" s="8">
        <f t="shared" si="6"/>
        <v>51.15796832507521</v>
      </c>
      <c r="Q106" s="8" t="e">
        <f t="shared" si="7"/>
        <v>#N/A</v>
      </c>
      <c r="R106" s="8">
        <f>VLOOKUP(M106,'Tracking Diff'!A:D,4,0)</f>
        <v>3.6339763557758999</v>
      </c>
    </row>
    <row r="107" spans="1:18" x14ac:dyDescent="0.25">
      <c r="A107" s="1">
        <v>37500</v>
      </c>
      <c r="B107" s="8">
        <f>VLOOKUP(A107,HPA2Yr!A:F,6,0)*100</f>
        <v>114.42263035676501</v>
      </c>
      <c r="C107" t="e">
        <f>VLOOKUP(A107,'MBA CA Index'!A:F,3,0)</f>
        <v>#N/A</v>
      </c>
      <c r="D107">
        <f>VLOOKUP(A107,'Purchase Index'!M:T,5,0)</f>
        <v>310.76008365594492</v>
      </c>
      <c r="E107" s="8" t="e">
        <f>VLOOKUP(A107,Cello!A:F,3,0)*100</f>
        <v>#N/A</v>
      </c>
      <c r="M107" s="1">
        <v>37500</v>
      </c>
      <c r="N107" s="8">
        <f t="shared" si="4"/>
        <v>74.993414972266379</v>
      </c>
      <c r="O107" s="8" t="e">
        <f t="shared" si="5"/>
        <v>#N/A</v>
      </c>
      <c r="P107" s="8">
        <f t="shared" si="6"/>
        <v>51.962588931033537</v>
      </c>
      <c r="Q107" s="8" t="e">
        <f t="shared" si="7"/>
        <v>#N/A</v>
      </c>
      <c r="R107" s="8">
        <f>VLOOKUP(M107,'Tracking Diff'!A:D,4,0)</f>
        <v>9.368265596630998</v>
      </c>
    </row>
    <row r="108" spans="1:18" x14ac:dyDescent="0.25">
      <c r="A108" s="1">
        <v>37530</v>
      </c>
      <c r="B108" s="8">
        <f>VLOOKUP(A108,HPA2Yr!A:F,6,0)*100</f>
        <v>114.376925231027</v>
      </c>
      <c r="C108" t="e">
        <f>VLOOKUP(A108,'MBA CA Index'!A:F,3,0)</f>
        <v>#N/A</v>
      </c>
      <c r="D108">
        <f>VLOOKUP(A108,'Purchase Index'!M:T,5,0)</f>
        <v>312.62437136778391</v>
      </c>
      <c r="E108" s="8" t="e">
        <f>VLOOKUP(A108,Cello!A:F,3,0)*100</f>
        <v>#N/A</v>
      </c>
      <c r="M108" s="1">
        <v>37530</v>
      </c>
      <c r="N108" s="8">
        <f t="shared" si="4"/>
        <v>74.86525083641861</v>
      </c>
      <c r="O108" s="8" t="e">
        <f t="shared" si="5"/>
        <v>#N/A</v>
      </c>
      <c r="P108" s="8">
        <f t="shared" si="6"/>
        <v>52.648371470958075</v>
      </c>
      <c r="Q108" s="8" t="e">
        <f t="shared" si="7"/>
        <v>#N/A</v>
      </c>
      <c r="R108" s="8">
        <f>VLOOKUP(M108,'Tracking Diff'!A:D,4,0)</f>
        <v>7.9805775293188006</v>
      </c>
    </row>
    <row r="109" spans="1:18" x14ac:dyDescent="0.25">
      <c r="A109" s="1">
        <v>37561</v>
      </c>
      <c r="B109" s="8">
        <f>VLOOKUP(A109,HPA2Yr!A:F,6,0)*100</f>
        <v>114.33168489238601</v>
      </c>
      <c r="C109" t="e">
        <f>VLOOKUP(A109,'MBA CA Index'!A:F,3,0)</f>
        <v>#N/A</v>
      </c>
      <c r="D109">
        <f>VLOOKUP(A109,'Purchase Index'!M:T,5,0)</f>
        <v>314.53866745853594</v>
      </c>
      <c r="E109" s="8" t="e">
        <f>VLOOKUP(A109,Cello!A:F,3,0)*100</f>
        <v>#N/A</v>
      </c>
      <c r="M109" s="1">
        <v>37561</v>
      </c>
      <c r="N109" s="8">
        <f t="shared" si="4"/>
        <v>74.738390034402229</v>
      </c>
      <c r="O109" s="8" t="e">
        <f t="shared" si="5"/>
        <v>#N/A</v>
      </c>
      <c r="P109" s="8">
        <f t="shared" si="6"/>
        <v>53.352549708548111</v>
      </c>
      <c r="Q109" s="8" t="e">
        <f t="shared" si="7"/>
        <v>#N/A</v>
      </c>
      <c r="R109" s="8">
        <f>VLOOKUP(M109,'Tracking Diff'!A:D,4,0)</f>
        <v>6.0898617065542027</v>
      </c>
    </row>
    <row r="110" spans="1:18" x14ac:dyDescent="0.25">
      <c r="A110" s="1">
        <v>37591</v>
      </c>
      <c r="B110" s="8">
        <f>VLOOKUP(A110,HPA2Yr!A:F,6,0)*100</f>
        <v>114.28690228690199</v>
      </c>
      <c r="C110" t="e">
        <f>VLOOKUP(A110,'MBA CA Index'!A:F,3,0)</f>
        <v>#N/A</v>
      </c>
      <c r="D110">
        <f>VLOOKUP(A110,'Purchase Index'!M:T,5,0)</f>
        <v>317.24853966912963</v>
      </c>
      <c r="E110" s="8" t="e">
        <f>VLOOKUP(A110,Cello!A:F,3,0)*100</f>
        <v>#N/A</v>
      </c>
      <c r="M110" s="1">
        <v>37591</v>
      </c>
      <c r="N110" s="8">
        <f t="shared" si="4"/>
        <v>74.61281278589469</v>
      </c>
      <c r="O110" s="8" t="e">
        <f t="shared" si="5"/>
        <v>#N/A</v>
      </c>
      <c r="P110" s="8">
        <f t="shared" si="6"/>
        <v>54.349382459013803</v>
      </c>
      <c r="Q110" s="8" t="e">
        <f t="shared" si="7"/>
        <v>#N/A</v>
      </c>
      <c r="R110" s="8">
        <f>VLOOKUP(M110,'Tracking Diff'!A:D,4,0)</f>
        <v>3.4841430214913984</v>
      </c>
    </row>
    <row r="111" spans="1:18" x14ac:dyDescent="0.25">
      <c r="A111" s="1">
        <v>37622</v>
      </c>
      <c r="B111" s="8">
        <f>VLOOKUP(A111,HPA2Yr!A:F,6,0)*100</f>
        <v>113.815762341393</v>
      </c>
      <c r="C111" t="e">
        <f>VLOOKUP(A111,'MBA CA Index'!A:F,3,0)</f>
        <v>#N/A</v>
      </c>
      <c r="D111">
        <f>VLOOKUP(A111,'Purchase Index'!M:T,5,0)</f>
        <v>319.57639581901617</v>
      </c>
      <c r="E111" s="8" t="e">
        <f>VLOOKUP(A111,Cello!A:F,3,0)*100</f>
        <v>#N/A</v>
      </c>
      <c r="M111" s="1">
        <v>37622</v>
      </c>
      <c r="N111" s="8">
        <f t="shared" si="4"/>
        <v>73.291664599460375</v>
      </c>
      <c r="O111" s="8" t="e">
        <f t="shared" si="5"/>
        <v>#N/A</v>
      </c>
      <c r="P111" s="8">
        <f t="shared" si="6"/>
        <v>55.205689719374071</v>
      </c>
      <c r="Q111" s="8" t="e">
        <f t="shared" si="7"/>
        <v>#N/A</v>
      </c>
      <c r="R111" s="8">
        <f>VLOOKUP(M111,'Tracking Diff'!A:D,4,0)</f>
        <v>5.5805229224333956</v>
      </c>
    </row>
    <row r="112" spans="1:18" x14ac:dyDescent="0.25">
      <c r="A112" s="1">
        <v>37653</v>
      </c>
      <c r="B112" s="8">
        <f>VLOOKUP(A112,HPA2Yr!A:F,6,0)*100</f>
        <v>113.35224173666401</v>
      </c>
      <c r="C112" t="e">
        <f>VLOOKUP(A112,'MBA CA Index'!A:F,3,0)</f>
        <v>#N/A</v>
      </c>
      <c r="D112">
        <f>VLOOKUP(A112,'Purchase Index'!M:T,5,0)</f>
        <v>321.46315270067885</v>
      </c>
      <c r="E112" s="8" t="e">
        <f>VLOOKUP(A112,Cello!A:F,3,0)*100</f>
        <v>#N/A</v>
      </c>
      <c r="M112" s="1">
        <v>37653</v>
      </c>
      <c r="N112" s="8">
        <f t="shared" si="4"/>
        <v>71.991882205396863</v>
      </c>
      <c r="O112" s="8" t="e">
        <f t="shared" si="5"/>
        <v>#N/A</v>
      </c>
      <c r="P112" s="8">
        <f t="shared" si="6"/>
        <v>55.899737595305396</v>
      </c>
      <c r="Q112" s="8" t="e">
        <f t="shared" si="7"/>
        <v>#N/A</v>
      </c>
      <c r="R112" s="8">
        <f>VLOOKUP(M112,'Tracking Diff'!A:D,4,0)</f>
        <v>8.9962522624032033</v>
      </c>
    </row>
    <row r="113" spans="1:18" x14ac:dyDescent="0.25">
      <c r="A113" s="1">
        <v>37681</v>
      </c>
      <c r="B113" s="8">
        <f>VLOOKUP(A113,HPA2Yr!A:F,6,0)*100</f>
        <v>112.896157123726</v>
      </c>
      <c r="C113" t="e">
        <f>VLOOKUP(A113,'MBA CA Index'!A:F,3,0)</f>
        <v>#N/A</v>
      </c>
      <c r="D113">
        <f>VLOOKUP(A113,'Purchase Index'!M:T,5,0)</f>
        <v>324.17828338721745</v>
      </c>
      <c r="E113" s="8" t="e">
        <f>VLOOKUP(A113,Cello!A:F,3,0)*100</f>
        <v>#N/A</v>
      </c>
      <c r="M113" s="1">
        <v>37681</v>
      </c>
      <c r="N113" s="8">
        <f t="shared" si="4"/>
        <v>70.712951465205236</v>
      </c>
      <c r="O113" s="8" t="e">
        <f t="shared" si="5"/>
        <v>#N/A</v>
      </c>
      <c r="P113" s="8">
        <f t="shared" si="6"/>
        <v>56.898504688290622</v>
      </c>
      <c r="Q113" s="8" t="e">
        <f t="shared" si="7"/>
        <v>#N/A</v>
      </c>
      <c r="R113" s="8">
        <f>VLOOKUP(M113,'Tracking Diff'!A:D,4,0)</f>
        <v>4.1890594939622972</v>
      </c>
    </row>
    <row r="114" spans="1:18" x14ac:dyDescent="0.25">
      <c r="A114" s="1">
        <v>37712</v>
      </c>
      <c r="B114" s="8">
        <f>VLOOKUP(A114,HPA2Yr!A:F,6,0)*100</f>
        <v>112.72362863522601</v>
      </c>
      <c r="C114" t="e">
        <f>VLOOKUP(A114,'MBA CA Index'!A:F,3,0)</f>
        <v>#N/A</v>
      </c>
      <c r="D114">
        <f>VLOOKUP(A114,'Purchase Index'!M:T,5,0)</f>
        <v>327.3371636147225</v>
      </c>
      <c r="E114" s="8" t="e">
        <f>VLOOKUP(A114,Cello!A:F,3,0)*100</f>
        <v>#N/A</v>
      </c>
      <c r="M114" s="1">
        <v>37712</v>
      </c>
      <c r="N114" s="8">
        <f t="shared" si="4"/>
        <v>70.229155298349198</v>
      </c>
      <c r="O114" s="8" t="e">
        <f t="shared" si="5"/>
        <v>#N/A</v>
      </c>
      <c r="P114" s="8">
        <f t="shared" si="6"/>
        <v>58.060506074653297</v>
      </c>
      <c r="Q114" s="8" t="e">
        <f t="shared" si="7"/>
        <v>#N/A</v>
      </c>
      <c r="R114" s="8">
        <f>VLOOKUP(M114,'Tracking Diff'!A:D,4,0)</f>
        <v>1.9334307755198026</v>
      </c>
    </row>
    <row r="115" spans="1:18" x14ac:dyDescent="0.25">
      <c r="A115" s="1">
        <v>37742</v>
      </c>
      <c r="B115" s="8">
        <f>VLOOKUP(A115,HPA2Yr!A:F,6,0)*100</f>
        <v>112.55300648786</v>
      </c>
      <c r="C115" t="e">
        <f>VLOOKUP(A115,'MBA CA Index'!A:F,3,0)</f>
        <v>#N/A</v>
      </c>
      <c r="D115">
        <f>VLOOKUP(A115,'Purchase Index'!M:T,5,0)</f>
        <v>332.0231241429899</v>
      </c>
      <c r="E115" s="8">
        <f>VLOOKUP(A115,Cello!A:F,3,0)*100</f>
        <v>3.1505553453999857</v>
      </c>
      <c r="M115" s="1">
        <v>37742</v>
      </c>
      <c r="N115" s="8">
        <f t="shared" si="4"/>
        <v>69.750704802468206</v>
      </c>
      <c r="O115" s="8" t="e">
        <f t="shared" si="5"/>
        <v>#N/A</v>
      </c>
      <c r="P115" s="8">
        <f t="shared" si="6"/>
        <v>59.784247476076466</v>
      </c>
      <c r="Q115" s="8">
        <f t="shared" si="7"/>
        <v>32.255883907725668</v>
      </c>
      <c r="R115" s="8">
        <f>VLOOKUP(M115,'Tracking Diff'!A:D,4,0)</f>
        <v>6.3589153274172006</v>
      </c>
    </row>
    <row r="116" spans="1:18" x14ac:dyDescent="0.25">
      <c r="A116" s="1">
        <v>37773</v>
      </c>
      <c r="B116" s="8">
        <f>VLOOKUP(A116,HPA2Yr!A:F,6,0)*100</f>
        <v>112.38425925925898</v>
      </c>
      <c r="C116" t="e">
        <f>VLOOKUP(A116,'MBA CA Index'!A:F,3,0)</f>
        <v>#N/A</v>
      </c>
      <c r="D116">
        <f>VLOOKUP(A116,'Purchase Index'!M:T,5,0)</f>
        <v>336.22123209636271</v>
      </c>
      <c r="E116" s="8">
        <f>VLOOKUP(A116,Cello!A:F,3,0)*100</f>
        <v>3.0458344569883846</v>
      </c>
      <c r="M116" s="1">
        <v>37773</v>
      </c>
      <c r="N116" s="8">
        <f t="shared" si="4"/>
        <v>69.277511864452293</v>
      </c>
      <c r="O116" s="8" t="e">
        <f t="shared" si="5"/>
        <v>#N/A</v>
      </c>
      <c r="P116" s="8">
        <f t="shared" si="6"/>
        <v>61.328531181246348</v>
      </c>
      <c r="Q116" s="8">
        <f t="shared" si="7"/>
        <v>29.721506647115714</v>
      </c>
      <c r="R116" s="8">
        <f>VLOOKUP(M116,'Tracking Diff'!A:D,4,0)</f>
        <v>0.99838868316070517</v>
      </c>
    </row>
    <row r="117" spans="1:18" x14ac:dyDescent="0.25">
      <c r="A117" s="1">
        <v>37803</v>
      </c>
      <c r="B117" s="8">
        <f>VLOOKUP(A117,HPA2Yr!A:F,6,0)*100</f>
        <v>112.37757424956301</v>
      </c>
      <c r="C117" t="e">
        <f>VLOOKUP(A117,'MBA CA Index'!A:F,3,0)</f>
        <v>#N/A</v>
      </c>
      <c r="D117">
        <f>VLOOKUP(A117,'Purchase Index'!M:T,5,0)</f>
        <v>341.39971979533146</v>
      </c>
      <c r="E117" s="8">
        <f>VLOOKUP(A117,Cello!A:F,3,0)*100</f>
        <v>3.0869624754100333</v>
      </c>
      <c r="M117" s="1">
        <v>37803</v>
      </c>
      <c r="N117" s="8">
        <f t="shared" si="4"/>
        <v>69.258766078788568</v>
      </c>
      <c r="O117" s="8" t="e">
        <f t="shared" si="5"/>
        <v>#N/A</v>
      </c>
      <c r="P117" s="8">
        <f t="shared" si="6"/>
        <v>63.23344983978518</v>
      </c>
      <c r="Q117" s="8">
        <f t="shared" si="7"/>
        <v>30.716856440674444</v>
      </c>
      <c r="R117" s="8">
        <f>VLOOKUP(M117,'Tracking Diff'!A:D,4,0)</f>
        <v>3.5293550796537971</v>
      </c>
    </row>
    <row r="118" spans="1:18" x14ac:dyDescent="0.25">
      <c r="A118" s="1">
        <v>37834</v>
      </c>
      <c r="B118" s="8">
        <f>VLOOKUP(A118,HPA2Yr!A:F,6,0)*100</f>
        <v>112.37095754766599</v>
      </c>
      <c r="C118" t="e">
        <f>VLOOKUP(A118,'MBA CA Index'!A:F,3,0)</f>
        <v>#N/A</v>
      </c>
      <c r="D118">
        <f>VLOOKUP(A118,'Purchase Index'!M:T,5,0)</f>
        <v>345.74956051303144</v>
      </c>
      <c r="E118" s="8">
        <f>VLOOKUP(A118,Cello!A:F,3,0)*100</f>
        <v>3.1003680527098716</v>
      </c>
      <c r="M118" s="1">
        <v>37834</v>
      </c>
      <c r="N118" s="8">
        <f t="shared" si="4"/>
        <v>69.240211838599961</v>
      </c>
      <c r="O118" s="8" t="e">
        <f t="shared" si="5"/>
        <v>#N/A</v>
      </c>
      <c r="P118" s="8">
        <f t="shared" si="6"/>
        <v>64.833548792703183</v>
      </c>
      <c r="Q118" s="8">
        <f t="shared" si="7"/>
        <v>31.041288278385014</v>
      </c>
      <c r="R118" s="8">
        <f>VLOOKUP(M118,'Tracking Diff'!A:D,4,0)</f>
        <v>27.615277909379401</v>
      </c>
    </row>
    <row r="119" spans="1:18" x14ac:dyDescent="0.25">
      <c r="A119" s="1">
        <v>37865</v>
      </c>
      <c r="B119" s="8">
        <f>VLOOKUP(A119,HPA2Yr!A:F,6,0)*100</f>
        <v>112.36440811193201</v>
      </c>
      <c r="C119" t="e">
        <f>VLOOKUP(A119,'MBA CA Index'!A:F,3,0)</f>
        <v>#N/A</v>
      </c>
      <c r="D119">
        <f>VLOOKUP(A119,'Purchase Index'!M:T,5,0)</f>
        <v>350.64000120410066</v>
      </c>
      <c r="E119" s="8">
        <f>VLOOKUP(A119,Cello!A:F,3,0)*100</f>
        <v>2.9772293042627456</v>
      </c>
      <c r="M119" s="1">
        <v>37865</v>
      </c>
      <c r="N119" s="8">
        <f t="shared" si="4"/>
        <v>69.221846222980645</v>
      </c>
      <c r="O119" s="8" t="e">
        <f t="shared" si="5"/>
        <v>#N/A</v>
      </c>
      <c r="P119" s="8">
        <f t="shared" si="6"/>
        <v>66.632508694210813</v>
      </c>
      <c r="Q119" s="8">
        <f t="shared" si="7"/>
        <v>28.061175631347989</v>
      </c>
      <c r="R119" s="8">
        <f>VLOOKUP(M119,'Tracking Diff'!A:D,4,0)</f>
        <v>30.116386640179197</v>
      </c>
    </row>
    <row r="120" spans="1:18" x14ac:dyDescent="0.25">
      <c r="A120" s="1">
        <v>37895</v>
      </c>
      <c r="B120" s="8">
        <f>VLOOKUP(A120,HPA2Yr!A:F,6,0)*100</f>
        <v>112.95549727973599</v>
      </c>
      <c r="C120" t="e">
        <f>VLOOKUP(A120,'MBA CA Index'!A:F,3,0)</f>
        <v>#N/A</v>
      </c>
      <c r="D120">
        <f>VLOOKUP(A120,'Purchase Index'!M:T,5,0)</f>
        <v>355.70763000311985</v>
      </c>
      <c r="E120" s="8">
        <f>VLOOKUP(A120,Cello!A:F,3,0)*100</f>
        <v>2.8568854754671551</v>
      </c>
      <c r="M120" s="1">
        <v>37895</v>
      </c>
      <c r="N120" s="8">
        <f t="shared" si="4"/>
        <v>70.879350303263095</v>
      </c>
      <c r="O120" s="8" t="e">
        <f t="shared" si="5"/>
        <v>#N/A</v>
      </c>
      <c r="P120" s="8">
        <f t="shared" si="6"/>
        <v>68.496647650401215</v>
      </c>
      <c r="Q120" s="8">
        <f t="shared" si="7"/>
        <v>25.148703556478786</v>
      </c>
      <c r="R120" s="8">
        <f>VLOOKUP(M120,'Tracking Diff'!A:D,4,0)</f>
        <v>15.5104848469812</v>
      </c>
    </row>
    <row r="121" spans="1:18" x14ac:dyDescent="0.25">
      <c r="A121" s="1">
        <v>37926</v>
      </c>
      <c r="B121" s="8">
        <f>VLOOKUP(A121,HPA2Yr!A:F,6,0)*100</f>
        <v>113.541747875574</v>
      </c>
      <c r="C121" t="e">
        <f>VLOOKUP(A121,'MBA CA Index'!A:F,3,0)</f>
        <v>#N/A</v>
      </c>
      <c r="D121">
        <f>VLOOKUP(A121,'Purchase Index'!M:T,5,0)</f>
        <v>360.48359713596187</v>
      </c>
      <c r="E121" s="8">
        <f>VLOOKUP(A121,Cello!A:F,3,0)*100</f>
        <v>2.8786272127584134</v>
      </c>
      <c r="M121" s="1">
        <v>37926</v>
      </c>
      <c r="N121" s="8">
        <f t="shared" si="4"/>
        <v>72.523286290585659</v>
      </c>
      <c r="O121" s="8" t="e">
        <f t="shared" si="5"/>
        <v>#N/A</v>
      </c>
      <c r="P121" s="8">
        <f t="shared" si="6"/>
        <v>70.253498189165782</v>
      </c>
      <c r="Q121" s="8">
        <f t="shared" si="7"/>
        <v>25.674880954635924</v>
      </c>
      <c r="R121" s="8">
        <f>VLOOKUP(M121,'Tracking Diff'!A:D,4,0)</f>
        <v>7.4504383227873028</v>
      </c>
    </row>
    <row r="122" spans="1:18" x14ac:dyDescent="0.25">
      <c r="A122" s="1">
        <v>37956</v>
      </c>
      <c r="B122" s="8">
        <f>VLOOKUP(A122,HPA2Yr!A:F,6,0)*100</f>
        <v>114.123219069063</v>
      </c>
      <c r="C122" t="e">
        <f>VLOOKUP(A122,'MBA CA Index'!A:F,3,0)</f>
        <v>#N/A</v>
      </c>
      <c r="D122">
        <f>VLOOKUP(A122,'Purchase Index'!M:T,5,0)</f>
        <v>364.60771222945999</v>
      </c>
      <c r="E122" s="8">
        <f>VLOOKUP(A122,Cello!A:F,3,0)*100</f>
        <v>2.9066892754036715</v>
      </c>
      <c r="M122" s="1">
        <v>37956</v>
      </c>
      <c r="N122" s="8">
        <f t="shared" si="4"/>
        <v>74.153820105568897</v>
      </c>
      <c r="O122" s="8" t="e">
        <f t="shared" si="5"/>
        <v>#N/A</v>
      </c>
      <c r="P122" s="8">
        <f t="shared" si="6"/>
        <v>71.770563449962026</v>
      </c>
      <c r="Q122" s="8">
        <f t="shared" si="7"/>
        <v>26.354018178667303</v>
      </c>
      <c r="R122" s="8">
        <f>VLOOKUP(M122,'Tracking Diff'!A:D,4,0)</f>
        <v>5.9451767749996982</v>
      </c>
    </row>
    <row r="123" spans="1:18" x14ac:dyDescent="0.25">
      <c r="A123" s="1">
        <v>37987</v>
      </c>
      <c r="B123" s="8">
        <f>VLOOKUP(A123,HPA2Yr!A:F,6,0)*100</f>
        <v>114.169070677931</v>
      </c>
      <c r="C123" t="e">
        <f>VLOOKUP(A123,'MBA CA Index'!A:F,3,0)</f>
        <v>#N/A</v>
      </c>
      <c r="D123">
        <f>VLOOKUP(A123,'Purchase Index'!M:T,5,0)</f>
        <v>368.68945262202675</v>
      </c>
      <c r="E123" s="8">
        <f>VLOOKUP(A123,Cello!A:F,3,0)*100</f>
        <v>3.1534340106091503</v>
      </c>
      <c r="M123" s="1">
        <v>37987</v>
      </c>
      <c r="N123" s="8">
        <f t="shared" si="4"/>
        <v>74.282395002430206</v>
      </c>
      <c r="O123" s="8" t="e">
        <f t="shared" si="5"/>
        <v>#N/A</v>
      </c>
      <c r="P123" s="8">
        <f t="shared" si="6"/>
        <v>73.272041079166485</v>
      </c>
      <c r="Q123" s="8">
        <f t="shared" si="7"/>
        <v>32.325551227757757</v>
      </c>
      <c r="R123" s="8">
        <f>VLOOKUP(M123,'Tracking Diff'!A:D,4,0)</f>
        <v>1.1938960423656013</v>
      </c>
    </row>
    <row r="124" spans="1:18" x14ac:dyDescent="0.25">
      <c r="A124" s="1">
        <v>38018</v>
      </c>
      <c r="B124" s="8">
        <f>VLOOKUP(A124,HPA2Yr!A:F,6,0)*100</f>
        <v>114.214486214896</v>
      </c>
      <c r="C124" t="e">
        <f>VLOOKUP(A124,'MBA CA Index'!A:F,3,0)</f>
        <v>#N/A</v>
      </c>
      <c r="D124">
        <f>VLOOKUP(A124,'Purchase Index'!M:T,5,0)</f>
        <v>372.97567254150391</v>
      </c>
      <c r="E124" s="8">
        <f>VLOOKUP(A124,Cello!A:F,3,0)*100</f>
        <v>3.343333955609936</v>
      </c>
      <c r="M124" s="1">
        <v>38018</v>
      </c>
      <c r="N124" s="8">
        <f t="shared" si="4"/>
        <v>74.409747087238941</v>
      </c>
      <c r="O124" s="8" t="e">
        <f t="shared" si="5"/>
        <v>#N/A</v>
      </c>
      <c r="P124" s="8">
        <f t="shared" si="6"/>
        <v>74.848736974541268</v>
      </c>
      <c r="Q124" s="8">
        <f t="shared" si="7"/>
        <v>36.921368831113341</v>
      </c>
      <c r="R124" s="8">
        <f>VLOOKUP(M124,'Tracking Diff'!A:D,4,0)</f>
        <v>3.8610278864447984</v>
      </c>
    </row>
    <row r="125" spans="1:18" x14ac:dyDescent="0.25">
      <c r="A125" s="1">
        <v>38047</v>
      </c>
      <c r="B125" s="8">
        <f>VLOOKUP(A125,HPA2Yr!A:F,6,0)*100</f>
        <v>114.25947187141202</v>
      </c>
      <c r="C125" t="e">
        <f>VLOOKUP(A125,'MBA CA Index'!A:F,3,0)</f>
        <v>#N/A</v>
      </c>
      <c r="D125">
        <f>VLOOKUP(A125,'Purchase Index'!M:T,5,0)</f>
        <v>377.80912947203177</v>
      </c>
      <c r="E125" s="8">
        <f>VLOOKUP(A125,Cello!A:F,3,0)*100</f>
        <v>3.5072057315301155</v>
      </c>
      <c r="M125" s="1">
        <v>38047</v>
      </c>
      <c r="N125" s="8">
        <f t="shared" si="4"/>
        <v>74.535893721775508</v>
      </c>
      <c r="O125" s="8" t="e">
        <f t="shared" si="5"/>
        <v>#N/A</v>
      </c>
      <c r="P125" s="8">
        <f t="shared" si="6"/>
        <v>76.626735268143463</v>
      </c>
      <c r="Q125" s="8">
        <f t="shared" si="7"/>
        <v>40.887271993770852</v>
      </c>
      <c r="R125" s="8">
        <f>VLOOKUP(M125,'Tracking Diff'!A:D,4,0)</f>
        <v>8.9984262977072973</v>
      </c>
    </row>
    <row r="126" spans="1:18" x14ac:dyDescent="0.25">
      <c r="A126" s="1">
        <v>38078</v>
      </c>
      <c r="B126" s="8">
        <f>VLOOKUP(A126,HPA2Yr!A:F,6,0)*100</f>
        <v>114.53579084901</v>
      </c>
      <c r="C126" t="e">
        <f>VLOOKUP(A126,'MBA CA Index'!A:F,3,0)</f>
        <v>#N/A</v>
      </c>
      <c r="D126">
        <f>VLOOKUP(A126,'Purchase Index'!M:T,5,0)</f>
        <v>382.39054046420921</v>
      </c>
      <c r="E126" s="8">
        <f>VLOOKUP(A126,Cello!A:F,3,0)*100</f>
        <v>3.6599225160582267</v>
      </c>
      <c r="M126" s="1">
        <v>38078</v>
      </c>
      <c r="N126" s="8">
        <f t="shared" si="4"/>
        <v>75.310734232776042</v>
      </c>
      <c r="O126" s="8" t="e">
        <f t="shared" si="5"/>
        <v>#N/A</v>
      </c>
      <c r="P126" s="8">
        <f t="shared" si="6"/>
        <v>78.312017881283907</v>
      </c>
      <c r="Q126" s="8">
        <f t="shared" si="7"/>
        <v>44.583210329399392</v>
      </c>
      <c r="R126" s="8">
        <f>VLOOKUP(M126,'Tracking Diff'!A:D,4,0)</f>
        <v>10.065990062755297</v>
      </c>
    </row>
    <row r="127" spans="1:18" x14ac:dyDescent="0.25">
      <c r="A127" s="1">
        <v>38108</v>
      </c>
      <c r="B127" s="8">
        <f>VLOOKUP(A127,HPA2Yr!A:F,6,0)*100</f>
        <v>114.80902164589499</v>
      </c>
      <c r="C127" t="e">
        <f>VLOOKUP(A127,'MBA CA Index'!A:F,3,0)</f>
        <v>#N/A</v>
      </c>
      <c r="D127">
        <f>VLOOKUP(A127,'Purchase Index'!M:T,5,0)</f>
        <v>386.2985195538534</v>
      </c>
      <c r="E127" s="8">
        <f>VLOOKUP(A127,Cello!A:F,3,0)*100</f>
        <v>3.8078818998575894</v>
      </c>
      <c r="M127" s="1">
        <v>38108</v>
      </c>
      <c r="N127" s="8">
        <f t="shared" si="4"/>
        <v>76.076915014566111</v>
      </c>
      <c r="O127" s="8" t="e">
        <f t="shared" si="5"/>
        <v>#N/A</v>
      </c>
      <c r="P127" s="8">
        <f t="shared" si="6"/>
        <v>79.749577013948311</v>
      </c>
      <c r="Q127" s="8">
        <f t="shared" si="7"/>
        <v>48.164013581574864</v>
      </c>
      <c r="R127" s="8">
        <f>VLOOKUP(M127,'Tracking Diff'!A:D,4,0)</f>
        <v>12.984872867935898</v>
      </c>
    </row>
    <row r="128" spans="1:18" x14ac:dyDescent="0.25">
      <c r="A128" s="1">
        <v>38139</v>
      </c>
      <c r="B128" s="8">
        <f>VLOOKUP(A128,HPA2Yr!A:F,6,0)*100</f>
        <v>115.07921574530499</v>
      </c>
      <c r="C128">
        <f>VLOOKUP(A128,'MBA CA Index'!A:F,3,0)</f>
        <v>377</v>
      </c>
      <c r="D128">
        <f>VLOOKUP(A128,'Purchase Index'!M:T,5,0)</f>
        <v>389.10238002794404</v>
      </c>
      <c r="E128" s="8">
        <f>VLOOKUP(A128,Cello!A:F,3,0)*100</f>
        <v>3.8679396867097302</v>
      </c>
      <c r="M128" s="1">
        <v>38139</v>
      </c>
      <c r="N128" s="8">
        <f t="shared" si="4"/>
        <v>76.834580433988634</v>
      </c>
      <c r="O128" s="8">
        <f t="shared" si="5"/>
        <v>39.639883367902129</v>
      </c>
      <c r="P128" s="8">
        <f t="shared" si="6"/>
        <v>80.780983564184666</v>
      </c>
      <c r="Q128" s="8">
        <f t="shared" si="7"/>
        <v>49.617487588808004</v>
      </c>
      <c r="R128" s="8">
        <f>VLOOKUP(M128,'Tracking Diff'!A:D,4,0)</f>
        <v>9.0842885871642984</v>
      </c>
    </row>
    <row r="129" spans="1:18" x14ac:dyDescent="0.25">
      <c r="A129" s="1">
        <v>38169</v>
      </c>
      <c r="B129" s="8">
        <f>VLOOKUP(A129,HPA2Yr!A:F,6,0)*100</f>
        <v>115.780029159968</v>
      </c>
      <c r="C129">
        <f>VLOOKUP(A129,'MBA CA Index'!A:F,3,0)</f>
        <v>380.25</v>
      </c>
      <c r="D129">
        <f>VLOOKUP(A129,'Purchase Index'!M:T,5,0)</f>
        <v>392.53044825560551</v>
      </c>
      <c r="E129" s="8">
        <f>VLOOKUP(A129,Cello!A:F,3,0)*100</f>
        <v>3.898322743727868</v>
      </c>
      <c r="M129" s="1">
        <v>38169</v>
      </c>
      <c r="N129" s="8">
        <f t="shared" si="4"/>
        <v>78.799768019198794</v>
      </c>
      <c r="O129" s="8">
        <f t="shared" si="5"/>
        <v>40.108816544924402</v>
      </c>
      <c r="P129" s="8">
        <f t="shared" si="6"/>
        <v>82.04200637802991</v>
      </c>
      <c r="Q129" s="8">
        <f t="shared" si="7"/>
        <v>50.352795796965403</v>
      </c>
      <c r="R129" s="8">
        <f>VLOOKUP(M129,'Tracking Diff'!A:D,4,0)</f>
        <v>5.0115690047306014</v>
      </c>
    </row>
    <row r="130" spans="1:18" x14ac:dyDescent="0.25">
      <c r="A130" s="1">
        <v>38200</v>
      </c>
      <c r="B130" s="8">
        <f>VLOOKUP(A130,HPA2Yr!A:F,6,0)*100</f>
        <v>116.471680594243</v>
      </c>
      <c r="C130">
        <f>VLOOKUP(A130,'MBA CA Index'!A:F,3,0)</f>
        <v>383.5</v>
      </c>
      <c r="D130">
        <f>VLOOKUP(A130,'Purchase Index'!M:T,5,0)</f>
        <v>395.91957345551026</v>
      </c>
      <c r="E130" s="8">
        <f>VLOOKUP(A130,Cello!A:F,3,0)*100</f>
        <v>3.9712397272637374</v>
      </c>
      <c r="M130" s="1">
        <v>38200</v>
      </c>
      <c r="N130" s="8">
        <f t="shared" si="4"/>
        <v>80.739264015552749</v>
      </c>
      <c r="O130" s="8">
        <f t="shared" si="5"/>
        <v>40.577749721946674</v>
      </c>
      <c r="P130" s="8">
        <f t="shared" si="6"/>
        <v>83.288703909185259</v>
      </c>
      <c r="Q130" s="8">
        <f t="shared" si="7"/>
        <v>52.117478543536762</v>
      </c>
      <c r="R130" s="8">
        <f>VLOOKUP(M130,'Tracking Diff'!A:D,4,0)</f>
        <v>2.4607306275157992</v>
      </c>
    </row>
    <row r="131" spans="1:18" x14ac:dyDescent="0.25">
      <c r="A131" s="1">
        <v>38231</v>
      </c>
      <c r="B131" s="8">
        <f>VLOOKUP(A131,HPA2Yr!A:F,6,0)*100</f>
        <v>117.154348548024</v>
      </c>
      <c r="C131">
        <f>VLOOKUP(A131,'MBA CA Index'!A:F,3,0)</f>
        <v>386.75</v>
      </c>
      <c r="D131">
        <f>VLOOKUP(A131,'Purchase Index'!M:T,5,0)</f>
        <v>399.50950698649194</v>
      </c>
      <c r="E131" s="8">
        <f>VLOOKUP(A131,Cello!A:F,3,0)*100</f>
        <v>4.0627429809320672</v>
      </c>
      <c r="M131" s="1">
        <v>38231</v>
      </c>
      <c r="N131" s="8">
        <f t="shared" ref="N131:N194" si="8">(B131-H$6)/(H$7-H$6)*100</f>
        <v>82.653568963948146</v>
      </c>
      <c r="O131" s="8">
        <f t="shared" ref="O131:O194" si="9">(C131-I$6)/(I$7-I$6)*100</f>
        <v>41.046682898968953</v>
      </c>
      <c r="P131" s="8">
        <f t="shared" ref="P131:P194" si="10">(D131-J$6)/(J$7-J$6)*100</f>
        <v>84.609269248645859</v>
      </c>
      <c r="Q131" s="8">
        <f t="shared" ref="Q131:Q194" si="11">(E131-K$6)/(K$7-K$6)*100</f>
        <v>54.331972412776594</v>
      </c>
      <c r="R131" s="8">
        <f>VLOOKUP(M131,'Tracking Diff'!A:D,4,0)</f>
        <v>2.4188293101439005</v>
      </c>
    </row>
    <row r="132" spans="1:18" x14ac:dyDescent="0.25">
      <c r="A132" s="1">
        <v>38261</v>
      </c>
      <c r="B132" s="8">
        <f>VLOOKUP(A132,HPA2Yr!A:F,6,0)*100</f>
        <v>117.42850847125601</v>
      </c>
      <c r="C132">
        <f>VLOOKUP(A132,'MBA CA Index'!A:F,3,0)</f>
        <v>390</v>
      </c>
      <c r="D132">
        <f>VLOOKUP(A132,'Purchase Index'!M:T,5,0)</f>
        <v>403.65352596377966</v>
      </c>
      <c r="E132" s="8">
        <f>VLOOKUP(A132,Cello!A:F,3,0)*100</f>
        <v>4.1336017078997447</v>
      </c>
      <c r="M132" s="1">
        <v>38261</v>
      </c>
      <c r="N132" s="8">
        <f t="shared" si="8"/>
        <v>83.422355157569712</v>
      </c>
      <c r="O132" s="8">
        <f t="shared" si="9"/>
        <v>41.515616075991225</v>
      </c>
      <c r="P132" s="8">
        <f t="shared" si="10"/>
        <v>86.133656199057356</v>
      </c>
      <c r="Q132" s="8">
        <f t="shared" si="11"/>
        <v>56.046842760675183</v>
      </c>
      <c r="R132" s="8">
        <f>VLOOKUP(M132,'Tracking Diff'!A:D,4,0)</f>
        <v>1.5457898560072998</v>
      </c>
    </row>
    <row r="133" spans="1:18" x14ac:dyDescent="0.25">
      <c r="A133" s="1">
        <v>38292</v>
      </c>
      <c r="B133" s="8">
        <f>VLOOKUP(A133,HPA2Yr!A:F,6,0)*100</f>
        <v>117.700096255772</v>
      </c>
      <c r="C133">
        <f>VLOOKUP(A133,'MBA CA Index'!A:F,3,0)</f>
        <v>393.25</v>
      </c>
      <c r="D133">
        <f>VLOOKUP(A133,'Purchase Index'!M:T,5,0)</f>
        <v>407.90188721659928</v>
      </c>
      <c r="E133" s="8">
        <f>VLOOKUP(A133,Cello!A:F,3,0)*100</f>
        <v>4.2050928000794112</v>
      </c>
      <c r="M133" s="1">
        <v>38292</v>
      </c>
      <c r="N133" s="8">
        <f t="shared" si="8"/>
        <v>84.18392868236046</v>
      </c>
      <c r="O133" s="8">
        <f t="shared" si="9"/>
        <v>41.984549253013498</v>
      </c>
      <c r="P133" s="8">
        <f t="shared" si="10"/>
        <v>87.696425696476666</v>
      </c>
      <c r="Q133" s="8">
        <f t="shared" si="11"/>
        <v>57.777017142353223</v>
      </c>
      <c r="R133" s="8">
        <f>VLOOKUP(M133,'Tracking Diff'!A:D,4,0)</f>
        <v>3.2161889972642008</v>
      </c>
    </row>
    <row r="134" spans="1:18" x14ac:dyDescent="0.25">
      <c r="A134" s="1">
        <v>38322</v>
      </c>
      <c r="B134" s="8">
        <f>VLOOKUP(A134,HPA2Yr!A:F,6,0)*100</f>
        <v>117.969147929855</v>
      </c>
      <c r="C134">
        <f>VLOOKUP(A134,'MBA CA Index'!A:F,3,0)</f>
        <v>396.5</v>
      </c>
      <c r="D134">
        <f>VLOOKUP(A134,'Purchase Index'!M:T,5,0)</f>
        <v>411.99504300657549</v>
      </c>
      <c r="E134" s="8">
        <f>VLOOKUP(A134,Cello!A:F,3,0)*100</f>
        <v>4.2560723325491256</v>
      </c>
      <c r="M134" s="1">
        <v>38322</v>
      </c>
      <c r="N134" s="8">
        <f t="shared" si="8"/>
        <v>84.938390567115036</v>
      </c>
      <c r="O134" s="8">
        <f t="shared" si="9"/>
        <v>42.45348243003577</v>
      </c>
      <c r="P134" s="8">
        <f t="shared" si="10"/>
        <v>89.202102505979312</v>
      </c>
      <c r="Q134" s="8">
        <f t="shared" si="11"/>
        <v>59.010785971165582</v>
      </c>
      <c r="R134" s="8">
        <f>VLOOKUP(M134,'Tracking Diff'!A:D,4,0)</f>
        <v>3.6920294252710981</v>
      </c>
    </row>
    <row r="135" spans="1:18" x14ac:dyDescent="0.25">
      <c r="A135" s="1">
        <v>38353</v>
      </c>
      <c r="B135" s="8">
        <f>VLOOKUP(A135,HPA2Yr!A:F,6,0)*100</f>
        <v>118.39285929969901</v>
      </c>
      <c r="C135">
        <f>VLOOKUP(A135,'MBA CA Index'!A:F,3,0)</f>
        <v>407.04166666666669</v>
      </c>
      <c r="D135">
        <f>VLOOKUP(A135,'Purchase Index'!M:T,5,0)</f>
        <v>414.10436189287839</v>
      </c>
      <c r="E135" s="8">
        <f>VLOOKUP(A135,Cello!A:F,3,0)*100</f>
        <v>4.3337830099086663</v>
      </c>
      <c r="M135" s="1">
        <v>38353</v>
      </c>
      <c r="N135" s="8">
        <f t="shared" si="8"/>
        <v>86.126541801534898</v>
      </c>
      <c r="O135" s="8">
        <f t="shared" si="9"/>
        <v>43.974509273454181</v>
      </c>
      <c r="P135" s="8">
        <f t="shared" si="10"/>
        <v>89.978020329271018</v>
      </c>
      <c r="Q135" s="8">
        <f t="shared" si="11"/>
        <v>60.891482139751552</v>
      </c>
      <c r="R135" s="8">
        <f>VLOOKUP(M135,'Tracking Diff'!A:D,4,0)</f>
        <v>0.64280714944630013</v>
      </c>
    </row>
    <row r="136" spans="1:18" x14ac:dyDescent="0.25">
      <c r="A136" s="1">
        <v>38384</v>
      </c>
      <c r="B136" s="8">
        <f>VLOOKUP(A136,HPA2Yr!A:F,6,0)*100</f>
        <v>118.81315561543599</v>
      </c>
      <c r="C136">
        <f>VLOOKUP(A136,'MBA CA Index'!A:F,3,0)</f>
        <v>422.44444444444446</v>
      </c>
      <c r="D136">
        <f>VLOOKUP(A136,'Purchase Index'!M:T,5,0)</f>
        <v>417.72429533493499</v>
      </c>
      <c r="E136" s="8">
        <f>VLOOKUP(A136,Cello!A:F,3,0)*100</f>
        <v>4.3968400798478555</v>
      </c>
      <c r="M136" s="1">
        <v>38384</v>
      </c>
      <c r="N136" s="8">
        <f t="shared" si="8"/>
        <v>87.305116703947476</v>
      </c>
      <c r="O136" s="8">
        <f t="shared" si="9"/>
        <v>46.196931894469998</v>
      </c>
      <c r="P136" s="8">
        <f t="shared" si="10"/>
        <v>91.309621205298114</v>
      </c>
      <c r="Q136" s="8">
        <f t="shared" si="11"/>
        <v>62.417542571424399</v>
      </c>
      <c r="R136" s="8">
        <f>VLOOKUP(M136,'Tracking Diff'!A:D,4,0)</f>
        <v>0.2875237006562994</v>
      </c>
    </row>
    <row r="137" spans="1:18" x14ac:dyDescent="0.25">
      <c r="A137" s="1">
        <v>38412</v>
      </c>
      <c r="B137" s="8">
        <f>VLOOKUP(A137,HPA2Yr!A:F,6,0)*100</f>
        <v>119.23007799863402</v>
      </c>
      <c r="C137">
        <f>VLOOKUP(A137,'MBA CA Index'!A:F,3,0)</f>
        <v>441.25</v>
      </c>
      <c r="D137">
        <f>VLOOKUP(A137,'Purchase Index'!M:T,5,0)</f>
        <v>421.13145439796079</v>
      </c>
      <c r="E137" s="8">
        <f>VLOOKUP(A137,Cello!A:F,3,0)*100</f>
        <v>4.454530614954483</v>
      </c>
      <c r="M137" s="1">
        <v>38412</v>
      </c>
      <c r="N137" s="8">
        <f t="shared" si="8"/>
        <v>88.474230585494652</v>
      </c>
      <c r="O137" s="8">
        <f t="shared" si="9"/>
        <v>48.910331559804007</v>
      </c>
      <c r="P137" s="8">
        <f t="shared" si="10"/>
        <v>92.562952534647422</v>
      </c>
      <c r="Q137" s="8">
        <f t="shared" si="11"/>
        <v>63.813726107912238</v>
      </c>
      <c r="R137" s="8">
        <f>VLOOKUP(M137,'Tracking Diff'!A:D,4,0)</f>
        <v>4.0143433246679976</v>
      </c>
    </row>
    <row r="138" spans="1:18" x14ac:dyDescent="0.25">
      <c r="A138" s="1">
        <v>38443</v>
      </c>
      <c r="B138" s="8">
        <f>VLOOKUP(A138,HPA2Yr!A:F,6,0)*100</f>
        <v>120.01408097755399</v>
      </c>
      <c r="C138">
        <f>VLOOKUP(A138,'MBA CA Index'!A:F,3,0)</f>
        <v>462.530303030303</v>
      </c>
      <c r="D138">
        <f>VLOOKUP(A138,'Purchase Index'!M:T,5,0)</f>
        <v>424.48986579742063</v>
      </c>
      <c r="E138" s="8">
        <f>VLOOKUP(A138,Cello!A:F,3,0)*100</f>
        <v>4.5086579139714695</v>
      </c>
      <c r="M138" s="1">
        <v>38443</v>
      </c>
      <c r="N138" s="8">
        <f t="shared" si="8"/>
        <v>90.672694382998003</v>
      </c>
      <c r="O138" s="8">
        <f t="shared" si="9"/>
        <v>51.98080543918762</v>
      </c>
      <c r="P138" s="8">
        <f t="shared" si="10"/>
        <v>93.798351923382967</v>
      </c>
      <c r="Q138" s="8">
        <f t="shared" si="11"/>
        <v>65.12367484772534</v>
      </c>
      <c r="R138" s="8">
        <f>VLOOKUP(M138,'Tracking Diff'!A:D,4,0)</f>
        <v>2.5374806957139011</v>
      </c>
    </row>
    <row r="139" spans="1:18" x14ac:dyDescent="0.25">
      <c r="A139" s="1">
        <v>38473</v>
      </c>
      <c r="B139" s="8">
        <f>VLOOKUP(A139,HPA2Yr!A:F,6,0)*100</f>
        <v>120.79178502240299</v>
      </c>
      <c r="C139">
        <f>VLOOKUP(A139,'MBA CA Index'!A:F,3,0)</f>
        <v>485.66666666666669</v>
      </c>
      <c r="D139">
        <f>VLOOKUP(A139,'Purchase Index'!M:T,5,0)</f>
        <v>426.65229804675329</v>
      </c>
      <c r="E139" s="8">
        <f>VLOOKUP(A139,Cello!A:F,3,0)*100</f>
        <v>4.5889424813709692</v>
      </c>
      <c r="M139" s="1">
        <v>38473</v>
      </c>
      <c r="N139" s="8">
        <f t="shared" si="8"/>
        <v>92.853495009709619</v>
      </c>
      <c r="O139" s="8">
        <f t="shared" si="9"/>
        <v>55.319084979108432</v>
      </c>
      <c r="P139" s="8">
        <f t="shared" si="10"/>
        <v>94.59380761991774</v>
      </c>
      <c r="Q139" s="8">
        <f t="shared" si="11"/>
        <v>67.066662393776937</v>
      </c>
      <c r="R139" s="8">
        <f>VLOOKUP(M139,'Tracking Diff'!A:D,4,0)</f>
        <v>2.0265312795800021</v>
      </c>
    </row>
    <row r="140" spans="1:18" x14ac:dyDescent="0.25">
      <c r="A140" s="1">
        <v>38504</v>
      </c>
      <c r="B140" s="8">
        <f>VLOOKUP(A140,HPA2Yr!A:F,6,0)*100</f>
        <v>121.56326574097001</v>
      </c>
      <c r="C140">
        <f>VLOOKUP(A140,'MBA CA Index'!A:F,3,0)</f>
        <v>510.23076923076923</v>
      </c>
      <c r="D140">
        <f>VLOOKUP(A140,'Purchase Index'!M:T,5,0)</f>
        <v>428.84016298563421</v>
      </c>
      <c r="E140" s="8">
        <f>VLOOKUP(A140,Cello!A:F,3,0)*100</f>
        <v>4.7027059094736616</v>
      </c>
      <c r="M140" s="1">
        <v>38504</v>
      </c>
      <c r="N140" s="8">
        <f t="shared" si="8"/>
        <v>95.016844481388844</v>
      </c>
      <c r="O140" s="8">
        <f t="shared" si="9"/>
        <v>58.863368873288614</v>
      </c>
      <c r="P140" s="8">
        <f t="shared" si="10"/>
        <v>95.398618790033524</v>
      </c>
      <c r="Q140" s="8">
        <f t="shared" si="11"/>
        <v>69.819880492340729</v>
      </c>
      <c r="R140" s="8">
        <f>VLOOKUP(M140,'Tracking Diff'!A:D,4,0)</f>
        <v>2.5969928383652991</v>
      </c>
    </row>
    <row r="141" spans="1:18" x14ac:dyDescent="0.25">
      <c r="A141" s="1">
        <v>38534</v>
      </c>
      <c r="B141" s="8">
        <f>VLOOKUP(A141,HPA2Yr!A:F,6,0)*100</f>
        <v>122.16163376831399</v>
      </c>
      <c r="C141">
        <f>VLOOKUP(A141,'MBA CA Index'!A:F,3,0)</f>
        <v>531.79761904761904</v>
      </c>
      <c r="D141">
        <f>VLOOKUP(A141,'Purchase Index'!M:T,5,0)</f>
        <v>430.75248852890809</v>
      </c>
      <c r="E141" s="8">
        <f>VLOOKUP(A141,Cello!A:F,3,0)*100</f>
        <v>4.8119863074387927</v>
      </c>
      <c r="M141" s="1">
        <v>38534</v>
      </c>
      <c r="N141" s="8">
        <f t="shared" si="8"/>
        <v>96.694759592772002</v>
      </c>
      <c r="O141" s="8">
        <f t="shared" si="9"/>
        <v>61.975187766512505</v>
      </c>
      <c r="P141" s="8">
        <f t="shared" si="10"/>
        <v>96.102072157183187</v>
      </c>
      <c r="Q141" s="8">
        <f t="shared" si="11"/>
        <v>72.464603620974472</v>
      </c>
      <c r="R141" s="8">
        <f>VLOOKUP(M141,'Tracking Diff'!A:D,4,0)</f>
        <v>1.7777695930545008</v>
      </c>
    </row>
    <row r="142" spans="1:18" x14ac:dyDescent="0.25">
      <c r="A142" s="1">
        <v>38565</v>
      </c>
      <c r="B142" s="8">
        <f>VLOOKUP(A142,HPA2Yr!A:F,6,0)*100</f>
        <v>122.753957744993</v>
      </c>
      <c r="C142">
        <f>VLOOKUP(A142,'MBA CA Index'!A:F,3,0)</f>
        <v>550.9666666666667</v>
      </c>
      <c r="D142">
        <f>VLOOKUP(A142,'Purchase Index'!M:T,5,0)</f>
        <v>433.5180302874042</v>
      </c>
      <c r="E142" s="8">
        <f>VLOOKUP(A142,Cello!A:F,3,0)*100</f>
        <v>4.9294381066960025</v>
      </c>
      <c r="M142" s="1">
        <v>38565</v>
      </c>
      <c r="N142" s="8">
        <f t="shared" si="8"/>
        <v>98.355726265265915</v>
      </c>
      <c r="O142" s="8">
        <f t="shared" si="9"/>
        <v>64.741034658971358</v>
      </c>
      <c r="P142" s="8">
        <f t="shared" si="10"/>
        <v>97.119383079400251</v>
      </c>
      <c r="Q142" s="8">
        <f t="shared" si="11"/>
        <v>75.30708494222938</v>
      </c>
      <c r="R142" s="8">
        <f>VLOOKUP(M142,'Tracking Diff'!A:D,4,0)</f>
        <v>5.8100222625485003</v>
      </c>
    </row>
    <row r="143" spans="1:18" x14ac:dyDescent="0.25">
      <c r="A143" s="1">
        <v>38596</v>
      </c>
      <c r="B143" s="8">
        <f>VLOOKUP(A143,HPA2Yr!A:F,6,0)*100</f>
        <v>123.340328786288</v>
      </c>
      <c r="C143">
        <f>VLOOKUP(A143,'MBA CA Index'!A:F,3,0)</f>
        <v>568.1875</v>
      </c>
      <c r="D143">
        <f>VLOOKUP(A143,'Purchase Index'!M:T,5,0)</f>
        <v>436.26333249491807</v>
      </c>
      <c r="E143" s="8">
        <f>VLOOKUP(A143,Cello!A:F,3,0)*100</f>
        <v>5.0469409072253608</v>
      </c>
      <c r="M143" s="1">
        <v>38596</v>
      </c>
      <c r="N143" s="8">
        <f t="shared" si="8"/>
        <v>100</v>
      </c>
      <c r="O143" s="8">
        <f t="shared" si="9"/>
        <v>67.225779300808611</v>
      </c>
      <c r="P143" s="8">
        <f t="shared" si="10"/>
        <v>98.12924883605011</v>
      </c>
      <c r="Q143" s="8">
        <f t="shared" si="11"/>
        <v>78.150800558440707</v>
      </c>
      <c r="R143" s="8">
        <f>VLOOKUP(M143,'Tracking Diff'!A:D,4,0)</f>
        <v>3.2162084260817991</v>
      </c>
    </row>
    <row r="144" spans="1:18" x14ac:dyDescent="0.25">
      <c r="A144" s="1">
        <v>38626</v>
      </c>
      <c r="B144" s="8">
        <f>VLOOKUP(A144,HPA2Yr!A:F,6,0)*100</f>
        <v>123.11121891495401</v>
      </c>
      <c r="C144">
        <f>VLOOKUP(A144,'MBA CA Index'!A:F,3,0)</f>
        <v>583.8039215686274</v>
      </c>
      <c r="D144">
        <f>VLOOKUP(A144,'Purchase Index'!M:T,5,0)</f>
        <v>438.82412213158585</v>
      </c>
      <c r="E144" s="8">
        <f>VLOOKUP(A144,Cello!A:F,3,0)*100</f>
        <v>5.1866429849335391</v>
      </c>
      <c r="M144" s="1">
        <v>38626</v>
      </c>
      <c r="N144" s="8">
        <f t="shared" si="8"/>
        <v>99.357541015376881</v>
      </c>
      <c r="O144" s="8">
        <f t="shared" si="9"/>
        <v>69.479027971545719</v>
      </c>
      <c r="P144" s="8">
        <f t="shared" si="10"/>
        <v>99.07124121742676</v>
      </c>
      <c r="Q144" s="8">
        <f t="shared" si="11"/>
        <v>81.531766613770202</v>
      </c>
      <c r="R144" s="8">
        <f>VLOOKUP(M144,'Tracking Diff'!A:D,4,0)</f>
        <v>2.129508272846099</v>
      </c>
    </row>
    <row r="145" spans="1:18" x14ac:dyDescent="0.25">
      <c r="A145" s="1">
        <v>38657</v>
      </c>
      <c r="B145" s="8">
        <f>VLOOKUP(A145,HPA2Yr!A:F,6,0)*100</f>
        <v>122.88634074887801</v>
      </c>
      <c r="C145">
        <f>VLOOKUP(A145,'MBA CA Index'!A:F,3,0)</f>
        <v>598.08333333333337</v>
      </c>
      <c r="D145">
        <f>VLOOKUP(A145,'Purchase Index'!M:T,5,0)</f>
        <v>440.10727602265462</v>
      </c>
      <c r="E145" s="8">
        <f>VLOOKUP(A145,Cello!A:F,3,0)*100</f>
        <v>5.2993477787380732</v>
      </c>
      <c r="M145" s="1">
        <v>38657</v>
      </c>
      <c r="N145" s="8">
        <f t="shared" si="8"/>
        <v>98.726948377006963</v>
      </c>
      <c r="O145" s="8">
        <f t="shared" si="9"/>
        <v>71.539363333032753</v>
      </c>
      <c r="P145" s="8">
        <f t="shared" si="10"/>
        <v>99.543252339392041</v>
      </c>
      <c r="Q145" s="8">
        <f t="shared" si="11"/>
        <v>84.259364430332482</v>
      </c>
      <c r="R145" s="8">
        <f>VLOOKUP(M145,'Tracking Diff'!A:D,4,0)</f>
        <v>2.9870427407159017</v>
      </c>
    </row>
    <row r="146" spans="1:18" x14ac:dyDescent="0.25">
      <c r="A146" s="1">
        <v>38687</v>
      </c>
      <c r="B146" s="8">
        <f>VLOOKUP(A146,HPA2Yr!A:F,6,0)*100</f>
        <v>122.665578120216</v>
      </c>
      <c r="C146">
        <f>VLOOKUP(A146,'MBA CA Index'!A:F,3,0)</f>
        <v>611.23684210526312</v>
      </c>
      <c r="D146">
        <f>VLOOKUP(A146,'Purchase Index'!M:T,5,0)</f>
        <v>441.34893646384393</v>
      </c>
      <c r="E146" s="8">
        <f>VLOOKUP(A146,Cello!A:F,3,0)*100</f>
        <v>5.3846702478032409</v>
      </c>
      <c r="M146" s="1">
        <v>38687</v>
      </c>
      <c r="N146" s="8">
        <f t="shared" si="8"/>
        <v>98.107896332557203</v>
      </c>
      <c r="O146" s="8">
        <f t="shared" si="9"/>
        <v>73.437245381467008</v>
      </c>
      <c r="P146" s="8">
        <f t="shared" si="10"/>
        <v>100</v>
      </c>
      <c r="Q146" s="8">
        <f t="shared" si="11"/>
        <v>86.324275535440165</v>
      </c>
      <c r="R146" s="8">
        <f>VLOOKUP(M146,'Tracking Diff'!A:D,4,0)</f>
        <v>2.0006580933304008</v>
      </c>
    </row>
    <row r="147" spans="1:18" x14ac:dyDescent="0.25">
      <c r="A147" s="1">
        <v>38718</v>
      </c>
      <c r="B147" s="8">
        <f>VLOOKUP(A147,HPA2Yr!A:F,6,0)*100</f>
        <v>122.680203045685</v>
      </c>
      <c r="C147">
        <f>VLOOKUP(A147,'MBA CA Index'!A:F,3,0)</f>
        <v>623.26666666666665</v>
      </c>
      <c r="D147">
        <f>VLOOKUP(A147,'Purchase Index'!M:T,5,0)</f>
        <v>440.88770640123215</v>
      </c>
      <c r="E147" s="8">
        <f>VLOOKUP(A147,Cello!A:F,3,0)*100</f>
        <v>5.40436135249176</v>
      </c>
      <c r="M147" s="1">
        <v>38718</v>
      </c>
      <c r="N147" s="8">
        <f t="shared" si="8"/>
        <v>98.148906851712482</v>
      </c>
      <c r="O147" s="8">
        <f t="shared" si="9"/>
        <v>75.172994258574562</v>
      </c>
      <c r="P147" s="8">
        <f t="shared" si="10"/>
        <v>99.830335456368246</v>
      </c>
      <c r="Q147" s="8">
        <f t="shared" si="11"/>
        <v>86.800825044481044</v>
      </c>
      <c r="R147" s="8">
        <f>VLOOKUP(M147,'Tracking Diff'!A:D,4,0)</f>
        <v>0.1643081217842699</v>
      </c>
    </row>
    <row r="148" spans="1:18" x14ac:dyDescent="0.25">
      <c r="A148" s="1">
        <v>38749</v>
      </c>
      <c r="B148" s="8">
        <f>VLOOKUP(A148,HPA2Yr!A:F,6,0)*100</f>
        <v>122.694677305322</v>
      </c>
      <c r="C148">
        <f>VLOOKUP(A148,'MBA CA Index'!A:F,3,0)</f>
        <v>634.33333333333337</v>
      </c>
      <c r="D148">
        <f>VLOOKUP(A148,'Purchase Index'!M:T,5,0)</f>
        <v>439.98635011808284</v>
      </c>
      <c r="E148" s="8">
        <f>VLOOKUP(A148,Cello!A:F,3,0)*100</f>
        <v>5.4360117278744315</v>
      </c>
      <c r="M148" s="1">
        <v>38749</v>
      </c>
      <c r="N148" s="8">
        <f t="shared" si="8"/>
        <v>98.189494880920535</v>
      </c>
      <c r="O148" s="8">
        <f t="shared" si="9"/>
        <v>76.769771845973494</v>
      </c>
      <c r="P148" s="8">
        <f t="shared" si="10"/>
        <v>99.498769466145987</v>
      </c>
      <c r="Q148" s="8">
        <f t="shared" si="11"/>
        <v>87.566803951614972</v>
      </c>
      <c r="R148" s="8">
        <f>VLOOKUP(M148,'Tracking Diff'!A:D,4,0)</f>
        <v>0.68346294069307056</v>
      </c>
    </row>
    <row r="149" spans="1:18" x14ac:dyDescent="0.25">
      <c r="A149" s="1">
        <v>38777</v>
      </c>
      <c r="B149" s="8">
        <f>VLOOKUP(A149,HPA2Yr!A:F,6,0)*100</f>
        <v>122.70900321543401</v>
      </c>
      <c r="C149">
        <f>VLOOKUP(A149,'MBA CA Index'!A:F,3,0)</f>
        <v>644.56818181818187</v>
      </c>
      <c r="D149">
        <f>VLOOKUP(A149,'Purchase Index'!M:T,5,0)</f>
        <v>438.01313363957479</v>
      </c>
      <c r="E149" s="8">
        <f>VLOOKUP(A149,Cello!A:F,3,0)*100</f>
        <v>5.4733459672567717</v>
      </c>
      <c r="M149" s="1">
        <v>38777</v>
      </c>
      <c r="N149" s="8">
        <f t="shared" si="8"/>
        <v>98.22966691545912</v>
      </c>
      <c r="O149" s="8">
        <f t="shared" si="9"/>
        <v>78.246528774078598</v>
      </c>
      <c r="P149" s="8">
        <f t="shared" si="10"/>
        <v>98.772917227857405</v>
      </c>
      <c r="Q149" s="8">
        <f t="shared" si="11"/>
        <v>88.470339519045169</v>
      </c>
      <c r="R149" s="8">
        <f>VLOOKUP(M149,'Tracking Diff'!A:D,4,0)</f>
        <v>1.129651068544101</v>
      </c>
    </row>
    <row r="150" spans="1:18" x14ac:dyDescent="0.25">
      <c r="A150" s="1">
        <v>38808</v>
      </c>
      <c r="B150" s="8">
        <f>VLOOKUP(A150,HPA2Yr!A:F,6,0)*100</f>
        <v>122.1381739246</v>
      </c>
      <c r="C150">
        <f>VLOOKUP(A150,'MBA CA Index'!A:F,3,0)</f>
        <v>654.07971014492762</v>
      </c>
      <c r="D150">
        <f>VLOOKUP(A150,'Purchase Index'!M:T,5,0)</f>
        <v>435.64121066813846</v>
      </c>
      <c r="E150" s="8">
        <f>VLOOKUP(A150,Cello!A:F,3,0)*100</f>
        <v>5.4967954513491062</v>
      </c>
      <c r="M150" s="1">
        <v>38808</v>
      </c>
      <c r="N150" s="8">
        <f t="shared" si="8"/>
        <v>96.628974616838164</v>
      </c>
      <c r="O150" s="8">
        <f t="shared" si="9"/>
        <v>79.61891991149345</v>
      </c>
      <c r="P150" s="8">
        <f t="shared" si="10"/>
        <v>97.900399885428314</v>
      </c>
      <c r="Q150" s="8">
        <f t="shared" si="11"/>
        <v>89.037846538495401</v>
      </c>
      <c r="R150" s="8">
        <f>VLOOKUP(M150,'Tracking Diff'!A:D,4,0)</f>
        <v>0.64571537103229915</v>
      </c>
    </row>
    <row r="151" spans="1:18" x14ac:dyDescent="0.25">
      <c r="A151" s="1">
        <v>38838</v>
      </c>
      <c r="B151" s="8">
        <f>VLOOKUP(A151,HPA2Yr!A:F,6,0)*100</f>
        <v>121.576426122879</v>
      </c>
      <c r="C151">
        <f>VLOOKUP(A151,'MBA CA Index'!A:F,3,0)</f>
        <v>662.95833333333337</v>
      </c>
      <c r="D151">
        <f>VLOOKUP(A151,'Purchase Index'!M:T,5,0)</f>
        <v>432.89854239080279</v>
      </c>
      <c r="E151" s="8">
        <f>VLOOKUP(A151,Cello!A:F,3,0)*100</f>
        <v>5.5117331196521864</v>
      </c>
      <c r="M151" s="1">
        <v>38838</v>
      </c>
      <c r="N151" s="8">
        <f t="shared" si="8"/>
        <v>95.05374819727534</v>
      </c>
      <c r="O151" s="8">
        <f t="shared" si="9"/>
        <v>80.899990982054291</v>
      </c>
      <c r="P151" s="8">
        <f t="shared" si="10"/>
        <v>96.891503026076961</v>
      </c>
      <c r="Q151" s="8">
        <f t="shared" si="11"/>
        <v>89.399356906179278</v>
      </c>
      <c r="R151" s="8">
        <f>VLOOKUP(M151,'Tracking Diff'!A:D,4,0)</f>
        <v>0.50115231796389992</v>
      </c>
    </row>
    <row r="152" spans="1:18" x14ac:dyDescent="0.25">
      <c r="A152" s="1">
        <v>38869</v>
      </c>
      <c r="B152" s="8">
        <f>VLOOKUP(A152,HPA2Yr!A:F,6,0)*100</f>
        <v>121.023544800523</v>
      </c>
      <c r="C152">
        <f>VLOOKUP(A152,'MBA CA Index'!A:F,3,0)</f>
        <v>683.54166666666663</v>
      </c>
      <c r="D152">
        <f>VLOOKUP(A152,'Purchase Index'!M:T,5,0)</f>
        <v>430.92047169982771</v>
      </c>
      <c r="E152" s="8">
        <f>VLOOKUP(A152,Cello!A:F,3,0)*100</f>
        <v>5.5556246344225091</v>
      </c>
      <c r="M152" s="1">
        <v>38869</v>
      </c>
      <c r="N152" s="8">
        <f t="shared" si="8"/>
        <v>93.503384736679976</v>
      </c>
      <c r="O152" s="8">
        <f t="shared" si="9"/>
        <v>83.869901103195346</v>
      </c>
      <c r="P152" s="8">
        <f t="shared" si="10"/>
        <v>96.163865154522767</v>
      </c>
      <c r="Q152" s="8">
        <f t="shared" si="11"/>
        <v>90.461586788439419</v>
      </c>
      <c r="R152" s="8">
        <f>VLOOKUP(M152,'Tracking Diff'!A:D,4,0)</f>
        <v>0.10364916334239993</v>
      </c>
    </row>
    <row r="153" spans="1:18" x14ac:dyDescent="0.25">
      <c r="A153" s="1">
        <v>38899</v>
      </c>
      <c r="B153" s="8">
        <f>VLOOKUP(A153,HPA2Yr!A:F,6,0)*100</f>
        <v>119.83424819717901</v>
      </c>
      <c r="C153">
        <f>VLOOKUP(A153,'MBA CA Index'!A:F,3,0)</f>
        <v>702.84722222222217</v>
      </c>
      <c r="D153">
        <f>VLOOKUP(A153,'Purchase Index'!M:T,5,0)</f>
        <v>427.88857924992482</v>
      </c>
      <c r="E153" s="8">
        <f>VLOOKUP(A153,Cello!A:F,3,0)*100</f>
        <v>5.6295828332869755</v>
      </c>
      <c r="M153" s="1">
        <v>38899</v>
      </c>
      <c r="N153" s="8">
        <f t="shared" si="8"/>
        <v>90.168415868899245</v>
      </c>
      <c r="O153" s="8">
        <f t="shared" si="9"/>
        <v>86.655444334225095</v>
      </c>
      <c r="P153" s="8">
        <f t="shared" si="10"/>
        <v>95.048576515398793</v>
      </c>
      <c r="Q153" s="8">
        <f t="shared" si="11"/>
        <v>92.251468256032155</v>
      </c>
      <c r="R153" s="8">
        <f>VLOOKUP(M153,'Tracking Diff'!A:D,4,0)</f>
        <v>0.45021791047120985</v>
      </c>
    </row>
    <row r="154" spans="1:18" x14ac:dyDescent="0.25">
      <c r="A154" s="1">
        <v>38930</v>
      </c>
      <c r="B154" s="8">
        <f>VLOOKUP(A154,HPA2Yr!A:F,6,0)*100</f>
        <v>118.674532312925</v>
      </c>
      <c r="C154">
        <f>VLOOKUP(A154,'MBA CA Index'!A:F,3,0)</f>
        <v>720.875</v>
      </c>
      <c r="D154">
        <f>VLOOKUP(A154,'Purchase Index'!M:T,5,0)</f>
        <v>424.84757723521119</v>
      </c>
      <c r="E154" s="8">
        <f>VLOOKUP(A154,Cello!A:F,3,0)*100</f>
        <v>5.6795361541435243</v>
      </c>
      <c r="M154" s="1">
        <v>38930</v>
      </c>
      <c r="N154" s="8">
        <f t="shared" si="8"/>
        <v>86.916395844135678</v>
      </c>
      <c r="O154" s="8">
        <f t="shared" si="9"/>
        <v>89.256620675143523</v>
      </c>
      <c r="P154" s="8">
        <f t="shared" si="10"/>
        <v>93.929936901822856</v>
      </c>
      <c r="Q154" s="8">
        <f t="shared" si="11"/>
        <v>93.460401472614436</v>
      </c>
      <c r="R154" s="8">
        <f>VLOOKUP(M154,'Tracking Diff'!A:D,4,0)</f>
        <v>0.5025576124190998</v>
      </c>
    </row>
    <row r="155" spans="1:18" x14ac:dyDescent="0.25">
      <c r="A155" s="1">
        <v>38961</v>
      </c>
      <c r="B155" s="8">
        <f>VLOOKUP(A155,HPA2Yr!A:F,6,0)*100</f>
        <v>117.54330708661401</v>
      </c>
      <c r="C155">
        <f>VLOOKUP(A155,'MBA CA Index'!A:F,3,0)</f>
        <v>737.625</v>
      </c>
      <c r="D155">
        <f>VLOOKUP(A155,'Purchase Index'!M:T,5,0)</f>
        <v>421.67305630899949</v>
      </c>
      <c r="E155" s="8">
        <f>VLOOKUP(A155,Cello!A:F,3,0)*100</f>
        <v>5.7357866347209736</v>
      </c>
      <c r="M155" s="1">
        <v>38961</v>
      </c>
      <c r="N155" s="8">
        <f t="shared" si="8"/>
        <v>83.744267964860001</v>
      </c>
      <c r="O155" s="8">
        <f t="shared" si="9"/>
        <v>91.673430125950645</v>
      </c>
      <c r="P155" s="8">
        <f t="shared" si="10"/>
        <v>92.762182048322501</v>
      </c>
      <c r="Q155" s="8">
        <f t="shared" si="11"/>
        <v>94.821733877602668</v>
      </c>
      <c r="R155" s="8">
        <f>VLOOKUP(M155,'Tracking Diff'!A:D,4,0)</f>
        <v>1.5610998532832987</v>
      </c>
    </row>
    <row r="156" spans="1:18" x14ac:dyDescent="0.25">
      <c r="A156" s="1">
        <v>38991</v>
      </c>
      <c r="B156" s="8">
        <f>VLOOKUP(A156,HPA2Yr!A:F,6,0)*100</f>
        <v>117.11024237685601</v>
      </c>
      <c r="C156">
        <f>VLOOKUP(A156,'MBA CA Index'!A:F,3,0)</f>
        <v>753.09722222222217</v>
      </c>
      <c r="D156">
        <f>VLOOKUP(A156,'Purchase Index'!M:T,5,0)</f>
        <v>418.18707752078649</v>
      </c>
      <c r="E156" s="8">
        <f>VLOOKUP(A156,Cello!A:F,3,0)*100</f>
        <v>5.8166228277898488</v>
      </c>
      <c r="M156" s="1">
        <v>38991</v>
      </c>
      <c r="N156" s="8">
        <f t="shared" si="8"/>
        <v>82.529888540319007</v>
      </c>
      <c r="O156" s="8">
        <f t="shared" si="9"/>
        <v>93.905872686646418</v>
      </c>
      <c r="P156" s="8">
        <f t="shared" si="10"/>
        <v>91.479856701047851</v>
      </c>
      <c r="Q156" s="8">
        <f t="shared" si="11"/>
        <v>96.778071458915022</v>
      </c>
      <c r="R156" s="8">
        <f>VLOOKUP(M156,'Tracking Diff'!A:D,4,0)</f>
        <v>0.15070923226280009</v>
      </c>
    </row>
    <row r="157" spans="1:18" x14ac:dyDescent="0.25">
      <c r="A157" s="1">
        <v>39022</v>
      </c>
      <c r="B157" s="8">
        <f>VLOOKUP(A157,HPA2Yr!A:F,6,0)*100</f>
        <v>116.68322981366398</v>
      </c>
      <c r="C157">
        <f>VLOOKUP(A157,'MBA CA Index'!A:F,3,0)</f>
        <v>767.29166666666663</v>
      </c>
      <c r="D157">
        <f>VLOOKUP(A157,'Purchase Index'!M:T,5,0)</f>
        <v>415.14837449825433</v>
      </c>
      <c r="E157" s="8">
        <f>VLOOKUP(A157,Cello!A:F,3,0)*100</f>
        <v>5.8692070208300917</v>
      </c>
      <c r="M157" s="1">
        <v>39022</v>
      </c>
      <c r="N157" s="8">
        <f t="shared" si="8"/>
        <v>81.332480256807116</v>
      </c>
      <c r="O157" s="8">
        <f t="shared" si="9"/>
        <v>95.953948357230871</v>
      </c>
      <c r="P157" s="8">
        <f t="shared" si="10"/>
        <v>90.362062777054845</v>
      </c>
      <c r="Q157" s="8">
        <f t="shared" si="11"/>
        <v>98.050675092536906</v>
      </c>
      <c r="R157" s="8">
        <f>VLOOKUP(M157,'Tracking Diff'!A:D,4,0)</f>
        <v>0.10408526763819914</v>
      </c>
    </row>
    <row r="158" spans="1:18" x14ac:dyDescent="0.25">
      <c r="A158" s="1">
        <v>39052</v>
      </c>
      <c r="B158" s="8">
        <f>VLOOKUP(A158,HPA2Yr!A:F,6,0)*100</f>
        <v>116.262143407864</v>
      </c>
      <c r="C158">
        <f>VLOOKUP(A158,'MBA CA Index'!A:F,3,0)</f>
        <v>780.20833333333337</v>
      </c>
      <c r="D158">
        <f>VLOOKUP(A158,'Purchase Index'!M:T,5,0)</f>
        <v>412.91723001203223</v>
      </c>
      <c r="E158" s="8">
        <f>VLOOKUP(A158,Cello!A:F,3,0)*100</f>
        <v>5.9497534490533575</v>
      </c>
      <c r="M158" s="1">
        <v>39052</v>
      </c>
      <c r="N158" s="8">
        <f t="shared" si="8"/>
        <v>80.151689821485874</v>
      </c>
      <c r="O158" s="8">
        <f t="shared" si="9"/>
        <v>97.817657137704032</v>
      </c>
      <c r="P158" s="8">
        <f t="shared" si="10"/>
        <v>89.541331125505891</v>
      </c>
      <c r="Q158" s="8">
        <f t="shared" si="11"/>
        <v>100</v>
      </c>
      <c r="R158" s="8">
        <f>VLOOKUP(M158,'Tracking Diff'!A:D,4,0)</f>
        <v>0.20729561262070106</v>
      </c>
    </row>
    <row r="159" spans="1:18" x14ac:dyDescent="0.25">
      <c r="A159" s="1">
        <v>39083</v>
      </c>
      <c r="B159" s="8">
        <f>VLOOKUP(A159,HPA2Yr!A:F,6,0)*100</f>
        <v>115.52014364268798</v>
      </c>
      <c r="C159">
        <f>VLOOKUP(A159,'MBA CA Index'!A:F,3,0)</f>
        <v>789.1875</v>
      </c>
      <c r="D159">
        <f>VLOOKUP(A159,'Purchase Index'!M:T,5,0)</f>
        <v>412.53452476522381</v>
      </c>
      <c r="E159" s="8">
        <f>VLOOKUP(A159,Cello!A:F,3,0)*100</f>
        <v>5.9014497992003969</v>
      </c>
      <c r="M159" s="1">
        <v>39083</v>
      </c>
      <c r="N159" s="8">
        <f t="shared" si="8"/>
        <v>78.071009434604363</v>
      </c>
      <c r="O159" s="8">
        <f t="shared" si="9"/>
        <v>99.113235338323264</v>
      </c>
      <c r="P159" s="8">
        <f t="shared" si="10"/>
        <v>89.40055211670159</v>
      </c>
      <c r="Q159" s="8">
        <f t="shared" si="11"/>
        <v>98.830990897339959</v>
      </c>
      <c r="R159" s="8">
        <f>VLOOKUP(M159,'Tracking Diff'!A:D,4,0)</f>
        <v>0.14179529534600022</v>
      </c>
    </row>
    <row r="160" spans="1:18" x14ac:dyDescent="0.25">
      <c r="A160" s="1">
        <v>39114</v>
      </c>
      <c r="B160" s="8">
        <f>VLOOKUP(A160,HPA2Yr!A:F,6,0)*100</f>
        <v>114.78935271902499</v>
      </c>
      <c r="C160">
        <f>VLOOKUP(A160,'MBA CA Index'!A:F,3,0)</f>
        <v>794.22916666666663</v>
      </c>
      <c r="D160">
        <f>VLOOKUP(A160,'Purchase Index'!M:T,5,0)</f>
        <v>410.81426098218145</v>
      </c>
      <c r="E160" s="8">
        <f>VLOOKUP(A160,Cello!A:F,3,0)*100</f>
        <v>5.8563877612835826</v>
      </c>
      <c r="M160" s="1">
        <v>39114</v>
      </c>
      <c r="N160" s="8">
        <f t="shared" si="8"/>
        <v>76.021760347017519</v>
      </c>
      <c r="O160" s="8">
        <f t="shared" si="9"/>
        <v>99.840682959088582</v>
      </c>
      <c r="P160" s="8">
        <f t="shared" si="10"/>
        <v>88.767749111573565</v>
      </c>
      <c r="Q160" s="8">
        <f t="shared" si="11"/>
        <v>97.740432882168776</v>
      </c>
      <c r="R160" s="8">
        <f>VLOOKUP(M160,'Tracking Diff'!A:D,4,0)</f>
        <v>0.48815046365267101</v>
      </c>
    </row>
    <row r="161" spans="1:18" x14ac:dyDescent="0.25">
      <c r="A161" s="1">
        <v>39142</v>
      </c>
      <c r="B161" s="8">
        <f>VLOOKUP(A161,HPA2Yr!A:F,6,0)*100</f>
        <v>114.069518555364</v>
      </c>
      <c r="C161">
        <f>VLOOKUP(A161,'MBA CA Index'!A:F,3,0)</f>
        <v>795.33333333333337</v>
      </c>
      <c r="D161">
        <f>VLOOKUP(A161,'Purchase Index'!M:T,5,0)</f>
        <v>408.52404387924747</v>
      </c>
      <c r="E161" s="8">
        <f>VLOOKUP(A161,Cello!A:F,3,0)*100</f>
        <v>5.804207414049201</v>
      </c>
      <c r="M161" s="1">
        <v>39142</v>
      </c>
      <c r="N161" s="8">
        <f t="shared" si="8"/>
        <v>74.003235683763236</v>
      </c>
      <c r="O161" s="8">
        <f t="shared" si="9"/>
        <v>100</v>
      </c>
      <c r="P161" s="8">
        <f t="shared" si="10"/>
        <v>87.92528746155314</v>
      </c>
      <c r="Q161" s="8">
        <f t="shared" si="11"/>
        <v>96.477602825172255</v>
      </c>
      <c r="R161" s="8">
        <f>VLOOKUP(M161,'Tracking Diff'!A:D,4,0)</f>
        <v>0.51518435720590006</v>
      </c>
    </row>
    <row r="162" spans="1:18" x14ac:dyDescent="0.25">
      <c r="A162" s="1">
        <v>39173</v>
      </c>
      <c r="B162" s="8">
        <f>VLOOKUP(A162,HPA2Yr!A:F,6,0)*100</f>
        <v>112.843407276306</v>
      </c>
      <c r="C162">
        <f>VLOOKUP(A162,'MBA CA Index'!A:F,3,0)</f>
        <v>792.49999999999989</v>
      </c>
      <c r="D162">
        <f>VLOOKUP(A162,'Purchase Index'!M:T,5,0)</f>
        <v>405.89585593055</v>
      </c>
      <c r="E162" s="8">
        <f>VLOOKUP(A162,Cello!A:F,3,0)*100</f>
        <v>5.7679413462338767</v>
      </c>
      <c r="M162" s="1">
        <v>39173</v>
      </c>
      <c r="N162" s="8">
        <f t="shared" si="8"/>
        <v>70.56503285648202</v>
      </c>
      <c r="O162" s="8">
        <f t="shared" si="9"/>
        <v>99.591186461057475</v>
      </c>
      <c r="P162" s="8">
        <f t="shared" si="10"/>
        <v>86.958502455456141</v>
      </c>
      <c r="Q162" s="8">
        <f t="shared" si="11"/>
        <v>95.599918353649826</v>
      </c>
      <c r="R162" s="8">
        <f>VLOOKUP(M162,'Tracking Diff'!A:D,4,0)</f>
        <v>0.90662219185260007</v>
      </c>
    </row>
    <row r="163" spans="1:18" x14ac:dyDescent="0.25">
      <c r="A163" s="1">
        <v>39203</v>
      </c>
      <c r="B163" s="8">
        <f>VLOOKUP(A163,HPA2Yr!A:F,6,0)*100</f>
        <v>111.64287190184301</v>
      </c>
      <c r="C163">
        <f>VLOOKUP(A163,'MBA CA Index'!A:F,3,0)</f>
        <v>785.72916666666663</v>
      </c>
      <c r="D163">
        <f>VLOOKUP(A163,'Purchase Index'!M:T,5,0)</f>
        <v>403.55229722413145</v>
      </c>
      <c r="E163" s="8">
        <f>VLOOKUP(A163,Cello!A:F,3,0)*100</f>
        <v>5.7603602252524757</v>
      </c>
      <c r="M163" s="1">
        <v>39203</v>
      </c>
      <c r="N163" s="8">
        <f t="shared" si="8"/>
        <v>67.198548762231653</v>
      </c>
      <c r="O163" s="8">
        <f t="shared" si="9"/>
        <v>98.614242342261093</v>
      </c>
      <c r="P163" s="8">
        <f t="shared" si="10"/>
        <v>86.096418973414302</v>
      </c>
      <c r="Q163" s="8">
        <f t="shared" si="11"/>
        <v>95.416445687244646</v>
      </c>
      <c r="R163" s="8">
        <f>VLOOKUP(M163,'Tracking Diff'!A:D,4,0)</f>
        <v>0.35189010204210014</v>
      </c>
    </row>
    <row r="164" spans="1:18" x14ac:dyDescent="0.25">
      <c r="A164" s="1">
        <v>39234</v>
      </c>
      <c r="B164" s="8">
        <f>VLOOKUP(A164,HPA2Yr!A:F,6,0)*100</f>
        <v>110.46712044637901</v>
      </c>
      <c r="C164">
        <f>VLOOKUP(A164,'MBA CA Index'!A:F,3,0)</f>
        <v>775.02083333333337</v>
      </c>
      <c r="D164">
        <f>VLOOKUP(A164,'Purchase Index'!M:T,5,0)</f>
        <v>401.34338144876119</v>
      </c>
      <c r="E164" s="8">
        <f>VLOOKUP(A164,Cello!A:F,3,0)*100</f>
        <v>5.7313690054488768</v>
      </c>
      <c r="M164" s="1">
        <v>39234</v>
      </c>
      <c r="N164" s="8">
        <f t="shared" si="8"/>
        <v>63.901562552740067</v>
      </c>
      <c r="O164" s="8">
        <f t="shared" si="9"/>
        <v>97.069167643610783</v>
      </c>
      <c r="P164" s="8">
        <f t="shared" si="10"/>
        <v>85.283864204484075</v>
      </c>
      <c r="Q164" s="8">
        <f t="shared" si="11"/>
        <v>94.714821690904998</v>
      </c>
      <c r="R164" s="8">
        <f>VLOOKUP(M164,'Tracking Diff'!A:D,4,0)</f>
        <v>1.1366003924827996</v>
      </c>
    </row>
    <row r="165" spans="1:18" x14ac:dyDescent="0.25">
      <c r="A165" s="1">
        <v>39264</v>
      </c>
      <c r="B165" s="8">
        <f>VLOOKUP(A165,HPA2Yr!A:F,6,0)*100</f>
        <v>108.96505181971501</v>
      </c>
      <c r="C165">
        <f>VLOOKUP(A165,'MBA CA Index'!A:F,3,0)</f>
        <v>762.40972222222217</v>
      </c>
      <c r="D165">
        <f>VLOOKUP(A165,'Purchase Index'!M:T,5,0)</f>
        <v>398.68973942715138</v>
      </c>
      <c r="E165" s="8">
        <f>VLOOKUP(A165,Cello!A:F,3,0)*100</f>
        <v>5.7059918797987965</v>
      </c>
      <c r="M165" s="1">
        <v>39264</v>
      </c>
      <c r="N165" s="8">
        <f t="shared" si="8"/>
        <v>59.689533280050981</v>
      </c>
      <c r="O165" s="8">
        <f t="shared" si="9"/>
        <v>95.249546597729477</v>
      </c>
      <c r="P165" s="8">
        <f t="shared" si="10"/>
        <v>84.307715858886212</v>
      </c>
      <c r="Q165" s="8">
        <f t="shared" si="11"/>
        <v>94.100663320376128</v>
      </c>
      <c r="R165" s="8">
        <f>VLOOKUP(M165,'Tracking Diff'!A:D,4,0)</f>
        <v>0.76909173796186003</v>
      </c>
    </row>
    <row r="166" spans="1:18" x14ac:dyDescent="0.25">
      <c r="A166" s="1">
        <v>39295</v>
      </c>
      <c r="B166" s="8">
        <f>VLOOKUP(A166,HPA2Yr!A:F,6,0)*100</f>
        <v>107.492578061609</v>
      </c>
      <c r="C166">
        <f>VLOOKUP(A166,'MBA CA Index'!A:F,3,0)</f>
        <v>747.89583333333337</v>
      </c>
      <c r="D166">
        <f>VLOOKUP(A166,'Purchase Index'!M:T,5,0)</f>
        <v>396.52201981928783</v>
      </c>
      <c r="E166" s="8">
        <f>VLOOKUP(A166,Cello!A:F,3,0)*100</f>
        <v>5.6442260407256049</v>
      </c>
      <c r="M166" s="1">
        <v>39295</v>
      </c>
      <c r="N166" s="8">
        <f t="shared" si="8"/>
        <v>55.560492527643049</v>
      </c>
      <c r="O166" s="8">
        <f t="shared" si="9"/>
        <v>93.155379204617191</v>
      </c>
      <c r="P166" s="8">
        <f t="shared" si="10"/>
        <v>83.510315195305978</v>
      </c>
      <c r="Q166" s="8">
        <f t="shared" si="11"/>
        <v>92.605852300302217</v>
      </c>
      <c r="R166" s="8">
        <f>VLOOKUP(M166,'Tracking Diff'!A:D,4,0)</f>
        <v>0.88663368006994858</v>
      </c>
    </row>
    <row r="167" spans="1:18" x14ac:dyDescent="0.25">
      <c r="A167" s="1">
        <v>39326</v>
      </c>
      <c r="B167" s="8">
        <f>VLOOKUP(A167,HPA2Yr!A:F,6,0)*100</f>
        <v>106.04883305447601</v>
      </c>
      <c r="C167">
        <f>VLOOKUP(A167,'MBA CA Index'!A:F,3,0)</f>
        <v>731.47916666666663</v>
      </c>
      <c r="D167">
        <f>VLOOKUP(A167,'Purchase Index'!M:T,5,0)</f>
        <v>393.87891088572587</v>
      </c>
      <c r="E167" s="8">
        <f>VLOOKUP(A167,Cello!A:F,3,0)*100</f>
        <v>5.6319603231566839</v>
      </c>
      <c r="M167" s="1">
        <v>39326</v>
      </c>
      <c r="N167" s="8">
        <f t="shared" si="8"/>
        <v>51.512011569853108</v>
      </c>
      <c r="O167" s="8">
        <f t="shared" si="9"/>
        <v>90.786665464273895</v>
      </c>
      <c r="P167" s="8">
        <f t="shared" si="10"/>
        <v>82.538041470470148</v>
      </c>
      <c r="Q167" s="8">
        <f t="shared" si="11"/>
        <v>92.309006502264722</v>
      </c>
      <c r="R167" s="8">
        <f>VLOOKUP(M167,'Tracking Diff'!A:D,4,0)</f>
        <v>0.23108987216436017</v>
      </c>
    </row>
    <row r="168" spans="1:18" x14ac:dyDescent="0.25">
      <c r="A168" s="1">
        <v>39356</v>
      </c>
      <c r="B168" s="8">
        <f>VLOOKUP(A168,HPA2Yr!A:F,6,0)*100</f>
        <v>105.15452310810001</v>
      </c>
      <c r="C168">
        <f>VLOOKUP(A168,'MBA CA Index'!A:F,3,0)</f>
        <v>713.15972222222217</v>
      </c>
      <c r="D168">
        <f>VLOOKUP(A168,'Purchase Index'!M:T,5,0)</f>
        <v>391.72195974903548</v>
      </c>
      <c r="E168" s="8">
        <f>VLOOKUP(A168,Cello!A:F,3,0)*100</f>
        <v>5.6352229541923347</v>
      </c>
      <c r="M168" s="1">
        <v>39356</v>
      </c>
      <c r="N168" s="8">
        <f t="shared" si="8"/>
        <v>49.004230230089249</v>
      </c>
      <c r="O168" s="8">
        <f t="shared" si="9"/>
        <v>88.143405376699619</v>
      </c>
      <c r="P168" s="8">
        <f t="shared" si="10"/>
        <v>81.744602013878165</v>
      </c>
      <c r="Q168" s="8">
        <f t="shared" si="11"/>
        <v>92.387966278408072</v>
      </c>
      <c r="R168" s="8">
        <f>VLOOKUP(M168,'Tracking Diff'!A:D,4,0)</f>
        <v>0.55976280758270924</v>
      </c>
    </row>
    <row r="169" spans="1:18" x14ac:dyDescent="0.25">
      <c r="A169" s="1">
        <v>39387</v>
      </c>
      <c r="B169" s="8">
        <f>VLOOKUP(A169,HPA2Yr!A:F,6,0)*100</f>
        <v>104.273488354767</v>
      </c>
      <c r="C169">
        <f>VLOOKUP(A169,'MBA CA Index'!A:F,3,0)</f>
        <v>692.9375</v>
      </c>
      <c r="D169">
        <f>VLOOKUP(A169,'Purchase Index'!M:T,5,0)</f>
        <v>389.75002022463013</v>
      </c>
      <c r="E169" s="8">
        <f>VLOOKUP(A169,Cello!A:F,3,0)*100</f>
        <v>5.6311905415065011</v>
      </c>
      <c r="M169" s="1">
        <v>39387</v>
      </c>
      <c r="N169" s="8">
        <f t="shared" si="8"/>
        <v>46.533674554123337</v>
      </c>
      <c r="O169" s="8">
        <f t="shared" si="9"/>
        <v>85.225598941894361</v>
      </c>
      <c r="P169" s="8">
        <f t="shared" si="10"/>
        <v>81.019219506105088</v>
      </c>
      <c r="Q169" s="8">
        <f t="shared" si="11"/>
        <v>92.290376817782004</v>
      </c>
      <c r="R169" s="8">
        <f>VLOOKUP(M169,'Tracking Diff'!A:D,4,0)</f>
        <v>0.26408572514600959</v>
      </c>
    </row>
    <row r="170" spans="1:18" x14ac:dyDescent="0.25">
      <c r="A170" s="1">
        <v>39417</v>
      </c>
      <c r="B170" s="8">
        <f>VLOOKUP(A170,HPA2Yr!A:F,6,0)*100</f>
        <v>103.405435385468</v>
      </c>
      <c r="C170">
        <f>VLOOKUP(A170,'MBA CA Index'!A:F,3,0)</f>
        <v>670.8125</v>
      </c>
      <c r="D170">
        <f>VLOOKUP(A170,'Purchase Index'!M:T,5,0)</f>
        <v>387.90839892516851</v>
      </c>
      <c r="E170" s="8">
        <f>VLOOKUP(A170,Cello!A:F,3,0)*100</f>
        <v>5.6438454000434488</v>
      </c>
      <c r="M170" s="1">
        <v>39417</v>
      </c>
      <c r="N170" s="8">
        <f t="shared" si="8"/>
        <v>44.099521778392706</v>
      </c>
      <c r="O170" s="8">
        <f t="shared" si="9"/>
        <v>82.033246159858109</v>
      </c>
      <c r="P170" s="8">
        <f t="shared" si="10"/>
        <v>80.341774858316199</v>
      </c>
      <c r="Q170" s="8">
        <f t="shared" si="11"/>
        <v>92.596640316867479</v>
      </c>
      <c r="R170" s="8">
        <f>VLOOKUP(M170,'Tracking Diff'!A:D,4,0)</f>
        <v>0.84749342897463986</v>
      </c>
    </row>
    <row r="171" spans="1:18" x14ac:dyDescent="0.25">
      <c r="A171" s="1">
        <v>39448</v>
      </c>
      <c r="B171" s="8">
        <f>VLOOKUP(A171,HPA2Yr!A:F,6,0)*100</f>
        <v>102.616867115377</v>
      </c>
      <c r="C171">
        <f>VLOOKUP(A171,'MBA CA Index'!A:F,3,0)</f>
        <v>647.14583333333337</v>
      </c>
      <c r="D171">
        <f>VLOOKUP(A171,'Purchase Index'!M:T,5,0)</f>
        <v>386.46747324230097</v>
      </c>
      <c r="E171" s="8">
        <f>VLOOKUP(A171,Cello!A:F,3,0)*100</f>
        <v>5.5948824274382742</v>
      </c>
      <c r="M171" s="1">
        <v>39448</v>
      </c>
      <c r="N171" s="8">
        <f t="shared" si="8"/>
        <v>41.888256208913468</v>
      </c>
      <c r="O171" s="8">
        <f t="shared" si="9"/>
        <v>78.618450716926674</v>
      </c>
      <c r="P171" s="8">
        <f t="shared" si="10"/>
        <v>79.811727018401697</v>
      </c>
      <c r="Q171" s="8">
        <f t="shared" si="11"/>
        <v>91.411674774036229</v>
      </c>
      <c r="R171" s="8">
        <f>VLOOKUP(M171,'Tracking Diff'!A:D,4,0)</f>
        <v>0.14056845253183958</v>
      </c>
    </row>
    <row r="172" spans="1:18" x14ac:dyDescent="0.25">
      <c r="A172" s="1">
        <v>39479</v>
      </c>
      <c r="B172" s="8">
        <f>VLOOKUP(A172,HPA2Yr!A:F,6,0)*100</f>
        <v>101.83660776350901</v>
      </c>
      <c r="C172">
        <f>VLOOKUP(A172,'MBA CA Index'!A:F,3,0)</f>
        <v>621.9375</v>
      </c>
      <c r="D172">
        <f>VLOOKUP(A172,'Purchase Index'!M:T,5,0)</f>
        <v>385.22193503880243</v>
      </c>
      <c r="E172" s="8">
        <f>VLOOKUP(A172,Cello!A:F,3,0)*100</f>
        <v>5.5301873866497964</v>
      </c>
      <c r="M172" s="1">
        <v>39479</v>
      </c>
      <c r="N172" s="8">
        <f t="shared" si="8"/>
        <v>39.700290112013839</v>
      </c>
      <c r="O172" s="8">
        <f t="shared" si="9"/>
        <v>74.98121261310007</v>
      </c>
      <c r="P172" s="8">
        <f t="shared" si="10"/>
        <v>79.35355291397353</v>
      </c>
      <c r="Q172" s="8">
        <f t="shared" si="11"/>
        <v>89.845973386896475</v>
      </c>
      <c r="R172" s="8">
        <f>VLOOKUP(M172,'Tracking Diff'!A:D,4,0)</f>
        <v>0.2868915369190006</v>
      </c>
    </row>
    <row r="173" spans="1:18" x14ac:dyDescent="0.25">
      <c r="A173" s="1">
        <v>39508</v>
      </c>
      <c r="B173" s="8">
        <f>VLOOKUP(A173,HPA2Yr!A:F,6,0)*100</f>
        <v>101.06452669505398</v>
      </c>
      <c r="C173">
        <f>VLOOKUP(A173,'MBA CA Index'!A:F,3,0)</f>
        <v>595.1875</v>
      </c>
      <c r="D173">
        <f>VLOOKUP(A173,'Purchase Index'!M:T,5,0)</f>
        <v>383.78035375314784</v>
      </c>
      <c r="E173" s="8">
        <f>VLOOKUP(A173,Cello!A:F,3,0)*100</f>
        <v>5.4705841583464894</v>
      </c>
      <c r="M173" s="1">
        <v>39508</v>
      </c>
      <c r="N173" s="8">
        <f t="shared" si="8"/>
        <v>37.535257167784003</v>
      </c>
      <c r="O173" s="8">
        <f t="shared" si="9"/>
        <v>71.121531848378268</v>
      </c>
      <c r="P173" s="8">
        <f t="shared" si="10"/>
        <v>78.823263909059861</v>
      </c>
      <c r="Q173" s="8">
        <f t="shared" si="11"/>
        <v>88.403500268475995</v>
      </c>
      <c r="R173" s="8">
        <f>VLOOKUP(M173,'Tracking Diff'!A:D,4,0)</f>
        <v>2.6971329033157989</v>
      </c>
    </row>
    <row r="174" spans="1:18" x14ac:dyDescent="0.25">
      <c r="A174" s="1">
        <v>39539</v>
      </c>
      <c r="B174" s="8">
        <f>VLOOKUP(A174,HPA2Yr!A:F,6,0)*100</f>
        <v>99.8884667349772</v>
      </c>
      <c r="C174">
        <f>VLOOKUP(A174,'MBA CA Index'!A:F,3,0)</f>
        <v>566.89583333333337</v>
      </c>
      <c r="D174">
        <f>VLOOKUP(A174,'Purchase Index'!M:T,5,0)</f>
        <v>381.88708653217736</v>
      </c>
      <c r="E174" s="8">
        <f>VLOOKUP(A174,Cello!A:F,3,0)*100</f>
        <v>5.3860452143266411</v>
      </c>
      <c r="M174" s="1">
        <v>39539</v>
      </c>
      <c r="N174" s="8">
        <f t="shared" si="8"/>
        <v>34.237405864356795</v>
      </c>
      <c r="O174" s="8">
        <f t="shared" si="9"/>
        <v>67.039408422761298</v>
      </c>
      <c r="P174" s="8">
        <f t="shared" si="10"/>
        <v>78.126821189780088</v>
      </c>
      <c r="Q174" s="8">
        <f t="shared" si="11"/>
        <v>86.357551455305455</v>
      </c>
      <c r="R174" s="8">
        <f>VLOOKUP(M174,'Tracking Diff'!A:D,4,0)</f>
        <v>2.0475074657096997</v>
      </c>
    </row>
    <row r="175" spans="1:18" x14ac:dyDescent="0.25">
      <c r="A175" s="1">
        <v>39569</v>
      </c>
      <c r="B175" s="8">
        <f>VLOOKUP(A175,HPA2Yr!A:F,6,0)*100</f>
        <v>98.720335460082993</v>
      </c>
      <c r="C175">
        <f>VLOOKUP(A175,'MBA CA Index'!A:F,3,0)</f>
        <v>537.0625</v>
      </c>
      <c r="D175">
        <f>VLOOKUP(A175,'Purchase Index'!M:T,5,0)</f>
        <v>379.885477177685</v>
      </c>
      <c r="E175" s="8">
        <f>VLOOKUP(A175,Cello!A:F,3,0)*100</f>
        <v>5.297984728361687</v>
      </c>
      <c r="M175" s="1">
        <v>39569</v>
      </c>
      <c r="N175" s="8">
        <f t="shared" si="8"/>
        <v>30.961787802134499</v>
      </c>
      <c r="O175" s="8">
        <f t="shared" si="9"/>
        <v>62.734842336249145</v>
      </c>
      <c r="P175" s="8">
        <f t="shared" si="10"/>
        <v>77.390524566494179</v>
      </c>
      <c r="Q175" s="8">
        <f t="shared" si="11"/>
        <v>84.226376896217985</v>
      </c>
      <c r="R175" s="8">
        <f>VLOOKUP(M175,'Tracking Diff'!A:D,4,0)</f>
        <v>0.99586381758130038</v>
      </c>
    </row>
    <row r="176" spans="1:18" x14ac:dyDescent="0.25">
      <c r="A176" s="1">
        <v>39600</v>
      </c>
      <c r="B176" s="8">
        <f>VLOOKUP(A176,HPA2Yr!A:F,6,0)*100</f>
        <v>97.560052960090701</v>
      </c>
      <c r="C176">
        <f>VLOOKUP(A176,'MBA CA Index'!A:F,3,0)</f>
        <v>505.6875</v>
      </c>
      <c r="D176">
        <f>VLOOKUP(A176,'Purchase Index'!M:T,5,0)</f>
        <v>377.75978090355414</v>
      </c>
      <c r="E176" s="8">
        <f>VLOOKUP(A176,Cello!A:F,3,0)*100</f>
        <v>5.2017610814466932</v>
      </c>
      <c r="M176" s="1">
        <v>39600</v>
      </c>
      <c r="N176" s="8">
        <f t="shared" si="8"/>
        <v>27.708178900515634</v>
      </c>
      <c r="O176" s="8">
        <f t="shared" si="9"/>
        <v>58.207833588841794</v>
      </c>
      <c r="P176" s="8">
        <f t="shared" si="10"/>
        <v>76.608582283270309</v>
      </c>
      <c r="Q176" s="8">
        <f t="shared" si="11"/>
        <v>81.897643571154759</v>
      </c>
      <c r="R176" s="8">
        <f>VLOOKUP(M176,'Tracking Diff'!A:D,4,0)</f>
        <v>2.4185503853823702</v>
      </c>
    </row>
    <row r="177" spans="1:18" x14ac:dyDescent="0.25">
      <c r="A177" s="1">
        <v>39630</v>
      </c>
      <c r="B177" s="8">
        <f>VLOOKUP(A177,HPA2Yr!A:F,6,0)*100</f>
        <v>96.275305825504603</v>
      </c>
      <c r="C177">
        <f>VLOOKUP(A177,'MBA CA Index'!A:F,3,0)</f>
        <v>475.08333333333343</v>
      </c>
      <c r="D177">
        <f>VLOOKUP(A177,'Purchase Index'!M:T,5,0)</f>
        <v>375.56532968932561</v>
      </c>
      <c r="E177" s="8">
        <f>VLOOKUP(A177,Cello!A:F,3,0)*100</f>
        <v>5.0785628903780458</v>
      </c>
      <c r="M177" s="1">
        <v>39630</v>
      </c>
      <c r="N177" s="8">
        <f t="shared" si="8"/>
        <v>24.105552201029575</v>
      </c>
      <c r="O177" s="8">
        <f t="shared" si="9"/>
        <v>53.792046171882056</v>
      </c>
      <c r="P177" s="8">
        <f t="shared" si="10"/>
        <v>75.80134833655849</v>
      </c>
      <c r="Q177" s="8">
        <f t="shared" si="11"/>
        <v>78.91609233788553</v>
      </c>
      <c r="R177" s="8">
        <f>VLOOKUP(M177,'Tracking Diff'!A:D,4,0)</f>
        <v>0.52843088143227046</v>
      </c>
    </row>
    <row r="178" spans="1:18" x14ac:dyDescent="0.25">
      <c r="A178" s="1">
        <v>39661</v>
      </c>
      <c r="B178" s="8">
        <f>VLOOKUP(A178,HPA2Yr!A:F,6,0)*100</f>
        <v>94.997716056570297</v>
      </c>
      <c r="C178">
        <f>VLOOKUP(A178,'MBA CA Index'!A:F,3,0)</f>
        <v>445.25</v>
      </c>
      <c r="D178">
        <f>VLOOKUP(A178,'Purchase Index'!M:T,5,0)</f>
        <v>373.11674870169287</v>
      </c>
      <c r="E178" s="8">
        <f>VLOOKUP(A178,Cello!A:F,3,0)*100</f>
        <v>4.9395095584556765</v>
      </c>
      <c r="M178" s="1">
        <v>39661</v>
      </c>
      <c r="N178" s="8">
        <f t="shared" si="8"/>
        <v>20.522995845271851</v>
      </c>
      <c r="O178" s="8">
        <f t="shared" si="9"/>
        <v>49.487480085369889</v>
      </c>
      <c r="P178" s="8">
        <f t="shared" si="10"/>
        <v>74.900632165848279</v>
      </c>
      <c r="Q178" s="8">
        <f t="shared" si="11"/>
        <v>75.550826746832143</v>
      </c>
      <c r="R178" s="8">
        <f>VLOOKUP(M178,'Tracking Diff'!A:D,4,0)</f>
        <v>0.84071655614808982</v>
      </c>
    </row>
    <row r="179" spans="1:18" x14ac:dyDescent="0.25">
      <c r="A179" s="1">
        <v>39692</v>
      </c>
      <c r="B179" s="8">
        <f>VLOOKUP(A179,HPA2Yr!A:F,6,0)*100</f>
        <v>93.727224008574396</v>
      </c>
      <c r="C179">
        <f>VLOOKUP(A179,'MBA CA Index'!A:F,3,0)</f>
        <v>416.1875</v>
      </c>
      <c r="D179">
        <f>VLOOKUP(A179,'Purchase Index'!M:T,5,0)</f>
        <v>371.27161831894858</v>
      </c>
      <c r="E179" s="8">
        <f>VLOOKUP(A179,Cello!A:F,3,0)*100</f>
        <v>4.7766816580675</v>
      </c>
      <c r="M179" s="1">
        <v>39692</v>
      </c>
      <c r="N179" s="8">
        <f t="shared" si="8"/>
        <v>16.960342580379109</v>
      </c>
      <c r="O179" s="8">
        <f t="shared" si="9"/>
        <v>45.29413532930532</v>
      </c>
      <c r="P179" s="8">
        <f t="shared" si="10"/>
        <v>74.221896693670487</v>
      </c>
      <c r="Q179" s="8">
        <f t="shared" si="11"/>
        <v>71.61018668546555</v>
      </c>
      <c r="R179" s="8">
        <f>VLOOKUP(M179,'Tracking Diff'!A:D,4,0)</f>
        <v>0.11304173893501002</v>
      </c>
    </row>
    <row r="180" spans="1:18" x14ac:dyDescent="0.25">
      <c r="A180" s="1">
        <v>39722</v>
      </c>
      <c r="B180" s="8">
        <f>VLOOKUP(A180,HPA2Yr!A:F,6,0)*100</f>
        <v>93.132332781427593</v>
      </c>
      <c r="C180">
        <f>VLOOKUP(A180,'MBA CA Index'!A:F,3,0)</f>
        <v>387.89583333333331</v>
      </c>
      <c r="D180">
        <f>VLOOKUP(A180,'Purchase Index'!M:T,5,0)</f>
        <v>367.83799349522656</v>
      </c>
      <c r="E180" s="8">
        <f>VLOOKUP(A180,Cello!A:F,3,0)*100</f>
        <v>4.5987369992685663</v>
      </c>
      <c r="M180" s="1">
        <v>39722</v>
      </c>
      <c r="N180" s="8">
        <f t="shared" si="8"/>
        <v>15.292176946447142</v>
      </c>
      <c r="O180" s="8">
        <f t="shared" si="9"/>
        <v>41.212011903688342</v>
      </c>
      <c r="P180" s="8">
        <f t="shared" si="10"/>
        <v>72.958829873132743</v>
      </c>
      <c r="Q180" s="8">
        <f t="shared" si="11"/>
        <v>67.303702050476005</v>
      </c>
      <c r="R180" s="8">
        <f>VLOOKUP(M180,'Tracking Diff'!A:D,4,0)</f>
        <v>0.87400088380772978</v>
      </c>
    </row>
    <row r="181" spans="1:18" x14ac:dyDescent="0.25">
      <c r="A181" s="1">
        <v>39753</v>
      </c>
      <c r="B181" s="8">
        <f>VLOOKUP(A181,HPA2Yr!A:F,6,0)*100</f>
        <v>92.541431562511107</v>
      </c>
      <c r="C181">
        <f>VLOOKUP(A181,'MBA CA Index'!A:F,3,0)</f>
        <v>360.375</v>
      </c>
      <c r="D181">
        <f>VLOOKUP(A181,'Purchase Index'!M:T,5,0)</f>
        <v>363.26220892362767</v>
      </c>
      <c r="E181" s="8">
        <f>VLOOKUP(A181,Cello!A:F,3,0)*100</f>
        <v>4.4634223415112011</v>
      </c>
      <c r="M181" s="1">
        <v>39753</v>
      </c>
      <c r="N181" s="8">
        <f t="shared" si="8"/>
        <v>13.635199903479684</v>
      </c>
      <c r="O181" s="8">
        <f t="shared" si="9"/>
        <v>37.241109808518956</v>
      </c>
      <c r="P181" s="8">
        <f t="shared" si="10"/>
        <v>71.275616951795001</v>
      </c>
      <c r="Q181" s="8">
        <f t="shared" si="11"/>
        <v>64.028917078259383</v>
      </c>
      <c r="R181" s="8">
        <f>VLOOKUP(M181,'Tracking Diff'!A:D,4,0)</f>
        <v>1.4388230185984501</v>
      </c>
    </row>
    <row r="182" spans="1:18" x14ac:dyDescent="0.25">
      <c r="A182" s="1">
        <v>39783</v>
      </c>
      <c r="B182" s="8">
        <f>VLOOKUP(A182,HPA2Yr!A:F,6,0)*100</f>
        <v>91.954480343784795</v>
      </c>
      <c r="C182">
        <f>VLOOKUP(A182,'MBA CA Index'!A:F,3,0)</f>
        <v>333.625</v>
      </c>
      <c r="D182">
        <f>VLOOKUP(A182,'Purchase Index'!M:T,5,0)</f>
        <v>358.61149400284836</v>
      </c>
      <c r="E182" s="8">
        <f>VLOOKUP(A182,Cello!A:F,3,0)*100</f>
        <v>4.2831976465565349</v>
      </c>
      <c r="M182" s="1">
        <v>39783</v>
      </c>
      <c r="N182" s="8">
        <f t="shared" si="8"/>
        <v>11.989299262836857</v>
      </c>
      <c r="O182" s="8">
        <f t="shared" si="9"/>
        <v>33.381429043797162</v>
      </c>
      <c r="P182" s="8">
        <f t="shared" si="10"/>
        <v>69.564840728477577</v>
      </c>
      <c r="Q182" s="8">
        <f t="shared" si="11"/>
        <v>59.667252699532902</v>
      </c>
      <c r="R182" s="8">
        <f>VLOOKUP(M182,'Tracking Diff'!A:D,4,0)</f>
        <v>0.20675555628228892</v>
      </c>
    </row>
    <row r="183" spans="1:18" x14ac:dyDescent="0.25">
      <c r="A183" s="1">
        <v>39814</v>
      </c>
      <c r="B183" s="8">
        <f>VLOOKUP(A183,HPA2Yr!A:F,6,0)*100</f>
        <v>92.067753501598403</v>
      </c>
      <c r="C183">
        <f>VLOOKUP(A183,'MBA CA Index'!A:F,3,0)</f>
        <v>308.40972222222229</v>
      </c>
      <c r="D183">
        <f>VLOOKUP(A183,'Purchase Index'!M:T,5,0)</f>
        <v>353.50556901629596</v>
      </c>
      <c r="E183" s="8">
        <f>VLOOKUP(A183,Cello!A:F,3,0)*100</f>
        <v>4.2131411268574608</v>
      </c>
      <c r="M183" s="1">
        <v>39814</v>
      </c>
      <c r="N183" s="8">
        <f t="shared" si="8"/>
        <v>12.306934454765791</v>
      </c>
      <c r="O183" s="8">
        <f t="shared" si="9"/>
        <v>29.743188946002558</v>
      </c>
      <c r="P183" s="8">
        <f t="shared" si="10"/>
        <v>67.686614431267259</v>
      </c>
      <c r="Q183" s="8">
        <f t="shared" si="11"/>
        <v>57.971796776881099</v>
      </c>
      <c r="R183" s="8">
        <f>VLOOKUP(M183,'Tracking Diff'!A:D,4,0)</f>
        <v>13.729025533946398</v>
      </c>
    </row>
    <row r="184" spans="1:18" x14ac:dyDescent="0.25">
      <c r="A184" s="1">
        <v>39845</v>
      </c>
      <c r="B184" s="8">
        <f>VLOOKUP(A184,HPA2Yr!A:F,6,0)*100</f>
        <v>92.180746908462197</v>
      </c>
      <c r="C184">
        <f>VLOOKUP(A184,'MBA CA Index'!A:F,3,0)</f>
        <v>284.72916666666669</v>
      </c>
      <c r="D184">
        <f>VLOOKUP(A184,'Purchase Index'!M:T,5,0)</f>
        <v>347.59474757072979</v>
      </c>
      <c r="E184" s="8">
        <f>VLOOKUP(A184,Cello!A:F,3,0)*100</f>
        <v>4.1563268010294001</v>
      </c>
      <c r="M184" s="1">
        <v>39845</v>
      </c>
      <c r="N184" s="8">
        <f t="shared" si="8"/>
        <v>12.62378518241076</v>
      </c>
      <c r="O184" s="8">
        <f t="shared" si="9"/>
        <v>26.326389515135123</v>
      </c>
      <c r="P184" s="8">
        <f t="shared" si="10"/>
        <v>65.512305112893728</v>
      </c>
      <c r="Q184" s="8">
        <f t="shared" si="11"/>
        <v>56.596818607391377</v>
      </c>
      <c r="R184" s="8">
        <f>VLOOKUP(M184,'Tracking Diff'!A:D,4,0)</f>
        <v>24.283720039622104</v>
      </c>
    </row>
    <row r="185" spans="1:18" x14ac:dyDescent="0.25">
      <c r="A185" s="1">
        <v>39873</v>
      </c>
      <c r="B185" s="8">
        <f>VLOOKUP(A185,HPA2Yr!A:F,6,0)*100</f>
        <v>92.293461599450197</v>
      </c>
      <c r="C185">
        <f>VLOOKUP(A185,'MBA CA Index'!A:F,3,0)</f>
        <v>262.58333333333331</v>
      </c>
      <c r="D185">
        <f>VLOOKUP(A185,'Purchase Index'!M:T,5,0)</f>
        <v>341.86741513800229</v>
      </c>
      <c r="E185" s="8">
        <f>VLOOKUP(A185,Cello!A:F,3,0)*100</f>
        <v>4.0812613175581802</v>
      </c>
      <c r="M185" s="1">
        <v>39873</v>
      </c>
      <c r="N185" s="8">
        <f t="shared" si="8"/>
        <v>12.939854348277017</v>
      </c>
      <c r="O185" s="8">
        <f t="shared" si="9"/>
        <v>23.131030751194878</v>
      </c>
      <c r="P185" s="8">
        <f t="shared" si="10"/>
        <v>63.405492651616683</v>
      </c>
      <c r="Q185" s="8">
        <f t="shared" si="11"/>
        <v>54.780139459116725</v>
      </c>
      <c r="R185" s="8">
        <f>VLOOKUP(M185,'Tracking Diff'!A:D,4,0)</f>
        <v>15.1579815264726</v>
      </c>
    </row>
    <row r="186" spans="1:18" x14ac:dyDescent="0.25">
      <c r="A186" s="1">
        <v>39904</v>
      </c>
      <c r="B186" s="8">
        <f>VLOOKUP(A186,HPA2Yr!A:F,6,0)*100</f>
        <v>91.497048198079298</v>
      </c>
      <c r="C186">
        <f>VLOOKUP(A186,'MBA CA Index'!A:F,3,0)</f>
        <v>241.97222222222226</v>
      </c>
      <c r="D186">
        <f>VLOOKUP(A186,'Purchase Index'!M:T,5,0)</f>
        <v>336.20958060479342</v>
      </c>
      <c r="E186" s="8">
        <f>VLOOKUP(A186,Cello!A:F,3,0)*100</f>
        <v>3.9794059344018686</v>
      </c>
      <c r="M186" s="1">
        <v>39904</v>
      </c>
      <c r="N186" s="8">
        <f t="shared" si="8"/>
        <v>10.706589835465584</v>
      </c>
      <c r="O186" s="8">
        <f t="shared" si="9"/>
        <v>20.157112654181823</v>
      </c>
      <c r="P186" s="8">
        <f t="shared" si="10"/>
        <v>61.324245153166267</v>
      </c>
      <c r="Q186" s="8">
        <f t="shared" si="11"/>
        <v>52.315111031097075</v>
      </c>
      <c r="R186" s="8">
        <f>VLOOKUP(M186,'Tracking Diff'!A:D,4,0)</f>
        <v>22.539888238110201</v>
      </c>
    </row>
    <row r="187" spans="1:18" x14ac:dyDescent="0.25">
      <c r="A187" s="1">
        <v>39934</v>
      </c>
      <c r="B187" s="8">
        <f>VLOOKUP(A187,HPA2Yr!A:F,6,0)*100</f>
        <v>90.700297886591599</v>
      </c>
      <c r="C187">
        <f>VLOOKUP(A187,'MBA CA Index'!A:F,3,0)</f>
        <v>222.89583333333334</v>
      </c>
      <c r="D187">
        <f>VLOOKUP(A187,'Purchase Index'!M:T,5,0)</f>
        <v>329.51820529454585</v>
      </c>
      <c r="E187" s="8">
        <f>VLOOKUP(A187,Cello!A:F,3,0)*100</f>
        <v>3.8836163946385955</v>
      </c>
      <c r="M187" s="1">
        <v>39934</v>
      </c>
      <c r="N187" s="8">
        <f t="shared" si="8"/>
        <v>8.4723805753576311</v>
      </c>
      <c r="O187" s="8">
        <f t="shared" si="9"/>
        <v>17.404635224095951</v>
      </c>
      <c r="P187" s="8">
        <f t="shared" si="10"/>
        <v>58.862807293168061</v>
      </c>
      <c r="Q187" s="8">
        <f t="shared" si="11"/>
        <v>49.996883645304209</v>
      </c>
      <c r="R187" s="8">
        <f>VLOOKUP(M187,'Tracking Diff'!A:D,4,0)</f>
        <v>30.661568428330597</v>
      </c>
    </row>
    <row r="188" spans="1:18" x14ac:dyDescent="0.25">
      <c r="A188" s="1">
        <v>39965</v>
      </c>
      <c r="B188" s="8">
        <f>VLOOKUP(A188,HPA2Yr!A:F,6,0)*100</f>
        <v>89.903210451155601</v>
      </c>
      <c r="C188">
        <f>VLOOKUP(A188,'MBA CA Index'!A:F,3,0)</f>
        <v>205.35416666666666</v>
      </c>
      <c r="D188">
        <f>VLOOKUP(A188,'Purchase Index'!M:T,5,0)</f>
        <v>322.79611081265506</v>
      </c>
      <c r="E188" s="8">
        <f>VLOOKUP(A188,Cello!A:F,3,0)*100</f>
        <v>3.7713784201250542</v>
      </c>
      <c r="M188" s="1">
        <v>39965</v>
      </c>
      <c r="N188" s="8">
        <f t="shared" si="8"/>
        <v>6.2372259683370608</v>
      </c>
      <c r="O188" s="8">
        <f t="shared" si="9"/>
        <v>14.873598460937265</v>
      </c>
      <c r="P188" s="8">
        <f t="shared" si="10"/>
        <v>56.390069314942359</v>
      </c>
      <c r="Q188" s="8">
        <f t="shared" si="11"/>
        <v>47.280583442941463</v>
      </c>
      <c r="R188" s="8">
        <f>VLOOKUP(M188,'Tracking Diff'!A:D,4,0)</f>
        <v>25.494760117404404</v>
      </c>
    </row>
    <row r="189" spans="1:18" x14ac:dyDescent="0.25">
      <c r="A189" s="1">
        <v>39995</v>
      </c>
      <c r="B189" s="8">
        <f>VLOOKUP(A189,HPA2Yr!A:F,6,0)*100</f>
        <v>89.441180634201501</v>
      </c>
      <c r="C189">
        <f>VLOOKUP(A189,'MBA CA Index'!A:F,3,0)</f>
        <v>189.1875</v>
      </c>
      <c r="D189">
        <f>VLOOKUP(A189,'Purchase Index'!M:T,5,0)</f>
        <v>316.24639401806758</v>
      </c>
      <c r="E189" s="8">
        <f>VLOOKUP(A189,Cello!A:F,3,0)*100</f>
        <v>3.6452832459389803</v>
      </c>
      <c r="M189" s="1">
        <v>39995</v>
      </c>
      <c r="N189" s="8">
        <f t="shared" si="8"/>
        <v>4.9416239703191787</v>
      </c>
      <c r="O189" s="8">
        <f t="shared" si="9"/>
        <v>12.54095650344185</v>
      </c>
      <c r="P189" s="8">
        <f t="shared" si="10"/>
        <v>53.980740867056021</v>
      </c>
      <c r="Q189" s="8">
        <f t="shared" si="11"/>
        <v>44.228921573212382</v>
      </c>
      <c r="R189" s="8">
        <f>VLOOKUP(M189,'Tracking Diff'!A:D,4,0)</f>
        <v>1.111059538614402</v>
      </c>
    </row>
    <row r="190" spans="1:18" x14ac:dyDescent="0.25">
      <c r="A190" s="1">
        <v>40026</v>
      </c>
      <c r="B190" s="8">
        <f>VLOOKUP(A190,HPA2Yr!A:F,6,0)*100</f>
        <v>88.975720654316802</v>
      </c>
      <c r="C190">
        <f>VLOOKUP(A190,'MBA CA Index'!A:F,3,0)</f>
        <v>174.39583333333334</v>
      </c>
      <c r="D190">
        <f>VLOOKUP(A190,'Purchase Index'!M:T,5,0)</f>
        <v>309.84347675124189</v>
      </c>
      <c r="E190" s="8">
        <f>VLOOKUP(A190,Cello!A:F,3,0)*100</f>
        <v>3.5385694422232294</v>
      </c>
      <c r="M190" s="1">
        <v>40026</v>
      </c>
      <c r="N190" s="8">
        <f t="shared" si="8"/>
        <v>3.6364032728508846</v>
      </c>
      <c r="O190" s="8">
        <f t="shared" si="9"/>
        <v>10.406709351609706</v>
      </c>
      <c r="P190" s="8">
        <f t="shared" si="10"/>
        <v>51.625412964455109</v>
      </c>
      <c r="Q190" s="8">
        <f t="shared" si="11"/>
        <v>41.646313254732611</v>
      </c>
      <c r="R190" s="8">
        <f>VLOOKUP(M190,'Tracking Diff'!A:D,4,0)</f>
        <v>13.070390042862298</v>
      </c>
    </row>
    <row r="191" spans="1:18" x14ac:dyDescent="0.25">
      <c r="A191" s="1">
        <v>40057</v>
      </c>
      <c r="B191" s="8">
        <f>VLOOKUP(A191,HPA2Yr!A:F,6,0)*100</f>
        <v>88.506792170285493</v>
      </c>
      <c r="C191">
        <f>VLOOKUP(A191,'MBA CA Index'!A:F,3,0)</f>
        <v>160.97916666666666</v>
      </c>
      <c r="D191">
        <f>VLOOKUP(A191,'Purchase Index'!M:T,5,0)</f>
        <v>304.07858762611164</v>
      </c>
      <c r="E191" s="8">
        <f>VLOOKUP(A191,Cello!A:F,3,0)*100</f>
        <v>3.4243403415130089</v>
      </c>
      <c r="M191" s="1">
        <v>40057</v>
      </c>
      <c r="N191" s="8">
        <f t="shared" si="8"/>
        <v>2.3214563613211112</v>
      </c>
      <c r="O191" s="8">
        <f t="shared" si="9"/>
        <v>8.470857005440827</v>
      </c>
      <c r="P191" s="8">
        <f t="shared" si="10"/>
        <v>49.504785187149558</v>
      </c>
      <c r="Q191" s="8">
        <f t="shared" si="11"/>
        <v>38.881825293151905</v>
      </c>
      <c r="R191" s="8">
        <f>VLOOKUP(M191,'Tracking Diff'!A:D,4,0)</f>
        <v>14.267334999952398</v>
      </c>
    </row>
    <row r="192" spans="1:18" x14ac:dyDescent="0.25">
      <c r="A192" s="1">
        <v>40087</v>
      </c>
      <c r="B192" s="8">
        <f>VLOOKUP(A192,HPA2Yr!A:F,6,0)*100</f>
        <v>88.377944325481707</v>
      </c>
      <c r="C192">
        <f>VLOOKUP(A192,'MBA CA Index'!A:F,3,0)</f>
        <v>148.9375</v>
      </c>
      <c r="D192">
        <f>VLOOKUP(A192,'Purchase Index'!M:T,5,0)</f>
        <v>298.44416900676055</v>
      </c>
      <c r="E192" s="8">
        <f>VLOOKUP(A192,Cello!A:F,3,0)*100</f>
        <v>3.2851511238204858</v>
      </c>
      <c r="M192" s="1">
        <v>40087</v>
      </c>
      <c r="N192" s="8">
        <f t="shared" si="8"/>
        <v>1.9601473742332329</v>
      </c>
      <c r="O192" s="8">
        <f t="shared" si="9"/>
        <v>6.7333994649352222</v>
      </c>
      <c r="P192" s="8">
        <f t="shared" si="10"/>
        <v>47.432151286685162</v>
      </c>
      <c r="Q192" s="8">
        <f t="shared" si="11"/>
        <v>35.513271095487745</v>
      </c>
      <c r="R192" s="8">
        <f>VLOOKUP(M192,'Tracking Diff'!A:D,4,0)</f>
        <v>19.542049998815706</v>
      </c>
    </row>
    <row r="193" spans="1:18" x14ac:dyDescent="0.25">
      <c r="A193" s="1">
        <v>40118</v>
      </c>
      <c r="B193" s="8">
        <f>VLOOKUP(A193,HPA2Yr!A:F,6,0)*100</f>
        <v>88.248847926267203</v>
      </c>
      <c r="C193">
        <f>VLOOKUP(A193,'MBA CA Index'!A:F,3,0)</f>
        <v>138.27083333333334</v>
      </c>
      <c r="D193">
        <f>VLOOKUP(A193,'Purchase Index'!M:T,5,0)</f>
        <v>290.39849653376706</v>
      </c>
      <c r="E193" s="8">
        <f>VLOOKUP(A193,Cello!A:F,3,0)*100</f>
        <v>3.1529442750609231</v>
      </c>
      <c r="M193" s="1">
        <v>40118</v>
      </c>
      <c r="N193" s="8">
        <f t="shared" si="8"/>
        <v>1.5981414027098815</v>
      </c>
      <c r="O193" s="8">
        <f t="shared" si="9"/>
        <v>5.1943367300928873</v>
      </c>
      <c r="P193" s="8">
        <f t="shared" si="10"/>
        <v>44.472532087946945</v>
      </c>
      <c r="Q193" s="8">
        <f t="shared" si="11"/>
        <v>32.313699011299654</v>
      </c>
      <c r="R193" s="8">
        <f>VLOOKUP(M193,'Tracking Diff'!A:D,4,0)</f>
        <v>20.035688038131301</v>
      </c>
    </row>
    <row r="194" spans="1:18" x14ac:dyDescent="0.25">
      <c r="A194" s="1">
        <v>40148</v>
      </c>
      <c r="B194" s="8">
        <f>VLOOKUP(A194,HPA2Yr!A:F,6,0)*100</f>
        <v>88.119502252735401</v>
      </c>
      <c r="C194">
        <f>VLOOKUP(A194,'MBA CA Index'!A:F,3,0)</f>
        <v>128.97916666666666</v>
      </c>
      <c r="D194">
        <f>VLOOKUP(A194,'Purchase Index'!M:T,5,0)</f>
        <v>283.13929786039819</v>
      </c>
      <c r="E194" s="8">
        <f>VLOOKUP(A194,Cello!A:F,3,0)*100</f>
        <v>3.0230082500266708</v>
      </c>
      <c r="M194" s="1">
        <v>40148</v>
      </c>
      <c r="N194" s="8">
        <f t="shared" si="8"/>
        <v>1.2354364280233259</v>
      </c>
      <c r="O194" s="8">
        <f t="shared" si="9"/>
        <v>3.8536688009138178</v>
      </c>
      <c r="P194" s="8">
        <f t="shared" si="10"/>
        <v>41.80221909257294</v>
      </c>
      <c r="Q194" s="8">
        <f t="shared" si="11"/>
        <v>29.169083718441101</v>
      </c>
      <c r="R194" s="8">
        <f>VLOOKUP(M194,'Tracking Diff'!A:D,4,0)</f>
        <v>21.032506540743096</v>
      </c>
    </row>
    <row r="195" spans="1:18" x14ac:dyDescent="0.25">
      <c r="A195" s="1">
        <v>40179</v>
      </c>
      <c r="B195" s="8">
        <f>VLOOKUP(A195,HPA2Yr!A:F,6,0)*100</f>
        <v>87.973333811222005</v>
      </c>
      <c r="C195">
        <f>VLOOKUP(A195,'MBA CA Index'!A:F,3,0)</f>
        <v>121.09722222222223</v>
      </c>
      <c r="D195">
        <f>VLOOKUP(A195,'Purchase Index'!M:T,5,0)</f>
        <v>275.42905005761105</v>
      </c>
      <c r="E195" s="8">
        <f>VLOOKUP(A195,Cello!A:F,3,0)*100</f>
        <v>2.9301740662062996</v>
      </c>
      <c r="M195" s="1">
        <v>40179</v>
      </c>
      <c r="N195" s="8">
        <f t="shared" ref="N195:N258" si="12">(B195-H$6)/(H$7-H$6)*100</f>
        <v>0.82555784892995743</v>
      </c>
      <c r="O195" s="8">
        <f t="shared" ref="O195:O258" si="13">(C195-I$6)/(I$7-I$6)*100</f>
        <v>2.7164056472380049</v>
      </c>
      <c r="P195" s="8">
        <f t="shared" ref="P195:P258" si="14">(D195-J$6)/(J$7-J$6)*100</f>
        <v>38.965986633352827</v>
      </c>
      <c r="Q195" s="8">
        <f t="shared" ref="Q195:Q258" si="15">(E195-K$6)/(K$7-K$6)*100</f>
        <v>26.922379664929952</v>
      </c>
      <c r="R195" s="8">
        <f>VLOOKUP(M195,'Tracking Diff'!A:D,4,0)</f>
        <v>19.738051694404298</v>
      </c>
    </row>
    <row r="196" spans="1:18" x14ac:dyDescent="0.25">
      <c r="A196" s="1">
        <v>40210</v>
      </c>
      <c r="B196" s="8">
        <f>VLOOKUP(A196,HPA2Yr!A:F,6,0)*100</f>
        <v>87.826477456439704</v>
      </c>
      <c r="C196">
        <f>VLOOKUP(A196,'MBA CA Index'!A:F,3,0)</f>
        <v>114.625</v>
      </c>
      <c r="D196">
        <f>VLOOKUP(A196,'Purchase Index'!M:T,5,0)</f>
        <v>268.98642458318767</v>
      </c>
      <c r="E196" s="8">
        <f>VLOOKUP(A196,Cello!A:F,3,0)*100</f>
        <v>2.8319849413814189</v>
      </c>
      <c r="M196" s="1">
        <v>40210</v>
      </c>
      <c r="N196" s="8">
        <f t="shared" si="12"/>
        <v>0.41375025622545031</v>
      </c>
      <c r="O196" s="8">
        <f t="shared" si="13"/>
        <v>1.7825472690654411</v>
      </c>
      <c r="P196" s="8">
        <f t="shared" si="14"/>
        <v>36.596051974890528</v>
      </c>
      <c r="Q196" s="8">
        <f t="shared" si="15"/>
        <v>24.546079301460129</v>
      </c>
      <c r="R196" s="8">
        <f>VLOOKUP(M196,'Tracking Diff'!A:D,4,0)</f>
        <v>19.292414852926697</v>
      </c>
    </row>
    <row r="197" spans="1:18" x14ac:dyDescent="0.25">
      <c r="A197" s="1">
        <v>40238</v>
      </c>
      <c r="B197" s="8">
        <f>VLOOKUP(A197,HPA2Yr!A:F,6,0)*100</f>
        <v>87.6789283206395</v>
      </c>
      <c r="C197">
        <f>VLOOKUP(A197,'MBA CA Index'!A:F,3,0)</f>
        <v>109.5625</v>
      </c>
      <c r="D197">
        <f>VLOOKUP(A197,'Purchase Index'!M:T,5,0)</f>
        <v>263.43792850400251</v>
      </c>
      <c r="E197" s="8">
        <f>VLOOKUP(A197,Cello!A:F,3,0)*100</f>
        <v>2.7154789384008509</v>
      </c>
      <c r="M197" s="1">
        <v>40238</v>
      </c>
      <c r="N197" s="8">
        <f t="shared" si="12"/>
        <v>0</v>
      </c>
      <c r="O197" s="8">
        <f t="shared" si="13"/>
        <v>1.0520936663961291</v>
      </c>
      <c r="P197" s="8">
        <f t="shared" si="14"/>
        <v>34.555024879243632</v>
      </c>
      <c r="Q197" s="8">
        <f t="shared" si="15"/>
        <v>21.726487440111896</v>
      </c>
      <c r="R197" s="8">
        <f>VLOOKUP(M197,'Tracking Diff'!A:D,4,0)</f>
        <v>8.6155321336600004</v>
      </c>
    </row>
    <row r="198" spans="1:18" x14ac:dyDescent="0.25">
      <c r="A198" s="1">
        <v>40269</v>
      </c>
      <c r="B198" s="8">
        <f>VLOOKUP(A198,HPA2Yr!A:F,6,0)*100</f>
        <v>88.148840756004901</v>
      </c>
      <c r="C198">
        <f>VLOOKUP(A198,'MBA CA Index'!A:F,3,0)</f>
        <v>105.90972222222221</v>
      </c>
      <c r="D198">
        <f>VLOOKUP(A198,'Purchase Index'!M:T,5,0)</f>
        <v>258.98529447452484</v>
      </c>
      <c r="E198" s="8">
        <f>VLOOKUP(A198,Cello!A:F,3,0)*100</f>
        <v>2.6315107059853315</v>
      </c>
      <c r="M198" s="1">
        <v>40269</v>
      </c>
      <c r="N198" s="8">
        <f t="shared" si="12"/>
        <v>1.31770606097776</v>
      </c>
      <c r="O198" s="8">
        <f t="shared" si="13"/>
        <v>0.52504483923006739</v>
      </c>
      <c r="P198" s="8">
        <f t="shared" si="14"/>
        <v>32.917113169211753</v>
      </c>
      <c r="Q198" s="8">
        <f t="shared" si="15"/>
        <v>19.694350565842132</v>
      </c>
      <c r="R198" s="8">
        <f>VLOOKUP(M198,'Tracking Diff'!A:D,4,0)</f>
        <v>9.185320034674799</v>
      </c>
    </row>
    <row r="199" spans="1:18" x14ac:dyDescent="0.25">
      <c r="A199" s="1">
        <v>40299</v>
      </c>
      <c r="B199" s="8">
        <f>VLOOKUP(A199,HPA2Yr!A:F,6,0)*100</f>
        <v>88.626668375473798</v>
      </c>
      <c r="C199">
        <f>VLOOKUP(A199,'MBA CA Index'!A:F,3,0)</f>
        <v>103.66666666666667</v>
      </c>
      <c r="D199">
        <f>VLOOKUP(A199,'Purchase Index'!M:T,5,0)</f>
        <v>253.01547147745785</v>
      </c>
      <c r="E199" s="8">
        <f>VLOOKUP(A199,Cello!A:F,3,0)*100</f>
        <v>2.5491102943243855</v>
      </c>
      <c r="M199" s="1">
        <v>40299</v>
      </c>
      <c r="N199" s="8">
        <f t="shared" si="12"/>
        <v>2.6576075040777676</v>
      </c>
      <c r="O199" s="8">
        <f t="shared" si="13"/>
        <v>0.20140078756726021</v>
      </c>
      <c r="P199" s="8">
        <f t="shared" si="14"/>
        <v>30.721099993868741</v>
      </c>
      <c r="Q199" s="8">
        <f t="shared" si="15"/>
        <v>17.700156926483494</v>
      </c>
      <c r="R199" s="8">
        <f>VLOOKUP(M199,'Tracking Diff'!A:D,4,0)</f>
        <v>7.7169851112635985</v>
      </c>
    </row>
    <row r="200" spans="1:18" x14ac:dyDescent="0.25">
      <c r="A200" s="1">
        <v>40330</v>
      </c>
      <c r="B200" s="8">
        <f>VLOOKUP(A200,HPA2Yr!A:F,6,0)*100</f>
        <v>89.112612862128103</v>
      </c>
      <c r="C200">
        <f>VLOOKUP(A200,'MBA CA Index'!A:F,3,0)</f>
        <v>102.83333333333333</v>
      </c>
      <c r="D200">
        <f>VLOOKUP(A200,'Purchase Index'!M:T,5,0)</f>
        <v>246.12354199484477</v>
      </c>
      <c r="E200" s="8">
        <f>VLOOKUP(A200,Cello!A:F,3,0)*100</f>
        <v>2.4822604287072036</v>
      </c>
      <c r="M200" s="1">
        <v>40330</v>
      </c>
      <c r="N200" s="8">
        <f t="shared" si="12"/>
        <v>4.0202698793885734</v>
      </c>
      <c r="O200" s="8">
        <f t="shared" si="13"/>
        <v>8.1161511407701323E-2</v>
      </c>
      <c r="P200" s="8">
        <f t="shared" si="14"/>
        <v>28.185887818434203</v>
      </c>
      <c r="Q200" s="8">
        <f t="shared" si="15"/>
        <v>16.082306067263239</v>
      </c>
      <c r="R200" s="8">
        <f>VLOOKUP(M200,'Tracking Diff'!A:D,4,0)</f>
        <v>13.244038914656997</v>
      </c>
    </row>
    <row r="201" spans="1:18" x14ac:dyDescent="0.25">
      <c r="A201" s="1">
        <v>40360</v>
      </c>
      <c r="B201" s="8">
        <f>VLOOKUP(A201,HPA2Yr!A:F,6,0)*100</f>
        <v>90.338741125653897</v>
      </c>
      <c r="C201">
        <f>VLOOKUP(A201,'MBA CA Index'!A:F,3,0)</f>
        <v>102.36805555555554</v>
      </c>
      <c r="D201">
        <f>VLOOKUP(A201,'Purchase Index'!M:T,5,0)</f>
        <v>239.45727611216606</v>
      </c>
      <c r="E201" s="8">
        <f>VLOOKUP(A201,Cello!A:F,3,0)*100</f>
        <v>2.4333795764231376</v>
      </c>
      <c r="M201" s="1">
        <v>40360</v>
      </c>
      <c r="N201" s="8">
        <f t="shared" si="12"/>
        <v>7.4585203337050956</v>
      </c>
      <c r="O201" s="8">
        <f t="shared" si="13"/>
        <v>1.4027915551947236E-2</v>
      </c>
      <c r="P201" s="8">
        <f t="shared" si="14"/>
        <v>25.733686519351394</v>
      </c>
      <c r="Q201" s="8">
        <f t="shared" si="15"/>
        <v>14.899327939527579</v>
      </c>
      <c r="R201" s="8">
        <f>VLOOKUP(M201,'Tracking Diff'!A:D,4,0)</f>
        <v>17.923512642153799</v>
      </c>
    </row>
    <row r="202" spans="1:18" x14ac:dyDescent="0.25">
      <c r="A202" s="1">
        <v>40391</v>
      </c>
      <c r="B202" s="8">
        <f>VLOOKUP(A202,HPA2Yr!A:F,6,0)*100</f>
        <v>91.590926233217402</v>
      </c>
      <c r="C202">
        <f>VLOOKUP(A202,'MBA CA Index'!A:F,3,0)</f>
        <v>102.27083333333333</v>
      </c>
      <c r="D202">
        <f>VLOOKUP(A202,'Purchase Index'!M:T,5,0)</f>
        <v>233.70637194775654</v>
      </c>
      <c r="E202" s="8">
        <f>VLOOKUP(A202,Cello!A:F,3,0)*100</f>
        <v>2.3957154082505112</v>
      </c>
      <c r="M202" s="1">
        <v>40391</v>
      </c>
      <c r="N202" s="8">
        <f t="shared" si="12"/>
        <v>10.969838148521976</v>
      </c>
      <c r="O202" s="8">
        <f t="shared" si="13"/>
        <v>0</v>
      </c>
      <c r="P202" s="8">
        <f t="shared" si="14"/>
        <v>23.618203142141876</v>
      </c>
      <c r="Q202" s="8">
        <f t="shared" si="15"/>
        <v>13.987807680252171</v>
      </c>
      <c r="R202" s="8">
        <f>VLOOKUP(M202,'Tracking Diff'!A:D,4,0)</f>
        <v>16.186458538533799</v>
      </c>
    </row>
    <row r="203" spans="1:18" x14ac:dyDescent="0.25">
      <c r="A203" s="1">
        <v>40422</v>
      </c>
      <c r="B203" s="8">
        <f>VLOOKUP(A203,HPA2Yr!A:F,6,0)*100</f>
        <v>92.870007718917009</v>
      </c>
      <c r="C203">
        <f>VLOOKUP(A203,'MBA CA Index'!A:F,3,0)</f>
        <v>102.54166666666667</v>
      </c>
      <c r="D203">
        <f>VLOOKUP(A203,'Purchase Index'!M:T,5,0)</f>
        <v>227.2612407951658</v>
      </c>
      <c r="E203" s="8">
        <f>VLOOKUP(A203,Cello!A:F,3,0)*100</f>
        <v>2.3523937859912216</v>
      </c>
      <c r="M203" s="1">
        <v>40422</v>
      </c>
      <c r="N203" s="8">
        <f t="shared" si="12"/>
        <v>14.556577505356</v>
      </c>
      <c r="O203" s="8">
        <f t="shared" si="13"/>
        <v>3.9077764751857563E-2</v>
      </c>
      <c r="P203" s="8">
        <f t="shared" si="14"/>
        <v>21.247346764179458</v>
      </c>
      <c r="Q203" s="8">
        <f t="shared" si="15"/>
        <v>12.939369913804475</v>
      </c>
      <c r="R203" s="8">
        <f>VLOOKUP(M203,'Tracking Diff'!A:D,4,0)</f>
        <v>23.903188301122697</v>
      </c>
    </row>
    <row r="204" spans="1:18" x14ac:dyDescent="0.25">
      <c r="A204" s="1">
        <v>40452</v>
      </c>
      <c r="B204" s="8">
        <f>VLOOKUP(A204,HPA2Yr!A:F,6,0)*100</f>
        <v>92.926029649312298</v>
      </c>
      <c r="C204">
        <f>VLOOKUP(A204,'MBA CA Index'!A:F,3,0)</f>
        <v>103.18055555555554</v>
      </c>
      <c r="D204">
        <f>VLOOKUP(A204,'Purchase Index'!M:T,5,0)</f>
        <v>222.93941295548322</v>
      </c>
      <c r="E204" s="8">
        <f>VLOOKUP(A204,Cello!A:F,3,0)*100</f>
        <v>2.3048564025435456</v>
      </c>
      <c r="M204" s="1">
        <v>40452</v>
      </c>
      <c r="N204" s="8">
        <f t="shared" si="12"/>
        <v>14.7136715332511</v>
      </c>
      <c r="O204" s="8">
        <f t="shared" si="13"/>
        <v>0.13126120980751582</v>
      </c>
      <c r="P204" s="8">
        <f t="shared" si="14"/>
        <v>19.657552413129167</v>
      </c>
      <c r="Q204" s="8">
        <f t="shared" si="15"/>
        <v>11.788905422277688</v>
      </c>
      <c r="R204" s="8">
        <f>VLOOKUP(M204,'Tracking Diff'!A:D,4,0)</f>
        <v>30.311805670738604</v>
      </c>
    </row>
    <row r="205" spans="1:18" x14ac:dyDescent="0.25">
      <c r="A205" s="1">
        <v>40483</v>
      </c>
      <c r="B205" s="8">
        <f>VLOOKUP(A205,HPA2Yr!A:F,6,0)*100</f>
        <v>92.9823888638564</v>
      </c>
      <c r="C205">
        <f>VLOOKUP(A205,'MBA CA Index'!A:F,3,0)</f>
        <v>104.1875</v>
      </c>
      <c r="D205">
        <f>VLOOKUP(A205,'Purchase Index'!M:T,5,0)</f>
        <v>219.37533590152529</v>
      </c>
      <c r="E205" s="8">
        <f>VLOOKUP(A205,Cello!A:F,3,0)*100</f>
        <v>2.2344853528562383</v>
      </c>
      <c r="M205" s="1">
        <v>40483</v>
      </c>
      <c r="N205" s="8">
        <f t="shared" si="12"/>
        <v>14.871711357285466</v>
      </c>
      <c r="O205" s="8">
        <f t="shared" si="13"/>
        <v>0.27655033516698296</v>
      </c>
      <c r="P205" s="8">
        <f t="shared" si="14"/>
        <v>18.346498438451079</v>
      </c>
      <c r="Q205" s="8">
        <f t="shared" si="15"/>
        <v>10.085837478165331</v>
      </c>
      <c r="R205" s="8">
        <f>VLOOKUP(M205,'Tracking Diff'!A:D,4,0)</f>
        <v>31.396259445384104</v>
      </c>
    </row>
    <row r="206" spans="1:18" x14ac:dyDescent="0.25">
      <c r="A206" s="1">
        <v>40513</v>
      </c>
      <c r="B206" s="8">
        <f>VLOOKUP(A206,HPA2Yr!A:F,6,0)*100</f>
        <v>93.039088417712307</v>
      </c>
      <c r="C206">
        <f>VLOOKUP(A206,'MBA CA Index'!A:F,3,0)</f>
        <v>105.5625</v>
      </c>
      <c r="D206">
        <f>VLOOKUP(A206,'Purchase Index'!M:T,5,0)</f>
        <v>215.41999632527867</v>
      </c>
      <c r="E206" s="8">
        <f>VLOOKUP(A206,Cello!A:F,3,0)*100</f>
        <v>2.1938426207931188</v>
      </c>
      <c r="M206" s="1">
        <v>40513</v>
      </c>
      <c r="N206" s="8">
        <f t="shared" si="12"/>
        <v>15.030705544601593</v>
      </c>
      <c r="O206" s="8">
        <f t="shared" si="13"/>
        <v>0.47494514083025291</v>
      </c>
      <c r="P206" s="8">
        <f t="shared" si="14"/>
        <v>16.891517641422304</v>
      </c>
      <c r="Q206" s="8">
        <f t="shared" si="15"/>
        <v>9.1022322250759942</v>
      </c>
      <c r="R206" s="8">
        <f>VLOOKUP(M206,'Tracking Diff'!A:D,4,0)</f>
        <v>25.983100828385201</v>
      </c>
    </row>
    <row r="207" spans="1:18" x14ac:dyDescent="0.25">
      <c r="A207" s="1">
        <v>40544</v>
      </c>
      <c r="B207" s="8">
        <f>VLOOKUP(A207,HPA2Yr!A:F,6,0)*100</f>
        <v>91.9579480489584</v>
      </c>
      <c r="C207">
        <f>VLOOKUP(A207,'MBA CA Index'!A:F,3,0)</f>
        <v>106.59027777777779</v>
      </c>
      <c r="D207">
        <f>VLOOKUP(A207,'Purchase Index'!M:T,5,0)</f>
        <v>211.0799699955916</v>
      </c>
      <c r="E207" s="8">
        <f>VLOOKUP(A207,Cello!A:F,3,0)*100</f>
        <v>2.1355849530881486</v>
      </c>
      <c r="M207" s="1">
        <v>40544</v>
      </c>
      <c r="N207" s="8">
        <f t="shared" si="12"/>
        <v>11.999023236456305</v>
      </c>
      <c r="O207" s="8">
        <f t="shared" si="13"/>
        <v>0.62324024809370837</v>
      </c>
      <c r="P207" s="8">
        <f t="shared" si="14"/>
        <v>15.295028933798822</v>
      </c>
      <c r="Q207" s="8">
        <f t="shared" si="15"/>
        <v>7.6923233661353843</v>
      </c>
      <c r="R207" s="8">
        <f>VLOOKUP(M207,'Tracking Diff'!A:D,4,0)</f>
        <v>5.5376157257709018</v>
      </c>
    </row>
    <row r="208" spans="1:18" x14ac:dyDescent="0.25">
      <c r="A208" s="1">
        <v>40575</v>
      </c>
      <c r="B208" s="8">
        <f>VLOOKUP(A208,HPA2Yr!A:F,6,0)*100</f>
        <v>90.882124984451096</v>
      </c>
      <c r="C208">
        <f>VLOOKUP(A208,'MBA CA Index'!A:F,3,0)</f>
        <v>107.27083333333333</v>
      </c>
      <c r="D208">
        <f>VLOOKUP(A208,'Purchase Index'!M:T,5,0)</f>
        <v>208.61211399757471</v>
      </c>
      <c r="E208" s="8">
        <f>VLOOKUP(A208,Cello!A:F,3,0)*100</f>
        <v>2.0608605242034939</v>
      </c>
      <c r="M208" s="1">
        <v>40575</v>
      </c>
      <c r="N208" s="8">
        <f t="shared" si="12"/>
        <v>8.9822514595217164</v>
      </c>
      <c r="O208" s="8">
        <f t="shared" si="13"/>
        <v>0.72143565695734513</v>
      </c>
      <c r="P208" s="8">
        <f t="shared" si="14"/>
        <v>14.387222406007799</v>
      </c>
      <c r="Q208" s="8">
        <f t="shared" si="15"/>
        <v>5.8838981679744915</v>
      </c>
      <c r="R208" s="8">
        <f>VLOOKUP(M208,'Tracking Diff'!A:D,4,0)</f>
        <v>5.149809067543103</v>
      </c>
    </row>
    <row r="209" spans="1:18" x14ac:dyDescent="0.25">
      <c r="A209" s="1">
        <v>40603</v>
      </c>
      <c r="B209" s="8">
        <f>VLOOKUP(A209,HPA2Yr!A:F,6,0)*100</f>
        <v>89.811580092778101</v>
      </c>
      <c r="C209">
        <f>VLOOKUP(A209,'MBA CA Index'!A:F,3,0)</f>
        <v>107.545</v>
      </c>
      <c r="D209">
        <f>VLOOKUP(A209,'Purchase Index'!M:T,5,0)</f>
        <v>205.91715335558487</v>
      </c>
      <c r="E209" s="8">
        <f>VLOOKUP(A209,Cello!A:F,3,0)*100</f>
        <v>2.018859500963984</v>
      </c>
      <c r="M209" s="1">
        <v>40603</v>
      </c>
      <c r="N209" s="8">
        <f t="shared" si="12"/>
        <v>5.9802804833559948</v>
      </c>
      <c r="O209" s="8">
        <f t="shared" si="13"/>
        <v>0.76099437881384047</v>
      </c>
      <c r="P209" s="8">
        <f t="shared" si="14"/>
        <v>13.395874910487715</v>
      </c>
      <c r="Q209" s="8">
        <f t="shared" si="15"/>
        <v>4.8674205593986297</v>
      </c>
      <c r="R209" s="8">
        <f>VLOOKUP(M209,'Tracking Diff'!A:D,4,0)</f>
        <v>3.6372096810068975</v>
      </c>
    </row>
    <row r="210" spans="1:18" x14ac:dyDescent="0.25">
      <c r="A210" s="1">
        <v>40634</v>
      </c>
      <c r="B210" s="8">
        <f>VLOOKUP(A210,HPA2Yr!A:F,6,0)*100</f>
        <v>90.100154083204799</v>
      </c>
      <c r="C210">
        <f>VLOOKUP(A210,'MBA CA Index'!A:F,3,0)</f>
        <v>107.31055555555554</v>
      </c>
      <c r="D210">
        <f>VLOOKUP(A210,'Purchase Index'!M:T,5,0)</f>
        <v>203.15063744204522</v>
      </c>
      <c r="E210" s="8">
        <f>VLOOKUP(A210,Cello!A:F,3,0)*100</f>
        <v>1.98590565232418</v>
      </c>
      <c r="M210" s="1">
        <v>40634</v>
      </c>
      <c r="N210" s="8">
        <f t="shared" si="12"/>
        <v>6.789485917406946</v>
      </c>
      <c r="O210" s="8">
        <f t="shared" si="13"/>
        <v>0.7271670624542822</v>
      </c>
      <c r="P210" s="8">
        <f t="shared" si="14"/>
        <v>12.378205643088327</v>
      </c>
      <c r="Q210" s="8">
        <f t="shared" si="15"/>
        <v>4.0698959593967707</v>
      </c>
      <c r="R210" s="8">
        <f>VLOOKUP(M210,'Tracking Diff'!A:D,4,0)</f>
        <v>8.9043632118107006</v>
      </c>
    </row>
    <row r="211" spans="1:18" x14ac:dyDescent="0.25">
      <c r="A211" s="1">
        <v>40664</v>
      </c>
      <c r="B211" s="8">
        <f>VLOOKUP(A211,HPA2Yr!A:F,6,0)*100</f>
        <v>90.393921138037598</v>
      </c>
      <c r="C211">
        <f>VLOOKUP(A211,'MBA CA Index'!A:F,3,0)</f>
        <v>106.87083333333334</v>
      </c>
      <c r="D211">
        <f>VLOOKUP(A211,'Purchase Index'!M:T,5,0)</f>
        <v>200.48382805858333</v>
      </c>
      <c r="E211" s="8">
        <f>VLOOKUP(A211,Cello!A:F,3,0)*100</f>
        <v>1.9531275391850278</v>
      </c>
      <c r="M211" s="1">
        <v>40664</v>
      </c>
      <c r="N211" s="8">
        <f t="shared" si="12"/>
        <v>7.6132534952276067</v>
      </c>
      <c r="O211" s="8">
        <f t="shared" si="13"/>
        <v>0.66372080440075865</v>
      </c>
      <c r="P211" s="8">
        <f t="shared" si="14"/>
        <v>11.397213653026315</v>
      </c>
      <c r="Q211" s="8">
        <f t="shared" si="15"/>
        <v>3.2766243796231507</v>
      </c>
      <c r="R211" s="8">
        <f>VLOOKUP(M211,'Tracking Diff'!A:D,4,0)</f>
        <v>9.6667270411397013</v>
      </c>
    </row>
    <row r="212" spans="1:18" x14ac:dyDescent="0.25">
      <c r="A212" s="1">
        <v>40695</v>
      </c>
      <c r="B212" s="8">
        <f>VLOOKUP(A212,HPA2Yr!A:F,6,0)*100</f>
        <v>90.693022708553912</v>
      </c>
      <c r="C212">
        <f>VLOOKUP(A212,'MBA CA Index'!A:F,3,0)</f>
        <v>106.18541666666668</v>
      </c>
      <c r="D212">
        <f>VLOOKUP(A212,'Purchase Index'!M:T,5,0)</f>
        <v>197.23060892072749</v>
      </c>
      <c r="E212" s="8">
        <f>VLOOKUP(A212,Cello!A:F,3,0)*100</f>
        <v>1.9326018321147855</v>
      </c>
      <c r="M212" s="1">
        <v>40695</v>
      </c>
      <c r="N212" s="8">
        <f t="shared" si="12"/>
        <v>8.4519798677502678</v>
      </c>
      <c r="O212" s="8">
        <f t="shared" si="13"/>
        <v>0.56482399975952446</v>
      </c>
      <c r="P212" s="8">
        <f t="shared" si="14"/>
        <v>10.200509480638051</v>
      </c>
      <c r="Q212" s="8">
        <f t="shared" si="15"/>
        <v>2.7798764428380753</v>
      </c>
      <c r="R212" s="8">
        <f>VLOOKUP(M212,'Tracking Diff'!A:D,4,0)</f>
        <v>13.1862639830932</v>
      </c>
    </row>
    <row r="213" spans="1:18" x14ac:dyDescent="0.25">
      <c r="A213" s="1">
        <v>40725</v>
      </c>
      <c r="B213" s="8">
        <f>VLOOKUP(A213,HPA2Yr!A:F,6,0)*100</f>
        <v>91.73607676328011</v>
      </c>
      <c r="C213">
        <f>VLOOKUP(A213,'MBA CA Index'!A:F,3,0)</f>
        <v>105.70416666666667</v>
      </c>
      <c r="D213">
        <f>VLOOKUP(A213,'Purchase Index'!M:T,5,0)</f>
        <v>194.05254758513914</v>
      </c>
      <c r="E213" s="8">
        <f>VLOOKUP(A213,Cello!A:F,3,0)*100</f>
        <v>1.9232795519397421</v>
      </c>
      <c r="M213" s="1">
        <v>40725</v>
      </c>
      <c r="N213" s="8">
        <f t="shared" si="12"/>
        <v>11.376862348826522</v>
      </c>
      <c r="O213" s="8">
        <f t="shared" si="13"/>
        <v>0.4953858177773775</v>
      </c>
      <c r="P213" s="8">
        <f t="shared" si="14"/>
        <v>9.0314522793727683</v>
      </c>
      <c r="Q213" s="8">
        <f t="shared" si="15"/>
        <v>2.5542655331998434</v>
      </c>
      <c r="R213" s="8">
        <f>VLOOKUP(M213,'Tracking Diff'!A:D,4,0)</f>
        <v>15.651602502246101</v>
      </c>
    </row>
    <row r="214" spans="1:18" x14ac:dyDescent="0.25">
      <c r="A214" s="1">
        <v>40756</v>
      </c>
      <c r="B214" s="8">
        <f>VLOOKUP(A214,HPA2Yr!A:F,6,0)*100</f>
        <v>92.797828169913501</v>
      </c>
      <c r="C214">
        <f>VLOOKUP(A214,'MBA CA Index'!A:F,3,0)</f>
        <v>105.36041666666667</v>
      </c>
      <c r="D214">
        <f>VLOOKUP(A214,'Purchase Index'!M:T,5,0)</f>
        <v>189.86502911441769</v>
      </c>
      <c r="E214" s="8">
        <f>VLOOKUP(A214,Cello!A:F,3,0)*100</f>
        <v>1.9231790476405226</v>
      </c>
      <c r="M214" s="1">
        <v>40756</v>
      </c>
      <c r="N214" s="8">
        <f t="shared" si="12"/>
        <v>14.35417505323403</v>
      </c>
      <c r="O214" s="8">
        <f t="shared" si="13"/>
        <v>0.44578711636156004</v>
      </c>
      <c r="P214" s="8">
        <f t="shared" si="14"/>
        <v>7.4910639398500543</v>
      </c>
      <c r="Q214" s="8">
        <f t="shared" si="15"/>
        <v>2.5518332027030448</v>
      </c>
      <c r="R214" s="8">
        <f>VLOOKUP(M214,'Tracking Diff'!A:D,4,0)</f>
        <v>12.114085486167401</v>
      </c>
    </row>
    <row r="215" spans="1:18" x14ac:dyDescent="0.25">
      <c r="A215" s="1">
        <v>40787</v>
      </c>
      <c r="B215" s="8">
        <f>VLOOKUP(A215,HPA2Yr!A:F,6,0)*100</f>
        <v>93.878784216568903</v>
      </c>
      <c r="C215">
        <f>VLOOKUP(A215,'MBA CA Index'!A:F,3,0)</f>
        <v>105.38916666666667</v>
      </c>
      <c r="D215">
        <f>VLOOKUP(A215,'Purchase Index'!M:T,5,0)</f>
        <v>185.49249881921796</v>
      </c>
      <c r="E215" s="8">
        <f>VLOOKUP(A215,Cello!A:F,3,0)*100</f>
        <v>1.90609442080602</v>
      </c>
      <c r="M215" s="1">
        <v>40787</v>
      </c>
      <c r="N215" s="8">
        <f t="shared" si="12"/>
        <v>17.385340494133224</v>
      </c>
      <c r="O215" s="8">
        <f t="shared" si="13"/>
        <v>0.44993537138906509</v>
      </c>
      <c r="P215" s="8">
        <f t="shared" si="14"/>
        <v>5.8826185734526408</v>
      </c>
      <c r="Q215" s="8">
        <f t="shared" si="15"/>
        <v>2.1383637372303532</v>
      </c>
      <c r="R215" s="8">
        <f>VLOOKUP(M215,'Tracking Diff'!A:D,4,0)</f>
        <v>30.0624519874677</v>
      </c>
    </row>
    <row r="216" spans="1:18" x14ac:dyDescent="0.25">
      <c r="A216" s="1">
        <v>40817</v>
      </c>
      <c r="B216" s="8">
        <f>VLOOKUP(A216,HPA2Yr!A:F,6,0)*100</f>
        <v>94.249601227613098</v>
      </c>
      <c r="C216">
        <f>VLOOKUP(A216,'MBA CA Index'!A:F,3,0)</f>
        <v>105.47666666666667</v>
      </c>
      <c r="D216">
        <f>VLOOKUP(A216,'Purchase Index'!M:T,5,0)</f>
        <v>181.50351463956281</v>
      </c>
      <c r="E216" s="8">
        <f>VLOOKUP(A216,Cello!A:F,3,0)*100</f>
        <v>1.8934364275848281</v>
      </c>
      <c r="M216" s="1">
        <v>40817</v>
      </c>
      <c r="N216" s="8">
        <f t="shared" si="12"/>
        <v>18.425167887904234</v>
      </c>
      <c r="O216" s="8">
        <f t="shared" si="13"/>
        <v>0.4625604953858195</v>
      </c>
      <c r="P216" s="8">
        <f t="shared" si="14"/>
        <v>4.4152615313659096</v>
      </c>
      <c r="Q216" s="8">
        <f t="shared" si="15"/>
        <v>1.8320243748420777</v>
      </c>
      <c r="R216" s="8">
        <f>VLOOKUP(M216,'Tracking Diff'!A:D,4,0)</f>
        <v>33.133758125124203</v>
      </c>
    </row>
    <row r="217" spans="1:18" x14ac:dyDescent="0.25">
      <c r="A217" s="1">
        <v>40848</v>
      </c>
      <c r="B217" s="8">
        <f>VLOOKUP(A217,HPA2Yr!A:F,6,0)*100</f>
        <v>94.622219523549006</v>
      </c>
      <c r="C217">
        <f>VLOOKUP(A217,'MBA CA Index'!A:F,3,0)</f>
        <v>105.75916666666666</v>
      </c>
      <c r="D217">
        <f>VLOOKUP(A217,'Purchase Index'!M:T,5,0)</f>
        <v>180.22466606258479</v>
      </c>
      <c r="E217" s="8">
        <f>VLOOKUP(A217,Cello!A:F,3,0)*100</f>
        <v>1.874788988362099</v>
      </c>
      <c r="M217" s="1">
        <v>40848</v>
      </c>
      <c r="N217" s="8">
        <f t="shared" si="12"/>
        <v>19.470046358941399</v>
      </c>
      <c r="O217" s="8">
        <f t="shared" si="13"/>
        <v>0.50332161000390729</v>
      </c>
      <c r="P217" s="8">
        <f t="shared" si="14"/>
        <v>3.944834129131007</v>
      </c>
      <c r="Q217" s="8">
        <f t="shared" si="15"/>
        <v>1.38073288322544</v>
      </c>
      <c r="R217" s="8">
        <f>VLOOKUP(M217,'Tracking Diff'!A:D,4,0)</f>
        <v>30.360715624734102</v>
      </c>
    </row>
    <row r="218" spans="1:18" x14ac:dyDescent="0.25">
      <c r="A218" s="1">
        <v>40878</v>
      </c>
      <c r="B218" s="8">
        <f>VLOOKUP(A218,HPA2Yr!A:F,6,0)*100</f>
        <v>94.996652261245302</v>
      </c>
      <c r="C218">
        <f>VLOOKUP(A218,'MBA CA Index'!A:F,3,0)</f>
        <v>106.21416666666666</v>
      </c>
      <c r="D218">
        <f>VLOOKUP(A218,'Purchase Index'!M:T,5,0)</f>
        <v>178.66727401703838</v>
      </c>
      <c r="E218" s="8">
        <f>VLOOKUP(A218,Cello!A:F,3,0)*100</f>
        <v>1.8549413120486742</v>
      </c>
      <c r="M218" s="1">
        <v>40878</v>
      </c>
      <c r="N218" s="8">
        <f t="shared" si="12"/>
        <v>20.520012801108962</v>
      </c>
      <c r="O218" s="8">
        <f t="shared" si="13"/>
        <v>0.5689722547870254</v>
      </c>
      <c r="P218" s="8">
        <f t="shared" si="14"/>
        <v>3.3719438687540051</v>
      </c>
      <c r="Q218" s="8">
        <f t="shared" si="15"/>
        <v>0.90039414386159333</v>
      </c>
      <c r="R218" s="8">
        <f>VLOOKUP(M218,'Tracking Diff'!A:D,4,0)</f>
        <v>35.295968209040502</v>
      </c>
    </row>
    <row r="219" spans="1:18" x14ac:dyDescent="0.25">
      <c r="A219" s="1">
        <v>40909</v>
      </c>
      <c r="B219" s="8">
        <f>VLOOKUP(A219,HPA2Yr!A:F,6,0)*100</f>
        <v>95.049908331635706</v>
      </c>
      <c r="C219">
        <f>VLOOKUP(A219,'MBA CA Index'!A:F,3,0)</f>
        <v>106.53555555555556</v>
      </c>
      <c r="D219">
        <f>VLOOKUP(A219,'Purchase Index'!M:T,5,0)</f>
        <v>177.27019222482826</v>
      </c>
      <c r="E219" s="8">
        <f>VLOOKUP(A219,Cello!A:F,3,0)*100</f>
        <v>1.8396388191413819</v>
      </c>
      <c r="M219" s="1">
        <v>40909</v>
      </c>
      <c r="N219" s="8">
        <f t="shared" si="12"/>
        <v>20.66935093616539</v>
      </c>
      <c r="O219" s="8">
        <f t="shared" si="13"/>
        <v>0.61534453562589697</v>
      </c>
      <c r="P219" s="8">
        <f t="shared" si="14"/>
        <v>2.8580241052647715</v>
      </c>
      <c r="Q219" s="8">
        <f t="shared" si="15"/>
        <v>0.53005456172918841</v>
      </c>
      <c r="R219" s="8">
        <f>VLOOKUP(M219,'Tracking Diff'!A:D,4,0)</f>
        <v>37.356003082065897</v>
      </c>
    </row>
    <row r="220" spans="1:18" x14ac:dyDescent="0.25">
      <c r="A220" s="1">
        <v>40940</v>
      </c>
      <c r="B220" s="8">
        <f>VLOOKUP(A220,HPA2Yr!A:F,6,0)*100</f>
        <v>95.103593561450495</v>
      </c>
      <c r="C220">
        <f>VLOOKUP(A220,'MBA CA Index'!A:F,3,0)</f>
        <v>106.69000000000001</v>
      </c>
      <c r="D220">
        <f>VLOOKUP(A220,'Purchase Index'!M:T,5,0)</f>
        <v>175.71286341442305</v>
      </c>
      <c r="E220" s="8">
        <f>VLOOKUP(A220,Cello!A:F,3,0)*100</f>
        <v>1.8362650212857521</v>
      </c>
      <c r="M220" s="1">
        <v>40940</v>
      </c>
      <c r="N220" s="8">
        <f t="shared" si="12"/>
        <v>20.819892499631194</v>
      </c>
      <c r="O220" s="8">
        <f t="shared" si="13"/>
        <v>0.63762888147413599</v>
      </c>
      <c r="P220" s="8">
        <f t="shared" si="14"/>
        <v>2.2851571060804852</v>
      </c>
      <c r="Q220" s="8">
        <f t="shared" si="15"/>
        <v>0.44840440867094039</v>
      </c>
      <c r="R220" s="8">
        <f>VLOOKUP(M220,'Tracking Diff'!A:D,4,0)</f>
        <v>33.717408218745703</v>
      </c>
    </row>
    <row r="221" spans="1:18" x14ac:dyDescent="0.25">
      <c r="A221" s="1">
        <v>40969</v>
      </c>
      <c r="B221" s="8">
        <f>VLOOKUP(A221,HPA2Yr!A:F,6,0)*100</f>
        <v>95.157713159191701</v>
      </c>
      <c r="C221">
        <f>VLOOKUP(A221,'MBA CA Index'!A:F,3,0)</f>
        <v>106.85666666666668</v>
      </c>
      <c r="D221">
        <f>VLOOKUP(A221,'Purchase Index'!M:T,5,0)</f>
        <v>174.12155992619478</v>
      </c>
      <c r="E221" s="8">
        <f>VLOOKUP(A221,Cello!A:F,3,0)*100</f>
        <v>1.836309532864163</v>
      </c>
      <c r="M221" s="1">
        <v>40969</v>
      </c>
      <c r="N221" s="8">
        <f t="shared" si="12"/>
        <v>20.9716520969396</v>
      </c>
      <c r="O221" s="8">
        <f t="shared" si="13"/>
        <v>0.6616767367060481</v>
      </c>
      <c r="P221" s="8">
        <f t="shared" si="14"/>
        <v>1.6997924432026277</v>
      </c>
      <c r="Q221" s="8">
        <f t="shared" si="15"/>
        <v>0.44948164487347381</v>
      </c>
      <c r="R221" s="8">
        <f>VLOOKUP(M221,'Tracking Diff'!A:D,4,0)</f>
        <v>30.037728356682003</v>
      </c>
    </row>
    <row r="222" spans="1:18" x14ac:dyDescent="0.25">
      <c r="A222" s="1">
        <v>41000</v>
      </c>
      <c r="B222" s="8">
        <f>VLOOKUP(A222,HPA2Yr!A:F,6,0)*100</f>
        <v>95.323522445238396</v>
      </c>
      <c r="C222">
        <f>VLOOKUP(A222,'MBA CA Index'!A:F,3,0)</f>
        <v>107.06680555555556</v>
      </c>
      <c r="D222">
        <f>VLOOKUP(A222,'Purchase Index'!M:T,5,0)</f>
        <v>171.77303878724231</v>
      </c>
      <c r="E222" s="8">
        <f>VLOOKUP(A222,Cello!A:F,3,0)*100</f>
        <v>1.8331546737129636</v>
      </c>
      <c r="M222" s="1">
        <v>41000</v>
      </c>
      <c r="N222" s="8">
        <f t="shared" si="12"/>
        <v>21.436606596431044</v>
      </c>
      <c r="O222" s="8">
        <f t="shared" si="13"/>
        <v>0.69199707417761491</v>
      </c>
      <c r="P222" s="8">
        <f t="shared" si="14"/>
        <v>0.83588351889363999</v>
      </c>
      <c r="Q222" s="8">
        <f t="shared" si="15"/>
        <v>0.37313008393368707</v>
      </c>
      <c r="R222" s="8">
        <f>VLOOKUP(M222,'Tracking Diff'!A:D,4,0)</f>
        <v>27.496179499928502</v>
      </c>
    </row>
    <row r="223" spans="1:18" x14ac:dyDescent="0.25">
      <c r="A223" s="1">
        <v>41030</v>
      </c>
      <c r="B223" s="8">
        <f>VLOOKUP(A223,HPA2Yr!A:F,6,0)*100</f>
        <v>95.490321647695296</v>
      </c>
      <c r="C223">
        <f>VLOOKUP(A223,'MBA CA Index'!A:F,3,0)</f>
        <v>107.24250000000001</v>
      </c>
      <c r="D223">
        <f>VLOOKUP(A223,'Purchase Index'!M:T,5,0)</f>
        <v>171.21078795616222</v>
      </c>
      <c r="E223" s="8">
        <f>VLOOKUP(A223,Cello!A:F,3,0)*100</f>
        <v>1.8279208009171461</v>
      </c>
      <c r="M223" s="1">
        <v>41030</v>
      </c>
      <c r="N223" s="8">
        <f t="shared" si="12"/>
        <v>21.904336972352684</v>
      </c>
      <c r="O223" s="8">
        <f t="shared" si="13"/>
        <v>0.71734752156792181</v>
      </c>
      <c r="P223" s="8">
        <f t="shared" si="14"/>
        <v>0.62905825229761769</v>
      </c>
      <c r="Q223" s="8">
        <f t="shared" si="15"/>
        <v>0.24646377695480837</v>
      </c>
      <c r="R223" s="8">
        <f>VLOOKUP(M223,'Tracking Diff'!A:D,4,0)</f>
        <v>28.849878520912505</v>
      </c>
    </row>
    <row r="224" spans="1:18" x14ac:dyDescent="0.25">
      <c r="A224" s="1">
        <v>41061</v>
      </c>
      <c r="B224" s="8">
        <f>VLOOKUP(A224,HPA2Yr!A:F,6,0)*100</f>
        <v>95.658119658119602</v>
      </c>
      <c r="C224">
        <f>VLOOKUP(A224,'MBA CA Index'!A:F,3,0)</f>
        <v>107.45125000000002</v>
      </c>
      <c r="D224">
        <f>VLOOKUP(A224,'Purchase Index'!M:T,5,0)</f>
        <v>171.80045786983371</v>
      </c>
      <c r="E224" s="8">
        <f>VLOOKUP(A224,Cello!A:F,3,0)*100</f>
        <v>1.8286701997320065</v>
      </c>
      <c r="M224" s="1">
        <v>41061</v>
      </c>
      <c r="N224" s="8">
        <f t="shared" si="12"/>
        <v>22.374868157985567</v>
      </c>
      <c r="O224" s="8">
        <f t="shared" si="13"/>
        <v>0.74746746024589228</v>
      </c>
      <c r="P224" s="8">
        <f t="shared" si="14"/>
        <v>0.84596969174266767</v>
      </c>
      <c r="Q224" s="8">
        <f t="shared" si="15"/>
        <v>0.2646001711768014</v>
      </c>
      <c r="R224" s="8">
        <f>VLOOKUP(M224,'Tracking Diff'!A:D,4,0)</f>
        <v>33.295905664424808</v>
      </c>
    </row>
    <row r="225" spans="1:18" x14ac:dyDescent="0.25">
      <c r="A225" s="1">
        <v>41091</v>
      </c>
      <c r="B225" s="8">
        <f>VLOOKUP(A225,HPA2Yr!A:F,6,0)*100</f>
        <v>95.761862962771701</v>
      </c>
      <c r="C225">
        <f>VLOOKUP(A225,'MBA CA Index'!A:F,3,0)</f>
        <v>107.38888888888891</v>
      </c>
      <c r="D225">
        <f>VLOOKUP(A225,'Purchase Index'!M:T,5,0)</f>
        <v>172.5318910599369</v>
      </c>
      <c r="E225" s="8">
        <f>VLOOKUP(A225,Cello!A:F,3,0)*100</f>
        <v>1.8239768086781671</v>
      </c>
      <c r="M225" s="1">
        <v>41091</v>
      </c>
      <c r="N225" s="8">
        <f t="shared" si="12"/>
        <v>22.665780189755129</v>
      </c>
      <c r="O225" s="8">
        <f t="shared" si="13"/>
        <v>0.73846955441328677</v>
      </c>
      <c r="P225" s="8">
        <f t="shared" si="14"/>
        <v>1.1150290797913471</v>
      </c>
      <c r="Q225" s="8">
        <f t="shared" si="15"/>
        <v>0.15101420239425467</v>
      </c>
      <c r="R225" s="8">
        <f>VLOOKUP(M225,'Tracking Diff'!A:D,4,0)</f>
        <v>34.4250015509893</v>
      </c>
    </row>
    <row r="226" spans="1:18" x14ac:dyDescent="0.25">
      <c r="A226" s="1">
        <v>41122</v>
      </c>
      <c r="B226" s="8">
        <f>VLOOKUP(A226,HPA2Yr!A:F,6,0)*100</f>
        <v>95.864944155643599</v>
      </c>
      <c r="C226">
        <f>VLOOKUP(A226,'MBA CA Index'!A:F,3,0)</f>
        <v>107.37208333333335</v>
      </c>
      <c r="D226">
        <f>VLOOKUP(A226,'Purchase Index'!M:T,5,0)</f>
        <v>172.76939895166387</v>
      </c>
      <c r="E226" s="8">
        <f>VLOOKUP(A226,Cello!A:F,3,0)*100</f>
        <v>1.8179487914817809</v>
      </c>
      <c r="M226" s="1">
        <v>41122</v>
      </c>
      <c r="N226" s="8">
        <f t="shared" si="12"/>
        <v>22.954835559218797</v>
      </c>
      <c r="O226" s="8">
        <f t="shared" si="13"/>
        <v>0.73604472901073448</v>
      </c>
      <c r="P226" s="8">
        <f t="shared" si="14"/>
        <v>1.2023969062305291</v>
      </c>
      <c r="Q226" s="8">
        <f t="shared" si="15"/>
        <v>5.1286017198183091E-3</v>
      </c>
      <c r="R226" s="8">
        <f>VLOOKUP(M226,'Tracking Diff'!A:D,4,0)</f>
        <v>33.715714074099701</v>
      </c>
    </row>
    <row r="227" spans="1:18" x14ac:dyDescent="0.25">
      <c r="A227" s="1">
        <v>41153</v>
      </c>
      <c r="B227" s="8">
        <f>VLOOKUP(A227,HPA2Yr!A:F,6,0)*100</f>
        <v>95.967369555179303</v>
      </c>
      <c r="C227">
        <f>VLOOKUP(A227,'MBA CA Index'!A:F,3,0)</f>
        <v>107.22291666666668</v>
      </c>
      <c r="D227">
        <f>VLOOKUP(A227,'Purchase Index'!M:T,5,0)</f>
        <v>173.09000857798222</v>
      </c>
      <c r="E227" s="8">
        <f>VLOOKUP(A227,Cello!A:F,3,0)*100</f>
        <v>1.8177368768087936</v>
      </c>
      <c r="M227" s="1">
        <v>41153</v>
      </c>
      <c r="N227" s="8">
        <f t="shared" si="12"/>
        <v>23.242051984256189</v>
      </c>
      <c r="O227" s="8">
        <f t="shared" si="13"/>
        <v>0.71452189857817272</v>
      </c>
      <c r="P227" s="8">
        <f t="shared" si="14"/>
        <v>1.3203338976426355</v>
      </c>
      <c r="Q227" s="8">
        <f t="shared" si="15"/>
        <v>0</v>
      </c>
      <c r="R227" s="8">
        <f>VLOOKUP(M227,'Tracking Diff'!A:D,4,0)</f>
        <v>31.732408770431704</v>
      </c>
    </row>
    <row r="228" spans="1:18" x14ac:dyDescent="0.25">
      <c r="A228" s="1">
        <v>41183</v>
      </c>
      <c r="B228" s="8">
        <f>VLOOKUP(A228,HPA2Yr!A:F,6,0)*100</f>
        <v>96.462734771964904</v>
      </c>
      <c r="C228">
        <f>VLOOKUP(A228,'MBA CA Index'!A:F,3,0)</f>
        <v>106.83680555555559</v>
      </c>
      <c r="D228">
        <f>VLOOKUP(A228,'Purchase Index'!M:T,5,0)</f>
        <v>173.53731630024132</v>
      </c>
      <c r="E228" s="8">
        <f>VLOOKUP(A228,Cello!A:F,3,0)*100</f>
        <v>1.8181908129182829</v>
      </c>
      <c r="M228" s="1">
        <v>41183</v>
      </c>
      <c r="N228" s="8">
        <f t="shared" si="12"/>
        <v>24.631131522124512</v>
      </c>
      <c r="O228" s="8">
        <f t="shared" si="13"/>
        <v>0.65881103395758056</v>
      </c>
      <c r="P228" s="8">
        <f t="shared" si="14"/>
        <v>1.4848770762253607</v>
      </c>
      <c r="Q228" s="8">
        <f t="shared" si="15"/>
        <v>1.0985824997374364E-2</v>
      </c>
      <c r="R228" s="8">
        <f>VLOOKUP(M228,'Tracking Diff'!A:D,4,0)</f>
        <v>32.786764457665598</v>
      </c>
    </row>
    <row r="229" spans="1:18" x14ac:dyDescent="0.25">
      <c r="A229" s="1">
        <v>41214</v>
      </c>
      <c r="B229" s="8">
        <f>VLOOKUP(A229,HPA2Yr!A:F,6,0)*100</f>
        <v>96.960480054439003</v>
      </c>
      <c r="C229">
        <f>VLOOKUP(A229,'MBA CA Index'!A:F,3,0)</f>
        <v>106.50833333333333</v>
      </c>
      <c r="D229">
        <f>VLOOKUP(A229,'Purchase Index'!M:T,5,0)</f>
        <v>173.63144591516269</v>
      </c>
      <c r="E229" s="8">
        <f>VLOOKUP(A229,Cello!A:F,3,0)*100</f>
        <v>1.8242835308396526</v>
      </c>
      <c r="M229" s="1">
        <v>41214</v>
      </c>
      <c r="N229" s="8">
        <f t="shared" si="12"/>
        <v>26.026885126791722</v>
      </c>
      <c r="O229" s="8">
        <f t="shared" si="13"/>
        <v>0.61141671927134955</v>
      </c>
      <c r="P229" s="8">
        <f t="shared" si="14"/>
        <v>1.5195028724439175</v>
      </c>
      <c r="Q229" s="8">
        <f t="shared" si="15"/>
        <v>0.15843726462362034</v>
      </c>
      <c r="R229" s="8">
        <f>VLOOKUP(M229,'Tracking Diff'!A:D,4,0)</f>
        <v>35.4089317520218</v>
      </c>
    </row>
    <row r="230" spans="1:18" x14ac:dyDescent="0.25">
      <c r="A230" s="1">
        <v>41244</v>
      </c>
      <c r="B230" s="8">
        <f>VLOOKUP(A230,HPA2Yr!A:F,6,0)*100</f>
        <v>97.4606225970482</v>
      </c>
      <c r="C230">
        <f>VLOOKUP(A230,'MBA CA Index'!A:F,3,0)</f>
        <v>106.13999999999999</v>
      </c>
      <c r="D230">
        <f>VLOOKUP(A230,'Purchase Index'!M:T,5,0)</f>
        <v>173.23935558273362</v>
      </c>
      <c r="E230" s="8">
        <f>VLOOKUP(A230,Cello!A:F,3,0)*100</f>
        <v>1.8289178603453644</v>
      </c>
      <c r="M230" s="1">
        <v>41244</v>
      </c>
      <c r="N230" s="8">
        <f t="shared" si="12"/>
        <v>27.429361014105709</v>
      </c>
      <c r="O230" s="8">
        <f t="shared" si="13"/>
        <v>0.5582709592088243</v>
      </c>
      <c r="P230" s="8">
        <f t="shared" si="14"/>
        <v>1.3752715382214658</v>
      </c>
      <c r="Q230" s="8">
        <f t="shared" si="15"/>
        <v>0.27059386962954912</v>
      </c>
      <c r="R230" s="8">
        <f>VLOOKUP(M230,'Tracking Diff'!A:D,4,0)</f>
        <v>34.197928790269899</v>
      </c>
    </row>
    <row r="231" spans="1:18" x14ac:dyDescent="0.25">
      <c r="A231" s="1">
        <v>41275</v>
      </c>
      <c r="B231" s="8">
        <f>VLOOKUP(A231,HPA2Yr!A:F,6,0)*100</f>
        <v>98.53548629365369</v>
      </c>
      <c r="C231">
        <f>VLOOKUP(A231,'MBA CA Index'!A:F,3,0)</f>
        <v>105.82236111111111</v>
      </c>
      <c r="D231">
        <f>VLOOKUP(A231,'Purchase Index'!M:T,5,0)</f>
        <v>174.02480943614248</v>
      </c>
      <c r="E231" s="8">
        <f>VLOOKUP(A231,Cello!A:F,3,0)*100</f>
        <v>1.8399042307628133</v>
      </c>
      <c r="M231" s="1">
        <v>41275</v>
      </c>
      <c r="N231" s="8">
        <f t="shared" si="12"/>
        <v>30.443442577281761</v>
      </c>
      <c r="O231" s="8">
        <f t="shared" si="13"/>
        <v>0.51243975511267437</v>
      </c>
      <c r="P231" s="8">
        <f t="shared" si="14"/>
        <v>1.6642025520148769</v>
      </c>
      <c r="Q231" s="8">
        <f t="shared" si="15"/>
        <v>0.5364778569118398</v>
      </c>
      <c r="R231" s="8">
        <f>VLOOKUP(M231,'Tracking Diff'!A:D,4,0)</f>
        <v>32.917262179911901</v>
      </c>
    </row>
    <row r="232" spans="1:18" x14ac:dyDescent="0.25">
      <c r="A232" s="1">
        <v>41306</v>
      </c>
      <c r="B232" s="8">
        <f>VLOOKUP(A232,HPA2Yr!A:F,6,0)*100</f>
        <v>99.6304485154769</v>
      </c>
      <c r="C232">
        <f>VLOOKUP(A232,'MBA CA Index'!A:F,3,0)</f>
        <v>105.59166666666665</v>
      </c>
      <c r="D232">
        <f>VLOOKUP(A232,'Purchase Index'!M:T,5,0)</f>
        <v>174.69987087451548</v>
      </c>
      <c r="E232" s="8">
        <f>VLOOKUP(A232,Cello!A:F,3,0)*100</f>
        <v>1.8575334147311933</v>
      </c>
      <c r="M232" s="1">
        <v>41306</v>
      </c>
      <c r="N232" s="8">
        <f t="shared" si="12"/>
        <v>33.513883467223678</v>
      </c>
      <c r="O232" s="8">
        <f t="shared" si="13"/>
        <v>0.47915351549583562</v>
      </c>
      <c r="P232" s="8">
        <f t="shared" si="14"/>
        <v>1.9125254610125917</v>
      </c>
      <c r="Q232" s="8">
        <f t="shared" si="15"/>
        <v>0.96312629019253171</v>
      </c>
      <c r="R232" s="8">
        <f>VLOOKUP(M232,'Tracking Diff'!A:D,4,0)</f>
        <v>27.220147750366202</v>
      </c>
    </row>
    <row r="233" spans="1:18" x14ac:dyDescent="0.25">
      <c r="A233" s="1">
        <v>41334</v>
      </c>
      <c r="B233" s="8">
        <f>VLOOKUP(A233,HPA2Yr!A:F,6,0)*100</f>
        <v>100.74607830633799</v>
      </c>
      <c r="C233">
        <f>VLOOKUP(A233,'MBA CA Index'!A:F,3,0)</f>
        <v>105.42208333333336</v>
      </c>
      <c r="D233">
        <f>VLOOKUP(A233,'Purchase Index'!M:T,5,0)</f>
        <v>175.35275498327454</v>
      </c>
      <c r="E233" s="8">
        <f>VLOOKUP(A233,Cello!A:F,3,0)*100</f>
        <v>1.868522945968909</v>
      </c>
      <c r="M233" s="1">
        <v>41334</v>
      </c>
      <c r="N233" s="8">
        <f t="shared" si="12"/>
        <v>36.642279369498304</v>
      </c>
      <c r="O233" s="8">
        <f t="shared" si="13"/>
        <v>0.45468482279737155</v>
      </c>
      <c r="P233" s="8">
        <f t="shared" si="14"/>
        <v>2.1526903880985997</v>
      </c>
      <c r="Q233" s="8">
        <f t="shared" si="15"/>
        <v>1.2290867733022615</v>
      </c>
      <c r="R233" s="8">
        <f>VLOOKUP(M233,'Tracking Diff'!A:D,4,0)</f>
        <v>16.288154663980603</v>
      </c>
    </row>
    <row r="234" spans="1:18" x14ac:dyDescent="0.25">
      <c r="A234" s="1">
        <v>41365</v>
      </c>
      <c r="B234" s="8">
        <f>VLOOKUP(A234,HPA2Yr!A:F,6,0)*100</f>
        <v>101.861906797776</v>
      </c>
      <c r="C234">
        <f>VLOOKUP(A234,'MBA CA Index'!A:F,3,0)</f>
        <v>105.48541666666669</v>
      </c>
      <c r="D234">
        <f>VLOOKUP(A234,'Purchase Index'!M:T,5,0)</f>
        <v>176.22743456268995</v>
      </c>
      <c r="E234" s="8">
        <f>VLOOKUP(A234,Cello!A:F,3,0)*100</f>
        <v>1.8805300634410855</v>
      </c>
      <c r="M234" s="1">
        <v>41365</v>
      </c>
      <c r="N234" s="8">
        <f t="shared" si="12"/>
        <v>39.771232458463082</v>
      </c>
      <c r="O234" s="8">
        <f t="shared" si="13"/>
        <v>0.46382300778549779</v>
      </c>
      <c r="P234" s="8">
        <f t="shared" si="14"/>
        <v>2.4744432912489014</v>
      </c>
      <c r="Q234" s="8">
        <f t="shared" si="15"/>
        <v>1.5196741236248694</v>
      </c>
      <c r="R234" s="8">
        <f>VLOOKUP(M234,'Tracking Diff'!A:D,4,0)</f>
        <v>13.960796300617002</v>
      </c>
    </row>
    <row r="235" spans="1:18" x14ac:dyDescent="0.25">
      <c r="A235" s="1">
        <v>41395</v>
      </c>
      <c r="B235" s="8">
        <f>VLOOKUP(A235,HPA2Yr!A:F,6,0)*100</f>
        <v>102.99049748462701</v>
      </c>
      <c r="C235">
        <f>VLOOKUP(A235,'MBA CA Index'!A:F,3,0)</f>
        <v>105.46833333333335</v>
      </c>
      <c r="D235">
        <f>VLOOKUP(A235,'Purchase Index'!M:T,5,0)</f>
        <v>177.02159691397262</v>
      </c>
      <c r="E235" s="8">
        <f>VLOOKUP(A235,Cello!A:F,3,0)*100</f>
        <v>1.8886226550804779</v>
      </c>
      <c r="M235" s="1">
        <v>41395</v>
      </c>
      <c r="N235" s="8">
        <f t="shared" si="12"/>
        <v>42.935972687715015</v>
      </c>
      <c r="O235" s="8">
        <f t="shared" si="13"/>
        <v>0.461358102624225</v>
      </c>
      <c r="P235" s="8">
        <f t="shared" si="14"/>
        <v>2.7665777460953773</v>
      </c>
      <c r="Q235" s="8">
        <f t="shared" si="15"/>
        <v>1.7155250234918162</v>
      </c>
      <c r="R235" s="8">
        <f>VLOOKUP(M235,'Tracking Diff'!A:D,4,0)</f>
        <v>19.117313948663398</v>
      </c>
    </row>
    <row r="236" spans="1:18" x14ac:dyDescent="0.25">
      <c r="A236" s="1">
        <v>41426</v>
      </c>
      <c r="B236" s="8">
        <f>VLOOKUP(A236,HPA2Yr!A:F,6,0)*100</f>
        <v>104.13207057602401</v>
      </c>
      <c r="C236">
        <f>VLOOKUP(A236,'MBA CA Index'!A:F,3,0)</f>
        <v>105.43750000000001</v>
      </c>
      <c r="D236">
        <f>VLOOKUP(A236,'Purchase Index'!M:T,5,0)</f>
        <v>178.13537612668605</v>
      </c>
      <c r="E236" s="8">
        <f>VLOOKUP(A236,Cello!A:F,3,0)*100</f>
        <v>1.9027033854326021</v>
      </c>
      <c r="M236" s="1">
        <v>41426</v>
      </c>
      <c r="N236" s="8">
        <f t="shared" si="12"/>
        <v>46.137117557212306</v>
      </c>
      <c r="O236" s="8">
        <f t="shared" si="13"/>
        <v>0.45690924940632133</v>
      </c>
      <c r="P236" s="8">
        <f t="shared" si="14"/>
        <v>3.1762840014975153</v>
      </c>
      <c r="Q236" s="8">
        <f t="shared" si="15"/>
        <v>2.0562964145531879</v>
      </c>
      <c r="R236" s="8">
        <f>VLOOKUP(M236,'Tracking Diff'!A:D,4,0)</f>
        <v>15.427655385204897</v>
      </c>
    </row>
    <row r="237" spans="1:18" x14ac:dyDescent="0.25">
      <c r="A237" s="1">
        <v>41456</v>
      </c>
      <c r="B237" s="8">
        <f>VLOOKUP(A237,HPA2Yr!A:F,6,0)*100</f>
        <v>104.425465838509</v>
      </c>
      <c r="C237">
        <f>VLOOKUP(A237,'MBA CA Index'!A:F,3,0)</f>
        <v>105.53541666666668</v>
      </c>
      <c r="D237">
        <f>VLOOKUP(A237,'Purchase Index'!M:T,5,0)</f>
        <v>178.75499830401569</v>
      </c>
      <c r="E237" s="8">
        <f>VLOOKUP(A237,Cello!A:F,3,0)*100</f>
        <v>1.9050318919901419</v>
      </c>
      <c r="M237" s="1">
        <v>41456</v>
      </c>
      <c r="N237" s="8">
        <f t="shared" si="12"/>
        <v>46.959842572646323</v>
      </c>
      <c r="O237" s="8">
        <f t="shared" si="13"/>
        <v>0.47103736435506877</v>
      </c>
      <c r="P237" s="8">
        <f t="shared" si="14"/>
        <v>3.4042134502967709</v>
      </c>
      <c r="Q237" s="8">
        <f t="shared" si="15"/>
        <v>2.1126492029998936</v>
      </c>
      <c r="R237" s="8">
        <f>VLOOKUP(M237,'Tracking Diff'!A:D,4,0)</f>
        <v>0.56509265974650091</v>
      </c>
    </row>
    <row r="238" spans="1:18" x14ac:dyDescent="0.25">
      <c r="A238" s="1">
        <v>41487</v>
      </c>
      <c r="B238" s="8">
        <f>VLOOKUP(A238,HPA2Yr!A:F,6,0)*100</f>
        <v>104.717346411977</v>
      </c>
      <c r="C238">
        <f>VLOOKUP(A238,'MBA CA Index'!A:F,3,0)</f>
        <v>105.69166666666671</v>
      </c>
      <c r="D238">
        <f>VLOOKUP(A238,'Purchase Index'!M:T,5,0)</f>
        <v>179.59731613361404</v>
      </c>
      <c r="E238" s="8">
        <f>VLOOKUP(A238,Cello!A:F,3,0)*100</f>
        <v>1.8981249123042225</v>
      </c>
      <c r="M238" s="1">
        <v>41487</v>
      </c>
      <c r="N238" s="8">
        <f t="shared" si="12"/>
        <v>47.778320169310447</v>
      </c>
      <c r="O238" s="8">
        <f t="shared" si="13"/>
        <v>0.49358222863498991</v>
      </c>
      <c r="P238" s="8">
        <f t="shared" si="14"/>
        <v>3.7140620090451826</v>
      </c>
      <c r="Q238" s="8">
        <f t="shared" si="15"/>
        <v>1.9454916041578494</v>
      </c>
      <c r="R238" s="8">
        <f>VLOOKUP(M238,'Tracking Diff'!A:D,4,0)</f>
        <v>1.3624054250580997</v>
      </c>
    </row>
    <row r="239" spans="1:18" x14ac:dyDescent="0.25">
      <c r="A239" s="1">
        <v>41518</v>
      </c>
      <c r="B239" s="8">
        <f>VLOOKUP(A239,HPA2Yr!A:F,6,0)*100</f>
        <v>105.00772399588001</v>
      </c>
      <c r="C239">
        <f>VLOOKUP(A239,'MBA CA Index'!A:F,3,0)</f>
        <v>105.67125000000003</v>
      </c>
      <c r="D239">
        <f>VLOOKUP(A239,'Purchase Index'!M:T,5,0)</f>
        <v>180.40684474668305</v>
      </c>
      <c r="E239" s="8">
        <f>VLOOKUP(A239,Cello!A:F,3,0)*100</f>
        <v>1.8999028271587775</v>
      </c>
      <c r="M239" s="1">
        <v>41518</v>
      </c>
      <c r="N239" s="8">
        <f t="shared" si="12"/>
        <v>48.592583154250477</v>
      </c>
      <c r="O239" s="8">
        <f t="shared" si="13"/>
        <v>0.49063636636907926</v>
      </c>
      <c r="P239" s="8">
        <f t="shared" si="14"/>
        <v>4.011848978774454</v>
      </c>
      <c r="Q239" s="8">
        <f t="shared" si="15"/>
        <v>1.9885193806313868</v>
      </c>
      <c r="R239" s="8">
        <f>VLOOKUP(M239,'Tracking Diff'!A:D,4,0)</f>
        <v>0.65502198499019926</v>
      </c>
    </row>
    <row r="240" spans="1:18" x14ac:dyDescent="0.25">
      <c r="A240" s="1">
        <v>41548</v>
      </c>
      <c r="B240" s="8">
        <f>VLOOKUP(A240,HPA2Yr!A:F,6,0)*100</f>
        <v>105.176846119239</v>
      </c>
      <c r="C240">
        <f>VLOOKUP(A240,'MBA CA Index'!A:F,3,0)</f>
        <v>105.85458333333334</v>
      </c>
      <c r="D240">
        <f>VLOOKUP(A240,'Purchase Index'!M:T,5,0)</f>
        <v>180.91392160602246</v>
      </c>
      <c r="E240" s="8">
        <f>VLOOKUP(A240,Cello!A:F,3,0)*100</f>
        <v>1.9025009547695098</v>
      </c>
      <c r="M240" s="1">
        <v>41548</v>
      </c>
      <c r="N240" s="8">
        <f t="shared" si="12"/>
        <v>49.066827354283788</v>
      </c>
      <c r="O240" s="8">
        <f t="shared" si="13"/>
        <v>0.51708900712417838</v>
      </c>
      <c r="P240" s="8">
        <f t="shared" si="14"/>
        <v>4.1983783724546333</v>
      </c>
      <c r="Q240" s="8">
        <f t="shared" si="15"/>
        <v>2.0513973378057204</v>
      </c>
      <c r="R240" s="8">
        <f>VLOOKUP(M240,'Tracking Diff'!A:D,4,0)</f>
        <v>0.84845820805969829</v>
      </c>
    </row>
    <row r="241" spans="1:18" x14ac:dyDescent="0.25">
      <c r="A241" s="1">
        <v>41579</v>
      </c>
      <c r="B241" s="8">
        <f>VLOOKUP(A241,HPA2Yr!A:F,6,0)*100</f>
        <v>105.345454545454</v>
      </c>
      <c r="C241">
        <f>VLOOKUP(A241,'MBA CA Index'!A:F,3,0)</f>
        <v>106.01791666666666</v>
      </c>
      <c r="D241">
        <f>VLOOKUP(A241,'Purchase Index'!M:T,5,0)</f>
        <v>180.97361354086513</v>
      </c>
      <c r="E241" s="8">
        <f>VLOOKUP(A241,Cello!A:F,3,0)*100</f>
        <v>1.9123146828633748</v>
      </c>
      <c r="M241" s="1">
        <v>41579</v>
      </c>
      <c r="N241" s="8">
        <f t="shared" si="12"/>
        <v>49.539631069262441</v>
      </c>
      <c r="O241" s="8">
        <f t="shared" si="13"/>
        <v>0.5406559052514508</v>
      </c>
      <c r="P241" s="8">
        <f t="shared" si="14"/>
        <v>4.2203361885306929</v>
      </c>
      <c r="Q241" s="8">
        <f t="shared" si="15"/>
        <v>2.2889019054249666</v>
      </c>
      <c r="R241" s="8">
        <f>VLOOKUP(M241,'Tracking Diff'!A:D,4,0)</f>
        <v>5.4204506857040009</v>
      </c>
    </row>
    <row r="242" spans="1:18" x14ac:dyDescent="0.25">
      <c r="A242" s="1">
        <v>41609</v>
      </c>
      <c r="B242" s="8">
        <f>VLOOKUP(A242,HPA2Yr!A:F,6,0)*100</f>
        <v>105.51355161145599</v>
      </c>
      <c r="C242">
        <f>VLOOKUP(A242,'MBA CA Index'!A:F,3,0)</f>
        <v>106.2670833333333</v>
      </c>
      <c r="D242">
        <f>VLOOKUP(A242,'Purchase Index'!M:T,5,0)</f>
        <v>180.65527279343118</v>
      </c>
      <c r="E242" s="8">
        <f>VLOOKUP(A242,Cello!A:F,3,0)*100</f>
        <v>1.9373691826791044</v>
      </c>
      <c r="M242" s="1">
        <v>41609</v>
      </c>
      <c r="N242" s="8">
        <f t="shared" si="12"/>
        <v>50.011000852296938</v>
      </c>
      <c r="O242" s="8">
        <f t="shared" si="13"/>
        <v>0.57660744882315451</v>
      </c>
      <c r="P242" s="8">
        <f t="shared" si="14"/>
        <v>4.1032338094556415</v>
      </c>
      <c r="Q242" s="8">
        <f t="shared" si="15"/>
        <v>2.895252324830949</v>
      </c>
      <c r="R242" s="8">
        <f>VLOOKUP(M242,'Tracking Diff'!A:D,4,0)</f>
        <v>3.2625418371436012</v>
      </c>
    </row>
    <row r="243" spans="1:18" x14ac:dyDescent="0.25">
      <c r="A243" s="1">
        <v>41640</v>
      </c>
      <c r="B243" s="8">
        <f>VLOOKUP(A243,HPA2Yr!A:F,6,0)*100</f>
        <v>106.19909987141001</v>
      </c>
      <c r="C243">
        <f>VLOOKUP(A243,'MBA CA Index'!A:F,3,0)</f>
        <v>106.70958333333334</v>
      </c>
      <c r="D243">
        <f>VLOOKUP(A243,'Purchase Index'!M:T,5,0)</f>
        <v>180.66257776407272</v>
      </c>
      <c r="E243" s="8">
        <f>VLOOKUP(A243,Cello!A:F,3,0)*100</f>
        <v>1.9599891988768177</v>
      </c>
      <c r="M243" s="1">
        <v>41640</v>
      </c>
      <c r="N243" s="8">
        <f t="shared" si="12"/>
        <v>51.933382618022563</v>
      </c>
      <c r="O243" s="8">
        <f t="shared" si="13"/>
        <v>0.64045450446388497</v>
      </c>
      <c r="P243" s="8">
        <f t="shared" si="14"/>
        <v>4.105920959775208</v>
      </c>
      <c r="Q243" s="8">
        <f t="shared" si="15"/>
        <v>3.4426851775851133</v>
      </c>
      <c r="R243" s="8">
        <f>VLOOKUP(M243,'Tracking Diff'!A:D,4,0)</f>
        <v>2.0993486669099202</v>
      </c>
    </row>
    <row r="244" spans="1:18" x14ac:dyDescent="0.25">
      <c r="A244" s="1">
        <v>41671</v>
      </c>
      <c r="B244" s="8">
        <f>VLOOKUP(A244,HPA2Yr!A:F,6,0)*100</f>
        <v>106.88939547087</v>
      </c>
      <c r="C244">
        <f>VLOOKUP(A244,'MBA CA Index'!A:F,3,0)</f>
        <v>107.31208333333332</v>
      </c>
      <c r="D244">
        <f>VLOOKUP(A244,'Purchase Index'!M:T,5,0)</f>
        <v>180.43631045010829</v>
      </c>
      <c r="E244" s="8">
        <f>VLOOKUP(A244,Cello!A:F,3,0)*100</f>
        <v>1.9777971340308014</v>
      </c>
      <c r="M244" s="1">
        <v>41671</v>
      </c>
      <c r="N244" s="8">
        <f t="shared" si="12"/>
        <v>53.869076646990735</v>
      </c>
      <c r="O244" s="8">
        <f t="shared" si="13"/>
        <v>0.72738750112724182</v>
      </c>
      <c r="P244" s="8">
        <f t="shared" si="14"/>
        <v>4.0226880058233929</v>
      </c>
      <c r="Q244" s="8">
        <f t="shared" si="15"/>
        <v>3.8736596144642523</v>
      </c>
      <c r="R244" s="8">
        <f>VLOOKUP(M244,'Tracking Diff'!A:D,4,0)</f>
        <v>2.3667871966376488</v>
      </c>
    </row>
    <row r="245" spans="1:18" x14ac:dyDescent="0.25">
      <c r="A245" s="1">
        <v>41699</v>
      </c>
      <c r="B245" s="8">
        <f>VLOOKUP(A245,HPA2Yr!A:F,6,0)*100</f>
        <v>107.584487893305</v>
      </c>
      <c r="C245">
        <f>VLOOKUP(A245,'MBA CA Index'!A:F,3,0)</f>
        <v>107.89541666666666</v>
      </c>
      <c r="D245">
        <f>VLOOKUP(A245,'Purchase Index'!M:T,5,0)</f>
        <v>179.82128342771918</v>
      </c>
      <c r="E245" s="8">
        <f>VLOOKUP(A245,Cello!A:F,3,0)*100</f>
        <v>2.0030842653157053</v>
      </c>
      <c r="M245" s="1">
        <v>41699</v>
      </c>
      <c r="N245" s="8">
        <f t="shared" si="12"/>
        <v>55.818221698387575</v>
      </c>
      <c r="O245" s="8">
        <f t="shared" si="13"/>
        <v>0.81155499443893353</v>
      </c>
      <c r="P245" s="8">
        <f t="shared" si="14"/>
        <v>3.7964488953804132</v>
      </c>
      <c r="Q245" s="8">
        <f t="shared" si="15"/>
        <v>4.4856400081238936</v>
      </c>
      <c r="R245" s="8">
        <f>VLOOKUP(M245,'Tracking Diff'!A:D,4,0)</f>
        <v>4.1654721697028005</v>
      </c>
    </row>
    <row r="246" spans="1:18" x14ac:dyDescent="0.25">
      <c r="A246" s="1">
        <v>41730</v>
      </c>
      <c r="B246" s="8">
        <f>VLOOKUP(A246,HPA2Yr!A:F,6,0)*100</f>
        <v>108.452712776301</v>
      </c>
      <c r="C246">
        <f>VLOOKUP(A246,'MBA CA Index'!A:F,3,0)</f>
        <v>108.39916666666666</v>
      </c>
      <c r="D246">
        <f>VLOOKUP(A246,'Purchase Index'!M:T,5,0)</f>
        <v>179.39149377322977</v>
      </c>
      <c r="E246" s="8">
        <f>VLOOKUP(A246,Cello!A:F,3,0)*100</f>
        <v>2.0344149091795867</v>
      </c>
      <c r="M246" s="1">
        <v>41730</v>
      </c>
      <c r="N246" s="8">
        <f t="shared" si="12"/>
        <v>58.252856546316032</v>
      </c>
      <c r="O246" s="8">
        <f t="shared" si="13"/>
        <v>0.8842396368773856</v>
      </c>
      <c r="P246" s="8">
        <f t="shared" si="14"/>
        <v>3.6383497784805354</v>
      </c>
      <c r="Q246" s="8">
        <f t="shared" si="15"/>
        <v>5.2438810102131521</v>
      </c>
      <c r="R246" s="8">
        <f>VLOOKUP(M246,'Tracking Diff'!A:D,4,0)</f>
        <v>4.3484529857929992</v>
      </c>
    </row>
    <row r="247" spans="1:18" x14ac:dyDescent="0.25">
      <c r="A247" s="1">
        <v>41760</v>
      </c>
      <c r="B247" s="8">
        <f>VLOOKUP(A247,HPA2Yr!A:F,6,0)*100</f>
        <v>109.32307892004101</v>
      </c>
      <c r="C247">
        <f>VLOOKUP(A247,'MBA CA Index'!A:F,3,0)</f>
        <v>108.96375000000002</v>
      </c>
      <c r="D247">
        <f>VLOOKUP(A247,'Purchase Index'!M:T,5,0)</f>
        <v>179.02474505897689</v>
      </c>
      <c r="E247" s="8">
        <f>VLOOKUP(A247,Cello!A:F,3,0)*100</f>
        <v>2.0660531262532675</v>
      </c>
      <c r="M247" s="1">
        <v>41760</v>
      </c>
      <c r="N247" s="8">
        <f t="shared" si="12"/>
        <v>60.693495815596584</v>
      </c>
      <c r="O247" s="8">
        <f t="shared" si="13"/>
        <v>0.96570174647548968</v>
      </c>
      <c r="P247" s="8">
        <f t="shared" si="14"/>
        <v>3.5034404170245725</v>
      </c>
      <c r="Q247" s="8">
        <f t="shared" si="15"/>
        <v>6.0095656709717744</v>
      </c>
      <c r="R247" s="8">
        <f>VLOOKUP(M247,'Tracking Diff'!A:D,4,0)</f>
        <v>4.7136851958263009</v>
      </c>
    </row>
    <row r="248" spans="1:18" x14ac:dyDescent="0.25">
      <c r="A248" s="1">
        <v>41791</v>
      </c>
      <c r="B248" s="8">
        <f>VLOOKUP(A248,HPA2Yr!A:F,6,0)*100</f>
        <v>110.195594255637</v>
      </c>
      <c r="C248">
        <f>VLOOKUP(A248,'MBA CA Index'!A:F,3,0)</f>
        <v>109.49666666666668</v>
      </c>
      <c r="D248">
        <f>VLOOKUP(A248,'Purchase Index'!M:T,5,0)</f>
        <v>178.66447303137394</v>
      </c>
      <c r="E248" s="8">
        <f>VLOOKUP(A248,Cello!A:F,3,0)*100</f>
        <v>2.0963875298682653</v>
      </c>
      <c r="M248" s="1">
        <v>41791</v>
      </c>
      <c r="N248" s="8">
        <f t="shared" si="12"/>
        <v>63.140161746275488</v>
      </c>
      <c r="O248" s="8">
        <f t="shared" si="13"/>
        <v>1.0425947635795265</v>
      </c>
      <c r="P248" s="8">
        <f t="shared" si="14"/>
        <v>3.3709135197091387</v>
      </c>
      <c r="Q248" s="8">
        <f t="shared" si="15"/>
        <v>6.7436964055568902</v>
      </c>
      <c r="R248" s="8">
        <f>VLOOKUP(M248,'Tracking Diff'!A:D,4,0)</f>
        <v>6.6450150549600018</v>
      </c>
    </row>
    <row r="249" spans="1:18" x14ac:dyDescent="0.25">
      <c r="A249" s="1">
        <v>41821</v>
      </c>
      <c r="B249" s="8">
        <f>VLOOKUP(A249,HPA2Yr!A:F,6,0)*100</f>
        <v>110.286743376001</v>
      </c>
      <c r="C249">
        <f>VLOOKUP(A249,'MBA CA Index'!A:F,3,0)</f>
        <v>110.19375000000002</v>
      </c>
      <c r="D249">
        <f>VLOOKUP(A249,'Purchase Index'!M:T,5,0)</f>
        <v>178.04215721460125</v>
      </c>
      <c r="E249" s="8">
        <f>VLOOKUP(A249,Cello!A:F,3,0)*100</f>
        <v>2.1308738969300189</v>
      </c>
      <c r="M249" s="1">
        <v>41821</v>
      </c>
      <c r="N249" s="8">
        <f t="shared" si="12"/>
        <v>63.395757766548996</v>
      </c>
      <c r="O249" s="8">
        <f t="shared" si="13"/>
        <v>1.1431749180869972</v>
      </c>
      <c r="P249" s="8">
        <f t="shared" si="14"/>
        <v>3.1419932094204377</v>
      </c>
      <c r="Q249" s="8">
        <f t="shared" si="15"/>
        <v>7.5783098796025721</v>
      </c>
      <c r="R249" s="8">
        <f>VLOOKUP(M249,'Tracking Diff'!A:D,4,0)</f>
        <v>6.2616541676352995</v>
      </c>
    </row>
    <row r="250" spans="1:18" x14ac:dyDescent="0.25">
      <c r="A250" s="1">
        <v>41852</v>
      </c>
      <c r="B250" s="8">
        <f>VLOOKUP(A250,HPA2Yr!A:F,6,0)*100</f>
        <v>110.37711536809501</v>
      </c>
      <c r="C250">
        <f>VLOOKUP(A250,'MBA CA Index'!A:F,3,0)</f>
        <v>110.70083333333334</v>
      </c>
      <c r="D250">
        <f>VLOOKUP(A250,'Purchase Index'!M:T,5,0)</f>
        <v>177.58425636881796</v>
      </c>
      <c r="E250" s="8">
        <f>VLOOKUP(A250,Cello!A:F,3,0)*100</f>
        <v>2.1607471222313346</v>
      </c>
      <c r="M250" s="1">
        <v>41852</v>
      </c>
      <c r="N250" s="8">
        <f t="shared" si="12"/>
        <v>63.649174600756218</v>
      </c>
      <c r="O250" s="8">
        <f t="shared" si="13"/>
        <v>1.216340517630085</v>
      </c>
      <c r="P250" s="8">
        <f t="shared" si="14"/>
        <v>2.9735533258870661</v>
      </c>
      <c r="Q250" s="8">
        <f t="shared" si="15"/>
        <v>8.3012795187366226</v>
      </c>
      <c r="R250" s="8">
        <f>VLOOKUP(M250,'Tracking Diff'!A:D,4,0)</f>
        <v>7.5886297824352997</v>
      </c>
    </row>
    <row r="251" spans="1:18" x14ac:dyDescent="0.25">
      <c r="A251" s="1">
        <v>41883</v>
      </c>
      <c r="B251" s="8">
        <f>VLOOKUP(A251,HPA2Yr!A:F,6,0)*100</f>
        <v>110.466720128307</v>
      </c>
      <c r="C251">
        <f>VLOOKUP(A251,'MBA CA Index'!A:F,3,0)</f>
        <v>111.20833333333333</v>
      </c>
      <c r="D251">
        <f>VLOOKUP(A251,'Purchase Index'!M:T,5,0)</f>
        <v>176.70830361651065</v>
      </c>
      <c r="E251" s="8">
        <f>VLOOKUP(A251,Cello!A:F,3,0)*100</f>
        <v>2.1890397413118277</v>
      </c>
      <c r="M251" s="1">
        <v>41883</v>
      </c>
      <c r="N251" s="8">
        <f t="shared" si="12"/>
        <v>63.900439999876802</v>
      </c>
      <c r="O251" s="8">
        <f t="shared" si="13"/>
        <v>1.2895662368112544</v>
      </c>
      <c r="P251" s="8">
        <f t="shared" si="14"/>
        <v>2.6513320831483926</v>
      </c>
      <c r="Q251" s="8">
        <f t="shared" si="15"/>
        <v>8.9859964985894916</v>
      </c>
      <c r="R251" s="8">
        <f>VLOOKUP(M251,'Tracking Diff'!A:D,4,0)</f>
        <v>7.4447846421693011</v>
      </c>
    </row>
    <row r="252" spans="1:18" x14ac:dyDescent="0.25">
      <c r="A252" s="1">
        <v>41913</v>
      </c>
      <c r="B252" s="8">
        <f>VLOOKUP(A252,HPA2Yr!A:F,6,0)*100</f>
        <v>110.485908960046</v>
      </c>
      <c r="C252">
        <f>VLOOKUP(A252,'MBA CA Index'!A:F,3,0)</f>
        <v>111.7</v>
      </c>
      <c r="D252">
        <f>VLOOKUP(A252,'Purchase Index'!M:T,5,0)</f>
        <v>175.63054388480873</v>
      </c>
      <c r="E252" s="8">
        <f>VLOOKUP(A252,Cello!A:F,3,0)*100</f>
        <v>2.221752758485783</v>
      </c>
      <c r="M252" s="1">
        <v>41913</v>
      </c>
      <c r="N252" s="8">
        <f t="shared" si="12"/>
        <v>63.9542484075345</v>
      </c>
      <c r="O252" s="8">
        <f t="shared" si="13"/>
        <v>1.3605074097453944</v>
      </c>
      <c r="P252" s="8">
        <f t="shared" si="14"/>
        <v>2.2548756770146805</v>
      </c>
      <c r="Q252" s="8">
        <f t="shared" si="15"/>
        <v>9.7776926741008428</v>
      </c>
      <c r="R252" s="8">
        <f>VLOOKUP(M252,'Tracking Diff'!A:D,4,0)</f>
        <v>5.3290025446718001</v>
      </c>
    </row>
    <row r="253" spans="1:18" x14ac:dyDescent="0.25">
      <c r="A253" s="1">
        <v>41944</v>
      </c>
      <c r="B253" s="8">
        <f>VLOOKUP(A253,HPA2Yr!A:F,6,0)*100</f>
        <v>110.50499250326899</v>
      </c>
      <c r="C253">
        <f>VLOOKUP(A253,'MBA CA Index'!A:F,3,0)</f>
        <v>112.06041666666665</v>
      </c>
      <c r="D253">
        <f>VLOOKUP(A253,'Purchase Index'!M:T,5,0)</f>
        <v>174.64699655586344</v>
      </c>
      <c r="E253" s="8">
        <f>VLOOKUP(A253,Cello!A:F,3,0)*100</f>
        <v>2.2506900153828036</v>
      </c>
      <c r="M253" s="1">
        <v>41944</v>
      </c>
      <c r="N253" s="8">
        <f t="shared" si="12"/>
        <v>64.007761570152368</v>
      </c>
      <c r="O253" s="8">
        <f t="shared" si="13"/>
        <v>1.4125108966844009</v>
      </c>
      <c r="P253" s="8">
        <f t="shared" si="14"/>
        <v>1.8930755207959018</v>
      </c>
      <c r="Q253" s="8">
        <f t="shared" si="15"/>
        <v>10.478010700204534</v>
      </c>
      <c r="R253" s="8">
        <f>VLOOKUP(M253,'Tracking Diff'!A:D,4,0)</f>
        <v>8.8577035738521985</v>
      </c>
    </row>
    <row r="254" spans="1:18" x14ac:dyDescent="0.25">
      <c r="A254" s="1">
        <v>41974</v>
      </c>
      <c r="B254" s="8">
        <f>VLOOKUP(A254,HPA2Yr!A:F,6,0)*100</f>
        <v>110.52397162218</v>
      </c>
      <c r="C254">
        <f>VLOOKUP(A254,'MBA CA Index'!A:F,3,0)</f>
        <v>112.37458333333331</v>
      </c>
      <c r="D254">
        <f>VLOOKUP(A254,'Purchase Index'!M:T,5,0)</f>
        <v>173.65570037070304</v>
      </c>
      <c r="E254" s="8">
        <f>VLOOKUP(A254,Cello!A:F,3,0)*100</f>
        <v>2.2844944907433944</v>
      </c>
      <c r="M254" s="1">
        <v>41974</v>
      </c>
      <c r="N254" s="8">
        <f t="shared" si="12"/>
        <v>64.060981911090138</v>
      </c>
      <c r="O254" s="8">
        <f t="shared" si="13"/>
        <v>1.4578411037965517</v>
      </c>
      <c r="P254" s="8">
        <f t="shared" si="14"/>
        <v>1.528424929924276</v>
      </c>
      <c r="Q254" s="8">
        <f t="shared" si="15"/>
        <v>11.296121537117944</v>
      </c>
      <c r="R254" s="8">
        <f>VLOOKUP(M254,'Tracking Diff'!A:D,4,0)</f>
        <v>8.2265945076147009</v>
      </c>
    </row>
    <row r="255" spans="1:18" x14ac:dyDescent="0.25">
      <c r="A255" s="1">
        <v>42005</v>
      </c>
      <c r="B255" s="8">
        <f>VLOOKUP(A255,HPA2Yr!A:F,6,0)*100</f>
        <v>110.686610772357</v>
      </c>
      <c r="C255">
        <f>VLOOKUP(A255,'MBA CA Index'!A:F,3,0)</f>
        <v>112.77416666666664</v>
      </c>
      <c r="D255">
        <f>VLOOKUP(A255,'Purchase Index'!M:T,5,0)</f>
        <v>172.83822208169056</v>
      </c>
      <c r="E255" s="8">
        <f>VLOOKUP(A255,Cello!A:F,3,0)*100</f>
        <v>2.3185117590930937</v>
      </c>
      <c r="M255" s="1">
        <v>42005</v>
      </c>
      <c r="N255" s="8">
        <f t="shared" si="12"/>
        <v>64.517046866625648</v>
      </c>
      <c r="O255" s="8">
        <f t="shared" si="13"/>
        <v>1.5154958367150604</v>
      </c>
      <c r="P255" s="8">
        <f t="shared" si="14"/>
        <v>1.2277136535413293</v>
      </c>
      <c r="Q255" s="8">
        <f t="shared" si="15"/>
        <v>12.119382232106412</v>
      </c>
      <c r="R255" s="8">
        <f>VLOOKUP(M255,'Tracking Diff'!A:D,4,0)</f>
        <v>12.854220010133698</v>
      </c>
    </row>
    <row r="256" spans="1:18" x14ac:dyDescent="0.25">
      <c r="A256" s="1">
        <v>42036</v>
      </c>
      <c r="B256" s="8">
        <f>VLOOKUP(A256,HPA2Yr!A:F,6,0)*100</f>
        <v>110.848682750531</v>
      </c>
      <c r="C256">
        <f>VLOOKUP(A256,'MBA CA Index'!A:F,3,0)</f>
        <v>113.16874999999999</v>
      </c>
      <c r="D256">
        <f>VLOOKUP(A256,'Purchase Index'!M:T,5,0)</f>
        <v>171.77958753157316</v>
      </c>
      <c r="E256" s="8">
        <f>VLOOKUP(A256,Cello!A:F,3,0)*100</f>
        <v>2.3569405243298753</v>
      </c>
      <c r="M256" s="1">
        <v>42036</v>
      </c>
      <c r="N256" s="8">
        <f t="shared" si="12"/>
        <v>64.971521385454821</v>
      </c>
      <c r="O256" s="8">
        <f t="shared" si="13"/>
        <v>1.5724291339766125</v>
      </c>
      <c r="P256" s="8">
        <f t="shared" si="14"/>
        <v>0.83829248961849212</v>
      </c>
      <c r="Q256" s="8">
        <f t="shared" si="15"/>
        <v>13.049406702359365</v>
      </c>
      <c r="R256" s="8">
        <f>VLOOKUP(M256,'Tracking Diff'!A:D,4,0)</f>
        <v>17.077454071557703</v>
      </c>
    </row>
    <row r="257" spans="1:18" x14ac:dyDescent="0.25">
      <c r="A257" s="1">
        <v>42064</v>
      </c>
      <c r="B257" s="8">
        <f>VLOOKUP(A257,HPA2Yr!A:F,6,0)*100</f>
        <v>111.01019051838701</v>
      </c>
      <c r="C257">
        <f>VLOOKUP(A257,'MBA CA Index'!A:F,3,0)</f>
        <v>113.7249583333333</v>
      </c>
      <c r="D257">
        <f>VLOOKUP(A257,'Purchase Index'!M:T,5,0)</f>
        <v>170.64946860003118</v>
      </c>
      <c r="E257" s="8">
        <f>VLOOKUP(A257,Cello!A:F,3,0)*100</f>
        <v>2.3994332442581667</v>
      </c>
      <c r="M257" s="1">
        <v>42064</v>
      </c>
      <c r="N257" s="8">
        <f t="shared" si="12"/>
        <v>65.424413772593638</v>
      </c>
      <c r="O257" s="8">
        <f t="shared" si="13"/>
        <v>1.6526828388493069</v>
      </c>
      <c r="P257" s="8">
        <f t="shared" si="14"/>
        <v>0.42257563091262329</v>
      </c>
      <c r="Q257" s="8">
        <f t="shared" si="15"/>
        <v>14.077783989462276</v>
      </c>
      <c r="R257" s="8">
        <f>VLOOKUP(M257,'Tracking Diff'!A:D,4,0)</f>
        <v>11.4401098785603</v>
      </c>
    </row>
    <row r="258" spans="1:18" x14ac:dyDescent="0.25">
      <c r="A258" s="1">
        <v>42095</v>
      </c>
      <c r="B258" s="8">
        <f>VLOOKUP(A258,HPA2Yr!A:F,6,0)*100</f>
        <v>111.14981847180501</v>
      </c>
      <c r="C258">
        <f>VLOOKUP(A258,'MBA CA Index'!A:F,3,0)</f>
        <v>114.28495833333334</v>
      </c>
      <c r="D258">
        <f>VLOOKUP(A258,'Purchase Index'!M:T,5,0)</f>
        <v>170.11742534655792</v>
      </c>
      <c r="E258" s="8">
        <f>VLOOKUP(A258,Cello!A:F,3,0)*100</f>
        <v>2.4305645234578943</v>
      </c>
      <c r="M258" s="1">
        <v>42095</v>
      </c>
      <c r="N258" s="8">
        <f t="shared" si="12"/>
        <v>65.815951826609492</v>
      </c>
      <c r="O258" s="8">
        <f t="shared" si="13"/>
        <v>1.7334836324285336</v>
      </c>
      <c r="P258" s="8">
        <f t="shared" si="14"/>
        <v>0.22686229149641665</v>
      </c>
      <c r="Q258" s="8">
        <f t="shared" si="15"/>
        <v>14.831200115836054</v>
      </c>
      <c r="R258" s="8">
        <f>VLOOKUP(M258,'Tracking Diff'!A:D,4,0)</f>
        <v>11.1812895818447</v>
      </c>
    </row>
    <row r="259" spans="1:18" x14ac:dyDescent="0.25">
      <c r="A259" s="1">
        <v>42125</v>
      </c>
      <c r="B259" s="8">
        <f>VLOOKUP(A259,HPA2Yr!A:F,6,0)*100</f>
        <v>111.287965765577</v>
      </c>
      <c r="C259">
        <f>VLOOKUP(A259,'MBA CA Index'!A:F,3,0)</f>
        <v>114.85704166666665</v>
      </c>
      <c r="D259">
        <f>VLOOKUP(A259,'Purchase Index'!M:T,5,0)</f>
        <v>169.74777709617209</v>
      </c>
      <c r="E259" s="8">
        <f>VLOOKUP(A259,Cello!A:F,3,0)*100</f>
        <v>2.4575328655260216</v>
      </c>
      <c r="M259" s="1">
        <v>42125</v>
      </c>
      <c r="N259" s="8">
        <f t="shared" ref="N259:N272" si="16">(B259-H$6)/(H$7-H$6)*100</f>
        <v>66.203337885396124</v>
      </c>
      <c r="O259" s="8">
        <f t="shared" ref="O259:O272" si="17">(C259-I$6)/(I$7-I$6)*100</f>
        <v>1.8160278955120668</v>
      </c>
      <c r="P259" s="8">
        <f t="shared" ref="P259:P272" si="18">(D259-J$6)/(J$7-J$6)*100</f>
        <v>9.0886328978162734E-2</v>
      </c>
      <c r="Q259" s="8">
        <f t="shared" ref="Q259:Q272" si="19">(E259-K$6)/(K$7-K$6)*100</f>
        <v>15.483867925768813</v>
      </c>
      <c r="R259" s="8">
        <f>VLOOKUP(M259,'Tracking Diff'!A:D,4,0)</f>
        <v>15.221813186940201</v>
      </c>
    </row>
    <row r="260" spans="1:18" x14ac:dyDescent="0.25">
      <c r="A260" s="1">
        <v>42156</v>
      </c>
      <c r="B260" s="8">
        <f>VLOOKUP(A260,HPA2Yr!A:F,6,0)*100</f>
        <v>111.424655827571</v>
      </c>
      <c r="C260">
        <f>VLOOKUP(A260,'MBA CA Index'!A:F,3,0)</f>
        <v>115.36495833333332</v>
      </c>
      <c r="D260">
        <f>VLOOKUP(A260,'Purchase Index'!M:T,5,0)</f>
        <v>169.50070421749135</v>
      </c>
      <c r="E260" s="8">
        <f>VLOOKUP(A260,Cello!A:F,3,0)*100</f>
        <v>2.482916884505094</v>
      </c>
      <c r="M260" s="1">
        <v>42156</v>
      </c>
      <c r="N260" s="8">
        <f t="shared" si="16"/>
        <v>66.586637644264741</v>
      </c>
      <c r="O260" s="8">
        <f t="shared" si="17"/>
        <v>1.889313734331318</v>
      </c>
      <c r="P260" s="8">
        <f t="shared" si="18"/>
        <v>0</v>
      </c>
      <c r="Q260" s="8">
        <f t="shared" si="19"/>
        <v>16.098193123532564</v>
      </c>
      <c r="R260" s="8">
        <f>VLOOKUP(M260,'Tracking Diff'!A:D,4,0)</f>
        <v>8.9606172510637982</v>
      </c>
    </row>
    <row r="261" spans="1:18" x14ac:dyDescent="0.25">
      <c r="A261" s="1">
        <v>42186</v>
      </c>
      <c r="B261" s="8">
        <f>VLOOKUP(A261,HPA2Yr!A:F,6,0)*100</f>
        <v>111.45807517554699</v>
      </c>
      <c r="C261">
        <f>VLOOKUP(A261,'MBA CA Index'!A:F,3,0)</f>
        <v>115.9149583333333</v>
      </c>
      <c r="D261">
        <f>VLOOKUP(A261,'Purchase Index'!M:T,5,0)</f>
        <v>169.61359941483781</v>
      </c>
      <c r="E261" s="8">
        <f>VLOOKUP(A261,Cello!A:F,3,0)*100</f>
        <v>2.5034724887621636</v>
      </c>
      <c r="M261" s="1">
        <v>42186</v>
      </c>
      <c r="N261" s="8">
        <f t="shared" si="16"/>
        <v>66.680350587502019</v>
      </c>
      <c r="O261" s="8">
        <f t="shared" si="17"/>
        <v>1.9686716565966236</v>
      </c>
      <c r="P261" s="8">
        <f t="shared" si="18"/>
        <v>4.1528759048230168E-2</v>
      </c>
      <c r="Q261" s="8">
        <f t="shared" si="19"/>
        <v>16.595664609855852</v>
      </c>
      <c r="R261" s="8">
        <f>VLOOKUP(M261,'Tracking Diff'!A:D,4,0)</f>
        <v>6.4872657068131989</v>
      </c>
    </row>
    <row r="262" spans="1:18" x14ac:dyDescent="0.25">
      <c r="A262" s="1">
        <v>42217</v>
      </c>
      <c r="B262" s="8">
        <f>VLOOKUP(A262,HPA2Yr!A:F,6,0)*100</f>
        <v>111.49113617222299</v>
      </c>
      <c r="C262">
        <f>VLOOKUP(A262,'MBA CA Index'!A:F,3,0)</f>
        <v>116.52329166666665</v>
      </c>
      <c r="D262">
        <f>VLOOKUP(A262,'Purchase Index'!M:T,5,0)</f>
        <v>170.05871306419809</v>
      </c>
      <c r="E262" s="8">
        <f>VLOOKUP(A262,Cello!A:F,3,0)*100</f>
        <v>2.5326639672177973</v>
      </c>
      <c r="M262" s="1">
        <v>42217</v>
      </c>
      <c r="N262" s="8">
        <f t="shared" si="16"/>
        <v>66.773058659098496</v>
      </c>
      <c r="O262" s="8">
        <f t="shared" si="17"/>
        <v>2.0564463281931027</v>
      </c>
      <c r="P262" s="8">
        <f t="shared" si="18"/>
        <v>0.20526484284844124</v>
      </c>
      <c r="Q262" s="8">
        <f t="shared" si="19"/>
        <v>17.302135117542527</v>
      </c>
      <c r="R262" s="8">
        <f>VLOOKUP(M262,'Tracking Diff'!A:D,4,0)</f>
        <v>7.0402346578941</v>
      </c>
    </row>
    <row r="263" spans="1:18" x14ac:dyDescent="0.25">
      <c r="A263" s="1">
        <v>42248</v>
      </c>
      <c r="B263" s="8">
        <f>VLOOKUP(A263,HPA2Yr!A:F,6,0)*100</f>
        <v>111.52384455069199</v>
      </c>
      <c r="C263">
        <f>VLOOKUP(A263,'MBA CA Index'!A:F,3,0)</f>
        <v>117.18162499999998</v>
      </c>
      <c r="D263">
        <f>VLOOKUP(A263,'Purchase Index'!M:T,5,0)</f>
        <v>170.58522913042148</v>
      </c>
      <c r="E263" s="8">
        <f>VLOOKUP(A263,Cello!A:F,3,0)*100</f>
        <v>2.5596092963328987</v>
      </c>
      <c r="M263" s="1">
        <v>42248</v>
      </c>
      <c r="N263" s="8">
        <f t="shared" si="16"/>
        <v>66.864777935520365</v>
      </c>
      <c r="O263" s="8">
        <f t="shared" si="17"/>
        <v>2.1514353563591526</v>
      </c>
      <c r="P263" s="8">
        <f t="shared" si="18"/>
        <v>0.398944993671073</v>
      </c>
      <c r="Q263" s="8">
        <f t="shared" si="19"/>
        <v>17.954245985056893</v>
      </c>
      <c r="R263" s="8">
        <f>VLOOKUP(M263,'Tracking Diff'!A:D,4,0)</f>
        <v>9.0550120360250013</v>
      </c>
    </row>
    <row r="264" spans="1:18" x14ac:dyDescent="0.25">
      <c r="A264" s="1">
        <v>42278</v>
      </c>
      <c r="B264" s="8">
        <f>VLOOKUP(A264,HPA2Yr!A:F,6,0)*100</f>
        <v>111.478648755995</v>
      </c>
      <c r="C264">
        <f>VLOOKUP(A264,'MBA CA Index'!A:F,3,0)</f>
        <v>117.88579166666665</v>
      </c>
      <c r="D264">
        <f>VLOOKUP(A264,'Purchase Index'!M:T,5,0)</f>
        <v>171.27361838740572</v>
      </c>
      <c r="E264" s="8">
        <f>VLOOKUP(A264,Cello!A:F,3,0)*100</f>
        <v>2.5836480558405461</v>
      </c>
      <c r="M264" s="1">
        <v>42278</v>
      </c>
      <c r="N264" s="8">
        <f t="shared" si="16"/>
        <v>66.738042041509331</v>
      </c>
      <c r="O264" s="8">
        <f t="shared" si="17"/>
        <v>2.2530375447139788</v>
      </c>
      <c r="P264" s="8">
        <f t="shared" si="18"/>
        <v>0.65217057152232405</v>
      </c>
      <c r="Q264" s="8">
        <f t="shared" si="19"/>
        <v>18.536014210990928</v>
      </c>
      <c r="R264" s="8">
        <f>VLOOKUP(M264,'Tracking Diff'!A:D,4,0)</f>
        <v>8.6853033589213009</v>
      </c>
    </row>
    <row r="265" spans="1:18" x14ac:dyDescent="0.25">
      <c r="A265" s="1">
        <v>42309</v>
      </c>
      <c r="B265" s="8">
        <f>VLOOKUP(A265,HPA2Yr!A:F,6,0)*100</f>
        <v>111.43373469511999</v>
      </c>
      <c r="C265">
        <f>VLOOKUP(A265,'MBA CA Index'!A:F,3,0)</f>
        <v>118.60245833333333</v>
      </c>
      <c r="D265">
        <f>VLOOKUP(A265,'Purchase Index'!M:T,5,0)</f>
        <v>172.17498464401558</v>
      </c>
      <c r="E265" s="8">
        <f>VLOOKUP(A265,Cello!A:F,3,0)*100</f>
        <v>2.6022221283650149</v>
      </c>
      <c r="M265" s="1">
        <v>42309</v>
      </c>
      <c r="N265" s="8">
        <f t="shared" si="16"/>
        <v>66.612096172057932</v>
      </c>
      <c r="O265" s="8">
        <f t="shared" si="17"/>
        <v>2.3564433222112005</v>
      </c>
      <c r="P265" s="8">
        <f t="shared" si="18"/>
        <v>0.98374023050507264</v>
      </c>
      <c r="Q265" s="8">
        <f t="shared" si="19"/>
        <v>18.985530136198822</v>
      </c>
      <c r="R265" s="8">
        <f>VLOOKUP(M265,'Tracking Diff'!A:D,4,0)</f>
        <v>11.382909350324699</v>
      </c>
    </row>
    <row r="266" spans="1:18" x14ac:dyDescent="0.25">
      <c r="A266" s="1">
        <v>42339</v>
      </c>
      <c r="B266" s="8">
        <f>VLOOKUP(A266,HPA2Yr!A:F,6,0)*100</f>
        <v>111.389099741915</v>
      </c>
      <c r="C266">
        <f>VLOOKUP(A266,'MBA CA Index'!A:F,3,0)</f>
        <v>119.16270833333333</v>
      </c>
      <c r="D266">
        <f>VLOOKUP(A266,'Purchase Index'!M:T,5,0)</f>
        <v>174.10005571026781</v>
      </c>
      <c r="E266" s="8">
        <f>VLOOKUP(A266,Cello!A:F,3,0)*100</f>
        <v>2.6148148051835096</v>
      </c>
      <c r="M266" s="1">
        <v>42339</v>
      </c>
      <c r="N266" s="8">
        <f t="shared" si="16"/>
        <v>66.48693296303594</v>
      </c>
      <c r="O266" s="8">
        <f t="shared" si="17"/>
        <v>2.437280187573271</v>
      </c>
      <c r="P266" s="8">
        <f t="shared" si="18"/>
        <v>1.691882067715073</v>
      </c>
      <c r="Q266" s="8">
        <f t="shared" si="19"/>
        <v>19.290288759459965</v>
      </c>
      <c r="R266" s="8">
        <f>VLOOKUP(M266,'Tracking Diff'!A:D,4,0)</f>
        <v>7.080448263735601</v>
      </c>
    </row>
    <row r="267" spans="1:18" x14ac:dyDescent="0.25">
      <c r="A267" s="1">
        <v>42370</v>
      </c>
      <c r="B267" s="8">
        <f>VLOOKUP(A267,HPA2Yr!A:F,6,0)*100</f>
        <v>111.33545229806701</v>
      </c>
      <c r="C267">
        <f>VLOOKUP(A267,'MBA CA Index'!A:F,3,0)</f>
        <v>119.61270833333333</v>
      </c>
      <c r="D267">
        <f>VLOOKUP(A267,'Purchase Index'!M:T,5,0)</f>
        <v>175.61357557146857</v>
      </c>
      <c r="E267" s="8">
        <f>VLOOKUP(A267,Cello!A:F,3,0)*100</f>
        <v>2.6198903217321967</v>
      </c>
      <c r="M267" s="1">
        <v>42370</v>
      </c>
      <c r="N267" s="8">
        <f t="shared" si="16"/>
        <v>66.336497357177819</v>
      </c>
      <c r="O267" s="8">
        <f t="shared" si="17"/>
        <v>2.5022093966994321</v>
      </c>
      <c r="P267" s="8">
        <f t="shared" si="18"/>
        <v>2.2486338437682605</v>
      </c>
      <c r="Q267" s="8">
        <f t="shared" si="19"/>
        <v>19.413122646012603</v>
      </c>
      <c r="R267" s="8">
        <f>VLOOKUP(M267,'Tracking Diff'!A:D,4,0)</f>
        <v>6.9951840170775093</v>
      </c>
    </row>
    <row r="268" spans="1:18" x14ac:dyDescent="0.25">
      <c r="A268" s="1">
        <v>42401</v>
      </c>
      <c r="B268" s="8">
        <f>VLOOKUP(A268,HPA2Yr!A:F,6,0)*100</f>
        <v>111.282128665559</v>
      </c>
      <c r="C268">
        <f>VLOOKUP(A268,'MBA CA Index'!A:F,3,0)</f>
        <v>120.04187500000002</v>
      </c>
      <c r="D268">
        <f>VLOOKUP(A268,'Purchase Index'!M:T,5,0)</f>
        <v>177.67045481817584</v>
      </c>
      <c r="E268" s="8" t="e">
        <f>VLOOKUP(A268,Cello!A:F,3,0)*100</f>
        <v>#N/A</v>
      </c>
      <c r="M268" s="1">
        <v>42401</v>
      </c>
      <c r="N268" s="8">
        <f t="shared" si="16"/>
        <v>66.186969767650368</v>
      </c>
      <c r="O268" s="8">
        <f t="shared" si="17"/>
        <v>2.5641326239216071</v>
      </c>
      <c r="P268" s="8">
        <f t="shared" si="18"/>
        <v>3.0052616245379715</v>
      </c>
      <c r="Q268" s="8" t="e">
        <f t="shared" si="19"/>
        <v>#N/A</v>
      </c>
      <c r="R268" s="8">
        <f>VLOOKUP(M268,'Tracking Diff'!A:D,4,0)</f>
        <v>8.0426729044892014</v>
      </c>
    </row>
    <row r="269" spans="1:18" x14ac:dyDescent="0.25">
      <c r="A269" s="1">
        <v>42430</v>
      </c>
      <c r="B269" s="8">
        <f>VLOOKUP(A269,HPA2Yr!A:F,6,0)*100</f>
        <v>111.22912592146801</v>
      </c>
      <c r="C269">
        <f>VLOOKUP(A269,'MBA CA Index'!A:F,3,0)</f>
        <v>120.43770833333336</v>
      </c>
      <c r="D269">
        <f>VLOOKUP(A269,'Purchase Index'!M:T,5,0)</f>
        <v>179.77043350174006</v>
      </c>
      <c r="E269" s="8" t="e">
        <f>VLOOKUP(A269,Cello!A:F,3,0)*100</f>
        <v>#N/A</v>
      </c>
      <c r="M269" s="1">
        <v>42430</v>
      </c>
      <c r="N269" s="8">
        <f t="shared" si="16"/>
        <v>66.038341998132339</v>
      </c>
      <c r="O269" s="8">
        <f t="shared" si="17"/>
        <v>2.6212462800973988</v>
      </c>
      <c r="P269" s="8">
        <f t="shared" si="18"/>
        <v>3.7777436326833058</v>
      </c>
      <c r="Q269" s="8" t="e">
        <f t="shared" si="19"/>
        <v>#N/A</v>
      </c>
      <c r="R269" s="8">
        <f>VLOOKUP(M269,'Tracking Diff'!A:D,4,0)</f>
        <v>12.1434788006452</v>
      </c>
    </row>
    <row r="270" spans="1:18" x14ac:dyDescent="0.25">
      <c r="A270" s="1">
        <v>42461</v>
      </c>
      <c r="B270" s="8">
        <f>VLOOKUP(A270,HPA2Yr!A:F,6,0)*100</f>
        <v>110.74770076743701</v>
      </c>
      <c r="C270">
        <f>VLOOKUP(A270,'MBA CA Index'!A:F,3,0)</f>
        <v>120.79604166666668</v>
      </c>
      <c r="D270">
        <f>VLOOKUP(A270,'Purchase Index'!M:T,5,0)</f>
        <v>181.99209133930347</v>
      </c>
      <c r="E270" s="8" t="e">
        <f>VLOOKUP(A270,Cello!A:F,3,0)*100</f>
        <v>#N/A</v>
      </c>
      <c r="M270" s="1">
        <v>42461</v>
      </c>
      <c r="N270" s="8">
        <f t="shared" si="16"/>
        <v>64.688352520027721</v>
      </c>
      <c r="O270" s="8">
        <f t="shared" si="17"/>
        <v>2.6729491688460065</v>
      </c>
      <c r="P270" s="8">
        <f t="shared" si="18"/>
        <v>4.5949855986160166</v>
      </c>
      <c r="Q270" s="8" t="e">
        <f t="shared" si="19"/>
        <v>#N/A</v>
      </c>
      <c r="R270" s="8">
        <f>VLOOKUP(M270,'Tracking Diff'!A:D,4,0)</f>
        <v>15.198551600906502</v>
      </c>
    </row>
    <row r="271" spans="1:18" x14ac:dyDescent="0.25">
      <c r="A271" s="1">
        <v>42491</v>
      </c>
      <c r="B271" s="8">
        <f>VLOOKUP(A271,HPA2Yr!A:F,6,0)*100</f>
        <v>110.27276339932901</v>
      </c>
      <c r="C271" t="e">
        <f>VLOOKUP(A271,'MBA CA Index'!A:F,3,0)</f>
        <v>#N/A</v>
      </c>
      <c r="D271">
        <f>VLOOKUP(A271,'Purchase Index'!M:T,5,0)</f>
        <v>183.91368975226428</v>
      </c>
      <c r="E271" s="8" t="e">
        <f>VLOOKUP(A271,Cello!A:F,3,0)*100</f>
        <v>#N/A</v>
      </c>
      <c r="M271" s="1">
        <v>42491</v>
      </c>
      <c r="N271" s="8">
        <f t="shared" si="16"/>
        <v>63.356555782079951</v>
      </c>
      <c r="O271" s="8" t="e">
        <f t="shared" si="17"/>
        <v>#N/A</v>
      </c>
      <c r="P271" s="8">
        <f t="shared" si="18"/>
        <v>5.3018500122935075</v>
      </c>
      <c r="Q271" s="8" t="e">
        <f t="shared" si="19"/>
        <v>#N/A</v>
      </c>
      <c r="R271" s="8">
        <f>VLOOKUP(M271,'Tracking Diff'!A:D,4,0)</f>
        <v>14.961651702574402</v>
      </c>
    </row>
    <row r="272" spans="1:18" x14ac:dyDescent="0.25">
      <c r="A272" s="1">
        <v>42522</v>
      </c>
      <c r="B272" s="8">
        <f>VLOOKUP(A272,HPA2Yr!A:F,6,0)*100</f>
        <v>109.804183548767</v>
      </c>
      <c r="C272" t="e">
        <f>VLOOKUP(A272,'MBA CA Index'!A:F,3,0)</f>
        <v>#N/A</v>
      </c>
      <c r="D272" t="e">
        <f>VLOOKUP(A272,'Purchase Index'!M:T,5,0)</f>
        <v>#N/A</v>
      </c>
      <c r="E272" s="8" t="e">
        <f>VLOOKUP(A272,Cello!A:F,3,0)*100</f>
        <v>#N/A</v>
      </c>
      <c r="M272" s="1">
        <v>42522</v>
      </c>
      <c r="N272" s="8">
        <f t="shared" si="16"/>
        <v>62.042586491913184</v>
      </c>
      <c r="O272" s="8" t="e">
        <f t="shared" si="17"/>
        <v>#N/A</v>
      </c>
      <c r="P272" s="8" t="e">
        <f t="shared" si="18"/>
        <v>#N/A</v>
      </c>
      <c r="Q272" s="8" t="e">
        <f t="shared" si="19"/>
        <v>#N/A</v>
      </c>
      <c r="R272" s="8" t="e">
        <f>VLOOKUP(M272,'Tracking Diff'!A:D,4,0)</f>
        <v>#N/A</v>
      </c>
    </row>
  </sheetData>
  <pageMargins left="0.7" right="0.7" top="0.75" bottom="0.75" header="0.3" footer="0.3"/>
  <pageSetup scale="16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theme="3" tint="0.79998168889431442"/>
  </sheetPr>
  <dimension ref="A1:F476"/>
  <sheetViews>
    <sheetView workbookViewId="0">
      <selection activeCell="I33" sqref="I33:I34"/>
    </sheetView>
  </sheetViews>
  <sheetFormatPr defaultRowHeight="15" x14ac:dyDescent="0.25"/>
  <cols>
    <col min="1" max="1" width="9.7109375" bestFit="1" customWidth="1"/>
    <col min="2" max="2" width="8.42578125" bestFit="1" customWidth="1"/>
    <col min="3" max="4" width="12.5703125" bestFit="1" customWidth="1"/>
    <col min="5" max="6" width="8.85546875" bestFit="1" customWidth="1"/>
  </cols>
  <sheetData>
    <row r="1" spans="1:6" x14ac:dyDescent="0.25">
      <c r="B1" t="s">
        <v>5</v>
      </c>
      <c r="C1" t="s">
        <v>6</v>
      </c>
      <c r="D1" t="s">
        <v>7</v>
      </c>
      <c r="E1" t="s">
        <v>8</v>
      </c>
      <c r="F1" t="s">
        <v>9</v>
      </c>
    </row>
    <row r="2" spans="1:6" x14ac:dyDescent="0.25">
      <c r="A2" s="1">
        <v>28185</v>
      </c>
      <c r="B2" s="8">
        <v>69.349999999999994</v>
      </c>
      <c r="C2" s="8">
        <v>62.82</v>
      </c>
      <c r="D2" s="8">
        <v>59.7</v>
      </c>
      <c r="E2" s="8">
        <v>1.1039477873288699</v>
      </c>
      <c r="F2" s="8">
        <v>1.1616415410385199</v>
      </c>
    </row>
    <row r="3" spans="1:6" x14ac:dyDescent="0.25">
      <c r="A3" s="1">
        <v>28216</v>
      </c>
      <c r="B3" s="8">
        <v>70.463333333332997</v>
      </c>
      <c r="C3" s="8">
        <v>63.716666666666001</v>
      </c>
      <c r="D3" s="8">
        <v>60.176666666666002</v>
      </c>
      <c r="E3" s="8">
        <v>1.10588543029035</v>
      </c>
      <c r="F3" s="8">
        <v>1.17094111781976</v>
      </c>
    </row>
    <row r="4" spans="1:6" x14ac:dyDescent="0.25">
      <c r="A4" s="1">
        <v>28246</v>
      </c>
      <c r="B4" s="8">
        <v>71.576666666666</v>
      </c>
      <c r="C4" s="8">
        <v>64.613333333333003</v>
      </c>
      <c r="D4" s="8">
        <v>60.653333333333002</v>
      </c>
      <c r="E4" s="8">
        <v>1.1077692942633</v>
      </c>
      <c r="F4" s="8">
        <v>1.1800945262695</v>
      </c>
    </row>
    <row r="5" spans="1:6" x14ac:dyDescent="0.25">
      <c r="A5" s="1">
        <v>28277</v>
      </c>
      <c r="B5" s="8">
        <v>72.69</v>
      </c>
      <c r="C5" s="8">
        <v>65.510000000000005</v>
      </c>
      <c r="D5" s="8">
        <v>61.13</v>
      </c>
      <c r="E5" s="8">
        <v>1.1096015875438801</v>
      </c>
      <c r="F5" s="8">
        <v>1.18910518566988</v>
      </c>
    </row>
    <row r="6" spans="1:6" x14ac:dyDescent="0.25">
      <c r="A6" s="1">
        <v>28307</v>
      </c>
      <c r="B6" s="8">
        <v>73.25</v>
      </c>
      <c r="C6" s="8">
        <v>65.87</v>
      </c>
      <c r="D6" s="8">
        <v>61.176666666666002</v>
      </c>
      <c r="E6" s="8">
        <v>1.1120388644299299</v>
      </c>
      <c r="F6" s="8">
        <v>1.19735193156433</v>
      </c>
    </row>
    <row r="7" spans="1:6" x14ac:dyDescent="0.25">
      <c r="A7" s="1">
        <v>28338</v>
      </c>
      <c r="B7" s="8">
        <v>73.81</v>
      </c>
      <c r="C7" s="8">
        <v>66.23</v>
      </c>
      <c r="D7" s="8">
        <v>61.223333333333002</v>
      </c>
      <c r="E7" s="8">
        <v>1.1144496451759001</v>
      </c>
      <c r="F7" s="8">
        <v>1.2055861055153301</v>
      </c>
    </row>
    <row r="8" spans="1:6" x14ac:dyDescent="0.25">
      <c r="A8" s="1">
        <v>28369</v>
      </c>
      <c r="B8" s="8">
        <v>74.37</v>
      </c>
      <c r="C8" s="8">
        <v>66.59</v>
      </c>
      <c r="D8" s="8">
        <v>61.27</v>
      </c>
      <c r="E8" s="8">
        <v>1.11683435951344</v>
      </c>
      <c r="F8" s="8">
        <v>1.21380773624938</v>
      </c>
    </row>
    <row r="9" spans="1:6" x14ac:dyDescent="0.25">
      <c r="A9" s="1">
        <v>28399</v>
      </c>
      <c r="B9" s="8">
        <v>75.306666666666004</v>
      </c>
      <c r="C9" s="8">
        <v>66.866666666666006</v>
      </c>
      <c r="D9" s="8">
        <v>61.62</v>
      </c>
      <c r="E9" s="8">
        <v>1.1262213359920199</v>
      </c>
      <c r="F9" s="8">
        <v>1.2221140322405999</v>
      </c>
    </row>
    <row r="10" spans="1:6" x14ac:dyDescent="0.25">
      <c r="A10" s="1">
        <v>28430</v>
      </c>
      <c r="B10" s="8">
        <v>76.243333333332998</v>
      </c>
      <c r="C10" s="8">
        <v>67.143333333333004</v>
      </c>
      <c r="D10" s="8">
        <v>61.97</v>
      </c>
      <c r="E10" s="8">
        <v>1.13553095368118</v>
      </c>
      <c r="F10" s="8">
        <v>1.23032650207088</v>
      </c>
    </row>
    <row r="11" spans="1:6" x14ac:dyDescent="0.25">
      <c r="A11" s="1">
        <v>28460</v>
      </c>
      <c r="B11" s="8">
        <v>77.180000000000007</v>
      </c>
      <c r="C11" s="8">
        <v>67.42</v>
      </c>
      <c r="D11" s="8">
        <v>62.32</v>
      </c>
      <c r="E11" s="8">
        <v>1.1447641649362199</v>
      </c>
      <c r="F11" s="8">
        <v>1.2384467265725201</v>
      </c>
    </row>
    <row r="12" spans="1:6" x14ac:dyDescent="0.25">
      <c r="A12" s="1">
        <v>28491</v>
      </c>
      <c r="B12" s="8">
        <v>77.966666666666001</v>
      </c>
      <c r="C12" s="8">
        <v>68.063333333333006</v>
      </c>
      <c r="D12" s="8">
        <v>62.486666666665997</v>
      </c>
      <c r="E12" s="8">
        <v>1.14550173857681</v>
      </c>
      <c r="F12" s="8">
        <v>1.2477328496745901</v>
      </c>
    </row>
    <row r="13" spans="1:6" x14ac:dyDescent="0.25">
      <c r="A13" s="1">
        <v>28522</v>
      </c>
      <c r="B13" s="8">
        <v>78.753333333333003</v>
      </c>
      <c r="C13" s="8">
        <v>68.706666666665996</v>
      </c>
      <c r="D13" s="8">
        <v>62.653333333333002</v>
      </c>
      <c r="E13" s="8">
        <v>1.1462254997089101</v>
      </c>
      <c r="F13" s="8">
        <v>1.25696956799319</v>
      </c>
    </row>
    <row r="14" spans="1:6" x14ac:dyDescent="0.25">
      <c r="A14" s="1">
        <v>28550</v>
      </c>
      <c r="B14" s="8">
        <v>79.540000000000006</v>
      </c>
      <c r="C14" s="8">
        <v>69.349999999999994</v>
      </c>
      <c r="D14" s="8">
        <v>62.82</v>
      </c>
      <c r="E14" s="8">
        <v>1.1469358327325101</v>
      </c>
      <c r="F14" s="8">
        <v>1.2661572747532599</v>
      </c>
    </row>
    <row r="15" spans="1:6" x14ac:dyDescent="0.25">
      <c r="A15" s="1">
        <v>28581</v>
      </c>
      <c r="B15" s="8">
        <v>80.616666666666006</v>
      </c>
      <c r="C15" s="8">
        <v>70.463333333332997</v>
      </c>
      <c r="D15" s="8">
        <v>63.716666666666001</v>
      </c>
      <c r="E15" s="8">
        <v>1.1440938549600199</v>
      </c>
      <c r="F15" s="8">
        <v>1.2652367250850101</v>
      </c>
    </row>
    <row r="16" spans="1:6" x14ac:dyDescent="0.25">
      <c r="A16" s="1">
        <v>28611</v>
      </c>
      <c r="B16" s="8">
        <v>81.693333333333001</v>
      </c>
      <c r="C16" s="8">
        <v>71.576666666666</v>
      </c>
      <c r="D16" s="8">
        <v>64.613333333333003</v>
      </c>
      <c r="E16" s="8">
        <v>1.1413402878032901</v>
      </c>
      <c r="F16" s="8">
        <v>1.26434172513413</v>
      </c>
    </row>
    <row r="17" spans="1:6" x14ac:dyDescent="0.25">
      <c r="A17" s="1">
        <v>28642</v>
      </c>
      <c r="B17" s="8">
        <v>82.77</v>
      </c>
      <c r="C17" s="8">
        <v>72.69</v>
      </c>
      <c r="D17" s="8">
        <v>65.510000000000005</v>
      </c>
      <c r="E17" s="8">
        <v>1.1386710689228201</v>
      </c>
      <c r="F17" s="8">
        <v>1.26347122576705</v>
      </c>
    </row>
    <row r="18" spans="1:6" x14ac:dyDescent="0.25">
      <c r="A18" s="1">
        <v>28672</v>
      </c>
      <c r="B18" s="8">
        <v>83.603333333332998</v>
      </c>
      <c r="C18" s="8">
        <v>73.25</v>
      </c>
      <c r="D18" s="8">
        <v>65.87</v>
      </c>
      <c r="E18" s="8">
        <v>1.14134243458475</v>
      </c>
      <c r="F18" s="8">
        <v>1.2692171448813201</v>
      </c>
    </row>
    <row r="19" spans="1:6" x14ac:dyDescent="0.25">
      <c r="A19" s="1">
        <v>28703</v>
      </c>
      <c r="B19" s="8">
        <v>84.436666666666</v>
      </c>
      <c r="C19" s="8">
        <v>73.81</v>
      </c>
      <c r="D19" s="8">
        <v>66.23</v>
      </c>
      <c r="E19" s="8">
        <v>1.1439732646886001</v>
      </c>
      <c r="F19" s="8">
        <v>1.2749005989229301</v>
      </c>
    </row>
    <row r="20" spans="1:6" x14ac:dyDescent="0.25">
      <c r="A20" s="1">
        <v>28734</v>
      </c>
      <c r="B20" s="8">
        <v>85.27</v>
      </c>
      <c r="C20" s="8">
        <v>74.37</v>
      </c>
      <c r="D20" s="8">
        <v>66.59</v>
      </c>
      <c r="E20" s="8">
        <v>1.14656447492268</v>
      </c>
      <c r="F20" s="8">
        <v>1.2805226009911299</v>
      </c>
    </row>
    <row r="21" spans="1:6" x14ac:dyDescent="0.25">
      <c r="A21" s="1">
        <v>28764</v>
      </c>
      <c r="B21" s="8">
        <v>86.016666666665998</v>
      </c>
      <c r="C21" s="8">
        <v>75.306666666666004</v>
      </c>
      <c r="D21" s="8">
        <v>66.866666666666006</v>
      </c>
      <c r="E21" s="8">
        <v>1.14221848441926</v>
      </c>
      <c r="F21" s="8">
        <v>1.28639082751745</v>
      </c>
    </row>
    <row r="22" spans="1:6" x14ac:dyDescent="0.25">
      <c r="A22" s="1">
        <v>28795</v>
      </c>
      <c r="B22" s="8">
        <v>86.763333333332994</v>
      </c>
      <c r="C22" s="8">
        <v>76.243333333332998</v>
      </c>
      <c r="D22" s="8">
        <v>67.143333333333004</v>
      </c>
      <c r="E22" s="8">
        <v>1.1379792768766599</v>
      </c>
      <c r="F22" s="8">
        <v>1.2922106935411799</v>
      </c>
    </row>
    <row r="23" spans="1:6" x14ac:dyDescent="0.25">
      <c r="A23" s="1">
        <v>28825</v>
      </c>
      <c r="B23" s="8">
        <v>87.51</v>
      </c>
      <c r="C23" s="8">
        <v>77.180000000000007</v>
      </c>
      <c r="D23" s="8">
        <v>67.42</v>
      </c>
      <c r="E23" s="8">
        <v>1.1338429644985699</v>
      </c>
      <c r="F23" s="8">
        <v>1.29798279442301</v>
      </c>
    </row>
    <row r="24" spans="1:6" x14ac:dyDescent="0.25">
      <c r="A24" s="1">
        <v>28856</v>
      </c>
      <c r="B24" s="8">
        <v>88.806666666666004</v>
      </c>
      <c r="C24" s="8">
        <v>77.966666666666001</v>
      </c>
      <c r="D24" s="8">
        <v>68.063333333333006</v>
      </c>
      <c r="E24" s="8">
        <v>1.1390337751175701</v>
      </c>
      <c r="F24" s="8">
        <v>1.3047651696948801</v>
      </c>
    </row>
    <row r="25" spans="1:6" x14ac:dyDescent="0.25">
      <c r="A25" s="1">
        <v>28887</v>
      </c>
      <c r="B25" s="8">
        <v>90.103333333332998</v>
      </c>
      <c r="C25" s="8">
        <v>78.753333333333003</v>
      </c>
      <c r="D25" s="8">
        <v>68.706666666665996</v>
      </c>
      <c r="E25" s="8">
        <v>1.14412088377211</v>
      </c>
      <c r="F25" s="8">
        <v>1.3114205317290899</v>
      </c>
    </row>
    <row r="26" spans="1:6" x14ac:dyDescent="0.25">
      <c r="A26" s="1">
        <v>28915</v>
      </c>
      <c r="B26" s="8">
        <v>91.4</v>
      </c>
      <c r="C26" s="8">
        <v>79.540000000000006</v>
      </c>
      <c r="D26" s="8">
        <v>69.349999999999994</v>
      </c>
      <c r="E26" s="8">
        <v>1.14910736736233</v>
      </c>
      <c r="F26" s="8">
        <v>1.3179524152847799</v>
      </c>
    </row>
    <row r="27" spans="1:6" x14ac:dyDescent="0.25">
      <c r="A27" s="1">
        <v>28946</v>
      </c>
      <c r="B27" s="8">
        <v>92.39</v>
      </c>
      <c r="C27" s="8">
        <v>80.616666666666006</v>
      </c>
      <c r="D27" s="8">
        <v>70.463333333332997</v>
      </c>
      <c r="E27" s="8">
        <v>1.1460409344635101</v>
      </c>
      <c r="F27" s="8">
        <v>1.31117839065235</v>
      </c>
    </row>
    <row r="28" spans="1:6" x14ac:dyDescent="0.25">
      <c r="A28" s="1">
        <v>28976</v>
      </c>
      <c r="B28" s="8">
        <v>93.38</v>
      </c>
      <c r="C28" s="8">
        <v>81.693333333333001</v>
      </c>
      <c r="D28" s="8">
        <v>71.576666666666</v>
      </c>
      <c r="E28" s="8">
        <v>1.1430553288722001</v>
      </c>
      <c r="F28" s="8">
        <v>1.3046150980300899</v>
      </c>
    </row>
    <row r="29" spans="1:6" x14ac:dyDescent="0.25">
      <c r="A29" s="1">
        <v>29007</v>
      </c>
      <c r="B29" s="8">
        <v>94.37</v>
      </c>
      <c r="C29" s="8">
        <v>82.77</v>
      </c>
      <c r="D29" s="8">
        <v>72.69</v>
      </c>
      <c r="E29" s="8">
        <v>1.14014739639966</v>
      </c>
      <c r="F29" s="8">
        <v>1.2982528545879699</v>
      </c>
    </row>
    <row r="30" spans="1:6" x14ac:dyDescent="0.25">
      <c r="A30" s="1">
        <v>29037</v>
      </c>
      <c r="B30" s="8">
        <v>95.05</v>
      </c>
      <c r="C30" s="8">
        <v>83.603333333332998</v>
      </c>
      <c r="D30" s="8">
        <v>73.25</v>
      </c>
      <c r="E30" s="8">
        <v>1.1369163908935001</v>
      </c>
      <c r="F30" s="8">
        <v>1.2976109215017</v>
      </c>
    </row>
    <row r="31" spans="1:6" x14ac:dyDescent="0.25">
      <c r="A31" s="1">
        <v>29068</v>
      </c>
      <c r="B31" s="8">
        <v>95.73</v>
      </c>
      <c r="C31" s="8">
        <v>84.436666666666</v>
      </c>
      <c r="D31" s="8">
        <v>73.81</v>
      </c>
      <c r="E31" s="8">
        <v>1.1337491611069499</v>
      </c>
      <c r="F31" s="8">
        <v>1.2969787291694801</v>
      </c>
    </row>
    <row r="32" spans="1:6" x14ac:dyDescent="0.25">
      <c r="A32" s="1">
        <v>29099</v>
      </c>
      <c r="B32" s="8">
        <v>96.41</v>
      </c>
      <c r="C32" s="8">
        <v>85.27</v>
      </c>
      <c r="D32" s="8">
        <v>74.37</v>
      </c>
      <c r="E32" s="8">
        <v>1.1306438372229299</v>
      </c>
      <c r="F32" s="8">
        <v>1.2963560575500801</v>
      </c>
    </row>
    <row r="33" spans="1:6" x14ac:dyDescent="0.25">
      <c r="A33" s="1">
        <v>29129</v>
      </c>
      <c r="B33" s="8">
        <v>97.043333333332995</v>
      </c>
      <c r="C33" s="8">
        <v>86.016666666665998</v>
      </c>
      <c r="D33" s="8">
        <v>75.306666666666004</v>
      </c>
      <c r="E33" s="8">
        <v>1.1281922108118601</v>
      </c>
      <c r="F33" s="8">
        <v>1.2886419971671399</v>
      </c>
    </row>
    <row r="34" spans="1:6" x14ac:dyDescent="0.25">
      <c r="A34" s="1">
        <v>29160</v>
      </c>
      <c r="B34" s="8">
        <v>97.676666666665994</v>
      </c>
      <c r="C34" s="8">
        <v>86.763333333332994</v>
      </c>
      <c r="D34" s="8">
        <v>76.243333333332998</v>
      </c>
      <c r="E34" s="8">
        <v>1.12578278074455</v>
      </c>
      <c r="F34" s="8">
        <v>1.2811174747518801</v>
      </c>
    </row>
    <row r="35" spans="1:6" x14ac:dyDescent="0.25">
      <c r="A35" s="1">
        <v>29190</v>
      </c>
      <c r="B35" s="8">
        <v>98.31</v>
      </c>
      <c r="C35" s="8">
        <v>87.51</v>
      </c>
      <c r="D35" s="8">
        <v>77.180000000000007</v>
      </c>
      <c r="E35" s="8">
        <v>1.1234144669180599</v>
      </c>
      <c r="F35" s="8">
        <v>1.2737755895309599</v>
      </c>
    </row>
    <row r="36" spans="1:6" x14ac:dyDescent="0.25">
      <c r="A36" s="1">
        <v>29221</v>
      </c>
      <c r="B36" s="8">
        <v>98.873333333332994</v>
      </c>
      <c r="C36" s="8">
        <v>88.806666666666004</v>
      </c>
      <c r="D36" s="8">
        <v>77.966666666666001</v>
      </c>
      <c r="E36" s="8">
        <v>1.1133548532392501</v>
      </c>
      <c r="F36" s="8">
        <v>1.2681487815305701</v>
      </c>
    </row>
    <row r="37" spans="1:6" x14ac:dyDescent="0.25">
      <c r="A37" s="1">
        <v>29252</v>
      </c>
      <c r="B37" s="8">
        <v>99.436666666666</v>
      </c>
      <c r="C37" s="8">
        <v>90.103333333332998</v>
      </c>
      <c r="D37" s="8">
        <v>78.753333333333003</v>
      </c>
      <c r="E37" s="8">
        <v>1.1035847730383599</v>
      </c>
      <c r="F37" s="8">
        <v>1.26263438584609</v>
      </c>
    </row>
    <row r="38" spans="1:6" x14ac:dyDescent="0.25">
      <c r="A38" s="1">
        <v>29281</v>
      </c>
      <c r="B38" s="8">
        <v>100</v>
      </c>
      <c r="C38" s="8">
        <v>91.4</v>
      </c>
      <c r="D38" s="8">
        <v>79.540000000000006</v>
      </c>
      <c r="E38" s="8">
        <v>1.0940919037199099</v>
      </c>
      <c r="F38" s="8">
        <v>1.25722906713603</v>
      </c>
    </row>
    <row r="39" spans="1:6" x14ac:dyDescent="0.25">
      <c r="A39" s="1">
        <v>29312</v>
      </c>
      <c r="B39" s="8">
        <v>100.526666666666</v>
      </c>
      <c r="C39" s="8">
        <v>92.39</v>
      </c>
      <c r="D39" s="8">
        <v>80.616666666666006</v>
      </c>
      <c r="E39" s="8">
        <v>1.0880686943031199</v>
      </c>
      <c r="F39" s="8">
        <v>1.2469712631796499</v>
      </c>
    </row>
    <row r="40" spans="1:6" x14ac:dyDescent="0.25">
      <c r="A40" s="1">
        <v>29342</v>
      </c>
      <c r="B40" s="8">
        <v>101.053333333333</v>
      </c>
      <c r="C40" s="8">
        <v>93.38</v>
      </c>
      <c r="D40" s="8">
        <v>81.693333333333001</v>
      </c>
      <c r="E40" s="8">
        <v>1.0821731991147201</v>
      </c>
      <c r="F40" s="8">
        <v>1.2369838420107699</v>
      </c>
    </row>
    <row r="41" spans="1:6" x14ac:dyDescent="0.25">
      <c r="A41" s="1">
        <v>29373</v>
      </c>
      <c r="B41" s="8">
        <v>101.58</v>
      </c>
      <c r="C41" s="8">
        <v>94.37</v>
      </c>
      <c r="D41" s="8">
        <v>82.77</v>
      </c>
      <c r="E41" s="8">
        <v>1.0764013987495999</v>
      </c>
      <c r="F41" s="8">
        <v>1.2272562522653101</v>
      </c>
    </row>
    <row r="42" spans="1:6" x14ac:dyDescent="0.25">
      <c r="A42" s="1">
        <v>29403</v>
      </c>
      <c r="B42" s="8">
        <v>102.533333333333</v>
      </c>
      <c r="C42" s="8">
        <v>95.05</v>
      </c>
      <c r="D42" s="8">
        <v>83.603333333332998</v>
      </c>
      <c r="E42" s="8">
        <v>1.07873049272312</v>
      </c>
      <c r="F42" s="8">
        <v>1.2264263785335501</v>
      </c>
    </row>
    <row r="43" spans="1:6" x14ac:dyDescent="0.25">
      <c r="A43" s="1">
        <v>29434</v>
      </c>
      <c r="B43" s="8">
        <v>103.486666666666</v>
      </c>
      <c r="C43" s="8">
        <v>95.73</v>
      </c>
      <c r="D43" s="8">
        <v>84.436666666666</v>
      </c>
      <c r="E43" s="8">
        <v>1.08102649813711</v>
      </c>
      <c r="F43" s="8">
        <v>1.22561288539734</v>
      </c>
    </row>
    <row r="44" spans="1:6" x14ac:dyDescent="0.25">
      <c r="A44" s="1">
        <v>29465</v>
      </c>
      <c r="B44" s="8">
        <v>104.44</v>
      </c>
      <c r="C44" s="8">
        <v>96.41</v>
      </c>
      <c r="D44" s="8">
        <v>85.27</v>
      </c>
      <c r="E44" s="8">
        <v>1.0832901151332801</v>
      </c>
      <c r="F44" s="8">
        <v>1.22481529259997</v>
      </c>
    </row>
    <row r="45" spans="1:6" x14ac:dyDescent="0.25">
      <c r="A45" s="1">
        <v>29495</v>
      </c>
      <c r="B45" s="8">
        <v>104.553333333333</v>
      </c>
      <c r="C45" s="8">
        <v>97.043333333332995</v>
      </c>
      <c r="D45" s="8">
        <v>86.016666666665998</v>
      </c>
      <c r="E45" s="8">
        <v>1.07738810840518</v>
      </c>
      <c r="F45" s="8">
        <v>1.2155008719240501</v>
      </c>
    </row>
    <row r="46" spans="1:6" x14ac:dyDescent="0.25">
      <c r="A46" s="1">
        <v>29526</v>
      </c>
      <c r="B46" s="8">
        <v>104.666666666666</v>
      </c>
      <c r="C46" s="8">
        <v>97.676666666665994</v>
      </c>
      <c r="D46" s="8">
        <v>86.763333333332994</v>
      </c>
      <c r="E46" s="8">
        <v>1.07156263863768</v>
      </c>
      <c r="F46" s="8">
        <v>1.2063467670674899</v>
      </c>
    </row>
    <row r="47" spans="1:6" x14ac:dyDescent="0.25">
      <c r="A47" s="1">
        <v>29556</v>
      </c>
      <c r="B47" s="8">
        <v>104.78</v>
      </c>
      <c r="C47" s="8">
        <v>98.31</v>
      </c>
      <c r="D47" s="8">
        <v>87.51</v>
      </c>
      <c r="E47" s="8">
        <v>1.06581222663004</v>
      </c>
      <c r="F47" s="8">
        <v>1.1973488744143499</v>
      </c>
    </row>
    <row r="48" spans="1:6" x14ac:dyDescent="0.25">
      <c r="A48" s="1">
        <v>29587</v>
      </c>
      <c r="B48" s="8">
        <v>104.993333333333</v>
      </c>
      <c r="C48" s="8">
        <v>98.873333333332994</v>
      </c>
      <c r="D48" s="8">
        <v>88.806666666666004</v>
      </c>
      <c r="E48" s="8">
        <v>1.0618973771155</v>
      </c>
      <c r="F48" s="8">
        <v>1.1822685984535699</v>
      </c>
    </row>
    <row r="49" spans="1:6" x14ac:dyDescent="0.25">
      <c r="A49" s="1">
        <v>29618</v>
      </c>
      <c r="B49" s="8">
        <v>105.206666666666</v>
      </c>
      <c r="C49" s="8">
        <v>99.436666666666</v>
      </c>
      <c r="D49" s="8">
        <v>90.103333333332998</v>
      </c>
      <c r="E49" s="8">
        <v>1.05802688478428</v>
      </c>
      <c r="F49" s="8">
        <v>1.1676223595131401</v>
      </c>
    </row>
    <row r="50" spans="1:6" x14ac:dyDescent="0.25">
      <c r="A50" s="1">
        <v>29646</v>
      </c>
      <c r="B50" s="8">
        <v>105.42</v>
      </c>
      <c r="C50" s="8">
        <v>100</v>
      </c>
      <c r="D50" s="8">
        <v>91.4</v>
      </c>
      <c r="E50" s="8">
        <v>1.0542</v>
      </c>
      <c r="F50" s="8">
        <v>1.15339168490153</v>
      </c>
    </row>
    <row r="51" spans="1:6" x14ac:dyDescent="0.25">
      <c r="A51" s="1">
        <v>29677</v>
      </c>
      <c r="B51" s="8">
        <v>106.113333333333</v>
      </c>
      <c r="C51" s="8">
        <v>100.526666666666</v>
      </c>
      <c r="D51" s="8">
        <v>92.39</v>
      </c>
      <c r="E51" s="8">
        <v>1.0555739770541801</v>
      </c>
      <c r="F51" s="8">
        <v>1.1485369989537</v>
      </c>
    </row>
    <row r="52" spans="1:6" x14ac:dyDescent="0.25">
      <c r="A52" s="1">
        <v>29707</v>
      </c>
      <c r="B52" s="8">
        <v>106.806666666666</v>
      </c>
      <c r="C52" s="8">
        <v>101.053333333333</v>
      </c>
      <c r="D52" s="8">
        <v>93.38</v>
      </c>
      <c r="E52" s="8">
        <v>1.05693363240532</v>
      </c>
      <c r="F52" s="8">
        <v>1.1437852502320101</v>
      </c>
    </row>
    <row r="53" spans="1:6" x14ac:dyDescent="0.25">
      <c r="A53" s="1">
        <v>29738</v>
      </c>
      <c r="B53" s="8">
        <v>107.5</v>
      </c>
      <c r="C53" s="8">
        <v>101.58</v>
      </c>
      <c r="D53" s="8">
        <v>94.37</v>
      </c>
      <c r="E53" s="8">
        <v>1.05827918881669</v>
      </c>
      <c r="F53" s="8">
        <v>1.1391331991098801</v>
      </c>
    </row>
    <row r="54" spans="1:6" x14ac:dyDescent="0.25">
      <c r="A54" s="1">
        <v>29768</v>
      </c>
      <c r="B54" s="8">
        <v>108.08</v>
      </c>
      <c r="C54" s="8">
        <v>102.533333333333</v>
      </c>
      <c r="D54" s="8">
        <v>95.05</v>
      </c>
      <c r="E54" s="8">
        <v>1.0540962288686599</v>
      </c>
      <c r="F54" s="8">
        <v>1.1370857443450799</v>
      </c>
    </row>
    <row r="55" spans="1:6" x14ac:dyDescent="0.25">
      <c r="A55" s="1">
        <v>29799</v>
      </c>
      <c r="B55" s="8">
        <v>108.66</v>
      </c>
      <c r="C55" s="8">
        <v>103.486666666666</v>
      </c>
      <c r="D55" s="8">
        <v>95.73</v>
      </c>
      <c r="E55" s="8">
        <v>1.0499903369194099</v>
      </c>
      <c r="F55" s="8">
        <v>1.1350673769977999</v>
      </c>
    </row>
    <row r="56" spans="1:6" x14ac:dyDescent="0.25">
      <c r="A56" s="1">
        <v>29830</v>
      </c>
      <c r="B56" s="8">
        <v>109.24</v>
      </c>
      <c r="C56" s="8">
        <v>104.44</v>
      </c>
      <c r="D56" s="8">
        <v>96.41</v>
      </c>
      <c r="E56" s="8">
        <v>1.0459594025277601</v>
      </c>
      <c r="F56" s="8">
        <v>1.1330774815890401</v>
      </c>
    </row>
    <row r="57" spans="1:6" x14ac:dyDescent="0.25">
      <c r="A57" s="1">
        <v>29860</v>
      </c>
      <c r="B57" s="8">
        <v>109.23</v>
      </c>
      <c r="C57" s="8">
        <v>104.553333333333</v>
      </c>
      <c r="D57" s="8">
        <v>97.043333333332995</v>
      </c>
      <c r="E57" s="8">
        <v>1.04472996237965</v>
      </c>
      <c r="F57" s="8">
        <v>1.1255796379624201</v>
      </c>
    </row>
    <row r="58" spans="1:6" x14ac:dyDescent="0.25">
      <c r="A58" s="1">
        <v>29891</v>
      </c>
      <c r="B58" s="8">
        <v>109.22</v>
      </c>
      <c r="C58" s="8">
        <v>104.666666666666</v>
      </c>
      <c r="D58" s="8">
        <v>97.676666666665994</v>
      </c>
      <c r="E58" s="8">
        <v>1.04350318471338</v>
      </c>
      <c r="F58" s="8">
        <v>1.11817902603829</v>
      </c>
    </row>
    <row r="59" spans="1:6" x14ac:dyDescent="0.25">
      <c r="A59" s="1">
        <v>29921</v>
      </c>
      <c r="B59" s="8">
        <v>109.21</v>
      </c>
      <c r="C59" s="8">
        <v>104.78</v>
      </c>
      <c r="D59" s="8">
        <v>98.31</v>
      </c>
      <c r="E59" s="8">
        <v>1.0422790608894801</v>
      </c>
      <c r="F59" s="8">
        <v>1.1108737666564901</v>
      </c>
    </row>
    <row r="60" spans="1:6" x14ac:dyDescent="0.25">
      <c r="A60" s="1">
        <v>29952</v>
      </c>
      <c r="B60" s="8">
        <v>109.793333333333</v>
      </c>
      <c r="C60" s="8">
        <v>104.993333333333</v>
      </c>
      <c r="D60" s="8">
        <v>98.873333333332994</v>
      </c>
      <c r="E60" s="8">
        <v>1.0457171883929099</v>
      </c>
      <c r="F60" s="8">
        <v>1.11044433955903</v>
      </c>
    </row>
    <row r="61" spans="1:6" x14ac:dyDescent="0.25">
      <c r="A61" s="1">
        <v>29983</v>
      </c>
      <c r="B61" s="8">
        <v>110.376666666666</v>
      </c>
      <c r="C61" s="8">
        <v>105.206666666666</v>
      </c>
      <c r="D61" s="8">
        <v>99.436666666666</v>
      </c>
      <c r="E61" s="8">
        <v>1.0491413725365899</v>
      </c>
      <c r="F61" s="8">
        <v>1.1100197780832</v>
      </c>
    </row>
    <row r="62" spans="1:6" x14ac:dyDescent="0.25">
      <c r="A62" s="1">
        <v>30011</v>
      </c>
      <c r="B62" s="8">
        <v>110.96</v>
      </c>
      <c r="C62" s="8">
        <v>105.42</v>
      </c>
      <c r="D62" s="8">
        <v>100</v>
      </c>
      <c r="E62" s="8">
        <v>1.05255169797002</v>
      </c>
      <c r="F62" s="8">
        <v>1.1095999999999999</v>
      </c>
    </row>
    <row r="63" spans="1:6" x14ac:dyDescent="0.25">
      <c r="A63" s="1">
        <v>30042</v>
      </c>
      <c r="B63" s="8">
        <v>111.27</v>
      </c>
      <c r="C63" s="8">
        <v>106.113333333333</v>
      </c>
      <c r="D63" s="8">
        <v>100.526666666666</v>
      </c>
      <c r="E63" s="8">
        <v>1.0485958409248</v>
      </c>
      <c r="F63" s="8">
        <v>1.10687048212746</v>
      </c>
    </row>
    <row r="64" spans="1:6" x14ac:dyDescent="0.25">
      <c r="A64" s="1">
        <v>30072</v>
      </c>
      <c r="B64" s="8">
        <v>111.58</v>
      </c>
      <c r="C64" s="8">
        <v>106.806666666666</v>
      </c>
      <c r="D64" s="8">
        <v>101.053333333333</v>
      </c>
      <c r="E64" s="8">
        <v>1.0446913426128199</v>
      </c>
      <c r="F64" s="8">
        <v>1.10416941549017</v>
      </c>
    </row>
    <row r="65" spans="1:6" x14ac:dyDescent="0.25">
      <c r="A65" s="1">
        <v>30103</v>
      </c>
      <c r="B65" s="8">
        <v>111.89</v>
      </c>
      <c r="C65" s="8">
        <v>107.5</v>
      </c>
      <c r="D65" s="8">
        <v>101.58</v>
      </c>
      <c r="E65" s="8">
        <v>1.0408372093023199</v>
      </c>
      <c r="F65" s="8">
        <v>1.10149635755069</v>
      </c>
    </row>
    <row r="66" spans="1:6" x14ac:dyDescent="0.25">
      <c r="A66" s="1">
        <v>30133</v>
      </c>
      <c r="B66" s="8">
        <v>111.56</v>
      </c>
      <c r="C66" s="8">
        <v>108.08</v>
      </c>
      <c r="D66" s="8">
        <v>102.533333333333</v>
      </c>
      <c r="E66" s="8">
        <v>1.0321983715766001</v>
      </c>
      <c r="F66" s="8">
        <v>1.0880364109232801</v>
      </c>
    </row>
    <row r="67" spans="1:6" x14ac:dyDescent="0.25">
      <c r="A67" s="1">
        <v>30164</v>
      </c>
      <c r="B67" s="8">
        <v>111.23</v>
      </c>
      <c r="C67" s="8">
        <v>108.66</v>
      </c>
      <c r="D67" s="8">
        <v>103.486666666666</v>
      </c>
      <c r="E67" s="8">
        <v>1.02365175777655</v>
      </c>
      <c r="F67" s="8">
        <v>1.0748244540359499</v>
      </c>
    </row>
    <row r="68" spans="1:6" x14ac:dyDescent="0.25">
      <c r="A68" s="1">
        <v>30195</v>
      </c>
      <c r="B68" s="8">
        <v>110.9</v>
      </c>
      <c r="C68" s="8">
        <v>109.24</v>
      </c>
      <c r="D68" s="8">
        <v>104.44</v>
      </c>
      <c r="E68" s="8">
        <v>1.01519589893811</v>
      </c>
      <c r="F68" s="8">
        <v>1.06185369590195</v>
      </c>
    </row>
    <row r="69" spans="1:6" x14ac:dyDescent="0.25">
      <c r="A69" s="1">
        <v>30225</v>
      </c>
      <c r="B69" s="8">
        <v>111.363333333333</v>
      </c>
      <c r="C69" s="8">
        <v>109.23</v>
      </c>
      <c r="D69" s="8">
        <v>104.553333333333</v>
      </c>
      <c r="E69" s="8">
        <v>1.0195306539717299</v>
      </c>
      <c r="F69" s="8">
        <v>1.06513422176879</v>
      </c>
    </row>
    <row r="70" spans="1:6" x14ac:dyDescent="0.25">
      <c r="A70" s="1">
        <v>30256</v>
      </c>
      <c r="B70" s="8">
        <v>111.826666666666</v>
      </c>
      <c r="C70" s="8">
        <v>109.22</v>
      </c>
      <c r="D70" s="8">
        <v>104.666666666666</v>
      </c>
      <c r="E70" s="8">
        <v>1.02386620277115</v>
      </c>
      <c r="F70" s="8">
        <v>1.0684076433120999</v>
      </c>
    </row>
    <row r="71" spans="1:6" x14ac:dyDescent="0.25">
      <c r="A71" s="1">
        <v>30286</v>
      </c>
      <c r="B71" s="8">
        <v>112.29</v>
      </c>
      <c r="C71" s="8">
        <v>109.21</v>
      </c>
      <c r="D71" s="8">
        <v>104.78</v>
      </c>
      <c r="E71" s="8">
        <v>1.0282025455544299</v>
      </c>
      <c r="F71" s="8">
        <v>1.07167398358465</v>
      </c>
    </row>
    <row r="72" spans="1:6" x14ac:dyDescent="0.25">
      <c r="A72" s="1">
        <v>30317</v>
      </c>
      <c r="B72" s="8">
        <v>112.946666666666</v>
      </c>
      <c r="C72" s="8">
        <v>109.793333333333</v>
      </c>
      <c r="D72" s="8">
        <v>104.993333333333</v>
      </c>
      <c r="E72" s="8">
        <v>1.02872062663185</v>
      </c>
      <c r="F72" s="8">
        <v>1.0757508413232499</v>
      </c>
    </row>
    <row r="73" spans="1:6" x14ac:dyDescent="0.25">
      <c r="A73" s="1">
        <v>30348</v>
      </c>
      <c r="B73" s="8">
        <v>113.603333333333</v>
      </c>
      <c r="C73" s="8">
        <v>110.376666666666</v>
      </c>
      <c r="D73" s="8">
        <v>105.206666666666</v>
      </c>
      <c r="E73" s="8">
        <v>1.02923323166128</v>
      </c>
      <c r="F73" s="8">
        <v>1.0798111653253899</v>
      </c>
    </row>
    <row r="74" spans="1:6" x14ac:dyDescent="0.25">
      <c r="A74" s="1">
        <v>30376</v>
      </c>
      <c r="B74" s="8">
        <v>114.26</v>
      </c>
      <c r="C74" s="8">
        <v>110.96</v>
      </c>
      <c r="D74" s="8">
        <v>105.42</v>
      </c>
      <c r="E74" s="8">
        <v>1.0297404470079301</v>
      </c>
      <c r="F74" s="8">
        <v>1.0838550559666</v>
      </c>
    </row>
    <row r="75" spans="1:6" x14ac:dyDescent="0.25">
      <c r="A75" s="1">
        <v>30407</v>
      </c>
      <c r="B75" s="8">
        <v>114.666666666666</v>
      </c>
      <c r="C75" s="8">
        <v>111.27</v>
      </c>
      <c r="D75" s="8">
        <v>106.113333333333</v>
      </c>
      <c r="E75" s="8">
        <v>1.0305263473233199</v>
      </c>
      <c r="F75" s="8">
        <v>1.0806056417666601</v>
      </c>
    </row>
    <row r="76" spans="1:6" x14ac:dyDescent="0.25">
      <c r="A76" s="1">
        <v>30437</v>
      </c>
      <c r="B76" s="8">
        <v>115.073333333333</v>
      </c>
      <c r="C76" s="8">
        <v>111.58</v>
      </c>
      <c r="D76" s="8">
        <v>106.806666666666</v>
      </c>
      <c r="E76" s="8">
        <v>1.0313078807432601</v>
      </c>
      <c r="F76" s="8">
        <v>1.0773984145808599</v>
      </c>
    </row>
    <row r="77" spans="1:6" x14ac:dyDescent="0.25">
      <c r="A77" s="1">
        <v>30468</v>
      </c>
      <c r="B77" s="8">
        <v>115.48</v>
      </c>
      <c r="C77" s="8">
        <v>111.89</v>
      </c>
      <c r="D77" s="8">
        <v>107.5</v>
      </c>
      <c r="E77" s="8">
        <v>1.0320850835642099</v>
      </c>
      <c r="F77" s="8">
        <v>1.07423255813953</v>
      </c>
    </row>
    <row r="78" spans="1:6" x14ac:dyDescent="0.25">
      <c r="A78" s="1">
        <v>30498</v>
      </c>
      <c r="B78" s="8">
        <v>115.803333333333</v>
      </c>
      <c r="C78" s="8">
        <v>111.56</v>
      </c>
      <c r="D78" s="8">
        <v>108.08</v>
      </c>
      <c r="E78" s="8">
        <v>1.0380363332138101</v>
      </c>
      <c r="F78" s="8">
        <v>1.07145941278065</v>
      </c>
    </row>
    <row r="79" spans="1:6" x14ac:dyDescent="0.25">
      <c r="A79" s="1">
        <v>30529</v>
      </c>
      <c r="B79" s="8">
        <v>116.126666666666</v>
      </c>
      <c r="C79" s="8">
        <v>111.23</v>
      </c>
      <c r="D79" s="8">
        <v>108.66</v>
      </c>
      <c r="E79" s="8">
        <v>1.0440228955018001</v>
      </c>
      <c r="F79" s="8">
        <v>1.0687158721393799</v>
      </c>
    </row>
    <row r="80" spans="1:6" x14ac:dyDescent="0.25">
      <c r="A80" s="1">
        <v>30560</v>
      </c>
      <c r="B80" s="8">
        <v>116.45</v>
      </c>
      <c r="C80" s="8">
        <v>110.9</v>
      </c>
      <c r="D80" s="8">
        <v>109.24</v>
      </c>
      <c r="E80" s="8">
        <v>1.0500450856627499</v>
      </c>
      <c r="F80" s="8">
        <v>1.06600146466495</v>
      </c>
    </row>
    <row r="81" spans="1:6" x14ac:dyDescent="0.25">
      <c r="A81" s="1">
        <v>30590</v>
      </c>
      <c r="B81" s="8">
        <v>116.663333333333</v>
      </c>
      <c r="C81" s="8">
        <v>111.363333333333</v>
      </c>
      <c r="D81" s="8">
        <v>109.23</v>
      </c>
      <c r="E81" s="8">
        <v>1.04759196623664</v>
      </c>
      <c r="F81" s="8">
        <v>1.0680521224327799</v>
      </c>
    </row>
    <row r="82" spans="1:6" x14ac:dyDescent="0.25">
      <c r="A82" s="1">
        <v>30621</v>
      </c>
      <c r="B82" s="8">
        <v>116.876666666666</v>
      </c>
      <c r="C82" s="8">
        <v>111.826666666666</v>
      </c>
      <c r="D82" s="8">
        <v>109.22</v>
      </c>
      <c r="E82" s="8">
        <v>1.04515917491355</v>
      </c>
      <c r="F82" s="8">
        <v>1.0701031557101801</v>
      </c>
    </row>
    <row r="83" spans="1:6" x14ac:dyDescent="0.25">
      <c r="A83" s="1">
        <v>30651</v>
      </c>
      <c r="B83" s="8">
        <v>117.09</v>
      </c>
      <c r="C83" s="8">
        <v>112.29</v>
      </c>
      <c r="D83" s="8">
        <v>109.21</v>
      </c>
      <c r="E83" s="8">
        <v>1.0427464600587699</v>
      </c>
      <c r="F83" s="8">
        <v>1.0721545646003099</v>
      </c>
    </row>
    <row r="84" spans="1:6" x14ac:dyDescent="0.25">
      <c r="A84" s="1">
        <v>30682</v>
      </c>
      <c r="B84" s="8">
        <v>117.67666666666599</v>
      </c>
      <c r="C84" s="8">
        <v>112.946666666666</v>
      </c>
      <c r="D84" s="8">
        <v>109.793333333333</v>
      </c>
      <c r="E84" s="8">
        <v>1.04187817258883</v>
      </c>
      <c r="F84" s="8">
        <v>1.0718015665796301</v>
      </c>
    </row>
    <row r="85" spans="1:6" x14ac:dyDescent="0.25">
      <c r="A85" s="1">
        <v>30713</v>
      </c>
      <c r="B85" s="8">
        <v>118.26333333333299</v>
      </c>
      <c r="C85" s="8">
        <v>113.603333333333</v>
      </c>
      <c r="D85" s="8">
        <v>110.376666666666</v>
      </c>
      <c r="E85" s="8">
        <v>1.04101992312432</v>
      </c>
      <c r="F85" s="8">
        <v>1.0714522997010201</v>
      </c>
    </row>
    <row r="86" spans="1:6" x14ac:dyDescent="0.25">
      <c r="A86" s="1">
        <v>30742</v>
      </c>
      <c r="B86" s="8">
        <v>118.85</v>
      </c>
      <c r="C86" s="8">
        <v>114.26</v>
      </c>
      <c r="D86" s="8">
        <v>110.96</v>
      </c>
      <c r="E86" s="8">
        <v>1.0401715385961801</v>
      </c>
      <c r="F86" s="8">
        <v>1.07110670511896</v>
      </c>
    </row>
    <row r="87" spans="1:6" x14ac:dyDescent="0.25">
      <c r="A87" s="1">
        <v>30773</v>
      </c>
      <c r="B87" s="8">
        <v>119.36</v>
      </c>
      <c r="C87" s="8">
        <v>114.666666666666</v>
      </c>
      <c r="D87" s="8">
        <v>111.27</v>
      </c>
      <c r="E87" s="8">
        <v>1.04093023255814</v>
      </c>
      <c r="F87" s="8">
        <v>1.0727060303765601</v>
      </c>
    </row>
    <row r="88" spans="1:6" x14ac:dyDescent="0.25">
      <c r="A88" s="1">
        <v>30803</v>
      </c>
      <c r="B88" s="8">
        <v>119.87</v>
      </c>
      <c r="C88" s="8">
        <v>115.073333333333</v>
      </c>
      <c r="D88" s="8">
        <v>111.58</v>
      </c>
      <c r="E88" s="8">
        <v>1.0416835641040501</v>
      </c>
      <c r="F88" s="8">
        <v>1.07429646890123</v>
      </c>
    </row>
    <row r="89" spans="1:6" x14ac:dyDescent="0.25">
      <c r="A89" s="1">
        <v>30834</v>
      </c>
      <c r="B89" s="8">
        <v>120.38</v>
      </c>
      <c r="C89" s="8">
        <v>115.48</v>
      </c>
      <c r="D89" s="8">
        <v>111.89</v>
      </c>
      <c r="E89" s="8">
        <v>1.04243158988569</v>
      </c>
      <c r="F89" s="8">
        <v>1.07587809455715</v>
      </c>
    </row>
    <row r="90" spans="1:6" x14ac:dyDescent="0.25">
      <c r="A90" s="1">
        <v>30864</v>
      </c>
      <c r="B90" s="8">
        <v>120.773333333333</v>
      </c>
      <c r="C90" s="8">
        <v>115.803333333333</v>
      </c>
      <c r="D90" s="8">
        <v>111.56</v>
      </c>
      <c r="E90" s="8">
        <v>1.0429175901672301</v>
      </c>
      <c r="F90" s="8">
        <v>1.08258635114138</v>
      </c>
    </row>
    <row r="91" spans="1:6" x14ac:dyDescent="0.25">
      <c r="A91" s="1">
        <v>30895</v>
      </c>
      <c r="B91" s="8">
        <v>121.166666666666</v>
      </c>
      <c r="C91" s="8">
        <v>116.126666666666</v>
      </c>
      <c r="D91" s="8">
        <v>111.23</v>
      </c>
      <c r="E91" s="8">
        <v>1.0434008840920801</v>
      </c>
      <c r="F91" s="8">
        <v>1.0893344121789601</v>
      </c>
    </row>
    <row r="92" spans="1:6" x14ac:dyDescent="0.25">
      <c r="A92" s="1">
        <v>30926</v>
      </c>
      <c r="B92" s="8">
        <v>121.56</v>
      </c>
      <c r="C92" s="8">
        <v>116.45</v>
      </c>
      <c r="D92" s="8">
        <v>110.9</v>
      </c>
      <c r="E92" s="8">
        <v>1.0438814942035199</v>
      </c>
      <c r="F92" s="8">
        <v>1.0961226330027001</v>
      </c>
    </row>
    <row r="93" spans="1:6" x14ac:dyDescent="0.25">
      <c r="A93" s="1">
        <v>30956</v>
      </c>
      <c r="B93" s="8">
        <v>121.893333333333</v>
      </c>
      <c r="C93" s="8">
        <v>116.663333333333</v>
      </c>
      <c r="D93" s="8">
        <v>111.363333333333</v>
      </c>
      <c r="E93" s="8">
        <v>1.0448298522814901</v>
      </c>
      <c r="F93" s="8">
        <v>1.09455535933431</v>
      </c>
    </row>
    <row r="94" spans="1:6" x14ac:dyDescent="0.25">
      <c r="A94" s="1">
        <v>30987</v>
      </c>
      <c r="B94" s="8">
        <v>122.22666666666601</v>
      </c>
      <c r="C94" s="8">
        <v>116.876666666666</v>
      </c>
      <c r="D94" s="8">
        <v>111.826666666666</v>
      </c>
      <c r="E94" s="8">
        <v>1.04577474831018</v>
      </c>
      <c r="F94" s="8">
        <v>1.0930010730893001</v>
      </c>
    </row>
    <row r="95" spans="1:6" x14ac:dyDescent="0.25">
      <c r="A95" s="1">
        <v>31017</v>
      </c>
      <c r="B95" s="8">
        <v>122.56</v>
      </c>
      <c r="C95" s="8">
        <v>117.09</v>
      </c>
      <c r="D95" s="8">
        <v>112.29</v>
      </c>
      <c r="E95" s="8">
        <v>1.04671620121274</v>
      </c>
      <c r="F95" s="8">
        <v>1.0914596135007499</v>
      </c>
    </row>
    <row r="96" spans="1:6" x14ac:dyDescent="0.25">
      <c r="A96" s="1">
        <v>31048</v>
      </c>
      <c r="B96" s="8">
        <v>123.12</v>
      </c>
      <c r="C96" s="8">
        <v>117.67666666666599</v>
      </c>
      <c r="D96" s="8">
        <v>112.946666666666</v>
      </c>
      <c r="E96" s="8">
        <v>1.0462566920658301</v>
      </c>
      <c r="F96" s="8">
        <v>1.0900720103883901</v>
      </c>
    </row>
    <row r="97" spans="1:6" x14ac:dyDescent="0.25">
      <c r="A97" s="1">
        <v>31079</v>
      </c>
      <c r="B97" s="8">
        <v>123.68</v>
      </c>
      <c r="C97" s="8">
        <v>118.26333333333299</v>
      </c>
      <c r="D97" s="8">
        <v>113.603333333333</v>
      </c>
      <c r="E97" s="8">
        <v>1.0458017418754699</v>
      </c>
      <c r="F97" s="8">
        <v>1.0887004489304899</v>
      </c>
    </row>
    <row r="98" spans="1:6" x14ac:dyDescent="0.25">
      <c r="A98" s="1">
        <v>31107</v>
      </c>
      <c r="B98" s="8">
        <v>124.24</v>
      </c>
      <c r="C98" s="8">
        <v>118.85</v>
      </c>
      <c r="D98" s="8">
        <v>114.26</v>
      </c>
      <c r="E98" s="8">
        <v>1.04535128312999</v>
      </c>
      <c r="F98" s="8">
        <v>1.08734465254682</v>
      </c>
    </row>
    <row r="99" spans="1:6" x14ac:dyDescent="0.25">
      <c r="A99" s="1">
        <v>31138</v>
      </c>
      <c r="B99" s="8">
        <v>124.87333333333299</v>
      </c>
      <c r="C99" s="8">
        <v>119.36</v>
      </c>
      <c r="D99" s="8">
        <v>114.666666666666</v>
      </c>
      <c r="E99" s="8">
        <v>1.0461907953529901</v>
      </c>
      <c r="F99" s="8">
        <v>1.0890116279069799</v>
      </c>
    </row>
    <row r="100" spans="1:6" x14ac:dyDescent="0.25">
      <c r="A100" s="1">
        <v>31168</v>
      </c>
      <c r="B100" s="8">
        <v>125.50666666666601</v>
      </c>
      <c r="C100" s="8">
        <v>119.87</v>
      </c>
      <c r="D100" s="8">
        <v>115.073333333333</v>
      </c>
      <c r="E100" s="8">
        <v>1.04702316398319</v>
      </c>
      <c r="F100" s="8">
        <v>1.0906668211575199</v>
      </c>
    </row>
    <row r="101" spans="1:6" x14ac:dyDescent="0.25">
      <c r="A101" s="1">
        <v>31199</v>
      </c>
      <c r="B101" s="8">
        <v>126.14</v>
      </c>
      <c r="C101" s="8">
        <v>120.38</v>
      </c>
      <c r="D101" s="8">
        <v>115.48</v>
      </c>
      <c r="E101" s="8">
        <v>1.04784847981392</v>
      </c>
      <c r="F101" s="8">
        <v>1.0923103567717301</v>
      </c>
    </row>
    <row r="102" spans="1:6" x14ac:dyDescent="0.25">
      <c r="A102" s="1">
        <v>31229</v>
      </c>
      <c r="B102" s="8">
        <v>126.806666666666</v>
      </c>
      <c r="C102" s="8">
        <v>120.773333333333</v>
      </c>
      <c r="D102" s="8">
        <v>115.803333333333</v>
      </c>
      <c r="E102" s="8">
        <v>1.0499558401413001</v>
      </c>
      <c r="F102" s="8">
        <v>1.09501741458219</v>
      </c>
    </row>
    <row r="103" spans="1:6" x14ac:dyDescent="0.25">
      <c r="A103" s="1">
        <v>31260</v>
      </c>
      <c r="B103" s="8">
        <v>127.473333333333</v>
      </c>
      <c r="C103" s="8">
        <v>121.166666666666</v>
      </c>
      <c r="D103" s="8">
        <v>116.126666666666</v>
      </c>
      <c r="E103" s="8">
        <v>1.0520495185694601</v>
      </c>
      <c r="F103" s="8">
        <v>1.09770939778403</v>
      </c>
    </row>
    <row r="104" spans="1:6" x14ac:dyDescent="0.25">
      <c r="A104" s="1">
        <v>31291</v>
      </c>
      <c r="B104" s="8">
        <v>128.13999999999999</v>
      </c>
      <c r="C104" s="8">
        <v>121.56</v>
      </c>
      <c r="D104" s="8">
        <v>116.45</v>
      </c>
      <c r="E104" s="8">
        <v>1.05412964791049</v>
      </c>
      <c r="F104" s="8">
        <v>1.10038643194504</v>
      </c>
    </row>
    <row r="105" spans="1:6" x14ac:dyDescent="0.25">
      <c r="A105" s="1">
        <v>31321</v>
      </c>
      <c r="B105" s="8">
        <v>128.60333333333301</v>
      </c>
      <c r="C105" s="8">
        <v>121.893333333333</v>
      </c>
      <c r="D105" s="8">
        <v>116.663333333333</v>
      </c>
      <c r="E105" s="8">
        <v>1.0550481295121401</v>
      </c>
      <c r="F105" s="8">
        <v>1.10234578130803</v>
      </c>
    </row>
    <row r="106" spans="1:6" x14ac:dyDescent="0.25">
      <c r="A106" s="1">
        <v>31352</v>
      </c>
      <c r="B106" s="8">
        <v>129.06666666666601</v>
      </c>
      <c r="C106" s="8">
        <v>122.22666666666601</v>
      </c>
      <c r="D106" s="8">
        <v>116.876666666666</v>
      </c>
      <c r="E106" s="8">
        <v>1.05596160139631</v>
      </c>
      <c r="F106" s="8">
        <v>1.10429797792544</v>
      </c>
    </row>
    <row r="107" spans="1:6" x14ac:dyDescent="0.25">
      <c r="A107" s="1">
        <v>31382</v>
      </c>
      <c r="B107" s="8">
        <v>129.53</v>
      </c>
      <c r="C107" s="8">
        <v>122.56</v>
      </c>
      <c r="D107" s="8">
        <v>117.09</v>
      </c>
      <c r="E107" s="8">
        <v>1.0568701044386399</v>
      </c>
      <c r="F107" s="8">
        <v>1.10624306089332</v>
      </c>
    </row>
    <row r="108" spans="1:6" x14ac:dyDescent="0.25">
      <c r="A108" s="1">
        <v>31413</v>
      </c>
      <c r="B108" s="8">
        <v>130.356666666666</v>
      </c>
      <c r="C108" s="8">
        <v>123.12</v>
      </c>
      <c r="D108" s="8">
        <v>117.67666666666599</v>
      </c>
      <c r="E108" s="8">
        <v>1.05877734459605</v>
      </c>
      <c r="F108" s="8">
        <v>1.1077528821913101</v>
      </c>
    </row>
    <row r="109" spans="1:6" x14ac:dyDescent="0.25">
      <c r="A109" s="1">
        <v>31444</v>
      </c>
      <c r="B109" s="8">
        <v>131.183333333333</v>
      </c>
      <c r="C109" s="8">
        <v>123.68</v>
      </c>
      <c r="D109" s="8">
        <v>118.26333333333299</v>
      </c>
      <c r="E109" s="8">
        <v>1.06066731349719</v>
      </c>
      <c r="F109" s="8">
        <v>1.1092477240057499</v>
      </c>
    </row>
    <row r="110" spans="1:6" x14ac:dyDescent="0.25">
      <c r="A110" s="1">
        <v>31472</v>
      </c>
      <c r="B110" s="8">
        <v>132.01</v>
      </c>
      <c r="C110" s="8">
        <v>124.24</v>
      </c>
      <c r="D110" s="8">
        <v>118.85</v>
      </c>
      <c r="E110" s="8">
        <v>1.0625402446876999</v>
      </c>
      <c r="F110" s="8">
        <v>1.1107278081615399</v>
      </c>
    </row>
    <row r="111" spans="1:6" x14ac:dyDescent="0.25">
      <c r="A111" s="1">
        <v>31503</v>
      </c>
      <c r="B111" s="8">
        <v>132.92666666666599</v>
      </c>
      <c r="C111" s="8">
        <v>124.87333333333299</v>
      </c>
      <c r="D111" s="8">
        <v>119.36</v>
      </c>
      <c r="E111" s="8">
        <v>1.06449201857882</v>
      </c>
      <c r="F111" s="8">
        <v>1.11366175156389</v>
      </c>
    </row>
    <row r="112" spans="1:6" x14ac:dyDescent="0.25">
      <c r="A112" s="1">
        <v>31533</v>
      </c>
      <c r="B112" s="8">
        <v>133.84333333333299</v>
      </c>
      <c r="C112" s="8">
        <v>125.50666666666601</v>
      </c>
      <c r="D112" s="8">
        <v>119.87</v>
      </c>
      <c r="E112" s="8">
        <v>1.06642409433762</v>
      </c>
      <c r="F112" s="8">
        <v>1.1165707294012901</v>
      </c>
    </row>
    <row r="113" spans="1:6" x14ac:dyDescent="0.25">
      <c r="A113" s="1">
        <v>31564</v>
      </c>
      <c r="B113" s="8">
        <v>134.76</v>
      </c>
      <c r="C113" s="8">
        <v>126.14</v>
      </c>
      <c r="D113" s="8">
        <v>120.38</v>
      </c>
      <c r="E113" s="8">
        <v>1.06833676866973</v>
      </c>
      <c r="F113" s="8">
        <v>1.1194550589798899</v>
      </c>
    </row>
    <row r="114" spans="1:6" x14ac:dyDescent="0.25">
      <c r="A114" s="1">
        <v>31594</v>
      </c>
      <c r="B114" s="8">
        <v>135.44333333333299</v>
      </c>
      <c r="C114" s="8">
        <v>126.806666666666</v>
      </c>
      <c r="D114" s="8">
        <v>120.773333333333</v>
      </c>
      <c r="E114" s="8">
        <v>1.0681089322327899</v>
      </c>
      <c r="F114" s="8">
        <v>1.12146721130492</v>
      </c>
    </row>
    <row r="115" spans="1:6" x14ac:dyDescent="0.25">
      <c r="A115" s="1">
        <v>31625</v>
      </c>
      <c r="B115" s="8">
        <v>136.12666666666601</v>
      </c>
      <c r="C115" s="8">
        <v>127.473333333333</v>
      </c>
      <c r="D115" s="8">
        <v>121.166666666666</v>
      </c>
      <c r="E115" s="8">
        <v>1.06788347889754</v>
      </c>
      <c r="F115" s="8">
        <v>1.1234662998624401</v>
      </c>
    </row>
    <row r="116" spans="1:6" x14ac:dyDescent="0.25">
      <c r="A116" s="1">
        <v>31656</v>
      </c>
      <c r="B116" s="8">
        <v>136.81</v>
      </c>
      <c r="C116" s="8">
        <v>128.13999999999999</v>
      </c>
      <c r="D116" s="8">
        <v>121.56</v>
      </c>
      <c r="E116" s="8">
        <v>1.0676603714687001</v>
      </c>
      <c r="F116" s="8">
        <v>1.1254524514642901</v>
      </c>
    </row>
    <row r="117" spans="1:6" x14ac:dyDescent="0.25">
      <c r="A117" s="1">
        <v>31686</v>
      </c>
      <c r="B117" s="8">
        <v>137.51</v>
      </c>
      <c r="C117" s="8">
        <v>128.60333333333301</v>
      </c>
      <c r="D117" s="8">
        <v>121.893333333333</v>
      </c>
      <c r="E117" s="8">
        <v>1.06925688810554</v>
      </c>
      <c r="F117" s="8">
        <v>1.1281174797637299</v>
      </c>
    </row>
    <row r="118" spans="1:6" x14ac:dyDescent="0.25">
      <c r="A118" s="1">
        <v>31717</v>
      </c>
      <c r="B118" s="8">
        <v>138.21</v>
      </c>
      <c r="C118" s="8">
        <v>129.06666666666601</v>
      </c>
      <c r="D118" s="8">
        <v>122.22666666666601</v>
      </c>
      <c r="E118" s="8">
        <v>1.0708419421487601</v>
      </c>
      <c r="F118" s="8">
        <v>1.13076797207374</v>
      </c>
    </row>
    <row r="119" spans="1:6" x14ac:dyDescent="0.25">
      <c r="A119" s="1">
        <v>31747</v>
      </c>
      <c r="B119" s="8">
        <v>138.91</v>
      </c>
      <c r="C119" s="8">
        <v>129.53</v>
      </c>
      <c r="D119" s="8">
        <v>122.56</v>
      </c>
      <c r="E119" s="8">
        <v>1.0724156566046401</v>
      </c>
      <c r="F119" s="8">
        <v>1.1334040469973801</v>
      </c>
    </row>
    <row r="120" spans="1:6" x14ac:dyDescent="0.25">
      <c r="A120" s="1">
        <v>31778</v>
      </c>
      <c r="B120" s="8">
        <v>139.82333333333301</v>
      </c>
      <c r="C120" s="8">
        <v>130.356666666666</v>
      </c>
      <c r="D120" s="8">
        <v>123.12</v>
      </c>
      <c r="E120" s="8">
        <v>1.07262126984939</v>
      </c>
      <c r="F120" s="8">
        <v>1.13566709984838</v>
      </c>
    </row>
    <row r="121" spans="1:6" x14ac:dyDescent="0.25">
      <c r="A121" s="1">
        <v>31809</v>
      </c>
      <c r="B121" s="8">
        <v>140.736666666666</v>
      </c>
      <c r="C121" s="8">
        <v>131.183333333333</v>
      </c>
      <c r="D121" s="8">
        <v>123.68</v>
      </c>
      <c r="E121" s="8">
        <v>1.0728242917037201</v>
      </c>
      <c r="F121" s="8">
        <v>1.1379096593359099</v>
      </c>
    </row>
    <row r="122" spans="1:6" x14ac:dyDescent="0.25">
      <c r="A122" s="1">
        <v>31837</v>
      </c>
      <c r="B122" s="8">
        <v>141.65</v>
      </c>
      <c r="C122" s="8">
        <v>132.01</v>
      </c>
      <c r="D122" s="8">
        <v>124.24</v>
      </c>
      <c r="E122" s="8">
        <v>1.0730247708506899</v>
      </c>
      <c r="F122" s="8">
        <v>1.1401320025756601</v>
      </c>
    </row>
    <row r="123" spans="1:6" x14ac:dyDescent="0.25">
      <c r="A123" s="1">
        <v>31868</v>
      </c>
      <c r="B123" s="8">
        <v>142.386666666666</v>
      </c>
      <c r="C123" s="8">
        <v>132.92666666666599</v>
      </c>
      <c r="D123" s="8">
        <v>124.87333333333299</v>
      </c>
      <c r="E123" s="8">
        <v>1.0711670595315701</v>
      </c>
      <c r="F123" s="8">
        <v>1.1402487854359</v>
      </c>
    </row>
    <row r="124" spans="1:6" x14ac:dyDescent="0.25">
      <c r="A124" s="1">
        <v>31898</v>
      </c>
      <c r="B124" s="8">
        <v>143.12333333333299</v>
      </c>
      <c r="C124" s="8">
        <v>133.84333333333299</v>
      </c>
      <c r="D124" s="8">
        <v>125.50666666666601</v>
      </c>
      <c r="E124" s="8">
        <v>1.06933479441137</v>
      </c>
      <c r="F124" s="8">
        <v>1.14036438967385</v>
      </c>
    </row>
    <row r="125" spans="1:6" x14ac:dyDescent="0.25">
      <c r="A125" s="1">
        <v>31929</v>
      </c>
      <c r="B125" s="8">
        <v>143.86000000000001</v>
      </c>
      <c r="C125" s="8">
        <v>134.76</v>
      </c>
      <c r="D125" s="8">
        <v>126.14</v>
      </c>
      <c r="E125" s="8">
        <v>1.06752745621846</v>
      </c>
      <c r="F125" s="8">
        <v>1.1404788330426501</v>
      </c>
    </row>
    <row r="126" spans="1:6" x14ac:dyDescent="0.25">
      <c r="A126" s="1">
        <v>31959</v>
      </c>
      <c r="B126" s="8">
        <v>144.4</v>
      </c>
      <c r="C126" s="8">
        <v>135.44333333333299</v>
      </c>
      <c r="D126" s="8">
        <v>126.806666666666</v>
      </c>
      <c r="E126" s="8">
        <v>1.06612851623065</v>
      </c>
      <c r="F126" s="8">
        <v>1.13874139109405</v>
      </c>
    </row>
    <row r="127" spans="1:6" x14ac:dyDescent="0.25">
      <c r="A127" s="1">
        <v>31990</v>
      </c>
      <c r="B127" s="8">
        <v>144.94</v>
      </c>
      <c r="C127" s="8">
        <v>136.12666666666601</v>
      </c>
      <c r="D127" s="8">
        <v>127.473333333333</v>
      </c>
      <c r="E127" s="8">
        <v>1.0647436211371799</v>
      </c>
      <c r="F127" s="8">
        <v>1.1370221222739401</v>
      </c>
    </row>
    <row r="128" spans="1:6" x14ac:dyDescent="0.25">
      <c r="A128" s="1">
        <v>32021</v>
      </c>
      <c r="B128" s="8">
        <v>145.47999999999999</v>
      </c>
      <c r="C128" s="8">
        <v>136.81</v>
      </c>
      <c r="D128" s="8">
        <v>128.13999999999999</v>
      </c>
      <c r="E128" s="8">
        <v>1.0633725604853399</v>
      </c>
      <c r="F128" s="8">
        <v>1.1353207429374099</v>
      </c>
    </row>
    <row r="129" spans="1:6" x14ac:dyDescent="0.25">
      <c r="A129" s="1">
        <v>32051</v>
      </c>
      <c r="B129" s="8">
        <v>145.78666666666601</v>
      </c>
      <c r="C129" s="8">
        <v>137.51</v>
      </c>
      <c r="D129" s="8">
        <v>128.60333333333301</v>
      </c>
      <c r="E129" s="8">
        <v>1.06018956197124</v>
      </c>
      <c r="F129" s="8">
        <v>1.13361499183535</v>
      </c>
    </row>
    <row r="130" spans="1:6" x14ac:dyDescent="0.25">
      <c r="A130" s="1">
        <v>32082</v>
      </c>
      <c r="B130" s="8">
        <v>146.09333333333299</v>
      </c>
      <c r="C130" s="8">
        <v>138.21</v>
      </c>
      <c r="D130" s="8">
        <v>129.06666666666601</v>
      </c>
      <c r="E130" s="8">
        <v>1.05703880568217</v>
      </c>
      <c r="F130" s="8">
        <v>1.1319214876032999</v>
      </c>
    </row>
    <row r="131" spans="1:6" x14ac:dyDescent="0.25">
      <c r="A131" s="1">
        <v>32112</v>
      </c>
      <c r="B131" s="8">
        <v>146.4</v>
      </c>
      <c r="C131" s="8">
        <v>138.91</v>
      </c>
      <c r="D131" s="8">
        <v>129.53</v>
      </c>
      <c r="E131" s="8">
        <v>1.0539198041897599</v>
      </c>
      <c r="F131" s="8">
        <v>1.1302400988187999</v>
      </c>
    </row>
    <row r="132" spans="1:6" x14ac:dyDescent="0.25">
      <c r="A132" s="1">
        <v>32143</v>
      </c>
      <c r="B132" s="8">
        <v>147.166666666666</v>
      </c>
      <c r="C132" s="8">
        <v>139.82333333333301</v>
      </c>
      <c r="D132" s="8">
        <v>130.356666666666</v>
      </c>
      <c r="E132" s="8">
        <v>1.05251865449257</v>
      </c>
      <c r="F132" s="8">
        <v>1.12895389572199</v>
      </c>
    </row>
    <row r="133" spans="1:6" x14ac:dyDescent="0.25">
      <c r="A133" s="1">
        <v>32174</v>
      </c>
      <c r="B133" s="8">
        <v>147.933333333333</v>
      </c>
      <c r="C133" s="8">
        <v>140.736666666666</v>
      </c>
      <c r="D133" s="8">
        <v>131.183333333333</v>
      </c>
      <c r="E133" s="8">
        <v>1.05113569076999</v>
      </c>
      <c r="F133" s="8">
        <v>1.12768390293482</v>
      </c>
    </row>
    <row r="134" spans="1:6" x14ac:dyDescent="0.25">
      <c r="A134" s="1">
        <v>32203</v>
      </c>
      <c r="B134" s="8">
        <v>148.69999999999999</v>
      </c>
      <c r="C134" s="8">
        <v>141.65</v>
      </c>
      <c r="D134" s="8">
        <v>132.01</v>
      </c>
      <c r="E134" s="8">
        <v>1.0497705612424899</v>
      </c>
      <c r="F134" s="8">
        <v>1.1264298159230299</v>
      </c>
    </row>
    <row r="135" spans="1:6" x14ac:dyDescent="0.25">
      <c r="A135" s="1">
        <v>32234</v>
      </c>
      <c r="B135" s="8">
        <v>149.68666666666601</v>
      </c>
      <c r="C135" s="8">
        <v>142.386666666666</v>
      </c>
      <c r="D135" s="8">
        <v>132.92666666666599</v>
      </c>
      <c r="E135" s="8">
        <v>1.0512688453975001</v>
      </c>
      <c r="F135" s="8">
        <v>1.1260845579015999</v>
      </c>
    </row>
    <row r="136" spans="1:6" x14ac:dyDescent="0.25">
      <c r="A136" s="1">
        <v>32264</v>
      </c>
      <c r="B136" s="8">
        <v>150.67333333333301</v>
      </c>
      <c r="C136" s="8">
        <v>143.12333333333299</v>
      </c>
      <c r="D136" s="8">
        <v>133.84333333333299</v>
      </c>
      <c r="E136" s="8">
        <v>1.05275170598784</v>
      </c>
      <c r="F136" s="8">
        <v>1.1257440290887299</v>
      </c>
    </row>
    <row r="137" spans="1:6" x14ac:dyDescent="0.25">
      <c r="A137" s="1">
        <v>32295</v>
      </c>
      <c r="B137" s="8">
        <v>151.66</v>
      </c>
      <c r="C137" s="8">
        <v>143.86000000000001</v>
      </c>
      <c r="D137" s="8">
        <v>134.76</v>
      </c>
      <c r="E137" s="8">
        <v>1.05421937995273</v>
      </c>
      <c r="F137" s="8">
        <v>1.1254081329771399</v>
      </c>
    </row>
    <row r="138" spans="1:6" x14ac:dyDescent="0.25">
      <c r="A138" s="1">
        <v>32325</v>
      </c>
      <c r="B138" s="8">
        <v>152.183333333333</v>
      </c>
      <c r="C138" s="8">
        <v>144.4</v>
      </c>
      <c r="D138" s="8">
        <v>135.44333333333299</v>
      </c>
      <c r="E138" s="8">
        <v>1.05390120036934</v>
      </c>
      <c r="F138" s="8">
        <v>1.1235941230034701</v>
      </c>
    </row>
    <row r="139" spans="1:6" x14ac:dyDescent="0.25">
      <c r="A139" s="1">
        <v>32356</v>
      </c>
      <c r="B139" s="8">
        <v>152.706666666666</v>
      </c>
      <c r="C139" s="8">
        <v>144.94</v>
      </c>
      <c r="D139" s="8">
        <v>136.12666666666601</v>
      </c>
      <c r="E139" s="8">
        <v>1.05358539165631</v>
      </c>
      <c r="F139" s="8">
        <v>1.1217983250893699</v>
      </c>
    </row>
    <row r="140" spans="1:6" x14ac:dyDescent="0.25">
      <c r="A140" s="1">
        <v>32387</v>
      </c>
      <c r="B140" s="8">
        <v>153.22999999999999</v>
      </c>
      <c r="C140" s="8">
        <v>145.47999999999999</v>
      </c>
      <c r="D140" s="8">
        <v>136.81</v>
      </c>
      <c r="E140" s="8">
        <v>1.0532719274127</v>
      </c>
      <c r="F140" s="8">
        <v>1.1200204663401701</v>
      </c>
    </row>
    <row r="141" spans="1:6" x14ac:dyDescent="0.25">
      <c r="A141" s="1">
        <v>32417</v>
      </c>
      <c r="B141" s="8">
        <v>153.706666666666</v>
      </c>
      <c r="C141" s="8">
        <v>145.78666666666601</v>
      </c>
      <c r="D141" s="8">
        <v>137.51</v>
      </c>
      <c r="E141" s="8">
        <v>1.0543259557344</v>
      </c>
      <c r="F141" s="8">
        <v>1.1177853731849701</v>
      </c>
    </row>
    <row r="142" spans="1:6" x14ac:dyDescent="0.25">
      <c r="A142" s="1">
        <v>32448</v>
      </c>
      <c r="B142" s="8">
        <v>154.183333333333</v>
      </c>
      <c r="C142" s="8">
        <v>146.09333333333299</v>
      </c>
      <c r="D142" s="8">
        <v>138.21</v>
      </c>
      <c r="E142" s="8">
        <v>1.05537555900337</v>
      </c>
      <c r="F142" s="8">
        <v>1.1155729204350799</v>
      </c>
    </row>
    <row r="143" spans="1:6" x14ac:dyDescent="0.25">
      <c r="A143" s="1">
        <v>32478</v>
      </c>
      <c r="B143" s="8">
        <v>154.66</v>
      </c>
      <c r="C143" s="8">
        <v>146.4</v>
      </c>
      <c r="D143" s="8">
        <v>138.91</v>
      </c>
      <c r="E143" s="8">
        <v>1.0564207650273201</v>
      </c>
      <c r="F143" s="8">
        <v>1.1133827658195901</v>
      </c>
    </row>
    <row r="144" spans="1:6" x14ac:dyDescent="0.25">
      <c r="A144" s="1">
        <v>32509</v>
      </c>
      <c r="B144" s="8">
        <v>155.24666666666599</v>
      </c>
      <c r="C144" s="8">
        <v>147.166666666666</v>
      </c>
      <c r="D144" s="8">
        <v>139.82333333333301</v>
      </c>
      <c r="E144" s="8">
        <v>1.0549037372593399</v>
      </c>
      <c r="F144" s="8">
        <v>1.11030586215938</v>
      </c>
    </row>
    <row r="145" spans="1:6" x14ac:dyDescent="0.25">
      <c r="A145" s="1">
        <v>32540</v>
      </c>
      <c r="B145" s="8">
        <v>155.833333333333</v>
      </c>
      <c r="C145" s="8">
        <v>147.933333333333</v>
      </c>
      <c r="D145" s="8">
        <v>140.736666666666</v>
      </c>
      <c r="E145" s="8">
        <v>1.0534024335286101</v>
      </c>
      <c r="F145" s="8">
        <v>1.10726889462589</v>
      </c>
    </row>
    <row r="146" spans="1:6" x14ac:dyDescent="0.25">
      <c r="A146" s="1">
        <v>32568</v>
      </c>
      <c r="B146" s="8">
        <v>156.41999999999999</v>
      </c>
      <c r="C146" s="8">
        <v>148.69999999999999</v>
      </c>
      <c r="D146" s="8">
        <v>141.65</v>
      </c>
      <c r="E146" s="8">
        <v>1.0519166106254201</v>
      </c>
      <c r="F146" s="8">
        <v>1.1042710907165501</v>
      </c>
    </row>
    <row r="147" spans="1:6" x14ac:dyDescent="0.25">
      <c r="A147" s="1">
        <v>32599</v>
      </c>
      <c r="B147" s="8">
        <v>157.15</v>
      </c>
      <c r="C147" s="8">
        <v>149.68666666666601</v>
      </c>
      <c r="D147" s="8">
        <v>142.386666666666</v>
      </c>
      <c r="E147" s="8">
        <v>1.0498597069433899</v>
      </c>
      <c r="F147" s="8">
        <v>1.1036848019477501</v>
      </c>
    </row>
    <row r="148" spans="1:6" x14ac:dyDescent="0.25">
      <c r="A148" s="1">
        <v>32629</v>
      </c>
      <c r="B148" s="8">
        <v>157.88</v>
      </c>
      <c r="C148" s="8">
        <v>150.67333333333301</v>
      </c>
      <c r="D148" s="8">
        <v>143.12333333333299</v>
      </c>
      <c r="E148" s="8">
        <v>1.0478297420468099</v>
      </c>
      <c r="F148" s="8">
        <v>1.1031045485245801</v>
      </c>
    </row>
    <row r="149" spans="1:6" x14ac:dyDescent="0.25">
      <c r="A149" s="1">
        <v>32660</v>
      </c>
      <c r="B149" s="8">
        <v>158.61000000000001</v>
      </c>
      <c r="C149" s="8">
        <v>151.66</v>
      </c>
      <c r="D149" s="8">
        <v>143.86000000000001</v>
      </c>
      <c r="E149" s="8">
        <v>1.0458261901621999</v>
      </c>
      <c r="F149" s="8">
        <v>1.1025302377311199</v>
      </c>
    </row>
    <row r="150" spans="1:6" x14ac:dyDescent="0.25">
      <c r="A150" s="1">
        <v>32690</v>
      </c>
      <c r="B150" s="8">
        <v>159.72666666666601</v>
      </c>
      <c r="C150" s="8">
        <v>152.183333333333</v>
      </c>
      <c r="D150" s="8">
        <v>144.4</v>
      </c>
      <c r="E150" s="8">
        <v>1.0495674077318999</v>
      </c>
      <c r="F150" s="8">
        <v>1.1061403508771801</v>
      </c>
    </row>
    <row r="151" spans="1:6" x14ac:dyDescent="0.25">
      <c r="A151" s="1">
        <v>32721</v>
      </c>
      <c r="B151" s="8">
        <v>160.84333333333299</v>
      </c>
      <c r="C151" s="8">
        <v>152.706666666666</v>
      </c>
      <c r="D151" s="8">
        <v>144.94</v>
      </c>
      <c r="E151" s="8">
        <v>1.0532829826246399</v>
      </c>
      <c r="F151" s="8">
        <v>1.1097235637735099</v>
      </c>
    </row>
    <row r="152" spans="1:6" x14ac:dyDescent="0.25">
      <c r="A152" s="1">
        <v>32752</v>
      </c>
      <c r="B152" s="8">
        <v>161.96</v>
      </c>
      <c r="C152" s="8">
        <v>153.22999999999999</v>
      </c>
      <c r="D152" s="8">
        <v>145.47999999999999</v>
      </c>
      <c r="E152" s="8">
        <v>1.0569731775761899</v>
      </c>
      <c r="F152" s="8">
        <v>1.1132801759691999</v>
      </c>
    </row>
    <row r="153" spans="1:6" x14ac:dyDescent="0.25">
      <c r="A153" s="1">
        <v>32782</v>
      </c>
      <c r="B153" s="8">
        <v>162.41</v>
      </c>
      <c r="C153" s="8">
        <v>153.706666666666</v>
      </c>
      <c r="D153" s="8">
        <v>145.78666666666601</v>
      </c>
      <c r="E153" s="8">
        <v>1.0566230048577401</v>
      </c>
      <c r="F153" s="8">
        <v>1.11402505944759</v>
      </c>
    </row>
    <row r="154" spans="1:6" x14ac:dyDescent="0.25">
      <c r="A154" s="1">
        <v>32813</v>
      </c>
      <c r="B154" s="8">
        <v>162.86000000000001</v>
      </c>
      <c r="C154" s="8">
        <v>154.183333333333</v>
      </c>
      <c r="D154" s="8">
        <v>146.09333333333299</v>
      </c>
      <c r="E154" s="8">
        <v>1.05627499729759</v>
      </c>
      <c r="F154" s="8">
        <v>1.1147668157342301</v>
      </c>
    </row>
    <row r="155" spans="1:6" x14ac:dyDescent="0.25">
      <c r="A155" s="1">
        <v>32843</v>
      </c>
      <c r="B155" s="8">
        <v>163.31</v>
      </c>
      <c r="C155" s="8">
        <v>154.66</v>
      </c>
      <c r="D155" s="8">
        <v>146.4</v>
      </c>
      <c r="E155" s="8">
        <v>1.0559291348765001</v>
      </c>
      <c r="F155" s="8">
        <v>1.11550546448087</v>
      </c>
    </row>
    <row r="156" spans="1:6" x14ac:dyDescent="0.25">
      <c r="A156" s="1">
        <v>32874</v>
      </c>
      <c r="B156" s="8">
        <v>163.613333333333</v>
      </c>
      <c r="C156" s="8">
        <v>155.24666666666599</v>
      </c>
      <c r="D156" s="8">
        <v>147.166666666666</v>
      </c>
      <c r="E156" s="8">
        <v>1.05389272984927</v>
      </c>
      <c r="F156" s="8">
        <v>1.11175537938845</v>
      </c>
    </row>
    <row r="157" spans="1:6" x14ac:dyDescent="0.25">
      <c r="A157" s="1">
        <v>32905</v>
      </c>
      <c r="B157" s="8">
        <v>163.916666666666</v>
      </c>
      <c r="C157" s="8">
        <v>155.833333333333</v>
      </c>
      <c r="D157" s="8">
        <v>147.933333333333</v>
      </c>
      <c r="E157" s="8">
        <v>1.0518716577539999</v>
      </c>
      <c r="F157" s="8">
        <v>1.10804416403785</v>
      </c>
    </row>
    <row r="158" spans="1:6" x14ac:dyDescent="0.25">
      <c r="A158" s="1">
        <v>32933</v>
      </c>
      <c r="B158" s="8">
        <v>164.22</v>
      </c>
      <c r="C158" s="8">
        <v>156.41999999999999</v>
      </c>
      <c r="D158" s="8">
        <v>148.69999999999999</v>
      </c>
      <c r="E158" s="8">
        <v>1.0498657460682701</v>
      </c>
      <c r="F158" s="8">
        <v>1.1043712172158699</v>
      </c>
    </row>
    <row r="159" spans="1:6" x14ac:dyDescent="0.25">
      <c r="A159" s="1">
        <v>32964</v>
      </c>
      <c r="B159" s="8">
        <v>164.44333333333299</v>
      </c>
      <c r="C159" s="8">
        <v>157.15</v>
      </c>
      <c r="D159" s="8">
        <v>149.68666666666601</v>
      </c>
      <c r="E159" s="8">
        <v>1.0464100116661299</v>
      </c>
      <c r="F159" s="8">
        <v>1.0985837081904399</v>
      </c>
    </row>
    <row r="160" spans="1:6" x14ac:dyDescent="0.25">
      <c r="A160" s="1">
        <v>32994</v>
      </c>
      <c r="B160" s="8">
        <v>164.666666666666</v>
      </c>
      <c r="C160" s="8">
        <v>157.88</v>
      </c>
      <c r="D160" s="8">
        <v>150.67333333333301</v>
      </c>
      <c r="E160" s="8">
        <v>1.0429862342707401</v>
      </c>
      <c r="F160" s="8">
        <v>1.0928719968142899</v>
      </c>
    </row>
    <row r="161" spans="1:6" x14ac:dyDescent="0.25">
      <c r="A161" s="1">
        <v>33025</v>
      </c>
      <c r="B161" s="8">
        <v>164.89</v>
      </c>
      <c r="C161" s="8">
        <v>158.61000000000001</v>
      </c>
      <c r="D161" s="8">
        <v>151.66</v>
      </c>
      <c r="E161" s="8">
        <v>1.03959397263728</v>
      </c>
      <c r="F161" s="8">
        <v>1.0872346037188401</v>
      </c>
    </row>
    <row r="162" spans="1:6" x14ac:dyDescent="0.25">
      <c r="A162" s="1">
        <v>33055</v>
      </c>
      <c r="B162" s="8">
        <v>165.22333333333299</v>
      </c>
      <c r="C162" s="8">
        <v>159.72666666666601</v>
      </c>
      <c r="D162" s="8">
        <v>152.183333333333</v>
      </c>
      <c r="E162" s="8">
        <v>1.0344129554655801</v>
      </c>
      <c r="F162" s="8">
        <v>1.0856861241923099</v>
      </c>
    </row>
    <row r="163" spans="1:6" x14ac:dyDescent="0.25">
      <c r="A163" s="1">
        <v>33086</v>
      </c>
      <c r="B163" s="8">
        <v>165.55666666666599</v>
      </c>
      <c r="C163" s="8">
        <v>160.84333333333299</v>
      </c>
      <c r="D163" s="8">
        <v>152.706666666666</v>
      </c>
      <c r="E163" s="8">
        <v>1.0293038774791099</v>
      </c>
      <c r="F163" s="8">
        <v>1.0841482580983099</v>
      </c>
    </row>
    <row r="164" spans="1:6" x14ac:dyDescent="0.25">
      <c r="A164" s="1">
        <v>33117</v>
      </c>
      <c r="B164" s="8">
        <v>165.89</v>
      </c>
      <c r="C164" s="8">
        <v>161.96</v>
      </c>
      <c r="D164" s="8">
        <v>153.22999999999999</v>
      </c>
      <c r="E164" s="8">
        <v>1.0242652506791801</v>
      </c>
      <c r="F164" s="8">
        <v>1.0826208966912401</v>
      </c>
    </row>
    <row r="165" spans="1:6" x14ac:dyDescent="0.25">
      <c r="A165" s="1">
        <v>33147</v>
      </c>
      <c r="B165" s="8">
        <v>165.673333333334</v>
      </c>
      <c r="C165" s="8">
        <v>162.41</v>
      </c>
      <c r="D165" s="8">
        <v>153.706666666666</v>
      </c>
      <c r="E165" s="8">
        <v>1.02009317981241</v>
      </c>
      <c r="F165" s="8">
        <v>1.07785392088828</v>
      </c>
    </row>
    <row r="166" spans="1:6" x14ac:dyDescent="0.25">
      <c r="A166" s="1">
        <v>33178</v>
      </c>
      <c r="B166" s="8">
        <v>165.45666666666699</v>
      </c>
      <c r="C166" s="8">
        <v>162.86000000000001</v>
      </c>
      <c r="D166" s="8">
        <v>154.183333333333</v>
      </c>
      <c r="E166" s="8">
        <v>1.01594416472225</v>
      </c>
      <c r="F166" s="8">
        <v>1.0731164198465</v>
      </c>
    </row>
    <row r="167" spans="1:6" x14ac:dyDescent="0.25">
      <c r="A167" s="1">
        <v>33208</v>
      </c>
      <c r="B167" s="8">
        <v>165.24</v>
      </c>
      <c r="C167" s="8">
        <v>163.31</v>
      </c>
      <c r="D167" s="8">
        <v>154.66</v>
      </c>
      <c r="E167" s="8">
        <v>1.0118180148184399</v>
      </c>
      <c r="F167" s="8">
        <v>1.0684081210396901</v>
      </c>
    </row>
    <row r="168" spans="1:6" x14ac:dyDescent="0.25">
      <c r="A168" s="1">
        <v>33239</v>
      </c>
      <c r="B168" s="8">
        <v>165.70333333333301</v>
      </c>
      <c r="C168" s="8">
        <v>163.613333333333</v>
      </c>
      <c r="D168" s="8">
        <v>155.24666666666599</v>
      </c>
      <c r="E168" s="8">
        <v>1.0127740200472599</v>
      </c>
      <c r="F168" s="8">
        <v>1.06735517670803</v>
      </c>
    </row>
    <row r="169" spans="1:6" x14ac:dyDescent="0.25">
      <c r="A169" s="1">
        <v>33270</v>
      </c>
      <c r="B169" s="8">
        <v>166.166666666666</v>
      </c>
      <c r="C169" s="8">
        <v>163.916666666666</v>
      </c>
      <c r="D169" s="8">
        <v>155.833333333333</v>
      </c>
      <c r="E169" s="8">
        <v>1.01372648703609</v>
      </c>
      <c r="F169" s="8">
        <v>1.0663101604278</v>
      </c>
    </row>
    <row r="170" spans="1:6" x14ac:dyDescent="0.25">
      <c r="A170" s="1">
        <v>33298</v>
      </c>
      <c r="B170" s="8">
        <v>166.63</v>
      </c>
      <c r="C170" s="8">
        <v>164.22</v>
      </c>
      <c r="D170" s="8">
        <v>156.41999999999999</v>
      </c>
      <c r="E170" s="8">
        <v>1.0146754353915399</v>
      </c>
      <c r="F170" s="8">
        <v>1.0652729829945</v>
      </c>
    </row>
    <row r="171" spans="1:6" x14ac:dyDescent="0.25">
      <c r="A171" s="1">
        <v>33329</v>
      </c>
      <c r="B171" s="8">
        <v>167.00333333333299</v>
      </c>
      <c r="C171" s="8">
        <v>164.44333333333299</v>
      </c>
      <c r="D171" s="8">
        <v>157.15</v>
      </c>
      <c r="E171" s="8">
        <v>1.01556767275454</v>
      </c>
      <c r="F171" s="8">
        <v>1.0627001802948299</v>
      </c>
    </row>
    <row r="172" spans="1:6" x14ac:dyDescent="0.25">
      <c r="A172" s="1">
        <v>33359</v>
      </c>
      <c r="B172" s="8">
        <v>167.37666666666601</v>
      </c>
      <c r="C172" s="8">
        <v>164.666666666666</v>
      </c>
      <c r="D172" s="8">
        <v>157.88</v>
      </c>
      <c r="E172" s="8">
        <v>1.0164574898785399</v>
      </c>
      <c r="F172" s="8">
        <v>1.0601511696647199</v>
      </c>
    </row>
    <row r="173" spans="1:6" x14ac:dyDescent="0.25">
      <c r="A173" s="1">
        <v>33390</v>
      </c>
      <c r="B173" s="8">
        <v>167.75</v>
      </c>
      <c r="C173" s="8">
        <v>164.89</v>
      </c>
      <c r="D173" s="8">
        <v>158.61000000000001</v>
      </c>
      <c r="E173" s="8">
        <v>1.0173448965977301</v>
      </c>
      <c r="F173" s="8">
        <v>1.0576256225963001</v>
      </c>
    </row>
    <row r="174" spans="1:6" x14ac:dyDescent="0.25">
      <c r="A174" s="1">
        <v>33420</v>
      </c>
      <c r="B174" s="8">
        <v>167.84333333333299</v>
      </c>
      <c r="C174" s="8">
        <v>165.22333333333299</v>
      </c>
      <c r="D174" s="8">
        <v>159.72666666666601</v>
      </c>
      <c r="E174" s="8">
        <v>1.0158573244295599</v>
      </c>
      <c r="F174" s="8">
        <v>1.05081597729454</v>
      </c>
    </row>
    <row r="175" spans="1:6" x14ac:dyDescent="0.25">
      <c r="A175" s="1">
        <v>33451</v>
      </c>
      <c r="B175" s="8">
        <v>167.93666666666601</v>
      </c>
      <c r="C175" s="8">
        <v>165.55666666666599</v>
      </c>
      <c r="D175" s="8">
        <v>160.84333333333299</v>
      </c>
      <c r="E175" s="8">
        <v>1.01437574244468</v>
      </c>
      <c r="F175" s="8">
        <v>1.04410088491907</v>
      </c>
    </row>
    <row r="176" spans="1:6" x14ac:dyDescent="0.25">
      <c r="A176" s="1">
        <v>33482</v>
      </c>
      <c r="B176" s="8">
        <v>168.03</v>
      </c>
      <c r="C176" s="8">
        <v>165.89</v>
      </c>
      <c r="D176" s="8">
        <v>161.96</v>
      </c>
      <c r="E176" s="8">
        <v>1.01290011453372</v>
      </c>
      <c r="F176" s="8">
        <v>1.0374783897258499</v>
      </c>
    </row>
    <row r="177" spans="1:6" x14ac:dyDescent="0.25">
      <c r="A177" s="1">
        <v>33512</v>
      </c>
      <c r="B177" s="8">
        <v>168.82</v>
      </c>
      <c r="C177" s="8">
        <v>165.673333333334</v>
      </c>
      <c r="D177" s="8">
        <v>162.41</v>
      </c>
      <c r="E177" s="8">
        <v>1.0189931994688299</v>
      </c>
      <c r="F177" s="8">
        <v>1.03946801305338</v>
      </c>
    </row>
    <row r="178" spans="1:6" x14ac:dyDescent="0.25">
      <c r="A178" s="1">
        <v>33543</v>
      </c>
      <c r="B178" s="8">
        <v>169.61</v>
      </c>
      <c r="C178" s="8">
        <v>165.45666666666699</v>
      </c>
      <c r="D178" s="8">
        <v>162.86000000000001</v>
      </c>
      <c r="E178" s="8">
        <v>1.02510224227894</v>
      </c>
      <c r="F178" s="8">
        <v>1.04144664128699</v>
      </c>
    </row>
    <row r="179" spans="1:6" x14ac:dyDescent="0.25">
      <c r="A179" s="1">
        <v>33573</v>
      </c>
      <c r="B179" s="8">
        <v>170.4</v>
      </c>
      <c r="C179" s="8">
        <v>165.24</v>
      </c>
      <c r="D179" s="8">
        <v>163.31</v>
      </c>
      <c r="E179" s="8">
        <v>1.0312273057371</v>
      </c>
      <c r="F179" s="8">
        <v>1.0434143653174901</v>
      </c>
    </row>
    <row r="180" spans="1:6" x14ac:dyDescent="0.25">
      <c r="A180" s="1">
        <v>33604</v>
      </c>
      <c r="B180" s="8">
        <v>170.84</v>
      </c>
      <c r="C180" s="8">
        <v>165.70333333333301</v>
      </c>
      <c r="D180" s="8">
        <v>163.613333333333</v>
      </c>
      <c r="E180" s="8">
        <v>1.03099917523284</v>
      </c>
      <c r="F180" s="8">
        <v>1.04416917936598</v>
      </c>
    </row>
    <row r="181" spans="1:6" x14ac:dyDescent="0.25">
      <c r="A181" s="1">
        <v>33635</v>
      </c>
      <c r="B181" s="8">
        <v>171.28</v>
      </c>
      <c r="C181" s="8">
        <v>166.166666666666</v>
      </c>
      <c r="D181" s="8">
        <v>163.916666666666</v>
      </c>
      <c r="E181" s="8">
        <v>1.03077231695085</v>
      </c>
      <c r="F181" s="8">
        <v>1.0449211997966401</v>
      </c>
    </row>
    <row r="182" spans="1:6" x14ac:dyDescent="0.25">
      <c r="A182" s="1">
        <v>33664</v>
      </c>
      <c r="B182" s="8">
        <v>171.72</v>
      </c>
      <c r="C182" s="8">
        <v>166.63</v>
      </c>
      <c r="D182" s="8">
        <v>164.22</v>
      </c>
      <c r="E182" s="8">
        <v>1.0305467202784599</v>
      </c>
      <c r="F182" s="8">
        <v>1.0456704420898699</v>
      </c>
    </row>
    <row r="183" spans="1:6" x14ac:dyDescent="0.25">
      <c r="A183" s="1">
        <v>33695</v>
      </c>
      <c r="B183" s="8">
        <v>171.71</v>
      </c>
      <c r="C183" s="8">
        <v>167.00333333333299</v>
      </c>
      <c r="D183" s="8">
        <v>164.44333333333299</v>
      </c>
      <c r="E183" s="8">
        <v>1.0281830701982</v>
      </c>
      <c r="F183" s="8">
        <v>1.0441894877668101</v>
      </c>
    </row>
    <row r="184" spans="1:6" x14ac:dyDescent="0.25">
      <c r="A184" s="1">
        <v>33725</v>
      </c>
      <c r="B184" s="8">
        <v>171.7</v>
      </c>
      <c r="C184" s="8">
        <v>167.37666666666601</v>
      </c>
      <c r="D184" s="8">
        <v>164.666666666666</v>
      </c>
      <c r="E184" s="8">
        <v>1.02582996435186</v>
      </c>
      <c r="F184" s="8">
        <v>1.0427125506072901</v>
      </c>
    </row>
    <row r="185" spans="1:6" x14ac:dyDescent="0.25">
      <c r="A185" s="1">
        <v>33756</v>
      </c>
      <c r="B185" s="8">
        <v>171.69</v>
      </c>
      <c r="C185" s="8">
        <v>167.75</v>
      </c>
      <c r="D185" s="8">
        <v>164.89</v>
      </c>
      <c r="E185" s="8">
        <v>1.0234873323397899</v>
      </c>
      <c r="F185" s="8">
        <v>1.04123961428831</v>
      </c>
    </row>
    <row r="186" spans="1:6" x14ac:dyDescent="0.25">
      <c r="A186" s="1">
        <v>33786</v>
      </c>
      <c r="B186" s="8">
        <v>172.34</v>
      </c>
      <c r="C186" s="8">
        <v>167.84333333333299</v>
      </c>
      <c r="D186" s="8">
        <v>165.22333333333299</v>
      </c>
      <c r="E186" s="8">
        <v>1.0267908565527299</v>
      </c>
      <c r="F186" s="8">
        <v>1.0430730122864</v>
      </c>
    </row>
    <row r="187" spans="1:6" x14ac:dyDescent="0.25">
      <c r="A187" s="1">
        <v>33817</v>
      </c>
      <c r="B187" s="8">
        <v>172.99</v>
      </c>
      <c r="C187" s="8">
        <v>167.93666666666601</v>
      </c>
      <c r="D187" s="8">
        <v>165.55666666666599</v>
      </c>
      <c r="E187" s="8">
        <v>1.0300907087989499</v>
      </c>
      <c r="F187" s="8">
        <v>1.0448990275233001</v>
      </c>
    </row>
    <row r="188" spans="1:6" x14ac:dyDescent="0.25">
      <c r="A188" s="1">
        <v>33848</v>
      </c>
      <c r="B188" s="8">
        <v>173.64</v>
      </c>
      <c r="C188" s="8">
        <v>168.03</v>
      </c>
      <c r="D188" s="8">
        <v>165.89</v>
      </c>
      <c r="E188" s="8">
        <v>1.03338689519728</v>
      </c>
      <c r="F188" s="8">
        <v>1.0467177045029801</v>
      </c>
    </row>
    <row r="189" spans="1:6" x14ac:dyDescent="0.25">
      <c r="A189" s="1">
        <v>33878</v>
      </c>
      <c r="B189" s="8">
        <v>173.93666666666601</v>
      </c>
      <c r="C189" s="8">
        <v>168.82</v>
      </c>
      <c r="D189" s="8">
        <v>165.673333333334</v>
      </c>
      <c r="E189" s="8">
        <v>1.03030841527464</v>
      </c>
      <c r="F189" s="8">
        <v>1.0498772685203701</v>
      </c>
    </row>
    <row r="190" spans="1:6" x14ac:dyDescent="0.25">
      <c r="A190" s="1">
        <v>33909</v>
      </c>
      <c r="B190" s="8">
        <v>174.23333333333301</v>
      </c>
      <c r="C190" s="8">
        <v>169.61</v>
      </c>
      <c r="D190" s="8">
        <v>165.45666666666699</v>
      </c>
      <c r="E190" s="8">
        <v>1.02725861289625</v>
      </c>
      <c r="F190" s="8">
        <v>1.0530451074803</v>
      </c>
    </row>
    <row r="191" spans="1:6" x14ac:dyDescent="0.25">
      <c r="A191" s="1">
        <v>33939</v>
      </c>
      <c r="B191" s="8">
        <v>174.53</v>
      </c>
      <c r="C191" s="8">
        <v>170.4</v>
      </c>
      <c r="D191" s="8">
        <v>165.24</v>
      </c>
      <c r="E191" s="8">
        <v>1.02423708920187</v>
      </c>
      <c r="F191" s="8">
        <v>1.0562212539336699</v>
      </c>
    </row>
    <row r="192" spans="1:6" x14ac:dyDescent="0.25">
      <c r="A192" s="1">
        <v>33970</v>
      </c>
      <c r="B192" s="8">
        <v>174.55</v>
      </c>
      <c r="C192" s="8">
        <v>170.84</v>
      </c>
      <c r="D192" s="8">
        <v>165.70333333333301</v>
      </c>
      <c r="E192" s="8">
        <v>1.0217162257082599</v>
      </c>
      <c r="F192" s="8">
        <v>1.0533885860272301</v>
      </c>
    </row>
    <row r="193" spans="1:6" x14ac:dyDescent="0.25">
      <c r="A193" s="1">
        <v>34001</v>
      </c>
      <c r="B193" s="8">
        <v>174.57</v>
      </c>
      <c r="C193" s="8">
        <v>171.28</v>
      </c>
      <c r="D193" s="8">
        <v>166.166666666666</v>
      </c>
      <c r="E193" s="8">
        <v>1.01920831387202</v>
      </c>
      <c r="F193" s="8">
        <v>1.0505717151454399</v>
      </c>
    </row>
    <row r="194" spans="1:6" x14ac:dyDescent="0.25">
      <c r="A194" s="1">
        <v>34029</v>
      </c>
      <c r="B194" s="8">
        <v>174.59</v>
      </c>
      <c r="C194" s="8">
        <v>171.72</v>
      </c>
      <c r="D194" s="8">
        <v>166.63</v>
      </c>
      <c r="E194" s="8">
        <v>1.01671325413463</v>
      </c>
      <c r="F194" s="8">
        <v>1.0477705095120899</v>
      </c>
    </row>
    <row r="195" spans="1:6" x14ac:dyDescent="0.25">
      <c r="A195" s="1">
        <v>34060</v>
      </c>
      <c r="B195" s="8">
        <v>175.143333333333</v>
      </c>
      <c r="C195" s="8">
        <v>171.71</v>
      </c>
      <c r="D195" s="8">
        <v>167.00333333333299</v>
      </c>
      <c r="E195" s="8">
        <v>1.01999495273037</v>
      </c>
      <c r="F195" s="8">
        <v>1.0487415420849799</v>
      </c>
    </row>
    <row r="196" spans="1:6" x14ac:dyDescent="0.25">
      <c r="A196" s="1">
        <v>34090</v>
      </c>
      <c r="B196" s="8">
        <v>175.696666666666</v>
      </c>
      <c r="C196" s="8">
        <v>171.7</v>
      </c>
      <c r="D196" s="8">
        <v>167.37666666666601</v>
      </c>
      <c r="E196" s="8">
        <v>1.0232770335857</v>
      </c>
      <c r="F196" s="8">
        <v>1.0497082428853</v>
      </c>
    </row>
    <row r="197" spans="1:6" x14ac:dyDescent="0.25">
      <c r="A197" s="1">
        <v>34121</v>
      </c>
      <c r="B197" s="8">
        <v>176.25</v>
      </c>
      <c r="C197" s="8">
        <v>171.69</v>
      </c>
      <c r="D197" s="8">
        <v>167.75</v>
      </c>
      <c r="E197" s="8">
        <v>1.0265594967674201</v>
      </c>
      <c r="F197" s="8">
        <v>1.0506706408345701</v>
      </c>
    </row>
    <row r="198" spans="1:6" x14ac:dyDescent="0.25">
      <c r="A198" s="1">
        <v>34151</v>
      </c>
      <c r="B198" s="8">
        <v>176.72333333333299</v>
      </c>
      <c r="C198" s="8">
        <v>172.34</v>
      </c>
      <c r="D198" s="8">
        <v>167.84333333333299</v>
      </c>
      <c r="E198" s="8">
        <v>1.0254342191791399</v>
      </c>
      <c r="F198" s="8">
        <v>1.0529064802494299</v>
      </c>
    </row>
    <row r="199" spans="1:6" x14ac:dyDescent="0.25">
      <c r="A199" s="1">
        <v>34182</v>
      </c>
      <c r="B199" s="8">
        <v>177.196666666666</v>
      </c>
      <c r="C199" s="8">
        <v>172.99</v>
      </c>
      <c r="D199" s="8">
        <v>167.93666666666601</v>
      </c>
      <c r="E199" s="8">
        <v>1.0243173979228</v>
      </c>
      <c r="F199" s="8">
        <v>1.0551398344614</v>
      </c>
    </row>
    <row r="200" spans="1:6" x14ac:dyDescent="0.25">
      <c r="A200" s="1">
        <v>34213</v>
      </c>
      <c r="B200" s="8">
        <v>177.67</v>
      </c>
      <c r="C200" s="8">
        <v>173.64</v>
      </c>
      <c r="D200" s="8">
        <v>168.03</v>
      </c>
      <c r="E200" s="8">
        <v>1.0232089380327101</v>
      </c>
      <c r="F200" s="8">
        <v>1.05737070761173</v>
      </c>
    </row>
    <row r="201" spans="1:6" x14ac:dyDescent="0.25">
      <c r="A201" s="1">
        <v>34243</v>
      </c>
      <c r="B201" s="8">
        <v>178.15666666666601</v>
      </c>
      <c r="C201" s="8">
        <v>173.93666666666601</v>
      </c>
      <c r="D201" s="8">
        <v>168.82</v>
      </c>
      <c r="E201" s="8">
        <v>1.0242617044518101</v>
      </c>
      <c r="F201" s="8">
        <v>1.05530545354025</v>
      </c>
    </row>
    <row r="202" spans="1:6" x14ac:dyDescent="0.25">
      <c r="A202" s="1">
        <v>34274</v>
      </c>
      <c r="B202" s="8">
        <v>178.643333333333</v>
      </c>
      <c r="C202" s="8">
        <v>174.23333333333301</v>
      </c>
      <c r="D202" s="8">
        <v>169.61</v>
      </c>
      <c r="E202" s="8">
        <v>1.0253108857853399</v>
      </c>
      <c r="F202" s="8">
        <v>1.0532594383192699</v>
      </c>
    </row>
    <row r="203" spans="1:6" x14ac:dyDescent="0.25">
      <c r="A203" s="1">
        <v>34304</v>
      </c>
      <c r="B203" s="8">
        <v>179.13</v>
      </c>
      <c r="C203" s="8">
        <v>174.53</v>
      </c>
      <c r="D203" s="8">
        <v>170.4</v>
      </c>
      <c r="E203" s="8">
        <v>1.02635650031513</v>
      </c>
      <c r="F203" s="8">
        <v>1.0512323943661901</v>
      </c>
    </row>
    <row r="204" spans="1:6" x14ac:dyDescent="0.25">
      <c r="A204" s="1">
        <v>34335</v>
      </c>
      <c r="B204" s="8">
        <v>179.51333333333301</v>
      </c>
      <c r="C204" s="8">
        <v>174.55</v>
      </c>
      <c r="D204" s="8">
        <v>170.84</v>
      </c>
      <c r="E204" s="8">
        <v>1.02843502339348</v>
      </c>
      <c r="F204" s="8">
        <v>1.0507687504877801</v>
      </c>
    </row>
    <row r="205" spans="1:6" x14ac:dyDescent="0.25">
      <c r="A205" s="1">
        <v>34366</v>
      </c>
      <c r="B205" s="8">
        <v>179.89666666666599</v>
      </c>
      <c r="C205" s="8">
        <v>174.57</v>
      </c>
      <c r="D205" s="8">
        <v>171.28</v>
      </c>
      <c r="E205" s="8">
        <v>1.0305130702106</v>
      </c>
      <c r="F205" s="8">
        <v>1.05030748871243</v>
      </c>
    </row>
    <row r="206" spans="1:6" x14ac:dyDescent="0.25">
      <c r="A206" s="1">
        <v>34394</v>
      </c>
      <c r="B206" s="8">
        <v>180.28</v>
      </c>
      <c r="C206" s="8">
        <v>174.59</v>
      </c>
      <c r="D206" s="8">
        <v>171.72</v>
      </c>
      <c r="E206" s="8">
        <v>1.0325906409301699</v>
      </c>
      <c r="F206" s="8">
        <v>1.04984859072909</v>
      </c>
    </row>
    <row r="207" spans="1:6" x14ac:dyDescent="0.25">
      <c r="A207" s="1">
        <v>34425</v>
      </c>
      <c r="B207" s="8">
        <v>180.64666666666599</v>
      </c>
      <c r="C207" s="8">
        <v>175.143333333333</v>
      </c>
      <c r="D207" s="8">
        <v>171.71</v>
      </c>
      <c r="E207" s="8">
        <v>1.03142188302913</v>
      </c>
      <c r="F207" s="8">
        <v>1.05204511482538</v>
      </c>
    </row>
    <row r="208" spans="1:6" x14ac:dyDescent="0.25">
      <c r="A208" s="1">
        <v>34455</v>
      </c>
      <c r="B208" s="8">
        <v>181.01333333333301</v>
      </c>
      <c r="C208" s="8">
        <v>175.696666666666</v>
      </c>
      <c r="D208" s="8">
        <v>171.7</v>
      </c>
      <c r="E208" s="8">
        <v>1.0302604868238801</v>
      </c>
      <c r="F208" s="8">
        <v>1.0542418947777099</v>
      </c>
    </row>
    <row r="209" spans="1:6" x14ac:dyDescent="0.25">
      <c r="A209" s="1">
        <v>34486</v>
      </c>
      <c r="B209" s="8">
        <v>181.38</v>
      </c>
      <c r="C209" s="8">
        <v>176.25</v>
      </c>
      <c r="D209" s="8">
        <v>171.69</v>
      </c>
      <c r="E209" s="8">
        <v>1.0291063829787199</v>
      </c>
      <c r="F209" s="8">
        <v>1.05643893063078</v>
      </c>
    </row>
    <row r="210" spans="1:6" x14ac:dyDescent="0.25">
      <c r="A210" s="1">
        <v>34516</v>
      </c>
      <c r="B210" s="8">
        <v>181.63</v>
      </c>
      <c r="C210" s="8">
        <v>176.72333333333299</v>
      </c>
      <c r="D210" s="8">
        <v>172.34</v>
      </c>
      <c r="E210" s="8">
        <v>1.02776467925382</v>
      </c>
      <c r="F210" s="8">
        <v>1.05390507137054</v>
      </c>
    </row>
    <row r="211" spans="1:6" x14ac:dyDescent="0.25">
      <c r="A211" s="1">
        <v>34547</v>
      </c>
      <c r="B211" s="8">
        <v>181.88</v>
      </c>
      <c r="C211" s="8">
        <v>177.196666666666</v>
      </c>
      <c r="D211" s="8">
        <v>172.99</v>
      </c>
      <c r="E211" s="8">
        <v>1.0264301435316701</v>
      </c>
      <c r="F211" s="8">
        <v>1.05139025377189</v>
      </c>
    </row>
    <row r="212" spans="1:6" x14ac:dyDescent="0.25">
      <c r="A212" s="1">
        <v>34578</v>
      </c>
      <c r="B212" s="8">
        <v>182.13</v>
      </c>
      <c r="C212" s="8">
        <v>177.67</v>
      </c>
      <c r="D212" s="8">
        <v>173.64</v>
      </c>
      <c r="E212" s="8">
        <v>1.0251027185231001</v>
      </c>
      <c r="F212" s="8">
        <v>1.0488942639944701</v>
      </c>
    </row>
    <row r="213" spans="1:6" x14ac:dyDescent="0.25">
      <c r="A213" s="1">
        <v>34608</v>
      </c>
      <c r="B213" s="8">
        <v>182.07333333333401</v>
      </c>
      <c r="C213" s="8">
        <v>178.15666666666601</v>
      </c>
      <c r="D213" s="8">
        <v>173.93666666666601</v>
      </c>
      <c r="E213" s="8">
        <v>1.02198439575655</v>
      </c>
      <c r="F213" s="8">
        <v>1.0467794791207601</v>
      </c>
    </row>
    <row r="214" spans="1:6" x14ac:dyDescent="0.25">
      <c r="A214" s="1">
        <v>34639</v>
      </c>
      <c r="B214" s="8">
        <v>182.01666666666699</v>
      </c>
      <c r="C214" s="8">
        <v>178.643333333333</v>
      </c>
      <c r="D214" s="8">
        <v>174.23333333333301</v>
      </c>
      <c r="E214" s="8">
        <v>1.0188830630865999</v>
      </c>
      <c r="F214" s="8">
        <v>1.0446718959250001</v>
      </c>
    </row>
    <row r="215" spans="1:6" x14ac:dyDescent="0.25">
      <c r="A215" s="1">
        <v>34669</v>
      </c>
      <c r="B215" s="8">
        <v>181.96</v>
      </c>
      <c r="C215" s="8">
        <v>179.13</v>
      </c>
      <c r="D215" s="8">
        <v>174.53</v>
      </c>
      <c r="E215" s="8">
        <v>1.0157985820353901</v>
      </c>
      <c r="F215" s="8">
        <v>1.04257147768291</v>
      </c>
    </row>
    <row r="216" spans="1:6" x14ac:dyDescent="0.25">
      <c r="A216" s="1">
        <v>34700</v>
      </c>
      <c r="B216" s="8">
        <v>182.28666666666601</v>
      </c>
      <c r="C216" s="8">
        <v>179.51333333333301</v>
      </c>
      <c r="D216" s="8">
        <v>174.55</v>
      </c>
      <c r="E216" s="8">
        <v>1.0154491774055701</v>
      </c>
      <c r="F216" s="8">
        <v>1.0443234985200001</v>
      </c>
    </row>
    <row r="217" spans="1:6" x14ac:dyDescent="0.25">
      <c r="A217" s="1">
        <v>34731</v>
      </c>
      <c r="B217" s="8">
        <v>182.613333333333</v>
      </c>
      <c r="C217" s="8">
        <v>179.89666666666599</v>
      </c>
      <c r="D217" s="8">
        <v>174.57</v>
      </c>
      <c r="E217" s="8">
        <v>1.0151012618355</v>
      </c>
      <c r="F217" s="8">
        <v>1.04607511790876</v>
      </c>
    </row>
    <row r="218" spans="1:6" x14ac:dyDescent="0.25">
      <c r="A218" s="1">
        <v>34759</v>
      </c>
      <c r="B218" s="8">
        <v>182.94</v>
      </c>
      <c r="C218" s="8">
        <v>180.28</v>
      </c>
      <c r="D218" s="8">
        <v>174.59</v>
      </c>
      <c r="E218" s="8">
        <v>1.01475482582649</v>
      </c>
      <c r="F218" s="8">
        <v>1.04782633598716</v>
      </c>
    </row>
    <row r="219" spans="1:6" x14ac:dyDescent="0.25">
      <c r="A219" s="1">
        <v>34790</v>
      </c>
      <c r="B219" s="8">
        <v>183.933333333333</v>
      </c>
      <c r="C219" s="8">
        <v>180.64666666666599</v>
      </c>
      <c r="D219" s="8">
        <v>175.143333333333</v>
      </c>
      <c r="E219" s="8">
        <v>1.01819389600324</v>
      </c>
      <c r="F219" s="8">
        <v>1.0501874655044401</v>
      </c>
    </row>
    <row r="220" spans="1:6" x14ac:dyDescent="0.25">
      <c r="A220" s="1">
        <v>34820</v>
      </c>
      <c r="B220" s="8">
        <v>184.92666666666599</v>
      </c>
      <c r="C220" s="8">
        <v>181.01333333333301</v>
      </c>
      <c r="D220" s="8">
        <v>175.696666666666</v>
      </c>
      <c r="E220" s="8">
        <v>1.0216190335886799</v>
      </c>
      <c r="F220" s="8">
        <v>1.05253372289362</v>
      </c>
    </row>
    <row r="221" spans="1:6" x14ac:dyDescent="0.25">
      <c r="A221" s="1">
        <v>34851</v>
      </c>
      <c r="B221" s="8">
        <v>185.92</v>
      </c>
      <c r="C221" s="8">
        <v>181.38</v>
      </c>
      <c r="D221" s="8">
        <v>176.25</v>
      </c>
      <c r="E221" s="8">
        <v>1.02503032307861</v>
      </c>
      <c r="F221" s="8">
        <v>1.05486524822695</v>
      </c>
    </row>
    <row r="222" spans="1:6" x14ac:dyDescent="0.25">
      <c r="A222" s="1">
        <v>34881</v>
      </c>
      <c r="B222" s="8">
        <v>186.87</v>
      </c>
      <c r="C222" s="8">
        <v>181.63</v>
      </c>
      <c r="D222" s="8">
        <v>176.72333333333299</v>
      </c>
      <c r="E222" s="8">
        <v>1.02884985960469</v>
      </c>
      <c r="F222" s="8">
        <v>1.0574155459569501</v>
      </c>
    </row>
    <row r="223" spans="1:6" x14ac:dyDescent="0.25">
      <c r="A223" s="1">
        <v>34912</v>
      </c>
      <c r="B223" s="8">
        <v>187.82</v>
      </c>
      <c r="C223" s="8">
        <v>181.88</v>
      </c>
      <c r="D223" s="8">
        <v>177.196666666666</v>
      </c>
      <c r="E223" s="8">
        <v>1.03265889597536</v>
      </c>
      <c r="F223" s="8">
        <v>1.0599522188152499</v>
      </c>
    </row>
    <row r="224" spans="1:6" x14ac:dyDescent="0.25">
      <c r="A224" s="1">
        <v>34943</v>
      </c>
      <c r="B224" s="8">
        <v>188.77</v>
      </c>
      <c r="C224" s="8">
        <v>182.13</v>
      </c>
      <c r="D224" s="8">
        <v>177.67</v>
      </c>
      <c r="E224" s="8">
        <v>1.0364574754296301</v>
      </c>
      <c r="F224" s="8">
        <v>1.06247537569651</v>
      </c>
    </row>
    <row r="225" spans="1:6" x14ac:dyDescent="0.25">
      <c r="A225" s="1">
        <v>34973</v>
      </c>
      <c r="B225" s="8">
        <v>189.266666666666</v>
      </c>
      <c r="C225" s="8">
        <v>182.07333333333401</v>
      </c>
      <c r="D225" s="8">
        <v>178.15666666666601</v>
      </c>
      <c r="E225" s="8">
        <v>1.03950789059352</v>
      </c>
      <c r="F225" s="8">
        <v>1.0623608434523899</v>
      </c>
    </row>
    <row r="226" spans="1:6" x14ac:dyDescent="0.25">
      <c r="A226" s="1">
        <v>35004</v>
      </c>
      <c r="B226" s="8">
        <v>189.76333333333301</v>
      </c>
      <c r="C226" s="8">
        <v>182.01666666666699</v>
      </c>
      <c r="D226" s="8">
        <v>178.643333333333</v>
      </c>
      <c r="E226" s="8">
        <v>1.0425602051094101</v>
      </c>
      <c r="F226" s="8">
        <v>1.06224693523407</v>
      </c>
    </row>
    <row r="227" spans="1:6" x14ac:dyDescent="0.25">
      <c r="A227" s="1">
        <v>35034</v>
      </c>
      <c r="B227" s="8">
        <v>190.26</v>
      </c>
      <c r="C227" s="8">
        <v>181.96</v>
      </c>
      <c r="D227" s="8">
        <v>179.13</v>
      </c>
      <c r="E227" s="8">
        <v>1.0456144207518101</v>
      </c>
      <c r="F227" s="8">
        <v>1.06213364595545</v>
      </c>
    </row>
    <row r="228" spans="1:6" x14ac:dyDescent="0.25">
      <c r="A228" s="1">
        <v>35065</v>
      </c>
      <c r="B228" s="8">
        <v>190.97666666666601</v>
      </c>
      <c r="C228" s="8">
        <v>182.28666666666601</v>
      </c>
      <c r="D228" s="8">
        <v>179.51333333333301</v>
      </c>
      <c r="E228" s="8">
        <v>1.04767216472223</v>
      </c>
      <c r="F228" s="8">
        <v>1.06385783785791</v>
      </c>
    </row>
    <row r="229" spans="1:6" x14ac:dyDescent="0.25">
      <c r="A229" s="1">
        <v>35096</v>
      </c>
      <c r="B229" s="8">
        <v>191.69333333333299</v>
      </c>
      <c r="C229" s="8">
        <v>182.613333333333</v>
      </c>
      <c r="D229" s="8">
        <v>179.89666666666599</v>
      </c>
      <c r="E229" s="8">
        <v>1.0497225467289699</v>
      </c>
      <c r="F229" s="8">
        <v>1.06557468176175</v>
      </c>
    </row>
    <row r="230" spans="1:6" x14ac:dyDescent="0.25">
      <c r="A230" s="1">
        <v>35125</v>
      </c>
      <c r="B230" s="8">
        <v>192.41</v>
      </c>
      <c r="C230" s="8">
        <v>182.94</v>
      </c>
      <c r="D230" s="8">
        <v>180.28</v>
      </c>
      <c r="E230" s="8">
        <v>1.0517656062096801</v>
      </c>
      <c r="F230" s="8">
        <v>1.0672842245395999</v>
      </c>
    </row>
    <row r="231" spans="1:6" x14ac:dyDescent="0.25">
      <c r="A231" s="1">
        <v>35156</v>
      </c>
      <c r="B231" s="8">
        <v>192.516666666666</v>
      </c>
      <c r="C231" s="8">
        <v>183.933333333333</v>
      </c>
      <c r="D231" s="8">
        <v>180.64666666666599</v>
      </c>
      <c r="E231" s="8">
        <v>1.0466654584994499</v>
      </c>
      <c r="F231" s="8">
        <v>1.0657083810015799</v>
      </c>
    </row>
    <row r="232" spans="1:6" x14ac:dyDescent="0.25">
      <c r="A232" s="1">
        <v>35186</v>
      </c>
      <c r="B232" s="8">
        <v>192.62333333333299</v>
      </c>
      <c r="C232" s="8">
        <v>184.92666666666599</v>
      </c>
      <c r="D232" s="8">
        <v>181.01333333333301</v>
      </c>
      <c r="E232" s="8">
        <v>1.04162010166192</v>
      </c>
      <c r="F232" s="8">
        <v>1.0641389216263899</v>
      </c>
    </row>
    <row r="233" spans="1:6" x14ac:dyDescent="0.25">
      <c r="A233" s="1">
        <v>35217</v>
      </c>
      <c r="B233" s="8">
        <v>192.73</v>
      </c>
      <c r="C233" s="8">
        <v>185.92</v>
      </c>
      <c r="D233" s="8">
        <v>181.38</v>
      </c>
      <c r="E233" s="8">
        <v>1.03662865748709</v>
      </c>
      <c r="F233" s="8">
        <v>1.0625758076965399</v>
      </c>
    </row>
    <row r="234" spans="1:6" x14ac:dyDescent="0.25">
      <c r="A234" s="1">
        <v>35247</v>
      </c>
      <c r="B234" s="8">
        <v>193.023333333333</v>
      </c>
      <c r="C234" s="8">
        <v>186.87</v>
      </c>
      <c r="D234" s="8">
        <v>181.63</v>
      </c>
      <c r="E234" s="8">
        <v>1.0329284172597599</v>
      </c>
      <c r="F234" s="8">
        <v>1.0627282570794001</v>
      </c>
    </row>
    <row r="235" spans="1:6" x14ac:dyDescent="0.25">
      <c r="A235" s="1">
        <v>35278</v>
      </c>
      <c r="B235" s="8">
        <v>193.31666666666601</v>
      </c>
      <c r="C235" s="8">
        <v>187.82</v>
      </c>
      <c r="D235" s="8">
        <v>181.88</v>
      </c>
      <c r="E235" s="8">
        <v>1.0292656089163299</v>
      </c>
      <c r="F235" s="8">
        <v>1.06288028736895</v>
      </c>
    </row>
    <row r="236" spans="1:6" x14ac:dyDescent="0.25">
      <c r="A236" s="1">
        <v>35309</v>
      </c>
      <c r="B236" s="8">
        <v>193.61</v>
      </c>
      <c r="C236" s="8">
        <v>188.77</v>
      </c>
      <c r="D236" s="8">
        <v>182.13</v>
      </c>
      <c r="E236" s="8">
        <v>1.0256396673200101</v>
      </c>
      <c r="F236" s="8">
        <v>1.063031900291</v>
      </c>
    </row>
    <row r="237" spans="1:6" x14ac:dyDescent="0.25">
      <c r="A237" s="1">
        <v>35339</v>
      </c>
      <c r="B237" s="8">
        <v>194.106666666666</v>
      </c>
      <c r="C237" s="8">
        <v>189.266666666666</v>
      </c>
      <c r="D237" s="8">
        <v>182.07333333333401</v>
      </c>
      <c r="E237" s="8">
        <v>1.02557238464247</v>
      </c>
      <c r="F237" s="8">
        <v>1.06609058621067</v>
      </c>
    </row>
    <row r="238" spans="1:6" x14ac:dyDescent="0.25">
      <c r="A238" s="1">
        <v>35370</v>
      </c>
      <c r="B238" s="8">
        <v>194.60333333333301</v>
      </c>
      <c r="C238" s="8">
        <v>189.76333333333301</v>
      </c>
      <c r="D238" s="8">
        <v>182.01666666666699</v>
      </c>
      <c r="E238" s="8">
        <v>1.0255054541622</v>
      </c>
      <c r="F238" s="8">
        <v>1.06915117663217</v>
      </c>
    </row>
    <row r="239" spans="1:6" x14ac:dyDescent="0.25">
      <c r="A239" s="1">
        <v>35400</v>
      </c>
      <c r="B239" s="8">
        <v>195.1</v>
      </c>
      <c r="C239" s="8">
        <v>190.26</v>
      </c>
      <c r="D239" s="8">
        <v>181.96</v>
      </c>
      <c r="E239" s="8">
        <v>1.02543887312099</v>
      </c>
      <c r="F239" s="8">
        <v>1.07221367333479</v>
      </c>
    </row>
    <row r="240" spans="1:6" x14ac:dyDescent="0.25">
      <c r="A240" s="1">
        <v>35431</v>
      </c>
      <c r="B240" s="8">
        <v>195.643333333333</v>
      </c>
      <c r="C240" s="8">
        <v>190.97666666666601</v>
      </c>
      <c r="D240" s="8">
        <v>182.28666666666601</v>
      </c>
      <c r="E240" s="8">
        <v>1.0244357949487699</v>
      </c>
      <c r="F240" s="8">
        <v>1.0732728669129199</v>
      </c>
    </row>
    <row r="241" spans="1:6" x14ac:dyDescent="0.25">
      <c r="A241" s="1">
        <v>35462</v>
      </c>
      <c r="B241" s="8">
        <v>196.18666666666601</v>
      </c>
      <c r="C241" s="8">
        <v>191.69333333333299</v>
      </c>
      <c r="D241" s="8">
        <v>182.613333333333</v>
      </c>
      <c r="E241" s="8">
        <v>1.0234402170132799</v>
      </c>
      <c r="F241" s="8">
        <v>1.07432827102803</v>
      </c>
    </row>
    <row r="242" spans="1:6" x14ac:dyDescent="0.25">
      <c r="A242" s="1">
        <v>35490</v>
      </c>
      <c r="B242" s="8">
        <v>196.73</v>
      </c>
      <c r="C242" s="8">
        <v>192.41</v>
      </c>
      <c r="D242" s="8">
        <v>182.94</v>
      </c>
      <c r="E242" s="8">
        <v>1.02245205550647</v>
      </c>
      <c r="F242" s="8">
        <v>1.0753799059800999</v>
      </c>
    </row>
    <row r="243" spans="1:6" x14ac:dyDescent="0.25">
      <c r="A243" s="1">
        <v>35521</v>
      </c>
      <c r="B243" s="8">
        <v>197.28</v>
      </c>
      <c r="C243" s="8">
        <v>192.516666666666</v>
      </c>
      <c r="D243" s="8">
        <v>183.933333333333</v>
      </c>
      <c r="E243" s="8">
        <v>1.0247424465414201</v>
      </c>
      <c r="F243" s="8">
        <v>1.0725625226531299</v>
      </c>
    </row>
    <row r="244" spans="1:6" x14ac:dyDescent="0.25">
      <c r="A244" s="1">
        <v>35551</v>
      </c>
      <c r="B244" s="8">
        <v>197.83</v>
      </c>
      <c r="C244" s="8">
        <v>192.62333333333299</v>
      </c>
      <c r="D244" s="8">
        <v>184.92666666666599</v>
      </c>
      <c r="E244" s="8">
        <v>1.02703030093273</v>
      </c>
      <c r="F244" s="8">
        <v>1.0697754064674301</v>
      </c>
    </row>
    <row r="245" spans="1:6" x14ac:dyDescent="0.25">
      <c r="A245" s="1">
        <v>35582</v>
      </c>
      <c r="B245" s="8">
        <v>198.38</v>
      </c>
      <c r="C245" s="8">
        <v>192.73</v>
      </c>
      <c r="D245" s="8">
        <v>185.92</v>
      </c>
      <c r="E245" s="8">
        <v>1.0293156228921201</v>
      </c>
      <c r="F245" s="8">
        <v>1.06701807228915</v>
      </c>
    </row>
    <row r="246" spans="1:6" x14ac:dyDescent="0.25">
      <c r="A246" s="1">
        <v>35612</v>
      </c>
      <c r="B246" s="8">
        <v>199.29333333333301</v>
      </c>
      <c r="C246" s="8">
        <v>193.023333333333</v>
      </c>
      <c r="D246" s="8">
        <v>186.87</v>
      </c>
      <c r="E246" s="8">
        <v>1.03248311948469</v>
      </c>
      <c r="F246" s="8">
        <v>1.0664811544567501</v>
      </c>
    </row>
    <row r="247" spans="1:6" x14ac:dyDescent="0.25">
      <c r="A247" s="1">
        <v>35643</v>
      </c>
      <c r="B247" s="8">
        <v>200.206666666666</v>
      </c>
      <c r="C247" s="8">
        <v>193.31666666666601</v>
      </c>
      <c r="D247" s="8">
        <v>187.82</v>
      </c>
      <c r="E247" s="8">
        <v>1.0356410035347801</v>
      </c>
      <c r="F247" s="8">
        <v>1.06594966812195</v>
      </c>
    </row>
    <row r="248" spans="1:6" x14ac:dyDescent="0.25">
      <c r="A248" s="1">
        <v>35674</v>
      </c>
      <c r="B248" s="8">
        <v>201.12</v>
      </c>
      <c r="C248" s="8">
        <v>193.61</v>
      </c>
      <c r="D248" s="8">
        <v>188.77</v>
      </c>
      <c r="E248" s="8">
        <v>1.03878931873353</v>
      </c>
      <c r="F248" s="8">
        <v>1.06542353128145</v>
      </c>
    </row>
    <row r="249" spans="1:6" x14ac:dyDescent="0.25">
      <c r="A249" s="1">
        <v>35704</v>
      </c>
      <c r="B249" s="8">
        <v>201.986666666666</v>
      </c>
      <c r="C249" s="8">
        <v>194.106666666666</v>
      </c>
      <c r="D249" s="8">
        <v>189.266666666666</v>
      </c>
      <c r="E249" s="8">
        <v>1.04059623574666</v>
      </c>
      <c r="F249" s="8">
        <v>1.06720676294469</v>
      </c>
    </row>
    <row r="250" spans="1:6" x14ac:dyDescent="0.25">
      <c r="A250" s="1">
        <v>35735</v>
      </c>
      <c r="B250" s="8">
        <v>202.85333333333301</v>
      </c>
      <c r="C250" s="8">
        <v>194.60333333333301</v>
      </c>
      <c r="D250" s="8">
        <v>189.76333333333301</v>
      </c>
      <c r="E250" s="8">
        <v>1.0423939295318601</v>
      </c>
      <c r="F250" s="8">
        <v>1.0689806601205001</v>
      </c>
    </row>
    <row r="251" spans="1:6" x14ac:dyDescent="0.25">
      <c r="A251" s="1">
        <v>35765</v>
      </c>
      <c r="B251" s="8">
        <v>203.72</v>
      </c>
      <c r="C251" s="8">
        <v>195.1</v>
      </c>
      <c r="D251" s="8">
        <v>190.26</v>
      </c>
      <c r="E251" s="8">
        <v>1.0441824705279299</v>
      </c>
      <c r="F251" s="8">
        <v>1.0707452959108501</v>
      </c>
    </row>
    <row r="252" spans="1:6" x14ac:dyDescent="0.25">
      <c r="A252" s="1">
        <v>35796</v>
      </c>
      <c r="B252" s="8">
        <v>204.73333333333301</v>
      </c>
      <c r="C252" s="8">
        <v>195.643333333333</v>
      </c>
      <c r="D252" s="8">
        <v>190.97666666666601</v>
      </c>
      <c r="E252" s="8">
        <v>1.0464620993985601</v>
      </c>
      <c r="F252" s="8">
        <v>1.0720332326811299</v>
      </c>
    </row>
    <row r="253" spans="1:6" x14ac:dyDescent="0.25">
      <c r="A253" s="1">
        <v>35827</v>
      </c>
      <c r="B253" s="8">
        <v>205.74666666666599</v>
      </c>
      <c r="C253" s="8">
        <v>196.18666666666601</v>
      </c>
      <c r="D253" s="8">
        <v>191.69333333333299</v>
      </c>
      <c r="E253" s="8">
        <v>1.0487291015359499</v>
      </c>
      <c r="F253" s="8">
        <v>1.0733115392640999</v>
      </c>
    </row>
    <row r="254" spans="1:6" x14ac:dyDescent="0.25">
      <c r="A254" s="1">
        <v>35855</v>
      </c>
      <c r="B254" s="8">
        <v>206.76</v>
      </c>
      <c r="C254" s="8">
        <v>196.73</v>
      </c>
      <c r="D254" s="8">
        <v>192.41</v>
      </c>
      <c r="E254" s="8">
        <v>1.05098358155848</v>
      </c>
      <c r="F254" s="8">
        <v>1.07458032326802</v>
      </c>
    </row>
    <row r="255" spans="1:6" x14ac:dyDescent="0.25">
      <c r="A255" s="1">
        <v>35886</v>
      </c>
      <c r="B255" s="8">
        <v>207.38</v>
      </c>
      <c r="C255" s="8">
        <v>197.28</v>
      </c>
      <c r="D255" s="8">
        <v>192.516666666666</v>
      </c>
      <c r="E255" s="8">
        <v>1.0511962692619601</v>
      </c>
      <c r="F255" s="8">
        <v>1.07720543675872</v>
      </c>
    </row>
    <row r="256" spans="1:6" x14ac:dyDescent="0.25">
      <c r="A256" s="1">
        <v>35916</v>
      </c>
      <c r="B256" s="8">
        <v>208</v>
      </c>
      <c r="C256" s="8">
        <v>197.83</v>
      </c>
      <c r="D256" s="8">
        <v>192.62333333333299</v>
      </c>
      <c r="E256" s="8">
        <v>1.0514077743517101</v>
      </c>
      <c r="F256" s="8">
        <v>1.0798276428954601</v>
      </c>
    </row>
    <row r="257" spans="1:6" x14ac:dyDescent="0.25">
      <c r="A257" s="1">
        <v>35947</v>
      </c>
      <c r="B257" s="8">
        <v>208.62</v>
      </c>
      <c r="C257" s="8">
        <v>198.38</v>
      </c>
      <c r="D257" s="8">
        <v>192.73</v>
      </c>
      <c r="E257" s="8">
        <v>1.05161810666397</v>
      </c>
      <c r="F257" s="8">
        <v>1.08244694650547</v>
      </c>
    </row>
    <row r="258" spans="1:6" x14ac:dyDescent="0.25">
      <c r="A258" s="1">
        <v>35977</v>
      </c>
      <c r="B258" s="8">
        <v>209.59</v>
      </c>
      <c r="C258" s="8">
        <v>199.29333333333301</v>
      </c>
      <c r="D258" s="8">
        <v>193.023333333333</v>
      </c>
      <c r="E258" s="8">
        <v>1.05166588613099</v>
      </c>
      <c r="F258" s="8">
        <v>1.0858272747681601</v>
      </c>
    </row>
    <row r="259" spans="1:6" x14ac:dyDescent="0.25">
      <c r="A259" s="1">
        <v>36008</v>
      </c>
      <c r="B259" s="8">
        <v>210.56</v>
      </c>
      <c r="C259" s="8">
        <v>200.206666666666</v>
      </c>
      <c r="D259" s="8">
        <v>193.31666666666601</v>
      </c>
      <c r="E259" s="8">
        <v>1.0517132296626801</v>
      </c>
      <c r="F259" s="8">
        <v>1.08919734459867</v>
      </c>
    </row>
    <row r="260" spans="1:6" x14ac:dyDescent="0.25">
      <c r="A260" s="1">
        <v>36039</v>
      </c>
      <c r="B260" s="8">
        <v>211.53</v>
      </c>
      <c r="C260" s="8">
        <v>201.12</v>
      </c>
      <c r="D260" s="8">
        <v>193.61</v>
      </c>
      <c r="E260" s="8">
        <v>1.0517601431980901</v>
      </c>
      <c r="F260" s="8">
        <v>1.0925572026238299</v>
      </c>
    </row>
    <row r="261" spans="1:6" x14ac:dyDescent="0.25">
      <c r="A261" s="1">
        <v>36069</v>
      </c>
      <c r="B261" s="8">
        <v>212.36666666666599</v>
      </c>
      <c r="C261" s="8">
        <v>201.986666666666</v>
      </c>
      <c r="D261" s="8">
        <v>194.106666666666</v>
      </c>
      <c r="E261" s="8">
        <v>1.05138953066209</v>
      </c>
      <c r="F261" s="8">
        <v>1.0940719879104199</v>
      </c>
    </row>
    <row r="262" spans="1:6" x14ac:dyDescent="0.25">
      <c r="A262" s="1">
        <v>36100</v>
      </c>
      <c r="B262" s="8">
        <v>213.20333333333301</v>
      </c>
      <c r="C262" s="8">
        <v>202.85333333333301</v>
      </c>
      <c r="D262" s="8">
        <v>194.60333333333301</v>
      </c>
      <c r="E262" s="8">
        <v>1.05102208492178</v>
      </c>
      <c r="F262" s="8">
        <v>1.0955790411263899</v>
      </c>
    </row>
    <row r="263" spans="1:6" x14ac:dyDescent="0.25">
      <c r="A263" s="1">
        <v>36130</v>
      </c>
      <c r="B263" s="8">
        <v>214.04</v>
      </c>
      <c r="C263" s="8">
        <v>203.72</v>
      </c>
      <c r="D263" s="8">
        <v>195.1</v>
      </c>
      <c r="E263" s="8">
        <v>1.05065776556057</v>
      </c>
      <c r="F263" s="8">
        <v>1.0970784213223901</v>
      </c>
    </row>
    <row r="264" spans="1:6" x14ac:dyDescent="0.25">
      <c r="A264" s="1">
        <v>36161</v>
      </c>
      <c r="B264" s="8">
        <v>214.79333333333301</v>
      </c>
      <c r="C264" s="8">
        <v>204.73333333333301</v>
      </c>
      <c r="D264" s="8">
        <v>195.643333333333</v>
      </c>
      <c r="E264" s="8">
        <v>1.04913708889612</v>
      </c>
      <c r="F264" s="8">
        <v>1.0978822006031299</v>
      </c>
    </row>
    <row r="265" spans="1:6" x14ac:dyDescent="0.25">
      <c r="A265" s="1">
        <v>36192</v>
      </c>
      <c r="B265" s="8">
        <v>215.546666666666</v>
      </c>
      <c r="C265" s="8">
        <v>205.74666666666599</v>
      </c>
      <c r="D265" s="8">
        <v>196.18666666666601</v>
      </c>
      <c r="E265" s="8">
        <v>1.0476313913550599</v>
      </c>
      <c r="F265" s="8">
        <v>1.09868152779665</v>
      </c>
    </row>
    <row r="266" spans="1:6" x14ac:dyDescent="0.25">
      <c r="A266" s="1">
        <v>36220</v>
      </c>
      <c r="B266" s="8">
        <v>216.3</v>
      </c>
      <c r="C266" s="8">
        <v>206.76</v>
      </c>
      <c r="D266" s="8">
        <v>196.73</v>
      </c>
      <c r="E266" s="8">
        <v>1.0461404526987801</v>
      </c>
      <c r="F266" s="8">
        <v>1.0994764397905701</v>
      </c>
    </row>
    <row r="267" spans="1:6" x14ac:dyDescent="0.25">
      <c r="A267" s="1">
        <v>36251</v>
      </c>
      <c r="B267" s="8">
        <v>217.266666666666</v>
      </c>
      <c r="C267" s="8">
        <v>207.38</v>
      </c>
      <c r="D267" s="8">
        <v>197.28</v>
      </c>
      <c r="E267" s="8">
        <v>1.0476741569421599</v>
      </c>
      <c r="F267" s="8">
        <v>1.10131116517977</v>
      </c>
    </row>
    <row r="268" spans="1:6" x14ac:dyDescent="0.25">
      <c r="A268" s="1">
        <v>36281</v>
      </c>
      <c r="B268" s="8">
        <v>218.23333333333301</v>
      </c>
      <c r="C268" s="8">
        <v>208</v>
      </c>
      <c r="D268" s="8">
        <v>197.83</v>
      </c>
      <c r="E268" s="8">
        <v>1.0491987179487099</v>
      </c>
      <c r="F268" s="8">
        <v>1.1031356888911299</v>
      </c>
    </row>
    <row r="269" spans="1:6" x14ac:dyDescent="0.25">
      <c r="A269" s="1">
        <v>36312</v>
      </c>
      <c r="B269" s="8">
        <v>219.2</v>
      </c>
      <c r="C269" s="8">
        <v>208.62</v>
      </c>
      <c r="D269" s="8">
        <v>198.38</v>
      </c>
      <c r="E269" s="8">
        <v>1.05071421723708</v>
      </c>
      <c r="F269" s="8">
        <v>1.1049500957757801</v>
      </c>
    </row>
    <row r="270" spans="1:6" x14ac:dyDescent="0.25">
      <c r="A270" s="1">
        <v>36342</v>
      </c>
      <c r="B270" s="8">
        <v>220.23333333333301</v>
      </c>
      <c r="C270" s="8">
        <v>209.59</v>
      </c>
      <c r="D270" s="8">
        <v>199.29333333333301</v>
      </c>
      <c r="E270" s="8">
        <v>1.0507816848768201</v>
      </c>
      <c r="F270" s="8">
        <v>1.1050712517562</v>
      </c>
    </row>
    <row r="271" spans="1:6" x14ac:dyDescent="0.25">
      <c r="A271" s="1">
        <v>36373</v>
      </c>
      <c r="B271" s="8">
        <v>221.266666666666</v>
      </c>
      <c r="C271" s="8">
        <v>210.56</v>
      </c>
      <c r="D271" s="8">
        <v>200.206666666666</v>
      </c>
      <c r="E271" s="8">
        <v>1.0508485309017099</v>
      </c>
      <c r="F271" s="8">
        <v>1.1051913023209301</v>
      </c>
    </row>
    <row r="272" spans="1:6" x14ac:dyDescent="0.25">
      <c r="A272" s="1">
        <v>36404</v>
      </c>
      <c r="B272" s="8">
        <v>222.3</v>
      </c>
      <c r="C272" s="8">
        <v>211.53</v>
      </c>
      <c r="D272" s="8">
        <v>201.12</v>
      </c>
      <c r="E272" s="8">
        <v>1.0509147638632801</v>
      </c>
      <c r="F272" s="8">
        <v>1.1053102625298299</v>
      </c>
    </row>
    <row r="273" spans="1:6" x14ac:dyDescent="0.25">
      <c r="A273" s="1">
        <v>36434</v>
      </c>
      <c r="B273" s="8">
        <v>223.06666666666601</v>
      </c>
      <c r="C273" s="8">
        <v>212.36666666666599</v>
      </c>
      <c r="D273" s="8">
        <v>201.986666666666</v>
      </c>
      <c r="E273" s="8">
        <v>1.05038455501491</v>
      </c>
      <c r="F273" s="8">
        <v>1.10436332431183</v>
      </c>
    </row>
    <row r="274" spans="1:6" x14ac:dyDescent="0.25">
      <c r="A274" s="1">
        <v>36465</v>
      </c>
      <c r="B274" s="8">
        <v>223.833333333333</v>
      </c>
      <c r="C274" s="8">
        <v>213.20333333333301</v>
      </c>
      <c r="D274" s="8">
        <v>202.85333333333301</v>
      </c>
      <c r="E274" s="8">
        <v>1.04985850752802</v>
      </c>
      <c r="F274" s="8">
        <v>1.10342447745497</v>
      </c>
    </row>
    <row r="275" spans="1:6" x14ac:dyDescent="0.25">
      <c r="A275" s="1">
        <v>36495</v>
      </c>
      <c r="B275" s="8">
        <v>224.6</v>
      </c>
      <c r="C275" s="8">
        <v>214.04</v>
      </c>
      <c r="D275" s="8">
        <v>203.72</v>
      </c>
      <c r="E275" s="8">
        <v>1.04933657260325</v>
      </c>
      <c r="F275" s="8">
        <v>1.10249361869232</v>
      </c>
    </row>
    <row r="276" spans="1:6" x14ac:dyDescent="0.25">
      <c r="A276" s="1">
        <v>36526</v>
      </c>
      <c r="B276" s="8">
        <v>226.03</v>
      </c>
      <c r="C276" s="8">
        <v>214.79333333333301</v>
      </c>
      <c r="D276" s="8">
        <v>204.73333333333301</v>
      </c>
      <c r="E276" s="8">
        <v>1.0523138520748601</v>
      </c>
      <c r="F276" s="8">
        <v>1.1040214913708899</v>
      </c>
    </row>
    <row r="277" spans="1:6" x14ac:dyDescent="0.25">
      <c r="A277" s="1">
        <v>36557</v>
      </c>
      <c r="B277" s="8">
        <v>227.46</v>
      </c>
      <c r="C277" s="8">
        <v>215.546666666666</v>
      </c>
      <c r="D277" s="8">
        <v>205.74666666666599</v>
      </c>
      <c r="E277" s="8">
        <v>1.05527032042558</v>
      </c>
      <c r="F277" s="8">
        <v>1.1055343140431599</v>
      </c>
    </row>
    <row r="278" spans="1:6" x14ac:dyDescent="0.25">
      <c r="A278" s="1">
        <v>36586</v>
      </c>
      <c r="B278" s="8">
        <v>228.89</v>
      </c>
      <c r="C278" s="8">
        <v>216.3</v>
      </c>
      <c r="D278" s="8">
        <v>206.76</v>
      </c>
      <c r="E278" s="8">
        <v>1.05820619509939</v>
      </c>
      <c r="F278" s="8">
        <v>1.10703230798994</v>
      </c>
    </row>
    <row r="279" spans="1:6" x14ac:dyDescent="0.25">
      <c r="A279" s="1">
        <v>36617</v>
      </c>
      <c r="B279" s="8">
        <v>230.13333333333301</v>
      </c>
      <c r="C279" s="8">
        <v>217.266666666666</v>
      </c>
      <c r="D279" s="8">
        <v>207.38</v>
      </c>
      <c r="E279" s="8">
        <v>1.05922061982203</v>
      </c>
      <c r="F279" s="8">
        <v>1.1097180698878</v>
      </c>
    </row>
    <row r="280" spans="1:6" x14ac:dyDescent="0.25">
      <c r="A280" s="1">
        <v>36647</v>
      </c>
      <c r="B280" s="8">
        <v>231.37666666666601</v>
      </c>
      <c r="C280" s="8">
        <v>218.23333333333301</v>
      </c>
      <c r="D280" s="8">
        <v>208</v>
      </c>
      <c r="E280" s="8">
        <v>1.06022605773636</v>
      </c>
      <c r="F280" s="8">
        <v>1.1123878205128099</v>
      </c>
    </row>
    <row r="281" spans="1:6" x14ac:dyDescent="0.25">
      <c r="A281" s="1">
        <v>36678</v>
      </c>
      <c r="B281" s="8">
        <v>232.62</v>
      </c>
      <c r="C281" s="8">
        <v>219.2</v>
      </c>
      <c r="D281" s="8">
        <v>208.62</v>
      </c>
      <c r="E281" s="8">
        <v>1.0612226277372201</v>
      </c>
      <c r="F281" s="8">
        <v>1.1150417026171899</v>
      </c>
    </row>
    <row r="282" spans="1:6" x14ac:dyDescent="0.25">
      <c r="A282" s="1">
        <v>36708</v>
      </c>
      <c r="B282" s="8">
        <v>234.03</v>
      </c>
      <c r="C282" s="8">
        <v>220.23333333333301</v>
      </c>
      <c r="D282" s="8">
        <v>209.59</v>
      </c>
      <c r="E282" s="8">
        <v>1.0626456788254799</v>
      </c>
      <c r="F282" s="8">
        <v>1.11660861682332</v>
      </c>
    </row>
    <row r="283" spans="1:6" x14ac:dyDescent="0.25">
      <c r="A283" s="1">
        <v>36739</v>
      </c>
      <c r="B283" s="8">
        <v>235.44</v>
      </c>
      <c r="C283" s="8">
        <v>221.266666666666</v>
      </c>
      <c r="D283" s="8">
        <v>210.56</v>
      </c>
      <c r="E283" s="8">
        <v>1.06405543838505</v>
      </c>
      <c r="F283" s="8">
        <v>1.11816109422492</v>
      </c>
    </row>
    <row r="284" spans="1:6" x14ac:dyDescent="0.25">
      <c r="A284" s="1">
        <v>36770</v>
      </c>
      <c r="B284" s="8">
        <v>236.85</v>
      </c>
      <c r="C284" s="8">
        <v>222.3</v>
      </c>
      <c r="D284" s="8">
        <v>211.53</v>
      </c>
      <c r="E284" s="8">
        <v>1.06545209176788</v>
      </c>
      <c r="F284" s="8">
        <v>1.11969933342788</v>
      </c>
    </row>
    <row r="285" spans="1:6" x14ac:dyDescent="0.25">
      <c r="A285" s="1">
        <v>36800</v>
      </c>
      <c r="B285" s="8">
        <v>238.06666666666601</v>
      </c>
      <c r="C285" s="8">
        <v>223.06666666666601</v>
      </c>
      <c r="D285" s="8">
        <v>212.36666666666599</v>
      </c>
      <c r="E285" s="8">
        <v>1.0672444710101601</v>
      </c>
      <c r="F285" s="8">
        <v>1.1210171087741301</v>
      </c>
    </row>
    <row r="286" spans="1:6" x14ac:dyDescent="0.25">
      <c r="A286" s="1">
        <v>36831</v>
      </c>
      <c r="B286" s="8">
        <v>239.28333333333299</v>
      </c>
      <c r="C286" s="8">
        <v>223.833333333333</v>
      </c>
      <c r="D286" s="8">
        <v>213.20333333333301</v>
      </c>
      <c r="E286" s="8">
        <v>1.0690245718540501</v>
      </c>
      <c r="F286" s="8">
        <v>1.1223245415174801</v>
      </c>
    </row>
    <row r="287" spans="1:6" x14ac:dyDescent="0.25">
      <c r="A287" s="1">
        <v>36861</v>
      </c>
      <c r="B287" s="8">
        <v>240.5</v>
      </c>
      <c r="C287" s="8">
        <v>224.6</v>
      </c>
      <c r="D287" s="8">
        <v>214.04</v>
      </c>
      <c r="E287" s="8">
        <v>1.0707925200356101</v>
      </c>
      <c r="F287" s="8">
        <v>1.1236217529433701</v>
      </c>
    </row>
    <row r="288" spans="1:6" x14ac:dyDescent="0.25">
      <c r="A288" s="1">
        <v>36892</v>
      </c>
      <c r="B288" s="8">
        <v>242.47666666666601</v>
      </c>
      <c r="C288" s="8">
        <v>226.03</v>
      </c>
      <c r="D288" s="8">
        <v>214.79333333333301</v>
      </c>
      <c r="E288" s="8">
        <v>1.07276320252473</v>
      </c>
      <c r="F288" s="8">
        <v>1.12888357801297</v>
      </c>
    </row>
    <row r="289" spans="1:6" x14ac:dyDescent="0.25">
      <c r="A289" s="1">
        <v>36923</v>
      </c>
      <c r="B289" s="8">
        <v>244.45333333333301</v>
      </c>
      <c r="C289" s="8">
        <v>227.46</v>
      </c>
      <c r="D289" s="8">
        <v>215.546666666666</v>
      </c>
      <c r="E289" s="8">
        <v>1.0747091063630201</v>
      </c>
      <c r="F289" s="8">
        <v>1.134108623036</v>
      </c>
    </row>
    <row r="290" spans="1:6" x14ac:dyDescent="0.25">
      <c r="A290" s="1">
        <v>36951</v>
      </c>
      <c r="B290" s="8">
        <v>246.43</v>
      </c>
      <c r="C290" s="8">
        <v>228.89</v>
      </c>
      <c r="D290" s="8">
        <v>216.3</v>
      </c>
      <c r="E290" s="8">
        <v>1.0766306959674901</v>
      </c>
      <c r="F290" s="8">
        <v>1.1392972723069801</v>
      </c>
    </row>
    <row r="291" spans="1:6" x14ac:dyDescent="0.25">
      <c r="A291" s="1">
        <v>36982</v>
      </c>
      <c r="B291" s="8">
        <v>247.80666666666599</v>
      </c>
      <c r="C291" s="8">
        <v>230.13333333333301</v>
      </c>
      <c r="D291" s="8">
        <v>217.266666666666</v>
      </c>
      <c r="E291" s="8">
        <v>1.07679606025492</v>
      </c>
      <c r="F291" s="8">
        <v>1.14056459036514</v>
      </c>
    </row>
    <row r="292" spans="1:6" x14ac:dyDescent="0.25">
      <c r="A292" s="1">
        <v>37012</v>
      </c>
      <c r="B292" s="8">
        <v>249.183333333333</v>
      </c>
      <c r="C292" s="8">
        <v>231.37666666666601</v>
      </c>
      <c r="D292" s="8">
        <v>218.23333333333301</v>
      </c>
      <c r="E292" s="8">
        <v>1.0769596473283101</v>
      </c>
      <c r="F292" s="8">
        <v>1.14182068122804</v>
      </c>
    </row>
    <row r="293" spans="1:6" x14ac:dyDescent="0.25">
      <c r="A293" s="1">
        <v>37043</v>
      </c>
      <c r="B293" s="8">
        <v>250.56</v>
      </c>
      <c r="C293" s="8">
        <v>232.62</v>
      </c>
      <c r="D293" s="8">
        <v>219.2</v>
      </c>
      <c r="E293" s="8">
        <v>1.0771214856847999</v>
      </c>
      <c r="F293" s="8">
        <v>1.14306569343065</v>
      </c>
    </row>
    <row r="294" spans="1:6" x14ac:dyDescent="0.25">
      <c r="A294" s="1">
        <v>37073</v>
      </c>
      <c r="B294" s="8">
        <v>251.85333333333301</v>
      </c>
      <c r="C294" s="8">
        <v>234.03</v>
      </c>
      <c r="D294" s="8">
        <v>220.23333333333301</v>
      </c>
      <c r="E294" s="8">
        <v>1.07615832727997</v>
      </c>
      <c r="F294" s="8">
        <v>1.1435749962161299</v>
      </c>
    </row>
    <row r="295" spans="1:6" x14ac:dyDescent="0.25">
      <c r="A295" s="1">
        <v>37104</v>
      </c>
      <c r="B295" s="8">
        <v>253.14666666666599</v>
      </c>
      <c r="C295" s="8">
        <v>235.44</v>
      </c>
      <c r="D295" s="8">
        <v>221.266666666666</v>
      </c>
      <c r="E295" s="8">
        <v>1.07520670517612</v>
      </c>
      <c r="F295" s="8">
        <v>1.1440795420307299</v>
      </c>
    </row>
    <row r="296" spans="1:6" x14ac:dyDescent="0.25">
      <c r="A296" s="1">
        <v>37135</v>
      </c>
      <c r="B296" s="8">
        <v>254.44</v>
      </c>
      <c r="C296" s="8">
        <v>236.85</v>
      </c>
      <c r="D296" s="8">
        <v>222.3</v>
      </c>
      <c r="E296" s="8">
        <v>1.0742664133417701</v>
      </c>
      <c r="F296" s="8">
        <v>1.1445793972109699</v>
      </c>
    </row>
    <row r="297" spans="1:6" x14ac:dyDescent="0.25">
      <c r="A297" s="1">
        <v>37165</v>
      </c>
      <c r="B297" s="8">
        <v>255.49</v>
      </c>
      <c r="C297" s="8">
        <v>238.06666666666601</v>
      </c>
      <c r="D297" s="8">
        <v>223.06666666666601</v>
      </c>
      <c r="E297" s="8">
        <v>1.0731867824138901</v>
      </c>
      <c r="F297" s="8">
        <v>1.14535265989241</v>
      </c>
    </row>
    <row r="298" spans="1:6" x14ac:dyDescent="0.25">
      <c r="A298" s="1">
        <v>37196</v>
      </c>
      <c r="B298" s="8">
        <v>256.54000000000002</v>
      </c>
      <c r="C298" s="8">
        <v>239.28333333333299</v>
      </c>
      <c r="D298" s="8">
        <v>223.833333333333</v>
      </c>
      <c r="E298" s="8">
        <v>1.07211813052866</v>
      </c>
      <c r="F298" s="8">
        <v>1.14612062546537</v>
      </c>
    </row>
    <row r="299" spans="1:6" x14ac:dyDescent="0.25">
      <c r="A299" s="1">
        <v>37226</v>
      </c>
      <c r="B299" s="8">
        <v>257.58999999999997</v>
      </c>
      <c r="C299" s="8">
        <v>240.5</v>
      </c>
      <c r="D299" s="8">
        <v>224.6</v>
      </c>
      <c r="E299" s="8">
        <v>1.07106029106029</v>
      </c>
      <c r="F299" s="8">
        <v>1.14688334817453</v>
      </c>
    </row>
    <row r="300" spans="1:6" x14ac:dyDescent="0.25">
      <c r="A300" s="1">
        <v>37257</v>
      </c>
      <c r="B300" s="8">
        <v>258.82666666666597</v>
      </c>
      <c r="C300" s="8">
        <v>242.47666666666601</v>
      </c>
      <c r="D300" s="8">
        <v>226.03</v>
      </c>
      <c r="E300" s="8">
        <v>1.0674291684423201</v>
      </c>
      <c r="F300" s="8">
        <v>1.1450987332064999</v>
      </c>
    </row>
    <row r="301" spans="1:6" x14ac:dyDescent="0.25">
      <c r="A301" s="1">
        <v>37288</v>
      </c>
      <c r="B301" s="8">
        <v>260.06333333333299</v>
      </c>
      <c r="C301" s="8">
        <v>244.45333333333301</v>
      </c>
      <c r="D301" s="8">
        <v>227.46</v>
      </c>
      <c r="E301" s="8">
        <v>1.06385676884476</v>
      </c>
      <c r="F301" s="8">
        <v>1.14333655734341</v>
      </c>
    </row>
    <row r="302" spans="1:6" x14ac:dyDescent="0.25">
      <c r="A302" s="1">
        <v>37316</v>
      </c>
      <c r="B302" s="8">
        <v>261.3</v>
      </c>
      <c r="C302" s="8">
        <v>246.43</v>
      </c>
      <c r="D302" s="8">
        <v>228.89</v>
      </c>
      <c r="E302" s="8">
        <v>1.0603416791786699</v>
      </c>
      <c r="F302" s="8">
        <v>1.1415964000174701</v>
      </c>
    </row>
    <row r="303" spans="1:6" x14ac:dyDescent="0.25">
      <c r="A303" s="1">
        <v>37347</v>
      </c>
      <c r="B303" s="8">
        <v>262.77666666666602</v>
      </c>
      <c r="C303" s="8">
        <v>247.80666666666599</v>
      </c>
      <c r="D303" s="8">
        <v>230.13333333333301</v>
      </c>
      <c r="E303" s="8">
        <v>1.0604099970406999</v>
      </c>
      <c r="F303" s="8">
        <v>1.1418453070683601</v>
      </c>
    </row>
    <row r="304" spans="1:6" x14ac:dyDescent="0.25">
      <c r="A304" s="1">
        <v>37377</v>
      </c>
      <c r="B304" s="8">
        <v>264.25333333333299</v>
      </c>
      <c r="C304" s="8">
        <v>249.183333333333</v>
      </c>
      <c r="D304" s="8">
        <v>231.37666666666601</v>
      </c>
      <c r="E304" s="8">
        <v>1.0604775600294201</v>
      </c>
      <c r="F304" s="8">
        <v>1.1420915390488799</v>
      </c>
    </row>
    <row r="305" spans="1:6" x14ac:dyDescent="0.25">
      <c r="A305" s="1">
        <v>37408</v>
      </c>
      <c r="B305" s="8">
        <v>265.73</v>
      </c>
      <c r="C305" s="8">
        <v>250.56</v>
      </c>
      <c r="D305" s="8">
        <v>232.62</v>
      </c>
      <c r="E305" s="8">
        <v>1.0605443805874799</v>
      </c>
      <c r="F305" s="8">
        <v>1.14233513885306</v>
      </c>
    </row>
    <row r="306" spans="1:6" x14ac:dyDescent="0.25">
      <c r="A306" s="1">
        <v>37438</v>
      </c>
      <c r="B306" s="8">
        <v>267.49</v>
      </c>
      <c r="C306" s="8">
        <v>251.85333333333301</v>
      </c>
      <c r="D306" s="8">
        <v>234.03</v>
      </c>
      <c r="E306" s="8">
        <v>1.06208639949176</v>
      </c>
      <c r="F306" s="8">
        <v>1.14297312310387</v>
      </c>
    </row>
    <row r="307" spans="1:6" x14ac:dyDescent="0.25">
      <c r="A307" s="1">
        <v>37469</v>
      </c>
      <c r="B307" s="8">
        <v>269.25</v>
      </c>
      <c r="C307" s="8">
        <v>253.14666666666599</v>
      </c>
      <c r="D307" s="8">
        <v>235.44</v>
      </c>
      <c r="E307" s="8">
        <v>1.0636126619614401</v>
      </c>
      <c r="F307" s="8">
        <v>1.14360346585117</v>
      </c>
    </row>
    <row r="308" spans="1:6" x14ac:dyDescent="0.25">
      <c r="A308" s="1">
        <v>37500</v>
      </c>
      <c r="B308" s="8">
        <v>271.01</v>
      </c>
      <c r="C308" s="8">
        <v>254.44</v>
      </c>
      <c r="D308" s="8">
        <v>236.85</v>
      </c>
      <c r="E308" s="8">
        <v>1.0651234082691401</v>
      </c>
      <c r="F308" s="8">
        <v>1.1442263035676501</v>
      </c>
    </row>
    <row r="309" spans="1:6" x14ac:dyDescent="0.25">
      <c r="A309" s="1">
        <v>37530</v>
      </c>
      <c r="B309" s="8">
        <v>272.29333333333301</v>
      </c>
      <c r="C309" s="8">
        <v>255.49</v>
      </c>
      <c r="D309" s="8">
        <v>238.06666666666601</v>
      </c>
      <c r="E309" s="8">
        <v>1.0657690451028701</v>
      </c>
      <c r="F309" s="8">
        <v>1.14376925231027</v>
      </c>
    </row>
    <row r="310" spans="1:6" x14ac:dyDescent="0.25">
      <c r="A310" s="1">
        <v>37561</v>
      </c>
      <c r="B310" s="8">
        <v>273.57666666666597</v>
      </c>
      <c r="C310" s="8">
        <v>256.54000000000002</v>
      </c>
      <c r="D310" s="8">
        <v>239.28333333333299</v>
      </c>
      <c r="E310" s="8">
        <v>1.06640939684519</v>
      </c>
      <c r="F310" s="8">
        <v>1.1433168489238601</v>
      </c>
    </row>
    <row r="311" spans="1:6" x14ac:dyDescent="0.25">
      <c r="A311" s="1">
        <v>37591</v>
      </c>
      <c r="B311" s="8">
        <v>274.86</v>
      </c>
      <c r="C311" s="8">
        <v>257.58999999999997</v>
      </c>
      <c r="D311" s="8">
        <v>240.5</v>
      </c>
      <c r="E311" s="8">
        <v>1.0670445281260901</v>
      </c>
      <c r="F311" s="8">
        <v>1.1428690228690199</v>
      </c>
    </row>
    <row r="312" spans="1:6" x14ac:dyDescent="0.25">
      <c r="A312" s="1">
        <v>37622</v>
      </c>
      <c r="B312" s="8">
        <v>275.97666666666601</v>
      </c>
      <c r="C312" s="8">
        <v>258.82666666666597</v>
      </c>
      <c r="D312" s="8">
        <v>242.47666666666601</v>
      </c>
      <c r="E312" s="8">
        <v>1.06626056047805</v>
      </c>
      <c r="F312" s="8">
        <v>1.1381576234139299</v>
      </c>
    </row>
    <row r="313" spans="1:6" x14ac:dyDescent="0.25">
      <c r="A313" s="1">
        <v>37653</v>
      </c>
      <c r="B313" s="8">
        <v>277.09333333333302</v>
      </c>
      <c r="C313" s="8">
        <v>260.06333333333299</v>
      </c>
      <c r="D313" s="8">
        <v>244.45333333333301</v>
      </c>
      <c r="E313" s="8">
        <v>1.06548404875735</v>
      </c>
      <c r="F313" s="8">
        <v>1.1335224173666401</v>
      </c>
    </row>
    <row r="314" spans="1:6" x14ac:dyDescent="0.25">
      <c r="A314" s="1">
        <v>37681</v>
      </c>
      <c r="B314" s="8">
        <v>278.20999999999998</v>
      </c>
      <c r="C314" s="8">
        <v>261.3</v>
      </c>
      <c r="D314" s="8">
        <v>246.43</v>
      </c>
      <c r="E314" s="8">
        <v>1.0647148871029399</v>
      </c>
      <c r="F314" s="8">
        <v>1.12896157123726</v>
      </c>
    </row>
    <row r="315" spans="1:6" x14ac:dyDescent="0.25">
      <c r="A315" s="1">
        <v>37712</v>
      </c>
      <c r="B315" s="8">
        <v>279.33666666666602</v>
      </c>
      <c r="C315" s="8">
        <v>262.77666666666602</v>
      </c>
      <c r="D315" s="8">
        <v>247.80666666666599</v>
      </c>
      <c r="E315" s="8">
        <v>1.0630192939505001</v>
      </c>
      <c r="F315" s="8">
        <v>1.12723628635226</v>
      </c>
    </row>
    <row r="316" spans="1:6" x14ac:dyDescent="0.25">
      <c r="A316" s="1">
        <v>37742</v>
      </c>
      <c r="B316" s="8">
        <v>280.46333333333303</v>
      </c>
      <c r="C316" s="8">
        <v>264.25333333333299</v>
      </c>
      <c r="D316" s="8">
        <v>249.183333333333</v>
      </c>
      <c r="E316" s="8">
        <v>1.0613426509914701</v>
      </c>
      <c r="F316" s="8">
        <v>1.1255300648786</v>
      </c>
    </row>
    <row r="317" spans="1:6" x14ac:dyDescent="0.25">
      <c r="A317" s="1">
        <v>37773</v>
      </c>
      <c r="B317" s="8">
        <v>281.58999999999997</v>
      </c>
      <c r="C317" s="8">
        <v>265.73</v>
      </c>
      <c r="D317" s="8">
        <v>250.56</v>
      </c>
      <c r="E317" s="8">
        <v>1.0596846423060999</v>
      </c>
      <c r="F317" s="8">
        <v>1.1238425925925899</v>
      </c>
    </row>
    <row r="318" spans="1:6" x14ac:dyDescent="0.25">
      <c r="A318" s="1">
        <v>37803</v>
      </c>
      <c r="B318" s="8">
        <v>283.02666666666602</v>
      </c>
      <c r="C318" s="8">
        <v>267.49</v>
      </c>
      <c r="D318" s="8">
        <v>251.85333333333301</v>
      </c>
      <c r="E318" s="8">
        <v>1.05808316821812</v>
      </c>
      <c r="F318" s="8">
        <v>1.1237757424956301</v>
      </c>
    </row>
    <row r="319" spans="1:6" x14ac:dyDescent="0.25">
      <c r="A319" s="1">
        <v>37834</v>
      </c>
      <c r="B319" s="8">
        <v>284.46333333333303</v>
      </c>
      <c r="C319" s="8">
        <v>269.25</v>
      </c>
      <c r="D319" s="8">
        <v>253.14666666666599</v>
      </c>
      <c r="E319" s="8">
        <v>1.05650263076446</v>
      </c>
      <c r="F319" s="8">
        <v>1.1237095754766599</v>
      </c>
    </row>
    <row r="320" spans="1:6" x14ac:dyDescent="0.25">
      <c r="A320" s="1">
        <v>37865</v>
      </c>
      <c r="B320" s="8">
        <v>285.89999999999998</v>
      </c>
      <c r="C320" s="8">
        <v>271.01</v>
      </c>
      <c r="D320" s="8">
        <v>254.44</v>
      </c>
      <c r="E320" s="8">
        <v>1.0549426220434599</v>
      </c>
      <c r="F320" s="8">
        <v>1.12364408111932</v>
      </c>
    </row>
    <row r="321" spans="1:6" x14ac:dyDescent="0.25">
      <c r="A321" s="1">
        <v>37895</v>
      </c>
      <c r="B321" s="8">
        <v>288.58999999999997</v>
      </c>
      <c r="C321" s="8">
        <v>272.29333333333301</v>
      </c>
      <c r="D321" s="8">
        <v>255.49</v>
      </c>
      <c r="E321" s="8">
        <v>1.05984967192243</v>
      </c>
      <c r="F321" s="8">
        <v>1.1295549727973599</v>
      </c>
    </row>
    <row r="322" spans="1:6" x14ac:dyDescent="0.25">
      <c r="A322" s="1">
        <v>37926</v>
      </c>
      <c r="B322" s="8">
        <v>291.27999999999997</v>
      </c>
      <c r="C322" s="8">
        <v>273.57666666666597</v>
      </c>
      <c r="D322" s="8">
        <v>256.54000000000002</v>
      </c>
      <c r="E322" s="8">
        <v>1.0647106843907199</v>
      </c>
      <c r="F322" s="8">
        <v>1.1354174787557401</v>
      </c>
    </row>
    <row r="323" spans="1:6" x14ac:dyDescent="0.25">
      <c r="A323" s="1">
        <v>37956</v>
      </c>
      <c r="B323" s="8">
        <v>293.97000000000003</v>
      </c>
      <c r="C323" s="8">
        <v>274.86</v>
      </c>
      <c r="D323" s="8">
        <v>257.58999999999997</v>
      </c>
      <c r="E323" s="8">
        <v>1.06952630430037</v>
      </c>
      <c r="F323" s="8">
        <v>1.14123219069063</v>
      </c>
    </row>
    <row r="324" spans="1:6" x14ac:dyDescent="0.25">
      <c r="A324" s="1">
        <v>37987</v>
      </c>
      <c r="B324" s="8">
        <v>295.5</v>
      </c>
      <c r="C324" s="8">
        <v>275.97666666666601</v>
      </c>
      <c r="D324" s="8">
        <v>258.82666666666597</v>
      </c>
      <c r="E324" s="8">
        <v>1.07074269563852</v>
      </c>
      <c r="F324" s="8">
        <v>1.1416907067793101</v>
      </c>
    </row>
    <row r="325" spans="1:6" x14ac:dyDescent="0.25">
      <c r="A325" s="1">
        <v>38018</v>
      </c>
      <c r="B325" s="8">
        <v>297.02999999999997</v>
      </c>
      <c r="C325" s="8">
        <v>277.09333333333302</v>
      </c>
      <c r="D325" s="8">
        <v>260.06333333333299</v>
      </c>
      <c r="E325" s="8">
        <v>1.0719492830333901</v>
      </c>
      <c r="F325" s="8">
        <v>1.14214486214896</v>
      </c>
    </row>
    <row r="326" spans="1:6" x14ac:dyDescent="0.25">
      <c r="A326" s="1">
        <v>38047</v>
      </c>
      <c r="B326" s="8">
        <v>298.56</v>
      </c>
      <c r="C326" s="8">
        <v>278.20999999999998</v>
      </c>
      <c r="D326" s="8">
        <v>261.3</v>
      </c>
      <c r="E326" s="8">
        <v>1.0731461845368599</v>
      </c>
      <c r="F326" s="8">
        <v>1.1425947187141201</v>
      </c>
    </row>
    <row r="327" spans="1:6" x14ac:dyDescent="0.25">
      <c r="A327" s="1">
        <v>38078</v>
      </c>
      <c r="B327" s="8">
        <v>300.97333333333302</v>
      </c>
      <c r="C327" s="8">
        <v>279.33666666666602</v>
      </c>
      <c r="D327" s="8">
        <v>262.77666666666602</v>
      </c>
      <c r="E327" s="8">
        <v>1.0774573095786399</v>
      </c>
      <c r="F327" s="8">
        <v>1.1453579084901</v>
      </c>
    </row>
    <row r="328" spans="1:6" x14ac:dyDescent="0.25">
      <c r="A328" s="1">
        <v>38108</v>
      </c>
      <c r="B328" s="8">
        <v>303.38666666666597</v>
      </c>
      <c r="C328" s="8">
        <v>280.46333333333303</v>
      </c>
      <c r="D328" s="8">
        <v>264.25333333333299</v>
      </c>
      <c r="E328" s="8">
        <v>1.0817337976443699</v>
      </c>
      <c r="F328" s="8">
        <v>1.1480902164589499</v>
      </c>
    </row>
    <row r="329" spans="1:6" x14ac:dyDescent="0.25">
      <c r="A329" s="1">
        <v>38139</v>
      </c>
      <c r="B329" s="8">
        <v>305.8</v>
      </c>
      <c r="C329" s="8">
        <v>281.58999999999997</v>
      </c>
      <c r="D329" s="8">
        <v>265.73</v>
      </c>
      <c r="E329" s="8">
        <v>1.08597606449092</v>
      </c>
      <c r="F329" s="8">
        <v>1.15079215745305</v>
      </c>
    </row>
    <row r="330" spans="1:6" x14ac:dyDescent="0.25">
      <c r="A330" s="1">
        <v>38169</v>
      </c>
      <c r="B330" s="8">
        <v>309.7</v>
      </c>
      <c r="C330" s="8">
        <v>283.02666666666602</v>
      </c>
      <c r="D330" s="8">
        <v>267.49</v>
      </c>
      <c r="E330" s="8">
        <v>1.0942431808545701</v>
      </c>
      <c r="F330" s="8">
        <v>1.1578002915996799</v>
      </c>
    </row>
    <row r="331" spans="1:6" x14ac:dyDescent="0.25">
      <c r="A331" s="1">
        <v>38200</v>
      </c>
      <c r="B331" s="8">
        <v>313.60000000000002</v>
      </c>
      <c r="C331" s="8">
        <v>284.46333333333303</v>
      </c>
      <c r="D331" s="8">
        <v>269.25</v>
      </c>
      <c r="E331" s="8">
        <v>1.1024267919708399</v>
      </c>
      <c r="F331" s="8">
        <v>1.16471680594243</v>
      </c>
    </row>
    <row r="332" spans="1:6" x14ac:dyDescent="0.25">
      <c r="A332" s="1">
        <v>38231</v>
      </c>
      <c r="B332" s="8">
        <v>317.5</v>
      </c>
      <c r="C332" s="8">
        <v>285.89999999999998</v>
      </c>
      <c r="D332" s="8">
        <v>271.01</v>
      </c>
      <c r="E332" s="8">
        <v>1.11052815669814</v>
      </c>
      <c r="F332" s="8">
        <v>1.17154348548024</v>
      </c>
    </row>
    <row r="333" spans="1:6" x14ac:dyDescent="0.25">
      <c r="A333" s="1">
        <v>38261</v>
      </c>
      <c r="B333" s="8">
        <v>319.75</v>
      </c>
      <c r="C333" s="8">
        <v>288.58999999999997</v>
      </c>
      <c r="D333" s="8">
        <v>272.29333333333301</v>
      </c>
      <c r="E333" s="8">
        <v>1.1079732492463299</v>
      </c>
      <c r="F333" s="8">
        <v>1.1742850847125601</v>
      </c>
    </row>
    <row r="334" spans="1:6" x14ac:dyDescent="0.25">
      <c r="A334" s="1">
        <v>38292</v>
      </c>
      <c r="B334" s="8">
        <v>322</v>
      </c>
      <c r="C334" s="8">
        <v>291.27999999999997</v>
      </c>
      <c r="D334" s="8">
        <v>273.57666666666597</v>
      </c>
      <c r="E334" s="8">
        <v>1.1054655314474</v>
      </c>
      <c r="F334" s="8">
        <v>1.17700096255772</v>
      </c>
    </row>
    <row r="335" spans="1:6" x14ac:dyDescent="0.25">
      <c r="A335" s="1">
        <v>38322</v>
      </c>
      <c r="B335" s="8">
        <v>324.25</v>
      </c>
      <c r="C335" s="8">
        <v>293.97000000000003</v>
      </c>
      <c r="D335" s="8">
        <v>274.86</v>
      </c>
      <c r="E335" s="8">
        <v>1.1030037078613399</v>
      </c>
      <c r="F335" s="8">
        <v>1.17969147929855</v>
      </c>
    </row>
    <row r="336" spans="1:6" x14ac:dyDescent="0.25">
      <c r="A336" s="1">
        <v>38353</v>
      </c>
      <c r="B336" s="8">
        <v>326.736666666666</v>
      </c>
      <c r="C336" s="8">
        <v>295.5</v>
      </c>
      <c r="D336" s="8">
        <v>275.97666666666601</v>
      </c>
      <c r="E336" s="8">
        <v>1.1057078398195099</v>
      </c>
      <c r="F336" s="8">
        <v>1.18392859299699</v>
      </c>
    </row>
    <row r="337" spans="1:6" x14ac:dyDescent="0.25">
      <c r="A337" s="1">
        <v>38384</v>
      </c>
      <c r="B337" s="8">
        <v>329.22333333333302</v>
      </c>
      <c r="C337" s="8">
        <v>297.02999999999997</v>
      </c>
      <c r="D337" s="8">
        <v>277.09333333333302</v>
      </c>
      <c r="E337" s="8">
        <v>1.1083841138381001</v>
      </c>
      <c r="F337" s="8">
        <v>1.1881315561543599</v>
      </c>
    </row>
    <row r="338" spans="1:6" x14ac:dyDescent="0.25">
      <c r="A338" s="1">
        <v>38412</v>
      </c>
      <c r="B338" s="8">
        <v>331.71</v>
      </c>
      <c r="C338" s="8">
        <v>298.56</v>
      </c>
      <c r="D338" s="8">
        <v>278.20999999999998</v>
      </c>
      <c r="E338" s="8">
        <v>1.1110329581993501</v>
      </c>
      <c r="F338" s="8">
        <v>1.1923007799863401</v>
      </c>
    </row>
    <row r="339" spans="1:6" x14ac:dyDescent="0.25">
      <c r="A339" s="1">
        <v>38443</v>
      </c>
      <c r="B339" s="8">
        <v>335.243333333333</v>
      </c>
      <c r="C339" s="8">
        <v>300.97333333333302</v>
      </c>
      <c r="D339" s="8">
        <v>279.33666666666602</v>
      </c>
      <c r="E339" s="8">
        <v>1.1138639082089199</v>
      </c>
      <c r="F339" s="8">
        <v>1.2001408097755399</v>
      </c>
    </row>
    <row r="340" spans="1:6" x14ac:dyDescent="0.25">
      <c r="A340" s="1">
        <v>38473</v>
      </c>
      <c r="B340" s="8">
        <v>338.77666666666602</v>
      </c>
      <c r="C340" s="8">
        <v>303.38666666666597</v>
      </c>
      <c r="D340" s="8">
        <v>280.46333333333303</v>
      </c>
      <c r="E340" s="8">
        <v>1.1166498198118999</v>
      </c>
      <c r="F340" s="8">
        <v>1.20791785022403</v>
      </c>
    </row>
    <row r="341" spans="1:6" x14ac:dyDescent="0.25">
      <c r="A341" s="1">
        <v>38504</v>
      </c>
      <c r="B341" s="8">
        <v>342.31</v>
      </c>
      <c r="C341" s="8">
        <v>305.8</v>
      </c>
      <c r="D341" s="8">
        <v>281.58999999999997</v>
      </c>
      <c r="E341" s="8">
        <v>1.1193917593198099</v>
      </c>
      <c r="F341" s="8">
        <v>1.2156326574097001</v>
      </c>
    </row>
    <row r="342" spans="1:6" x14ac:dyDescent="0.25">
      <c r="A342" s="1">
        <v>38534</v>
      </c>
      <c r="B342" s="8">
        <v>345.75</v>
      </c>
      <c r="C342" s="8">
        <v>309.7</v>
      </c>
      <c r="D342" s="8">
        <v>283.02666666666602</v>
      </c>
      <c r="E342" s="8">
        <v>1.11640297061672</v>
      </c>
      <c r="F342" s="8">
        <v>1.2216163376831399</v>
      </c>
    </row>
    <row r="343" spans="1:6" x14ac:dyDescent="0.25">
      <c r="A343" s="1">
        <v>38565</v>
      </c>
      <c r="B343" s="8">
        <v>349.19</v>
      </c>
      <c r="C343" s="8">
        <v>313.60000000000002</v>
      </c>
      <c r="D343" s="8">
        <v>284.46333333333303</v>
      </c>
      <c r="E343" s="8">
        <v>1.1134885204081599</v>
      </c>
      <c r="F343" s="8">
        <v>1.22753957744993</v>
      </c>
    </row>
    <row r="344" spans="1:6" x14ac:dyDescent="0.25">
      <c r="A344" s="1">
        <v>38596</v>
      </c>
      <c r="B344" s="8">
        <v>352.63</v>
      </c>
      <c r="C344" s="8">
        <v>317.5</v>
      </c>
      <c r="D344" s="8">
        <v>285.89999999999998</v>
      </c>
      <c r="E344" s="8">
        <v>1.11064566929133</v>
      </c>
      <c r="F344" s="8">
        <v>1.23340328786288</v>
      </c>
    </row>
    <row r="345" spans="1:6" x14ac:dyDescent="0.25">
      <c r="A345" s="1">
        <v>38626</v>
      </c>
      <c r="B345" s="8">
        <v>355.28666666666601</v>
      </c>
      <c r="C345" s="8">
        <v>319.75</v>
      </c>
      <c r="D345" s="8">
        <v>288.58999999999997</v>
      </c>
      <c r="E345" s="8">
        <v>1.11113891060724</v>
      </c>
      <c r="F345" s="8">
        <v>1.23111218914954</v>
      </c>
    </row>
    <row r="346" spans="1:6" x14ac:dyDescent="0.25">
      <c r="A346" s="1">
        <v>38657</v>
      </c>
      <c r="B346" s="8">
        <v>357.94333333333299</v>
      </c>
      <c r="C346" s="8">
        <v>322</v>
      </c>
      <c r="D346" s="8">
        <v>291.27999999999997</v>
      </c>
      <c r="E346" s="8">
        <v>1.11162525879917</v>
      </c>
      <c r="F346" s="8">
        <v>1.2288634074887801</v>
      </c>
    </row>
    <row r="347" spans="1:6" x14ac:dyDescent="0.25">
      <c r="A347" s="1">
        <v>38687</v>
      </c>
      <c r="B347" s="8">
        <v>360.6</v>
      </c>
      <c r="C347" s="8">
        <v>324.25</v>
      </c>
      <c r="D347" s="8">
        <v>293.97000000000003</v>
      </c>
      <c r="E347" s="8">
        <v>1.11210485736314</v>
      </c>
      <c r="F347" s="8">
        <v>1.2266557812021599</v>
      </c>
    </row>
    <row r="348" spans="1:6" x14ac:dyDescent="0.25">
      <c r="A348" s="1">
        <v>38718</v>
      </c>
      <c r="B348" s="8">
        <v>362.52</v>
      </c>
      <c r="C348" s="8">
        <v>326.736666666666</v>
      </c>
      <c r="D348" s="8">
        <v>295.5</v>
      </c>
      <c r="E348" s="8">
        <v>1.1095173483233201</v>
      </c>
      <c r="F348" s="8">
        <v>1.2268020304568501</v>
      </c>
    </row>
    <row r="349" spans="1:6" x14ac:dyDescent="0.25">
      <c r="A349" s="1">
        <v>38749</v>
      </c>
      <c r="B349" s="8">
        <v>364.44</v>
      </c>
      <c r="C349" s="8">
        <v>329.22333333333302</v>
      </c>
      <c r="D349" s="8">
        <v>297.02999999999997</v>
      </c>
      <c r="E349" s="8">
        <v>1.1069689268682801</v>
      </c>
      <c r="F349" s="8">
        <v>1.22694677305322</v>
      </c>
    </row>
    <row r="350" spans="1:6" x14ac:dyDescent="0.25">
      <c r="A350" s="1">
        <v>38777</v>
      </c>
      <c r="B350" s="8">
        <v>366.36</v>
      </c>
      <c r="C350" s="8">
        <v>331.71</v>
      </c>
      <c r="D350" s="8">
        <v>298.56</v>
      </c>
      <c r="E350" s="8">
        <v>1.10445871393687</v>
      </c>
      <c r="F350" s="8">
        <v>1.2270900321543401</v>
      </c>
    </row>
    <row r="351" spans="1:6" x14ac:dyDescent="0.25">
      <c r="A351" s="1">
        <v>38808</v>
      </c>
      <c r="B351" s="8">
        <v>367.60333333333301</v>
      </c>
      <c r="C351" s="8">
        <v>335.243333333333</v>
      </c>
      <c r="D351" s="8">
        <v>300.97333333333302</v>
      </c>
      <c r="E351" s="8">
        <v>1.09652690085808</v>
      </c>
      <c r="F351" s="8">
        <v>1.221381739246</v>
      </c>
    </row>
    <row r="352" spans="1:6" x14ac:dyDescent="0.25">
      <c r="A352" s="1">
        <v>38838</v>
      </c>
      <c r="B352" s="8">
        <v>368.84666666666601</v>
      </c>
      <c r="C352" s="8">
        <v>338.77666666666602</v>
      </c>
      <c r="D352" s="8">
        <v>303.38666666666597</v>
      </c>
      <c r="E352" s="8">
        <v>1.0887605403756599</v>
      </c>
      <c r="F352" s="8">
        <v>1.21576426122879</v>
      </c>
    </row>
    <row r="353" spans="1:6" x14ac:dyDescent="0.25">
      <c r="A353" s="1">
        <v>38869</v>
      </c>
      <c r="B353" s="8">
        <v>370.09</v>
      </c>
      <c r="C353" s="8">
        <v>342.31</v>
      </c>
      <c r="D353" s="8">
        <v>305.8</v>
      </c>
      <c r="E353" s="8">
        <v>1.08115450907072</v>
      </c>
      <c r="F353" s="8">
        <v>1.21023544800523</v>
      </c>
    </row>
    <row r="354" spans="1:6" x14ac:dyDescent="0.25">
      <c r="A354" s="1">
        <v>38899</v>
      </c>
      <c r="B354" s="8">
        <v>371.12666666666598</v>
      </c>
      <c r="C354" s="8">
        <v>345.75</v>
      </c>
      <c r="D354" s="8">
        <v>309.7</v>
      </c>
      <c r="E354" s="8">
        <v>1.0733959990359101</v>
      </c>
      <c r="F354" s="8">
        <v>1.1983424819717901</v>
      </c>
    </row>
    <row r="355" spans="1:6" x14ac:dyDescent="0.25">
      <c r="A355" s="1">
        <v>38930</v>
      </c>
      <c r="B355" s="8">
        <v>372.16333333333301</v>
      </c>
      <c r="C355" s="8">
        <v>349.19</v>
      </c>
      <c r="D355" s="8">
        <v>313.60000000000002</v>
      </c>
      <c r="E355" s="8">
        <v>1.0657903529119701</v>
      </c>
      <c r="F355" s="8">
        <v>1.18674532312925</v>
      </c>
    </row>
    <row r="356" spans="1:6" x14ac:dyDescent="0.25">
      <c r="A356" s="1">
        <v>38961</v>
      </c>
      <c r="B356" s="8">
        <v>373.2</v>
      </c>
      <c r="C356" s="8">
        <v>352.63</v>
      </c>
      <c r="D356" s="8">
        <v>317.5</v>
      </c>
      <c r="E356" s="8">
        <v>1.05833309701386</v>
      </c>
      <c r="F356" s="8">
        <v>1.17543307086614</v>
      </c>
    </row>
    <row r="357" spans="1:6" x14ac:dyDescent="0.25">
      <c r="A357" s="1">
        <v>38991</v>
      </c>
      <c r="B357" s="8">
        <v>374.46</v>
      </c>
      <c r="C357" s="8">
        <v>355.28666666666601</v>
      </c>
      <c r="D357" s="8">
        <v>319.75</v>
      </c>
      <c r="E357" s="8">
        <v>1.0539658116450501</v>
      </c>
      <c r="F357" s="8">
        <v>1.1711024237685601</v>
      </c>
    </row>
    <row r="358" spans="1:6" x14ac:dyDescent="0.25">
      <c r="A358" s="1">
        <v>39022</v>
      </c>
      <c r="B358" s="8">
        <v>375.72</v>
      </c>
      <c r="C358" s="8">
        <v>357.94333333333299</v>
      </c>
      <c r="D358" s="8">
        <v>322</v>
      </c>
      <c r="E358" s="8">
        <v>1.0496633545347001</v>
      </c>
      <c r="F358" s="8">
        <v>1.1668322981366399</v>
      </c>
    </row>
    <row r="359" spans="1:6" x14ac:dyDescent="0.25">
      <c r="A359" s="1">
        <v>39052</v>
      </c>
      <c r="B359" s="8">
        <v>376.98</v>
      </c>
      <c r="C359" s="8">
        <v>360.6</v>
      </c>
      <c r="D359" s="8">
        <v>324.25</v>
      </c>
      <c r="E359" s="8">
        <v>1.04542429284525</v>
      </c>
      <c r="F359" s="8">
        <v>1.16262143407864</v>
      </c>
    </row>
    <row r="360" spans="1:6" x14ac:dyDescent="0.25">
      <c r="A360" s="1">
        <v>39083</v>
      </c>
      <c r="B360" s="8">
        <v>377.44666666666598</v>
      </c>
      <c r="C360" s="8">
        <v>362.52</v>
      </c>
      <c r="D360" s="8">
        <v>326.736666666666</v>
      </c>
      <c r="E360" s="8">
        <v>1.04117473978446</v>
      </c>
      <c r="F360" s="8">
        <v>1.1552014364268799</v>
      </c>
    </row>
    <row r="361" spans="1:6" x14ac:dyDescent="0.25">
      <c r="A361" s="1">
        <v>39114</v>
      </c>
      <c r="B361" s="8">
        <v>377.91333333333301</v>
      </c>
      <c r="C361" s="8">
        <v>364.44</v>
      </c>
      <c r="D361" s="8">
        <v>329.22333333333302</v>
      </c>
      <c r="E361" s="8">
        <v>1.03696996304832</v>
      </c>
      <c r="F361" s="8">
        <v>1.14789352719025</v>
      </c>
    </row>
    <row r="362" spans="1:6" x14ac:dyDescent="0.25">
      <c r="A362" s="1">
        <v>39142</v>
      </c>
      <c r="B362" s="8">
        <v>378.38</v>
      </c>
      <c r="C362" s="8">
        <v>366.36</v>
      </c>
      <c r="D362" s="8">
        <v>331.71</v>
      </c>
      <c r="E362" s="8">
        <v>1.03280925865269</v>
      </c>
      <c r="F362" s="8">
        <v>1.14069518555364</v>
      </c>
    </row>
    <row r="363" spans="1:6" x14ac:dyDescent="0.25">
      <c r="A363" s="1">
        <v>39173</v>
      </c>
      <c r="B363" s="8">
        <v>378.3</v>
      </c>
      <c r="C363" s="8">
        <v>367.60333333333301</v>
      </c>
      <c r="D363" s="8">
        <v>335.243333333333</v>
      </c>
      <c r="E363" s="8">
        <v>1.0290983941023299</v>
      </c>
      <c r="F363" s="8">
        <v>1.12843407276306</v>
      </c>
    </row>
    <row r="364" spans="1:6" x14ac:dyDescent="0.25">
      <c r="A364" s="1">
        <v>39203</v>
      </c>
      <c r="B364" s="8">
        <v>378.22</v>
      </c>
      <c r="C364" s="8">
        <v>368.84666666666601</v>
      </c>
      <c r="D364" s="8">
        <v>338.77666666666602</v>
      </c>
      <c r="E364" s="8">
        <v>1.0254125472192599</v>
      </c>
      <c r="F364" s="8">
        <v>1.1164287190184301</v>
      </c>
    </row>
    <row r="365" spans="1:6" x14ac:dyDescent="0.25">
      <c r="A365" s="1">
        <v>39234</v>
      </c>
      <c r="B365" s="8">
        <v>378.14</v>
      </c>
      <c r="C365" s="8">
        <v>370.09</v>
      </c>
      <c r="D365" s="8">
        <v>342.31</v>
      </c>
      <c r="E365" s="8">
        <v>1.02175146585965</v>
      </c>
      <c r="F365" s="8">
        <v>1.1046712044637901</v>
      </c>
    </row>
    <row r="366" spans="1:6" x14ac:dyDescent="0.25">
      <c r="A366" s="1">
        <v>39264</v>
      </c>
      <c r="B366" s="8">
        <v>376.74666666666701</v>
      </c>
      <c r="C366" s="8">
        <v>371.12666666666598</v>
      </c>
      <c r="D366" s="8">
        <v>345.75</v>
      </c>
      <c r="E366" s="8">
        <v>1.0151430778350601</v>
      </c>
      <c r="F366" s="8">
        <v>1.0896505181971501</v>
      </c>
    </row>
    <row r="367" spans="1:6" x14ac:dyDescent="0.25">
      <c r="A367" s="1">
        <v>39295</v>
      </c>
      <c r="B367" s="8">
        <v>375.35333333333398</v>
      </c>
      <c r="C367" s="8">
        <v>372.16333333333301</v>
      </c>
      <c r="D367" s="8">
        <v>349.19</v>
      </c>
      <c r="E367" s="8">
        <v>1.0085715053426301</v>
      </c>
      <c r="F367" s="8">
        <v>1.0749257806160899</v>
      </c>
    </row>
    <row r="368" spans="1:6" x14ac:dyDescent="0.25">
      <c r="A368" s="1">
        <v>39326</v>
      </c>
      <c r="B368" s="8">
        <v>373.96</v>
      </c>
      <c r="C368" s="8">
        <v>373.2</v>
      </c>
      <c r="D368" s="8">
        <v>352.63</v>
      </c>
      <c r="E368" s="8">
        <v>1.0020364415862799</v>
      </c>
      <c r="F368" s="8">
        <v>1.0604883305447601</v>
      </c>
    </row>
    <row r="369" spans="1:6" x14ac:dyDescent="0.25">
      <c r="A369" s="1">
        <v>39356</v>
      </c>
      <c r="B369" s="8">
        <v>373.6</v>
      </c>
      <c r="C369" s="8">
        <v>374.46</v>
      </c>
      <c r="D369" s="8">
        <v>355.28666666666601</v>
      </c>
      <c r="E369" s="8">
        <v>0.99770335950435196</v>
      </c>
      <c r="F369" s="8">
        <v>1.0515452310810001</v>
      </c>
    </row>
    <row r="370" spans="1:6" x14ac:dyDescent="0.25">
      <c r="A370" s="1">
        <v>39387</v>
      </c>
      <c r="B370" s="8">
        <v>373.24</v>
      </c>
      <c r="C370" s="8">
        <v>375.72</v>
      </c>
      <c r="D370" s="8">
        <v>357.94333333333299</v>
      </c>
      <c r="E370" s="8">
        <v>0.99339933993399299</v>
      </c>
      <c r="F370" s="8">
        <v>1.04273488354767</v>
      </c>
    </row>
    <row r="371" spans="1:6" x14ac:dyDescent="0.25">
      <c r="A371" s="1">
        <v>39417</v>
      </c>
      <c r="B371" s="8">
        <v>372.88</v>
      </c>
      <c r="C371" s="8">
        <v>376.98</v>
      </c>
      <c r="D371" s="8">
        <v>360.6</v>
      </c>
      <c r="E371" s="8">
        <v>0.98912409146373803</v>
      </c>
      <c r="F371" s="8">
        <v>1.03405435385468</v>
      </c>
    </row>
    <row r="372" spans="1:6" x14ac:dyDescent="0.25">
      <c r="A372" s="1">
        <v>39448</v>
      </c>
      <c r="B372" s="8">
        <v>372.006666666667</v>
      </c>
      <c r="C372" s="8">
        <v>377.44666666666598</v>
      </c>
      <c r="D372" s="8">
        <v>362.52</v>
      </c>
      <c r="E372" s="8">
        <v>0.98558736775173705</v>
      </c>
      <c r="F372" s="8">
        <v>1.0261686711537701</v>
      </c>
    </row>
    <row r="373" spans="1:6" x14ac:dyDescent="0.25">
      <c r="A373" s="1">
        <v>39479</v>
      </c>
      <c r="B373" s="8">
        <v>371.13333333333401</v>
      </c>
      <c r="C373" s="8">
        <v>377.91333333333301</v>
      </c>
      <c r="D373" s="8">
        <v>364.44</v>
      </c>
      <c r="E373" s="8">
        <v>0.98205937869352999</v>
      </c>
      <c r="F373" s="8">
        <v>1.01836607763509</v>
      </c>
    </row>
    <row r="374" spans="1:6" x14ac:dyDescent="0.25">
      <c r="A374" s="1">
        <v>39508</v>
      </c>
      <c r="B374" s="8">
        <v>370.26</v>
      </c>
      <c r="C374" s="8">
        <v>378.38</v>
      </c>
      <c r="D374" s="8">
        <v>366.36</v>
      </c>
      <c r="E374" s="8">
        <v>0.97854009197103398</v>
      </c>
      <c r="F374" s="8">
        <v>1.0106452669505399</v>
      </c>
    </row>
    <row r="375" spans="1:6" x14ac:dyDescent="0.25">
      <c r="A375" s="1">
        <v>39539</v>
      </c>
      <c r="B375" s="8">
        <v>367.19333333333401</v>
      </c>
      <c r="C375" s="8">
        <v>378.3</v>
      </c>
      <c r="D375" s="8">
        <v>367.60333333333301</v>
      </c>
      <c r="E375" s="8">
        <v>0.97064058507357598</v>
      </c>
      <c r="F375" s="8">
        <v>0.99888466734977199</v>
      </c>
    </row>
    <row r="376" spans="1:6" x14ac:dyDescent="0.25">
      <c r="A376" s="1">
        <v>39569</v>
      </c>
      <c r="B376" s="8">
        <v>364.12666666666701</v>
      </c>
      <c r="C376" s="8">
        <v>378.22</v>
      </c>
      <c r="D376" s="8">
        <v>368.84666666666601</v>
      </c>
      <c r="E376" s="8">
        <v>0.96273773641443305</v>
      </c>
      <c r="F376" s="8">
        <v>0.98720335460082997</v>
      </c>
    </row>
    <row r="377" spans="1:6" x14ac:dyDescent="0.25">
      <c r="A377" s="1">
        <v>39600</v>
      </c>
      <c r="B377" s="8">
        <v>361.06</v>
      </c>
      <c r="C377" s="8">
        <v>378.14</v>
      </c>
      <c r="D377" s="8">
        <v>370.09</v>
      </c>
      <c r="E377" s="8">
        <v>0.95483154387263902</v>
      </c>
      <c r="F377" s="8">
        <v>0.97560052960090704</v>
      </c>
    </row>
    <row r="378" spans="1:6" x14ac:dyDescent="0.25">
      <c r="A378" s="1">
        <v>39630</v>
      </c>
      <c r="B378" s="8">
        <v>357.30333333333402</v>
      </c>
      <c r="C378" s="8">
        <v>376.74666666666701</v>
      </c>
      <c r="D378" s="8">
        <v>371.12666666666598</v>
      </c>
      <c r="E378" s="8">
        <v>0.94839149207248097</v>
      </c>
      <c r="F378" s="8">
        <v>0.96275305825504598</v>
      </c>
    </row>
    <row r="379" spans="1:6" x14ac:dyDescent="0.25">
      <c r="A379" s="1">
        <v>39661</v>
      </c>
      <c r="B379" s="8">
        <v>353.54666666666702</v>
      </c>
      <c r="C379" s="8">
        <v>375.35333333333398</v>
      </c>
      <c r="D379" s="8">
        <v>372.16333333333301</v>
      </c>
      <c r="E379" s="8">
        <v>0.94190362858106902</v>
      </c>
      <c r="F379" s="8">
        <v>0.94997716056570303</v>
      </c>
    </row>
    <row r="380" spans="1:6" x14ac:dyDescent="0.25">
      <c r="A380" s="1">
        <v>39692</v>
      </c>
      <c r="B380" s="8">
        <v>349.79</v>
      </c>
      <c r="C380" s="8">
        <v>373.96</v>
      </c>
      <c r="D380" s="8">
        <v>373.2</v>
      </c>
      <c r="E380" s="8">
        <v>0.93536741897529097</v>
      </c>
      <c r="F380" s="8">
        <v>0.93727224008574395</v>
      </c>
    </row>
    <row r="381" spans="1:6" x14ac:dyDescent="0.25">
      <c r="A381" s="1">
        <v>39722</v>
      </c>
      <c r="B381" s="8">
        <v>348.74333333333402</v>
      </c>
      <c r="C381" s="8">
        <v>373.6</v>
      </c>
      <c r="D381" s="8">
        <v>374.46</v>
      </c>
      <c r="E381" s="8">
        <v>0.93346716630977999</v>
      </c>
      <c r="F381" s="8">
        <v>0.93132332781427596</v>
      </c>
    </row>
    <row r="382" spans="1:6" x14ac:dyDescent="0.25">
      <c r="A382" s="1">
        <v>39753</v>
      </c>
      <c r="B382" s="8">
        <v>347.696666666667</v>
      </c>
      <c r="C382" s="8">
        <v>373.24</v>
      </c>
      <c r="D382" s="8">
        <v>375.72</v>
      </c>
      <c r="E382" s="8">
        <v>0.93156324795484602</v>
      </c>
      <c r="F382" s="8">
        <v>0.92541431562511101</v>
      </c>
    </row>
    <row r="383" spans="1:6" x14ac:dyDescent="0.25">
      <c r="A383" s="1">
        <v>39783</v>
      </c>
      <c r="B383" s="8">
        <v>346.65</v>
      </c>
      <c r="C383" s="8">
        <v>372.88</v>
      </c>
      <c r="D383" s="8">
        <v>376.98</v>
      </c>
      <c r="E383" s="8">
        <v>0.92965565329328403</v>
      </c>
      <c r="F383" s="8">
        <v>0.91954480343784795</v>
      </c>
    </row>
    <row r="384" spans="1:6" x14ac:dyDescent="0.25">
      <c r="A384" s="1">
        <v>39814</v>
      </c>
      <c r="B384" s="8">
        <v>347.50666666666598</v>
      </c>
      <c r="C384" s="8">
        <v>372.006666666667</v>
      </c>
      <c r="D384" s="8">
        <v>377.44666666666598</v>
      </c>
      <c r="E384" s="8">
        <v>0.93414096521567402</v>
      </c>
      <c r="F384" s="8">
        <v>0.92067753501598404</v>
      </c>
    </row>
    <row r="385" spans="1:6" x14ac:dyDescent="0.25">
      <c r="A385" s="1">
        <v>39845</v>
      </c>
      <c r="B385" s="8">
        <v>348.363333333333</v>
      </c>
      <c r="C385" s="8">
        <v>371.13333333333401</v>
      </c>
      <c r="D385" s="8">
        <v>377.91333333333301</v>
      </c>
      <c r="E385" s="8">
        <v>0.93864738638404599</v>
      </c>
      <c r="F385" s="8">
        <v>0.92180746908462197</v>
      </c>
    </row>
    <row r="386" spans="1:6" x14ac:dyDescent="0.25">
      <c r="A386" s="1">
        <v>39873</v>
      </c>
      <c r="B386" s="8">
        <v>349.22</v>
      </c>
      <c r="C386" s="8">
        <v>370.26</v>
      </c>
      <c r="D386" s="8">
        <v>378.38</v>
      </c>
      <c r="E386" s="8">
        <v>0.94317506616971802</v>
      </c>
      <c r="F386" s="8">
        <v>0.92293461599450199</v>
      </c>
    </row>
    <row r="387" spans="1:6" x14ac:dyDescent="0.25">
      <c r="A387" s="1">
        <v>39904</v>
      </c>
      <c r="B387" s="8">
        <v>346.13333333333401</v>
      </c>
      <c r="C387" s="8">
        <v>367.19333333333401</v>
      </c>
      <c r="D387" s="8">
        <v>378.3</v>
      </c>
      <c r="E387" s="8">
        <v>0.94264601753844401</v>
      </c>
      <c r="F387" s="8">
        <v>0.914970481980793</v>
      </c>
    </row>
    <row r="388" spans="1:6" x14ac:dyDescent="0.25">
      <c r="A388" s="1">
        <v>39934</v>
      </c>
      <c r="B388" s="8">
        <v>343.04666666666702</v>
      </c>
      <c r="C388" s="8">
        <v>364.12666666666701</v>
      </c>
      <c r="D388" s="8">
        <v>378.22</v>
      </c>
      <c r="E388" s="8">
        <v>0.942108057635621</v>
      </c>
      <c r="F388" s="8">
        <v>0.90700297886591597</v>
      </c>
    </row>
    <row r="389" spans="1:6" x14ac:dyDescent="0.25">
      <c r="A389" s="1">
        <v>39965</v>
      </c>
      <c r="B389" s="8">
        <v>339.96</v>
      </c>
      <c r="C389" s="8">
        <v>361.06</v>
      </c>
      <c r="D389" s="8">
        <v>378.14</v>
      </c>
      <c r="E389" s="8">
        <v>0.94156095939732998</v>
      </c>
      <c r="F389" s="8">
        <v>0.89903210451155602</v>
      </c>
    </row>
    <row r="390" spans="1:6" x14ac:dyDescent="0.25">
      <c r="A390" s="1">
        <v>39995</v>
      </c>
      <c r="B390" s="8">
        <v>336.96666666666698</v>
      </c>
      <c r="C390" s="8">
        <v>357.30333333333402</v>
      </c>
      <c r="D390" s="8">
        <v>376.74666666666701</v>
      </c>
      <c r="E390" s="8">
        <v>0.94308290807996797</v>
      </c>
      <c r="F390" s="8">
        <v>0.894411806342015</v>
      </c>
    </row>
    <row r="391" spans="1:6" x14ac:dyDescent="0.25">
      <c r="A391" s="1">
        <v>40026</v>
      </c>
      <c r="B391" s="8">
        <v>333.97333333333398</v>
      </c>
      <c r="C391" s="8">
        <v>353.54666666666702</v>
      </c>
      <c r="D391" s="8">
        <v>375.35333333333398</v>
      </c>
      <c r="E391" s="8">
        <v>0.94463720018102304</v>
      </c>
      <c r="F391" s="8">
        <v>0.88975720654316803</v>
      </c>
    </row>
    <row r="392" spans="1:6" x14ac:dyDescent="0.25">
      <c r="A392" s="1">
        <v>40057</v>
      </c>
      <c r="B392" s="8">
        <v>330.98</v>
      </c>
      <c r="C392" s="8">
        <v>349.79</v>
      </c>
      <c r="D392" s="8">
        <v>373.96</v>
      </c>
      <c r="E392" s="8">
        <v>0.94622487778381303</v>
      </c>
      <c r="F392" s="8">
        <v>0.88506792170285498</v>
      </c>
    </row>
    <row r="393" spans="1:6" x14ac:dyDescent="0.25">
      <c r="A393" s="1">
        <v>40087</v>
      </c>
      <c r="B393" s="8">
        <v>330.18</v>
      </c>
      <c r="C393" s="8">
        <v>348.74333333333402</v>
      </c>
      <c r="D393" s="8">
        <v>373.6</v>
      </c>
      <c r="E393" s="8">
        <v>0.94677078653833102</v>
      </c>
      <c r="F393" s="8">
        <v>0.88377944325481705</v>
      </c>
    </row>
    <row r="394" spans="1:6" x14ac:dyDescent="0.25">
      <c r="A394" s="1">
        <v>40118</v>
      </c>
      <c r="B394" s="8">
        <v>329.38</v>
      </c>
      <c r="C394" s="8">
        <v>347.696666666667</v>
      </c>
      <c r="D394" s="8">
        <v>373.24</v>
      </c>
      <c r="E394" s="8">
        <v>0.94731998197662604</v>
      </c>
      <c r="F394" s="8">
        <v>0.88248847926267204</v>
      </c>
    </row>
    <row r="395" spans="1:6" x14ac:dyDescent="0.25">
      <c r="A395" s="1">
        <v>40148</v>
      </c>
      <c r="B395" s="8">
        <v>328.58</v>
      </c>
      <c r="C395" s="8">
        <v>346.65</v>
      </c>
      <c r="D395" s="8">
        <v>372.88</v>
      </c>
      <c r="E395" s="8">
        <v>0.94787249386989703</v>
      </c>
      <c r="F395" s="8">
        <v>0.88119502252735404</v>
      </c>
    </row>
    <row r="396" spans="1:6" x14ac:dyDescent="0.25">
      <c r="A396" s="1">
        <v>40179</v>
      </c>
      <c r="B396" s="8">
        <v>327.26666666666699</v>
      </c>
      <c r="C396" s="8">
        <v>347.50666666666598</v>
      </c>
      <c r="D396" s="8">
        <v>372.006666666667</v>
      </c>
      <c r="E396" s="8">
        <v>0.94175651306450003</v>
      </c>
      <c r="F396" s="8">
        <v>0.87973333811221999</v>
      </c>
    </row>
    <row r="397" spans="1:6" x14ac:dyDescent="0.25">
      <c r="A397" s="1">
        <v>40210</v>
      </c>
      <c r="B397" s="8">
        <v>325.953333333334</v>
      </c>
      <c r="C397" s="8">
        <v>348.363333333333</v>
      </c>
      <c r="D397" s="8">
        <v>371.13333333333401</v>
      </c>
      <c r="E397" s="8">
        <v>0.93567061210039604</v>
      </c>
      <c r="F397" s="8">
        <v>0.878264774564397</v>
      </c>
    </row>
    <row r="398" spans="1:6" x14ac:dyDescent="0.25">
      <c r="A398" s="1">
        <v>40238</v>
      </c>
      <c r="B398" s="8">
        <v>324.64</v>
      </c>
      <c r="C398" s="8">
        <v>349.22</v>
      </c>
      <c r="D398" s="8">
        <v>370.26</v>
      </c>
      <c r="E398" s="8">
        <v>0.92961456961227795</v>
      </c>
      <c r="F398" s="8">
        <v>0.87678928320639504</v>
      </c>
    </row>
    <row r="399" spans="1:6" x14ac:dyDescent="0.25">
      <c r="A399" s="1">
        <v>40269</v>
      </c>
      <c r="B399" s="8">
        <v>323.67666666666702</v>
      </c>
      <c r="C399" s="8">
        <v>346.13333333333401</v>
      </c>
      <c r="D399" s="8">
        <v>367.19333333333401</v>
      </c>
      <c r="E399" s="8">
        <v>0.93512134052388196</v>
      </c>
      <c r="F399" s="8">
        <v>0.88148840756004898</v>
      </c>
    </row>
    <row r="400" spans="1:6" x14ac:dyDescent="0.25">
      <c r="A400" s="1">
        <v>40299</v>
      </c>
      <c r="B400" s="8">
        <v>322.71333333333399</v>
      </c>
      <c r="C400" s="8">
        <v>343.04666666666702</v>
      </c>
      <c r="D400" s="8">
        <v>364.12666666666701</v>
      </c>
      <c r="E400" s="8">
        <v>0.940727209126067</v>
      </c>
      <c r="F400" s="8">
        <v>0.88626668375473805</v>
      </c>
    </row>
    <row r="401" spans="1:6" x14ac:dyDescent="0.25">
      <c r="A401" s="1">
        <v>40330</v>
      </c>
      <c r="B401" s="8">
        <v>321.75</v>
      </c>
      <c r="C401" s="8">
        <v>339.96</v>
      </c>
      <c r="D401" s="8">
        <v>361.06</v>
      </c>
      <c r="E401" s="8">
        <v>0.94643487469113996</v>
      </c>
      <c r="F401" s="8">
        <v>0.89112612862128104</v>
      </c>
    </row>
    <row r="402" spans="1:6" x14ac:dyDescent="0.25">
      <c r="A402" s="1">
        <v>40360</v>
      </c>
      <c r="B402" s="8">
        <v>322.78333333333302</v>
      </c>
      <c r="C402" s="8">
        <v>336.96666666666698</v>
      </c>
      <c r="D402" s="8">
        <v>357.30333333333402</v>
      </c>
      <c r="E402" s="8">
        <v>0.95790879414383001</v>
      </c>
      <c r="F402" s="8">
        <v>0.90338741125653899</v>
      </c>
    </row>
    <row r="403" spans="1:6" x14ac:dyDescent="0.25">
      <c r="A403" s="1">
        <v>40391</v>
      </c>
      <c r="B403" s="8">
        <v>323.81666666666598</v>
      </c>
      <c r="C403" s="8">
        <v>333.97333333333398</v>
      </c>
      <c r="D403" s="8">
        <v>353.54666666666702</v>
      </c>
      <c r="E403" s="8">
        <v>0.96958839029063804</v>
      </c>
      <c r="F403" s="8">
        <v>0.91590926233217396</v>
      </c>
    </row>
    <row r="404" spans="1:6" x14ac:dyDescent="0.25">
      <c r="A404" s="1">
        <v>40422</v>
      </c>
      <c r="B404" s="8">
        <v>324.85000000000002</v>
      </c>
      <c r="C404" s="8">
        <v>330.98</v>
      </c>
      <c r="D404" s="8">
        <v>349.79</v>
      </c>
      <c r="E404" s="8">
        <v>0.98147924345881898</v>
      </c>
      <c r="F404" s="8">
        <v>0.92870007718917003</v>
      </c>
    </row>
    <row r="405" spans="1:6" x14ac:dyDescent="0.25">
      <c r="A405" s="1">
        <v>40452</v>
      </c>
      <c r="B405" s="8">
        <v>324.07333333333401</v>
      </c>
      <c r="C405" s="8">
        <v>330.18</v>
      </c>
      <c r="D405" s="8">
        <v>348.74333333333402</v>
      </c>
      <c r="E405" s="8">
        <v>0.98150503765622898</v>
      </c>
      <c r="F405" s="8">
        <v>0.92926029649312303</v>
      </c>
    </row>
    <row r="406" spans="1:6" x14ac:dyDescent="0.25">
      <c r="A406" s="1">
        <v>40483</v>
      </c>
      <c r="B406" s="8">
        <v>323.29666666666702</v>
      </c>
      <c r="C406" s="8">
        <v>329.38</v>
      </c>
      <c r="D406" s="8">
        <v>347.696666666667</v>
      </c>
      <c r="E406" s="8">
        <v>0.98153095715182104</v>
      </c>
      <c r="F406" s="8">
        <v>0.92982388863856402</v>
      </c>
    </row>
    <row r="407" spans="1:6" x14ac:dyDescent="0.25">
      <c r="A407" s="1">
        <v>40513</v>
      </c>
      <c r="B407" s="8">
        <v>322.52</v>
      </c>
      <c r="C407" s="8">
        <v>328.58</v>
      </c>
      <c r="D407" s="8">
        <v>346.65</v>
      </c>
      <c r="E407" s="8">
        <v>0.98155700286079395</v>
      </c>
      <c r="F407" s="8">
        <v>0.93039088417712301</v>
      </c>
    </row>
    <row r="408" spans="1:6" x14ac:dyDescent="0.25">
      <c r="A408" s="1">
        <v>40544</v>
      </c>
      <c r="B408" s="8">
        <v>319.56</v>
      </c>
      <c r="C408" s="8">
        <v>327.26666666666699</v>
      </c>
      <c r="D408" s="8">
        <v>347.50666666666598</v>
      </c>
      <c r="E408" s="8">
        <v>0.97645141576695704</v>
      </c>
      <c r="F408" s="8">
        <v>0.91957948048958404</v>
      </c>
    </row>
    <row r="409" spans="1:6" x14ac:dyDescent="0.25">
      <c r="A409" s="1">
        <v>40575</v>
      </c>
      <c r="B409" s="8">
        <v>316.60000000000002</v>
      </c>
      <c r="C409" s="8">
        <v>325.953333333334</v>
      </c>
      <c r="D409" s="8">
        <v>348.363333333333</v>
      </c>
      <c r="E409" s="8">
        <v>0.97130468574233297</v>
      </c>
      <c r="F409" s="8">
        <v>0.90882124984451096</v>
      </c>
    </row>
    <row r="410" spans="1:6" x14ac:dyDescent="0.25">
      <c r="A410" s="1">
        <v>40603</v>
      </c>
      <c r="B410" s="8">
        <v>313.64</v>
      </c>
      <c r="C410" s="8">
        <v>324.64</v>
      </c>
      <c r="D410" s="8">
        <v>349.22</v>
      </c>
      <c r="E410" s="8">
        <v>0.96611631345490301</v>
      </c>
      <c r="F410" s="8">
        <v>0.89811580092778098</v>
      </c>
    </row>
    <row r="411" spans="1:6" x14ac:dyDescent="0.25">
      <c r="A411" s="1">
        <v>40634</v>
      </c>
      <c r="B411" s="8">
        <v>311.86666666666702</v>
      </c>
      <c r="C411" s="8">
        <v>323.67666666666702</v>
      </c>
      <c r="D411" s="8">
        <v>346.13333333333401</v>
      </c>
      <c r="E411" s="8">
        <v>0.96351297076300402</v>
      </c>
      <c r="F411" s="8">
        <v>0.90100154083204798</v>
      </c>
    </row>
    <row r="412" spans="1:6" x14ac:dyDescent="0.25">
      <c r="A412" s="1">
        <v>40664</v>
      </c>
      <c r="B412" s="8">
        <v>310.09333333333399</v>
      </c>
      <c r="C412" s="8">
        <v>322.71333333333399</v>
      </c>
      <c r="D412" s="8">
        <v>343.04666666666702</v>
      </c>
      <c r="E412" s="8">
        <v>0.96089408556613698</v>
      </c>
      <c r="F412" s="8">
        <v>0.90393921138037603</v>
      </c>
    </row>
    <row r="413" spans="1:6" x14ac:dyDescent="0.25">
      <c r="A413" s="1">
        <v>40695</v>
      </c>
      <c r="B413" s="8">
        <v>308.32</v>
      </c>
      <c r="C413" s="8">
        <v>321.75</v>
      </c>
      <c r="D413" s="8">
        <v>339.96</v>
      </c>
      <c r="E413" s="8">
        <v>0.95825951825951805</v>
      </c>
      <c r="F413" s="8">
        <v>0.90693022708553905</v>
      </c>
    </row>
    <row r="414" spans="1:6" x14ac:dyDescent="0.25">
      <c r="A414" s="1">
        <v>40725</v>
      </c>
      <c r="B414" s="8">
        <v>309.12</v>
      </c>
      <c r="C414" s="8">
        <v>322.78333333333302</v>
      </c>
      <c r="D414" s="8">
        <v>336.96666666666698</v>
      </c>
      <c r="E414" s="8">
        <v>0.95767026385088105</v>
      </c>
      <c r="F414" s="8">
        <v>0.91736076763280106</v>
      </c>
    </row>
    <row r="415" spans="1:6" x14ac:dyDescent="0.25">
      <c r="A415" s="1">
        <v>40756</v>
      </c>
      <c r="B415" s="8">
        <v>309.92</v>
      </c>
      <c r="C415" s="8">
        <v>323.81666666666598</v>
      </c>
      <c r="D415" s="8">
        <v>333.97333333333398</v>
      </c>
      <c r="E415" s="8">
        <v>0.95708477018889404</v>
      </c>
      <c r="F415" s="8">
        <v>0.92797828169913499</v>
      </c>
    </row>
    <row r="416" spans="1:6" x14ac:dyDescent="0.25">
      <c r="A416" s="1">
        <v>40787</v>
      </c>
      <c r="B416" s="8">
        <v>310.72000000000003</v>
      </c>
      <c r="C416" s="8">
        <v>324.85000000000002</v>
      </c>
      <c r="D416" s="8">
        <v>330.98</v>
      </c>
      <c r="E416" s="8">
        <v>0.95650300138525401</v>
      </c>
      <c r="F416" s="8">
        <v>0.938787842165689</v>
      </c>
    </row>
    <row r="417" spans="1:6" x14ac:dyDescent="0.25">
      <c r="A417" s="1">
        <v>40817</v>
      </c>
      <c r="B417" s="8">
        <v>311.19333333333299</v>
      </c>
      <c r="C417" s="8">
        <v>324.07333333333401</v>
      </c>
      <c r="D417" s="8">
        <v>330.18</v>
      </c>
      <c r="E417" s="8">
        <v>0.96025590915636005</v>
      </c>
      <c r="F417" s="8">
        <v>0.942496012276131</v>
      </c>
    </row>
    <row r="418" spans="1:6" x14ac:dyDescent="0.25">
      <c r="A418" s="1">
        <v>40848</v>
      </c>
      <c r="B418" s="8">
        <v>311.666666666666</v>
      </c>
      <c r="C418" s="8">
        <v>323.29666666666702</v>
      </c>
      <c r="D418" s="8">
        <v>329.38</v>
      </c>
      <c r="E418" s="8">
        <v>0.96402684840548603</v>
      </c>
      <c r="F418" s="8">
        <v>0.94622219523549</v>
      </c>
    </row>
    <row r="419" spans="1:6" x14ac:dyDescent="0.25">
      <c r="A419" s="1">
        <v>40878</v>
      </c>
      <c r="B419" s="8">
        <v>312.14</v>
      </c>
      <c r="C419" s="8">
        <v>322.52</v>
      </c>
      <c r="D419" s="8">
        <v>328.58</v>
      </c>
      <c r="E419" s="8">
        <v>0.96781594939848603</v>
      </c>
      <c r="F419" s="8">
        <v>0.94996652261245296</v>
      </c>
    </row>
    <row r="420" spans="1:6" x14ac:dyDescent="0.25">
      <c r="A420" s="1">
        <v>40909</v>
      </c>
      <c r="B420" s="8">
        <v>311.066666666667</v>
      </c>
      <c r="C420" s="8">
        <v>319.56</v>
      </c>
      <c r="D420" s="8">
        <v>327.26666666666699</v>
      </c>
      <c r="E420" s="8">
        <v>0.97342178829223602</v>
      </c>
      <c r="F420" s="8">
        <v>0.95049908331635702</v>
      </c>
    </row>
    <row r="421" spans="1:6" x14ac:dyDescent="0.25">
      <c r="A421" s="1">
        <v>40940</v>
      </c>
      <c r="B421" s="8">
        <v>309.99333333333402</v>
      </c>
      <c r="C421" s="8">
        <v>316.60000000000002</v>
      </c>
      <c r="D421" s="8">
        <v>325.953333333334</v>
      </c>
      <c r="E421" s="8">
        <v>0.97913244893661999</v>
      </c>
      <c r="F421" s="8">
        <v>0.95103593561450495</v>
      </c>
    </row>
    <row r="422" spans="1:6" x14ac:dyDescent="0.25">
      <c r="A422" s="1">
        <v>40969</v>
      </c>
      <c r="B422" s="8">
        <v>308.92</v>
      </c>
      <c r="C422" s="8">
        <v>313.64</v>
      </c>
      <c r="D422" s="8">
        <v>324.64</v>
      </c>
      <c r="E422" s="8">
        <v>0.98495089912000999</v>
      </c>
      <c r="F422" s="8">
        <v>0.95157713159191704</v>
      </c>
    </row>
    <row r="423" spans="1:6" x14ac:dyDescent="0.25">
      <c r="A423" s="1">
        <v>41000</v>
      </c>
      <c r="B423" s="8">
        <v>308.54000000000002</v>
      </c>
      <c r="C423" s="8">
        <v>311.86666666666702</v>
      </c>
      <c r="D423" s="8">
        <v>323.67666666666702</v>
      </c>
      <c r="E423" s="8">
        <v>0.98933304831124302</v>
      </c>
      <c r="F423" s="8">
        <v>0.95323522445238396</v>
      </c>
    </row>
    <row r="424" spans="1:6" x14ac:dyDescent="0.25">
      <c r="A424" s="1">
        <v>41030</v>
      </c>
      <c r="B424" s="8">
        <v>308.16000000000003</v>
      </c>
      <c r="C424" s="8">
        <v>310.09333333333399</v>
      </c>
      <c r="D424" s="8">
        <v>322.71333333333399</v>
      </c>
      <c r="E424" s="8">
        <v>0.99376531796878098</v>
      </c>
      <c r="F424" s="8">
        <v>0.95490321647695298</v>
      </c>
    </row>
    <row r="425" spans="1:6" x14ac:dyDescent="0.25">
      <c r="A425" s="1">
        <v>41061</v>
      </c>
      <c r="B425" s="8">
        <v>307.77999999999997</v>
      </c>
      <c r="C425" s="8">
        <v>308.32</v>
      </c>
      <c r="D425" s="8">
        <v>321.75</v>
      </c>
      <c r="E425" s="8">
        <v>0.99824857291126101</v>
      </c>
      <c r="F425" s="8">
        <v>0.956581196581196</v>
      </c>
    </row>
    <row r="426" spans="1:6" x14ac:dyDescent="0.25">
      <c r="A426" s="1">
        <v>41091</v>
      </c>
      <c r="B426" s="8">
        <v>309.10333333333301</v>
      </c>
      <c r="C426" s="8">
        <v>309.12</v>
      </c>
      <c r="D426" s="8">
        <v>322.78333333333302</v>
      </c>
      <c r="E426" s="8">
        <v>0.999946083505865</v>
      </c>
      <c r="F426" s="8">
        <v>0.95761862962771704</v>
      </c>
    </row>
    <row r="427" spans="1:6" x14ac:dyDescent="0.25">
      <c r="A427" s="1">
        <v>41122</v>
      </c>
      <c r="B427" s="8">
        <v>310.42666666666599</v>
      </c>
      <c r="C427" s="8">
        <v>309.92</v>
      </c>
      <c r="D427" s="8">
        <v>323.81666666666598</v>
      </c>
      <c r="E427" s="8">
        <v>1.00163483049388</v>
      </c>
      <c r="F427" s="8">
        <v>0.95864944155643605</v>
      </c>
    </row>
    <row r="428" spans="1:6" x14ac:dyDescent="0.25">
      <c r="A428" s="1">
        <v>41153</v>
      </c>
      <c r="B428" s="8">
        <v>311.75</v>
      </c>
      <c r="C428" s="8">
        <v>310.72000000000003</v>
      </c>
      <c r="D428" s="8">
        <v>324.85000000000002</v>
      </c>
      <c r="E428" s="8">
        <v>1.0033148815653901</v>
      </c>
      <c r="F428" s="8">
        <v>0.95967369555179305</v>
      </c>
    </row>
    <row r="429" spans="1:6" x14ac:dyDescent="0.25">
      <c r="A429" s="1">
        <v>41183</v>
      </c>
      <c r="B429" s="8">
        <v>312.61</v>
      </c>
      <c r="C429" s="8">
        <v>311.19333333333299</v>
      </c>
      <c r="D429" s="8">
        <v>324.07333333333401</v>
      </c>
      <c r="E429" s="8">
        <v>1.00455236830266</v>
      </c>
      <c r="F429" s="8">
        <v>0.96462734771964898</v>
      </c>
    </row>
    <row r="430" spans="1:6" x14ac:dyDescent="0.25">
      <c r="A430" s="1">
        <v>41214</v>
      </c>
      <c r="B430" s="8">
        <v>313.47000000000003</v>
      </c>
      <c r="C430" s="8">
        <v>311.666666666666</v>
      </c>
      <c r="D430" s="8">
        <v>323.29666666666702</v>
      </c>
      <c r="E430" s="8">
        <v>1.00578609625668</v>
      </c>
      <c r="F430" s="8">
        <v>0.96960480054439002</v>
      </c>
    </row>
    <row r="431" spans="1:6" x14ac:dyDescent="0.25">
      <c r="A431" s="1">
        <v>41244</v>
      </c>
      <c r="B431" s="8">
        <v>314.33</v>
      </c>
      <c r="C431" s="8">
        <v>312.14</v>
      </c>
      <c r="D431" s="8">
        <v>322.52</v>
      </c>
      <c r="E431" s="8">
        <v>1.00701608252707</v>
      </c>
      <c r="F431" s="8">
        <v>0.97460622597048197</v>
      </c>
    </row>
    <row r="432" spans="1:6" x14ac:dyDescent="0.25">
      <c r="A432" s="1">
        <v>41275</v>
      </c>
      <c r="B432" s="8">
        <v>314.88</v>
      </c>
      <c r="C432" s="8">
        <v>311.066666666667</v>
      </c>
      <c r="D432" s="8">
        <v>319.56</v>
      </c>
      <c r="E432" s="8">
        <v>1.01225889412773</v>
      </c>
      <c r="F432" s="8">
        <v>0.98535486293653696</v>
      </c>
    </row>
    <row r="433" spans="1:6" x14ac:dyDescent="0.25">
      <c r="A433" s="1">
        <v>41306</v>
      </c>
      <c r="B433" s="8">
        <v>315.43</v>
      </c>
      <c r="C433" s="8">
        <v>309.99333333333402</v>
      </c>
      <c r="D433" s="8">
        <v>316.60000000000002</v>
      </c>
      <c r="E433" s="8">
        <v>1.01753801157013</v>
      </c>
      <c r="F433" s="8">
        <v>0.99630448515476899</v>
      </c>
    </row>
    <row r="434" spans="1:6" x14ac:dyDescent="0.25">
      <c r="A434" s="1">
        <v>41334</v>
      </c>
      <c r="B434" s="8">
        <v>315.98</v>
      </c>
      <c r="C434" s="8">
        <v>308.92</v>
      </c>
      <c r="D434" s="8">
        <v>313.64</v>
      </c>
      <c r="E434" s="8">
        <v>1.02285381328499</v>
      </c>
      <c r="F434" s="8">
        <v>1.0074607830633799</v>
      </c>
    </row>
    <row r="435" spans="1:6" x14ac:dyDescent="0.25">
      <c r="A435" s="1">
        <v>41365</v>
      </c>
      <c r="B435" s="8">
        <v>317.67333333333301</v>
      </c>
      <c r="C435" s="8">
        <v>308.54000000000002</v>
      </c>
      <c r="D435" s="8">
        <v>311.86666666666702</v>
      </c>
      <c r="E435" s="8">
        <v>1.02960178042825</v>
      </c>
      <c r="F435" s="8">
        <v>1.01861906797776</v>
      </c>
    </row>
    <row r="436" spans="1:6" x14ac:dyDescent="0.25">
      <c r="A436" s="1">
        <v>41395</v>
      </c>
      <c r="B436" s="8">
        <v>319.36666666666599</v>
      </c>
      <c r="C436" s="8">
        <v>308.16000000000003</v>
      </c>
      <c r="D436" s="8">
        <v>310.09333333333399</v>
      </c>
      <c r="E436" s="8">
        <v>1.0363663897542299</v>
      </c>
      <c r="F436" s="8">
        <v>1.0299049748462701</v>
      </c>
    </row>
    <row r="437" spans="1:6" x14ac:dyDescent="0.25">
      <c r="A437" s="1">
        <v>41426</v>
      </c>
      <c r="B437" s="8">
        <v>321.06</v>
      </c>
      <c r="C437" s="8">
        <v>307.77999999999997</v>
      </c>
      <c r="D437" s="8">
        <v>308.32</v>
      </c>
      <c r="E437" s="8">
        <v>1.0431477029046701</v>
      </c>
      <c r="F437" s="8">
        <v>1.0413207057602401</v>
      </c>
    </row>
    <row r="438" spans="1:6" x14ac:dyDescent="0.25">
      <c r="A438" s="1">
        <v>41456</v>
      </c>
      <c r="B438" s="8">
        <v>322.8</v>
      </c>
      <c r="C438" s="8">
        <v>309.10333333333301</v>
      </c>
      <c r="D438" s="8">
        <v>309.12</v>
      </c>
      <c r="E438" s="8">
        <v>1.0443109639710499</v>
      </c>
      <c r="F438" s="8">
        <v>1.04425465838509</v>
      </c>
    </row>
    <row r="439" spans="1:6" x14ac:dyDescent="0.25">
      <c r="A439" s="1">
        <v>41487</v>
      </c>
      <c r="B439" s="8">
        <v>324.54000000000002</v>
      </c>
      <c r="C439" s="8">
        <v>310.42666666666599</v>
      </c>
      <c r="D439" s="8">
        <v>309.92</v>
      </c>
      <c r="E439" s="8">
        <v>1.0454643071901</v>
      </c>
      <c r="F439" s="8">
        <v>1.0471734641197701</v>
      </c>
    </row>
    <row r="440" spans="1:6" x14ac:dyDescent="0.25">
      <c r="A440" s="1">
        <v>41518</v>
      </c>
      <c r="B440" s="8">
        <v>326.27999999999997</v>
      </c>
      <c r="C440" s="8">
        <v>311.75</v>
      </c>
      <c r="D440" s="8">
        <v>310.72000000000003</v>
      </c>
      <c r="E440" s="8">
        <v>1.04660785886126</v>
      </c>
      <c r="F440" s="8">
        <v>1.0500772399588001</v>
      </c>
    </row>
    <row r="441" spans="1:6" x14ac:dyDescent="0.25">
      <c r="A441" s="1">
        <v>41548</v>
      </c>
      <c r="B441" s="8">
        <v>327.303333333333</v>
      </c>
      <c r="C441" s="8">
        <v>312.61</v>
      </c>
      <c r="D441" s="8">
        <v>311.19333333333299</v>
      </c>
      <c r="E441" s="8">
        <v>1.0470021219197401</v>
      </c>
      <c r="F441" s="8">
        <v>1.0517684611923901</v>
      </c>
    </row>
    <row r="442" spans="1:6" x14ac:dyDescent="0.25">
      <c r="A442" s="1">
        <v>41579</v>
      </c>
      <c r="B442" s="8">
        <v>328.32666666666597</v>
      </c>
      <c r="C442" s="8">
        <v>313.47000000000003</v>
      </c>
      <c r="D442" s="8">
        <v>311.666666666666</v>
      </c>
      <c r="E442" s="8">
        <v>1.04739422166926</v>
      </c>
      <c r="F442" s="8">
        <v>1.0534545454545401</v>
      </c>
    </row>
    <row r="443" spans="1:6" x14ac:dyDescent="0.25">
      <c r="A443" s="1">
        <v>41609</v>
      </c>
      <c r="B443" s="8">
        <v>329.35</v>
      </c>
      <c r="C443" s="8">
        <v>314.33</v>
      </c>
      <c r="D443" s="8">
        <v>312.14</v>
      </c>
      <c r="E443" s="8">
        <v>1.0477841758661199</v>
      </c>
      <c r="F443" s="8">
        <v>1.0551355161145599</v>
      </c>
    </row>
    <row r="444" spans="1:6" x14ac:dyDescent="0.25">
      <c r="A444" s="1">
        <v>41640</v>
      </c>
      <c r="B444" s="8">
        <v>330.35</v>
      </c>
      <c r="C444" s="8">
        <v>314.88</v>
      </c>
      <c r="D444" s="8">
        <v>311.066666666667</v>
      </c>
      <c r="E444" s="8">
        <v>1.0491298272357701</v>
      </c>
      <c r="F444" s="8">
        <v>1.0619909987141001</v>
      </c>
    </row>
    <row r="445" spans="1:6" x14ac:dyDescent="0.25">
      <c r="A445" s="1">
        <v>41671</v>
      </c>
      <c r="B445" s="8">
        <v>331.35</v>
      </c>
      <c r="C445" s="8">
        <v>315.43</v>
      </c>
      <c r="D445" s="8">
        <v>309.99333333333402</v>
      </c>
      <c r="E445" s="8">
        <v>1.0504707859112901</v>
      </c>
      <c r="F445" s="8">
        <v>1.0688939547087</v>
      </c>
    </row>
    <row r="446" spans="1:6" x14ac:dyDescent="0.25">
      <c r="A446" s="1">
        <v>41699</v>
      </c>
      <c r="B446" s="8">
        <v>332.35</v>
      </c>
      <c r="C446" s="8">
        <v>315.98</v>
      </c>
      <c r="D446" s="8">
        <v>308.92</v>
      </c>
      <c r="E446" s="8">
        <v>1.05180707639724</v>
      </c>
      <c r="F446" s="8">
        <v>1.0758448789330499</v>
      </c>
    </row>
    <row r="447" spans="1:6" x14ac:dyDescent="0.25">
      <c r="A447" s="1">
        <v>41730</v>
      </c>
      <c r="B447" s="8">
        <v>334.62</v>
      </c>
      <c r="C447" s="8">
        <v>317.67333333333301</v>
      </c>
      <c r="D447" s="8">
        <v>308.54000000000002</v>
      </c>
      <c r="E447" s="8">
        <v>1.05334620469664</v>
      </c>
      <c r="F447" s="8">
        <v>1.08452712776301</v>
      </c>
    </row>
    <row r="448" spans="1:6" x14ac:dyDescent="0.25">
      <c r="A448" s="1">
        <v>41760</v>
      </c>
      <c r="B448" s="8">
        <v>336.89</v>
      </c>
      <c r="C448" s="8">
        <v>319.36666666666599</v>
      </c>
      <c r="D448" s="8">
        <v>308.16000000000003</v>
      </c>
      <c r="E448" s="8">
        <v>1.05486901158543</v>
      </c>
      <c r="F448" s="8">
        <v>1.0932307892004101</v>
      </c>
    </row>
    <row r="449" spans="1:6" x14ac:dyDescent="0.25">
      <c r="A449" s="1">
        <v>41791</v>
      </c>
      <c r="B449" s="8">
        <v>339.16</v>
      </c>
      <c r="C449" s="8">
        <v>321.06</v>
      </c>
      <c r="D449" s="8">
        <v>307.77999999999997</v>
      </c>
      <c r="E449" s="8">
        <v>1.05637575531053</v>
      </c>
      <c r="F449" s="8">
        <v>1.1019559425563701</v>
      </c>
    </row>
    <row r="450" spans="1:6" x14ac:dyDescent="0.25">
      <c r="A450" s="1">
        <v>41821</v>
      </c>
      <c r="B450" s="8">
        <v>340.9</v>
      </c>
      <c r="C450" s="8">
        <v>322.8</v>
      </c>
      <c r="D450" s="8">
        <v>309.10333333333301</v>
      </c>
      <c r="E450" s="8">
        <v>1.05607187112763</v>
      </c>
      <c r="F450" s="8">
        <v>1.10286743376001</v>
      </c>
    </row>
    <row r="451" spans="1:6" x14ac:dyDescent="0.25">
      <c r="A451" s="1">
        <v>41852</v>
      </c>
      <c r="B451" s="8">
        <v>342.64</v>
      </c>
      <c r="C451" s="8">
        <v>324.54000000000002</v>
      </c>
      <c r="D451" s="8">
        <v>310.42666666666599</v>
      </c>
      <c r="E451" s="8">
        <v>1.0557712454551</v>
      </c>
      <c r="F451" s="8">
        <v>1.10377115368095</v>
      </c>
    </row>
    <row r="452" spans="1:6" x14ac:dyDescent="0.25">
      <c r="A452" s="1">
        <v>41883</v>
      </c>
      <c r="B452" s="8">
        <v>344.38</v>
      </c>
      <c r="C452" s="8">
        <v>326.27999999999997</v>
      </c>
      <c r="D452" s="8">
        <v>311.75</v>
      </c>
      <c r="E452" s="8">
        <v>1.0554738261615699</v>
      </c>
      <c r="F452" s="8">
        <v>1.1046672012830701</v>
      </c>
    </row>
    <row r="453" spans="1:6" x14ac:dyDescent="0.25">
      <c r="A453" s="1">
        <v>41913</v>
      </c>
      <c r="B453" s="8">
        <v>345.39</v>
      </c>
      <c r="C453" s="8">
        <v>327.303333333333</v>
      </c>
      <c r="D453" s="8">
        <v>312.61</v>
      </c>
      <c r="E453" s="8">
        <v>1.0552596470144899</v>
      </c>
      <c r="F453" s="8">
        <v>1.10485908960046</v>
      </c>
    </row>
    <row r="454" spans="1:6" x14ac:dyDescent="0.25">
      <c r="A454" s="1">
        <v>41944</v>
      </c>
      <c r="B454" s="8">
        <v>346.4</v>
      </c>
      <c r="C454" s="8">
        <v>328.32666666666597</v>
      </c>
      <c r="D454" s="8">
        <v>313.47000000000003</v>
      </c>
      <c r="E454" s="8">
        <v>1.05504680298077</v>
      </c>
      <c r="F454" s="8">
        <v>1.10504992503269</v>
      </c>
    </row>
    <row r="455" spans="1:6" x14ac:dyDescent="0.25">
      <c r="A455" s="1">
        <v>41974</v>
      </c>
      <c r="B455" s="8">
        <v>347.41</v>
      </c>
      <c r="C455" s="8">
        <v>329.35</v>
      </c>
      <c r="D455" s="8">
        <v>314.33</v>
      </c>
      <c r="E455" s="8">
        <v>1.0548352816152999</v>
      </c>
      <c r="F455" s="8">
        <v>1.1052397162218</v>
      </c>
    </row>
    <row r="456" spans="1:6" x14ac:dyDescent="0.25">
      <c r="A456" s="1">
        <v>42005</v>
      </c>
      <c r="B456" s="8">
        <v>348.53</v>
      </c>
      <c r="C456" s="8">
        <v>330.35</v>
      </c>
      <c r="D456" s="8">
        <v>314.88</v>
      </c>
      <c r="E456" s="8">
        <v>1.0550325412441299</v>
      </c>
      <c r="F456" s="8">
        <v>1.10686610772357</v>
      </c>
    </row>
    <row r="457" spans="1:6" x14ac:dyDescent="0.25">
      <c r="A457" s="1">
        <v>42036</v>
      </c>
      <c r="B457" s="8">
        <v>349.65</v>
      </c>
      <c r="C457" s="8">
        <v>331.35</v>
      </c>
      <c r="D457" s="8">
        <v>315.43</v>
      </c>
      <c r="E457" s="8">
        <v>1.0552286102308699</v>
      </c>
      <c r="F457" s="8">
        <v>1.1084868275053099</v>
      </c>
    </row>
    <row r="458" spans="1:6" x14ac:dyDescent="0.25">
      <c r="A458" s="1">
        <v>42064</v>
      </c>
      <c r="B458" s="8">
        <v>350.77</v>
      </c>
      <c r="C458" s="8">
        <v>332.35</v>
      </c>
      <c r="D458" s="8">
        <v>315.98</v>
      </c>
      <c r="E458" s="8">
        <v>1.0554234993230001</v>
      </c>
      <c r="F458" s="8">
        <v>1.1101019051838701</v>
      </c>
    </row>
    <row r="459" spans="1:6" x14ac:dyDescent="0.25">
      <c r="A459" s="1">
        <v>42095</v>
      </c>
      <c r="B459" s="8">
        <v>353.09333333333302</v>
      </c>
      <c r="C459" s="8">
        <v>334.62</v>
      </c>
      <c r="D459" s="8">
        <v>317.67333333333301</v>
      </c>
      <c r="E459" s="8">
        <v>1.0552069013607399</v>
      </c>
      <c r="F459" s="8">
        <v>1.1114981847180501</v>
      </c>
    </row>
    <row r="460" spans="1:6" x14ac:dyDescent="0.25">
      <c r="A460" s="1">
        <v>42125</v>
      </c>
      <c r="B460" s="8">
        <v>355.416666666666</v>
      </c>
      <c r="C460" s="8">
        <v>336.89</v>
      </c>
      <c r="D460" s="8">
        <v>319.36666666666599</v>
      </c>
      <c r="E460" s="8">
        <v>1.05499322231786</v>
      </c>
      <c r="F460" s="8">
        <v>1.11287965765577</v>
      </c>
    </row>
    <row r="461" spans="1:6" x14ac:dyDescent="0.25">
      <c r="A461" s="1">
        <v>42156</v>
      </c>
      <c r="B461" s="8">
        <v>357.74</v>
      </c>
      <c r="C461" s="8">
        <v>339.16</v>
      </c>
      <c r="D461" s="8">
        <v>321.06</v>
      </c>
      <c r="E461" s="8">
        <v>1.0547824035853199</v>
      </c>
      <c r="F461" s="8">
        <v>1.11424655827571</v>
      </c>
    </row>
    <row r="462" spans="1:6" x14ac:dyDescent="0.25">
      <c r="A462" s="1">
        <v>42186</v>
      </c>
      <c r="B462" s="8">
        <v>359.78666666666601</v>
      </c>
      <c r="C462" s="8">
        <v>340.9</v>
      </c>
      <c r="D462" s="8">
        <v>322.8</v>
      </c>
      <c r="E462" s="8">
        <v>1.05540236628532</v>
      </c>
      <c r="F462" s="8">
        <v>1.11458075175547</v>
      </c>
    </row>
    <row r="463" spans="1:6" x14ac:dyDescent="0.25">
      <c r="A463" s="1">
        <v>42217</v>
      </c>
      <c r="B463" s="8">
        <v>361.83333333333297</v>
      </c>
      <c r="C463" s="8">
        <v>342.64</v>
      </c>
      <c r="D463" s="8">
        <v>324.54000000000002</v>
      </c>
      <c r="E463" s="8">
        <v>1.0560160323760499</v>
      </c>
      <c r="F463" s="8">
        <v>1.1149113617222299</v>
      </c>
    </row>
    <row r="464" spans="1:6" x14ac:dyDescent="0.25">
      <c r="A464" s="1">
        <v>42248</v>
      </c>
      <c r="B464" s="8">
        <v>363.88</v>
      </c>
      <c r="C464" s="8">
        <v>344.38</v>
      </c>
      <c r="D464" s="8">
        <v>326.27999999999997</v>
      </c>
      <c r="E464" s="8">
        <v>1.0566234972994899</v>
      </c>
      <c r="F464" s="8">
        <v>1.11523844550692</v>
      </c>
    </row>
    <row r="465" spans="1:6" x14ac:dyDescent="0.25">
      <c r="A465" s="1">
        <v>42278</v>
      </c>
      <c r="B465" s="8">
        <v>364.87333333333299</v>
      </c>
      <c r="C465" s="8">
        <v>345.39</v>
      </c>
      <c r="D465" s="8">
        <v>327.303333333333</v>
      </c>
      <c r="E465" s="8">
        <v>1.05640966250711</v>
      </c>
      <c r="F465" s="8">
        <v>1.11478648755995</v>
      </c>
    </row>
    <row r="466" spans="1:6" x14ac:dyDescent="0.25">
      <c r="A466" s="1">
        <v>42309</v>
      </c>
      <c r="B466" s="8">
        <v>365.86666666666599</v>
      </c>
      <c r="C466" s="8">
        <v>346.4</v>
      </c>
      <c r="D466" s="8">
        <v>328.32666666666597</v>
      </c>
      <c r="E466" s="8">
        <v>1.05619707467282</v>
      </c>
      <c r="F466" s="8">
        <v>1.1143373469511999</v>
      </c>
    </row>
    <row r="467" spans="1:6" x14ac:dyDescent="0.25">
      <c r="A467" s="1">
        <v>42339</v>
      </c>
      <c r="B467" s="8">
        <v>366.86</v>
      </c>
      <c r="C467" s="8">
        <v>347.41</v>
      </c>
      <c r="D467" s="8">
        <v>329.35</v>
      </c>
      <c r="E467" s="8">
        <v>1.0559857229210401</v>
      </c>
      <c r="F467" s="8">
        <v>1.11389099741915</v>
      </c>
    </row>
    <row r="468" spans="1:6" x14ac:dyDescent="0.25">
      <c r="A468" s="1">
        <v>42370</v>
      </c>
      <c r="B468" s="8">
        <v>367.796666666666</v>
      </c>
      <c r="C468" s="8">
        <v>348.53</v>
      </c>
      <c r="D468" s="8">
        <v>330.35</v>
      </c>
      <c r="E468" s="8">
        <v>1.05527979418318</v>
      </c>
      <c r="F468" s="8">
        <v>1.1133545229806701</v>
      </c>
    </row>
    <row r="469" spans="1:6" x14ac:dyDescent="0.25">
      <c r="A469" s="1">
        <v>42401</v>
      </c>
      <c r="B469" s="8">
        <v>368.73333333333301</v>
      </c>
      <c r="C469" s="8">
        <v>349.65</v>
      </c>
      <c r="D469" s="8">
        <v>331.35</v>
      </c>
      <c r="E469" s="8">
        <v>1.0545783879117201</v>
      </c>
      <c r="F469" s="8">
        <v>1.11282128665559</v>
      </c>
    </row>
    <row r="470" spans="1:6" x14ac:dyDescent="0.25">
      <c r="A470" s="1">
        <v>42430</v>
      </c>
      <c r="B470" s="8">
        <v>369.67</v>
      </c>
      <c r="C470" s="8">
        <v>350.77</v>
      </c>
      <c r="D470" s="8">
        <v>332.35</v>
      </c>
      <c r="E470" s="8">
        <v>1.0538814607862701</v>
      </c>
      <c r="F470" s="8">
        <v>1.1122912592146801</v>
      </c>
    </row>
    <row r="471" spans="1:6" x14ac:dyDescent="0.25">
      <c r="A471" s="1">
        <v>42461</v>
      </c>
      <c r="B471" s="8">
        <v>370.58395630799998</v>
      </c>
      <c r="C471" s="8">
        <v>353.09333333333302</v>
      </c>
      <c r="D471" s="8">
        <v>334.62</v>
      </c>
      <c r="E471" s="8">
        <v>1.0495354098293099</v>
      </c>
      <c r="F471" s="8">
        <v>1.1074770076743701</v>
      </c>
    </row>
    <row r="472" spans="1:6" x14ac:dyDescent="0.25">
      <c r="A472" s="1">
        <v>42491</v>
      </c>
      <c r="B472" s="8">
        <v>371.49791261600001</v>
      </c>
      <c r="C472" s="8">
        <v>355.416666666666</v>
      </c>
      <c r="D472" s="8">
        <v>336.89</v>
      </c>
      <c r="E472" s="8">
        <v>1.0452461785209799</v>
      </c>
      <c r="F472" s="8">
        <v>1.1027276339932901</v>
      </c>
    </row>
    <row r="473" spans="1:6" x14ac:dyDescent="0.25">
      <c r="A473" s="1">
        <v>42522</v>
      </c>
      <c r="B473" s="8">
        <v>372.41186892399998</v>
      </c>
      <c r="C473" s="8">
        <v>357.74</v>
      </c>
      <c r="D473" s="8">
        <v>339.16</v>
      </c>
      <c r="E473" s="8">
        <v>1.04101265981998</v>
      </c>
      <c r="F473" s="8">
        <v>1.09804183548767</v>
      </c>
    </row>
    <row r="474" spans="1:6" x14ac:dyDescent="0.25">
      <c r="A474" s="1">
        <v>42552</v>
      </c>
      <c r="B474" s="8">
        <v>373.33260411156601</v>
      </c>
      <c r="C474" s="8">
        <v>359.78666666666601</v>
      </c>
      <c r="D474" s="8">
        <v>340.9</v>
      </c>
      <c r="E474" s="8">
        <v>1.0376499150743901</v>
      </c>
      <c r="F474" s="8">
        <v>1.0951381757452801</v>
      </c>
    </row>
    <row r="475" spans="1:6" x14ac:dyDescent="0.25">
      <c r="A475" s="1">
        <v>42583</v>
      </c>
      <c r="B475" s="8">
        <v>374.25333929913302</v>
      </c>
      <c r="C475" s="8">
        <v>361.83333333333297</v>
      </c>
      <c r="D475" s="8">
        <v>342.64</v>
      </c>
      <c r="E475" s="8">
        <v>1.0343252122500199</v>
      </c>
      <c r="F475" s="8">
        <v>1.0922640068267899</v>
      </c>
    </row>
    <row r="476" spans="1:6" x14ac:dyDescent="0.25">
      <c r="A476" s="1">
        <v>42614</v>
      </c>
      <c r="B476" s="8">
        <v>375.17407448670002</v>
      </c>
      <c r="C476" s="8">
        <v>363.88</v>
      </c>
      <c r="D476" s="8">
        <v>344.38</v>
      </c>
      <c r="E476" s="8">
        <v>1.0310379094391</v>
      </c>
      <c r="F476" s="8">
        <v>1.0894188817199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3" tint="0.79998168889431442"/>
  </sheetPr>
  <dimension ref="A1:F144"/>
  <sheetViews>
    <sheetView workbookViewId="0">
      <selection activeCell="F62" sqref="F62"/>
    </sheetView>
  </sheetViews>
  <sheetFormatPr defaultRowHeight="15" x14ac:dyDescent="0.25"/>
  <sheetData>
    <row r="1" spans="1:6" x14ac:dyDescent="0.25">
      <c r="A1" s="2" t="s">
        <v>1</v>
      </c>
      <c r="B1" s="3" t="s">
        <v>2</v>
      </c>
      <c r="C1" t="s">
        <v>32</v>
      </c>
      <c r="D1" t="s">
        <v>29</v>
      </c>
      <c r="E1" t="s">
        <v>30</v>
      </c>
      <c r="F1" t="s">
        <v>31</v>
      </c>
    </row>
    <row r="2" spans="1:6" x14ac:dyDescent="0.25">
      <c r="A2" s="4">
        <v>38139</v>
      </c>
      <c r="B2" s="5">
        <v>377</v>
      </c>
      <c r="C2" s="13">
        <f>AVERAGE($B$2:B2)</f>
        <v>377</v>
      </c>
      <c r="D2" s="13">
        <f>AVERAGE($B$2:B2)</f>
        <v>377</v>
      </c>
      <c r="E2" s="13">
        <f>AVERAGE($B$2:B2)</f>
        <v>377</v>
      </c>
      <c r="F2" s="13">
        <f>AVERAGE($B$2:B2)</f>
        <v>377</v>
      </c>
    </row>
    <row r="3" spans="1:6" x14ac:dyDescent="0.25">
      <c r="A3" s="4">
        <v>38169</v>
      </c>
      <c r="B3" s="5">
        <v>383.5</v>
      </c>
      <c r="C3" s="13">
        <f>AVERAGE($B$2:B3)</f>
        <v>380.25</v>
      </c>
      <c r="D3" s="13">
        <f>AVERAGE($B$2:B3)</f>
        <v>380.25</v>
      </c>
      <c r="E3" s="13">
        <f>AVERAGE($B$2:B3)</f>
        <v>380.25</v>
      </c>
      <c r="F3" s="13">
        <f>AVERAGE($B$2:B3)</f>
        <v>380.25</v>
      </c>
    </row>
    <row r="4" spans="1:6" x14ac:dyDescent="0.25">
      <c r="A4" s="4">
        <v>38200</v>
      </c>
      <c r="B4" s="5">
        <v>390</v>
      </c>
      <c r="C4" s="13">
        <f>AVERAGE($B$2:B4)</f>
        <v>383.5</v>
      </c>
      <c r="D4" s="13">
        <f>AVERAGE($B$2:B4)</f>
        <v>383.5</v>
      </c>
      <c r="E4" s="13">
        <f>AVERAGE($B$2:B4)</f>
        <v>383.5</v>
      </c>
      <c r="F4" s="13">
        <f>AVERAGE($B$2:B4)</f>
        <v>383.5</v>
      </c>
    </row>
    <row r="5" spans="1:6" x14ac:dyDescent="0.25">
      <c r="A5" s="4">
        <v>38231</v>
      </c>
      <c r="B5" s="5">
        <v>396.5</v>
      </c>
      <c r="C5" s="13">
        <f>AVERAGE($B$2:B5)</f>
        <v>386.75</v>
      </c>
      <c r="D5" s="13">
        <f>AVERAGE($B$2:B5)</f>
        <v>386.75</v>
      </c>
      <c r="E5" s="13">
        <f>AVERAGE($B$2:B5)</f>
        <v>386.75</v>
      </c>
      <c r="F5" s="13">
        <f>AVERAGE($B$2:B5)</f>
        <v>386.75</v>
      </c>
    </row>
    <row r="6" spans="1:6" x14ac:dyDescent="0.25">
      <c r="A6" s="4">
        <v>38261</v>
      </c>
      <c r="B6" s="5">
        <v>403</v>
      </c>
      <c r="C6" s="13">
        <f>AVERAGE($B$2:B6)</f>
        <v>390</v>
      </c>
      <c r="D6" s="13">
        <f>AVERAGE($B$2:B6)</f>
        <v>390</v>
      </c>
      <c r="E6" s="13">
        <f>AVERAGE($B$2:B6)</f>
        <v>390</v>
      </c>
      <c r="F6" s="13">
        <f>AVERAGE($B$2:B6)</f>
        <v>390</v>
      </c>
    </row>
    <row r="7" spans="1:6" x14ac:dyDescent="0.25">
      <c r="A7" s="4">
        <v>38292</v>
      </c>
      <c r="B7" s="5">
        <v>409.5</v>
      </c>
      <c r="C7" s="13">
        <f>AVERAGE($B$2:B7)</f>
        <v>393.25</v>
      </c>
      <c r="D7" s="13">
        <f>AVERAGE($B$2:B7)</f>
        <v>393.25</v>
      </c>
      <c r="E7" s="13">
        <f>AVERAGE($B$2:B7)</f>
        <v>393.25</v>
      </c>
      <c r="F7" s="13">
        <f>AVERAGE($B$2:B7)</f>
        <v>393.25</v>
      </c>
    </row>
    <row r="8" spans="1:6" x14ac:dyDescent="0.25">
      <c r="A8" s="4">
        <v>38322</v>
      </c>
      <c r="B8" s="5">
        <v>416</v>
      </c>
      <c r="C8" s="13">
        <f>AVERAGE($B$2:B8)</f>
        <v>396.5</v>
      </c>
      <c r="D8" s="13">
        <f>AVERAGE($B$2:B8)</f>
        <v>396.5</v>
      </c>
      <c r="E8" s="13">
        <f>AVERAGE($B$2:B8)</f>
        <v>396.5</v>
      </c>
      <c r="F8" s="13">
        <f t="shared" ref="F8:F25" si="0">AVERAGE(B3:B8)</f>
        <v>399.75</v>
      </c>
    </row>
    <row r="9" spans="1:6" x14ac:dyDescent="0.25">
      <c r="A9" s="4">
        <v>38353</v>
      </c>
      <c r="B9" s="5">
        <v>480.83333333333331</v>
      </c>
      <c r="C9" s="13">
        <f>AVERAGE($B$2:B9)</f>
        <v>407.04166666666669</v>
      </c>
      <c r="D9" s="13">
        <f>AVERAGE($B$2:B9)</f>
        <v>407.04166666666669</v>
      </c>
      <c r="E9" s="13">
        <f>AVERAGE($B$2:B9)</f>
        <v>407.04166666666669</v>
      </c>
      <c r="F9" s="13">
        <f t="shared" si="0"/>
        <v>415.97222222222223</v>
      </c>
    </row>
    <row r="10" spans="1:6" x14ac:dyDescent="0.25">
      <c r="A10" s="4">
        <v>38384</v>
      </c>
      <c r="B10" s="5">
        <v>545.66666666666663</v>
      </c>
      <c r="C10" s="13">
        <f>AVERAGE($B$2:B10)</f>
        <v>422.44444444444446</v>
      </c>
      <c r="D10" s="13">
        <f>AVERAGE($B$2:B10)</f>
        <v>422.44444444444446</v>
      </c>
      <c r="E10" s="13">
        <f>AVERAGE($B$2:B10)</f>
        <v>422.44444444444446</v>
      </c>
      <c r="F10" s="13">
        <f t="shared" si="0"/>
        <v>441.91666666666669</v>
      </c>
    </row>
    <row r="11" spans="1:6" x14ac:dyDescent="0.25">
      <c r="A11" s="4">
        <v>38412</v>
      </c>
      <c r="B11" s="5">
        <v>610.5</v>
      </c>
      <c r="C11" s="13">
        <f>AVERAGE($B$2:B11)</f>
        <v>441.25</v>
      </c>
      <c r="D11" s="13">
        <f>AVERAGE($B$2:B11)</f>
        <v>441.25</v>
      </c>
      <c r="E11" s="13">
        <f>AVERAGE($B$2:B11)</f>
        <v>441.25</v>
      </c>
      <c r="F11" s="13">
        <f t="shared" si="0"/>
        <v>477.58333333333331</v>
      </c>
    </row>
    <row r="12" spans="1:6" x14ac:dyDescent="0.25">
      <c r="A12" s="4">
        <v>38443</v>
      </c>
      <c r="B12" s="5">
        <v>675.33333333333337</v>
      </c>
      <c r="C12" s="13">
        <f>AVERAGE($B$2:B12)</f>
        <v>462.530303030303</v>
      </c>
      <c r="D12" s="13">
        <f>AVERAGE($B$2:B12)</f>
        <v>462.530303030303</v>
      </c>
      <c r="E12" s="13">
        <f>AVERAGE($B$2:B12)</f>
        <v>462.530303030303</v>
      </c>
      <c r="F12" s="13">
        <f t="shared" si="0"/>
        <v>522.97222222222229</v>
      </c>
    </row>
    <row r="13" spans="1:6" x14ac:dyDescent="0.25">
      <c r="A13" s="4">
        <v>38473</v>
      </c>
      <c r="B13" s="5">
        <v>740.16666666666674</v>
      </c>
      <c r="C13" s="13">
        <f>AVERAGE($B$2:B13)</f>
        <v>485.66666666666669</v>
      </c>
      <c r="D13" s="13">
        <f>AVERAGE($B$2:B13)</f>
        <v>485.66666666666669</v>
      </c>
      <c r="E13" s="13">
        <f t="shared" ref="E13:E25" si="1">AVERAGE(B2:B13)</f>
        <v>485.66666666666669</v>
      </c>
      <c r="F13" s="13">
        <f t="shared" si="0"/>
        <v>578.08333333333337</v>
      </c>
    </row>
    <row r="14" spans="1:6" x14ac:dyDescent="0.25">
      <c r="A14" s="4">
        <v>38504</v>
      </c>
      <c r="B14" s="5">
        <v>805</v>
      </c>
      <c r="C14" s="13">
        <f>AVERAGE($B$2:B14)</f>
        <v>510.23076923076923</v>
      </c>
      <c r="D14" s="13">
        <f>AVERAGE($B$1:B14)</f>
        <v>510.23076923076923</v>
      </c>
      <c r="E14" s="13">
        <f t="shared" si="1"/>
        <v>521.33333333333337</v>
      </c>
      <c r="F14" s="13">
        <f t="shared" si="0"/>
        <v>642.91666666666663</v>
      </c>
    </row>
    <row r="15" spans="1:6" x14ac:dyDescent="0.25">
      <c r="A15" s="4">
        <v>38534</v>
      </c>
      <c r="B15" s="5">
        <v>812.16666666666663</v>
      </c>
      <c r="C15" s="13">
        <f>AVERAGE($B$2:B15)</f>
        <v>531.79761904761904</v>
      </c>
      <c r="D15" s="13">
        <f>AVERAGE($B$1:B15)</f>
        <v>531.79761904761904</v>
      </c>
      <c r="E15" s="13">
        <f t="shared" si="1"/>
        <v>557.05555555555554</v>
      </c>
      <c r="F15" s="13">
        <f t="shared" si="0"/>
        <v>698.13888888888903</v>
      </c>
    </row>
    <row r="16" spans="1:6" x14ac:dyDescent="0.25">
      <c r="A16" s="4">
        <v>38565</v>
      </c>
      <c r="B16" s="5">
        <v>819.33333333333326</v>
      </c>
      <c r="C16" s="13">
        <f>AVERAGE($B$2:B16)</f>
        <v>550.9666666666667</v>
      </c>
      <c r="D16" s="13">
        <f>AVERAGE($B$1:B16)</f>
        <v>550.9666666666667</v>
      </c>
      <c r="E16" s="13">
        <f t="shared" si="1"/>
        <v>592.83333333333337</v>
      </c>
      <c r="F16" s="13">
        <f t="shared" si="0"/>
        <v>743.75</v>
      </c>
    </row>
    <row r="17" spans="1:6" x14ac:dyDescent="0.25">
      <c r="A17" s="4">
        <v>38596</v>
      </c>
      <c r="B17" s="5">
        <v>826.49999999999989</v>
      </c>
      <c r="C17" s="13">
        <f>AVERAGE($B$2:B17)</f>
        <v>568.1875</v>
      </c>
      <c r="D17" s="13">
        <f>AVERAGE($B$1:B17)</f>
        <v>568.1875</v>
      </c>
      <c r="E17" s="13">
        <f t="shared" si="1"/>
        <v>628.66666666666663</v>
      </c>
      <c r="F17" s="13">
        <f t="shared" si="0"/>
        <v>779.75</v>
      </c>
    </row>
    <row r="18" spans="1:6" x14ac:dyDescent="0.25">
      <c r="A18" s="4">
        <v>38626</v>
      </c>
      <c r="B18" s="5">
        <v>833.66666666666652</v>
      </c>
      <c r="C18" s="13">
        <f>AVERAGE($B$2:B18)</f>
        <v>583.8039215686274</v>
      </c>
      <c r="D18" s="13">
        <f>AVERAGE($B$1:B18)</f>
        <v>583.8039215686274</v>
      </c>
      <c r="E18" s="13">
        <f t="shared" si="1"/>
        <v>664.55555555555554</v>
      </c>
      <c r="F18" s="13">
        <f t="shared" si="0"/>
        <v>806.13888888888903</v>
      </c>
    </row>
    <row r="19" spans="1:6" x14ac:dyDescent="0.25">
      <c r="A19" s="4">
        <v>38657</v>
      </c>
      <c r="B19" s="5">
        <v>840.83333333333314</v>
      </c>
      <c r="C19" s="13">
        <f>AVERAGE($B$2:B19)</f>
        <v>598.08333333333337</v>
      </c>
      <c r="D19" s="13">
        <f t="shared" ref="D19:D25" si="2">AVERAGE(B2:B19)</f>
        <v>598.08333333333337</v>
      </c>
      <c r="E19" s="13">
        <f t="shared" si="1"/>
        <v>700.5</v>
      </c>
      <c r="F19" s="13">
        <f t="shared" si="0"/>
        <v>822.91666666666652</v>
      </c>
    </row>
    <row r="20" spans="1:6" x14ac:dyDescent="0.25">
      <c r="A20" s="4">
        <v>38687</v>
      </c>
      <c r="B20" s="5">
        <v>848</v>
      </c>
      <c r="C20" s="13">
        <f>AVERAGE($B$2:B20)</f>
        <v>611.23684210526312</v>
      </c>
      <c r="D20" s="13">
        <f t="shared" si="2"/>
        <v>624.25</v>
      </c>
      <c r="E20" s="13">
        <f t="shared" si="1"/>
        <v>736.5</v>
      </c>
      <c r="F20" s="13">
        <f t="shared" si="0"/>
        <v>830.08333333333337</v>
      </c>
    </row>
    <row r="21" spans="1:6" x14ac:dyDescent="0.25">
      <c r="A21" s="4">
        <v>38718</v>
      </c>
      <c r="B21" s="5">
        <v>851.83333333333337</v>
      </c>
      <c r="C21" s="13">
        <f>AVERAGE($B$2:B21)</f>
        <v>623.26666666666665</v>
      </c>
      <c r="D21" s="13">
        <f t="shared" si="2"/>
        <v>650.26851851851859</v>
      </c>
      <c r="E21" s="13">
        <f t="shared" si="1"/>
        <v>767.41666666666686</v>
      </c>
      <c r="F21" s="13">
        <f t="shared" si="0"/>
        <v>836.69444444444423</v>
      </c>
    </row>
    <row r="22" spans="1:6" x14ac:dyDescent="0.25">
      <c r="A22" s="4">
        <v>38749</v>
      </c>
      <c r="B22" s="5">
        <v>855.66666666666674</v>
      </c>
      <c r="C22" s="13">
        <f>AVERAGE($B$2:B22)</f>
        <v>634.33333333333337</v>
      </c>
      <c r="D22" s="13">
        <f t="shared" si="2"/>
        <v>676.13888888888891</v>
      </c>
      <c r="E22" s="13">
        <f t="shared" si="1"/>
        <v>793.24999999999989</v>
      </c>
      <c r="F22" s="13">
        <f t="shared" si="0"/>
        <v>842.75</v>
      </c>
    </row>
    <row r="23" spans="1:6" x14ac:dyDescent="0.25">
      <c r="A23" s="4">
        <v>38777</v>
      </c>
      <c r="B23" s="5">
        <v>859.50000000000011</v>
      </c>
      <c r="C23" s="13">
        <f>AVERAGE($B$2:B23)</f>
        <v>644.56818181818187</v>
      </c>
      <c r="D23" s="13">
        <f t="shared" si="2"/>
        <v>701.86111111111109</v>
      </c>
      <c r="E23" s="13">
        <f t="shared" si="1"/>
        <v>813.99999999999989</v>
      </c>
      <c r="F23" s="13">
        <f t="shared" si="0"/>
        <v>848.25</v>
      </c>
    </row>
    <row r="24" spans="1:6" x14ac:dyDescent="0.25">
      <c r="A24" s="4">
        <v>38808</v>
      </c>
      <c r="B24" s="5">
        <v>863.33333333333348</v>
      </c>
      <c r="C24" s="13">
        <f>AVERAGE($B$2:B24)</f>
        <v>654.07971014492762</v>
      </c>
      <c r="D24" s="13">
        <f t="shared" si="2"/>
        <v>727.43518518518522</v>
      </c>
      <c r="E24" s="13">
        <f t="shared" si="1"/>
        <v>829.66666666666663</v>
      </c>
      <c r="F24" s="13">
        <f t="shared" si="0"/>
        <v>853.19444444444434</v>
      </c>
    </row>
    <row r="25" spans="1:6" x14ac:dyDescent="0.25">
      <c r="A25" s="4">
        <v>38838</v>
      </c>
      <c r="B25" s="5">
        <v>867.16666666666686</v>
      </c>
      <c r="C25" s="13">
        <f>AVERAGE($B$2:B25)</f>
        <v>662.95833333333337</v>
      </c>
      <c r="D25" s="13">
        <f t="shared" si="2"/>
        <v>752.86111111111109</v>
      </c>
      <c r="E25" s="13">
        <f t="shared" si="1"/>
        <v>840.25</v>
      </c>
      <c r="F25" s="13">
        <f t="shared" si="0"/>
        <v>857.58333333333348</v>
      </c>
    </row>
    <row r="26" spans="1:6" x14ac:dyDescent="0.25">
      <c r="A26" s="4">
        <v>38869</v>
      </c>
      <c r="B26" s="5">
        <v>871</v>
      </c>
      <c r="C26" s="13">
        <f t="shared" ref="C26:C89" si="3">AVERAGE(B3:B26)</f>
        <v>683.54166666666663</v>
      </c>
      <c r="D26" s="13">
        <f>AVERAGE(B9:B26)</f>
        <v>778.13888888888891</v>
      </c>
      <c r="E26" s="13">
        <f>AVERAGE(B15:B26)</f>
        <v>845.75</v>
      </c>
      <c r="F26" s="13">
        <f>AVERAGE(B21:B26)</f>
        <v>861.41666666666663</v>
      </c>
    </row>
    <row r="27" spans="1:6" x14ac:dyDescent="0.25">
      <c r="A27" s="4">
        <v>38899</v>
      </c>
      <c r="B27" s="5">
        <v>846.83333333333337</v>
      </c>
      <c r="C27" s="13">
        <f t="shared" si="3"/>
        <v>702.84722222222217</v>
      </c>
      <c r="D27" s="13">
        <f t="shared" ref="D27:D90" si="4">AVERAGE(B10:B27)</f>
        <v>798.47222222222229</v>
      </c>
      <c r="E27" s="13">
        <f t="shared" ref="E27:E90" si="5">AVERAGE(B16:B27)</f>
        <v>848.6388888888888</v>
      </c>
      <c r="F27" s="13">
        <f t="shared" ref="F27:F90" si="6">AVERAGE(B22:B27)</f>
        <v>860.58333333333348</v>
      </c>
    </row>
    <row r="28" spans="1:6" x14ac:dyDescent="0.25">
      <c r="A28" s="4">
        <v>38930</v>
      </c>
      <c r="B28" s="5">
        <v>822.66666666666674</v>
      </c>
      <c r="C28" s="13">
        <f t="shared" si="3"/>
        <v>720.875</v>
      </c>
      <c r="D28" s="13">
        <f t="shared" si="4"/>
        <v>813.86111111111097</v>
      </c>
      <c r="E28" s="13">
        <f t="shared" si="5"/>
        <v>848.91666666666663</v>
      </c>
      <c r="F28" s="13">
        <f t="shared" si="6"/>
        <v>855.08333333333348</v>
      </c>
    </row>
    <row r="29" spans="1:6" x14ac:dyDescent="0.25">
      <c r="A29" s="4">
        <v>38961</v>
      </c>
      <c r="B29" s="5">
        <v>798.50000000000011</v>
      </c>
      <c r="C29" s="13">
        <f t="shared" si="3"/>
        <v>737.625</v>
      </c>
      <c r="D29" s="13">
        <f t="shared" si="4"/>
        <v>824.30555555555543</v>
      </c>
      <c r="E29" s="13">
        <f t="shared" si="5"/>
        <v>846.58333333333337</v>
      </c>
      <c r="F29" s="13">
        <f t="shared" si="6"/>
        <v>844.91666666666686</v>
      </c>
    </row>
    <row r="30" spans="1:6" x14ac:dyDescent="0.25">
      <c r="A30" s="4">
        <v>38991</v>
      </c>
      <c r="B30" s="5">
        <v>774.33333333333348</v>
      </c>
      <c r="C30" s="13">
        <f t="shared" si="3"/>
        <v>753.09722222222217</v>
      </c>
      <c r="D30" s="13">
        <f t="shared" si="4"/>
        <v>829.80555555555554</v>
      </c>
      <c r="E30" s="13">
        <f t="shared" si="5"/>
        <v>841.6388888888888</v>
      </c>
      <c r="F30" s="13">
        <f t="shared" si="6"/>
        <v>830.08333333333337</v>
      </c>
    </row>
    <row r="31" spans="1:6" x14ac:dyDescent="0.25">
      <c r="A31" s="4">
        <v>39022</v>
      </c>
      <c r="B31" s="5">
        <v>750.16666666666686</v>
      </c>
      <c r="C31" s="13">
        <f t="shared" si="3"/>
        <v>767.29166666666663</v>
      </c>
      <c r="D31" s="13">
        <f t="shared" si="4"/>
        <v>830.36111111111109</v>
      </c>
      <c r="E31" s="13">
        <f t="shared" si="5"/>
        <v>834.08333333333348</v>
      </c>
      <c r="F31" s="13">
        <f t="shared" si="6"/>
        <v>810.58333333333348</v>
      </c>
    </row>
    <row r="32" spans="1:6" x14ac:dyDescent="0.25">
      <c r="A32" s="4">
        <v>39052</v>
      </c>
      <c r="B32" s="5">
        <v>726</v>
      </c>
      <c r="C32" s="13">
        <f t="shared" si="3"/>
        <v>780.20833333333337</v>
      </c>
      <c r="D32" s="13">
        <f t="shared" si="4"/>
        <v>825.97222222222217</v>
      </c>
      <c r="E32" s="13">
        <f t="shared" si="5"/>
        <v>823.91666666666663</v>
      </c>
      <c r="F32" s="13">
        <f t="shared" si="6"/>
        <v>786.41666666666663</v>
      </c>
    </row>
    <row r="33" spans="1:6" x14ac:dyDescent="0.25">
      <c r="A33" s="4">
        <v>39083</v>
      </c>
      <c r="B33" s="5">
        <v>696.33333333333337</v>
      </c>
      <c r="C33" s="13">
        <f t="shared" si="3"/>
        <v>789.1875</v>
      </c>
      <c r="D33" s="13">
        <f t="shared" si="4"/>
        <v>819.53703703703695</v>
      </c>
      <c r="E33" s="13">
        <f t="shared" si="5"/>
        <v>810.95833333333348</v>
      </c>
      <c r="F33" s="13">
        <f t="shared" si="6"/>
        <v>761.33333333333348</v>
      </c>
    </row>
    <row r="34" spans="1:6" x14ac:dyDescent="0.25">
      <c r="A34" s="4">
        <v>39114</v>
      </c>
      <c r="B34" s="5">
        <v>666.66666666666674</v>
      </c>
      <c r="C34" s="13">
        <f t="shared" si="3"/>
        <v>794.22916666666663</v>
      </c>
      <c r="D34" s="13">
        <f t="shared" si="4"/>
        <v>811.05555555555554</v>
      </c>
      <c r="E34" s="13">
        <f t="shared" si="5"/>
        <v>795.20833333333337</v>
      </c>
      <c r="F34" s="13">
        <f t="shared" si="6"/>
        <v>735.33333333333348</v>
      </c>
    </row>
    <row r="35" spans="1:6" x14ac:dyDescent="0.25">
      <c r="A35" s="4">
        <v>39142</v>
      </c>
      <c r="B35" s="5">
        <v>637.00000000000011</v>
      </c>
      <c r="C35" s="13">
        <f t="shared" si="3"/>
        <v>795.33333333333337</v>
      </c>
      <c r="D35" s="13">
        <f t="shared" si="4"/>
        <v>800.52777777777783</v>
      </c>
      <c r="E35" s="13">
        <f t="shared" si="5"/>
        <v>776.66666666666663</v>
      </c>
      <c r="F35" s="13">
        <f t="shared" si="6"/>
        <v>708.41666666666686</v>
      </c>
    </row>
    <row r="36" spans="1:6" x14ac:dyDescent="0.25">
      <c r="A36" s="4">
        <v>39173</v>
      </c>
      <c r="B36" s="5">
        <v>607.33333333333348</v>
      </c>
      <c r="C36" s="13">
        <f t="shared" si="3"/>
        <v>792.49999999999989</v>
      </c>
      <c r="D36" s="13">
        <f t="shared" si="4"/>
        <v>787.9537037037037</v>
      </c>
      <c r="E36" s="13">
        <f t="shared" si="5"/>
        <v>755.33333333333348</v>
      </c>
      <c r="F36" s="13">
        <f t="shared" si="6"/>
        <v>680.58333333333337</v>
      </c>
    </row>
    <row r="37" spans="1:6" x14ac:dyDescent="0.25">
      <c r="A37" s="4">
        <v>39203</v>
      </c>
      <c r="B37" s="5">
        <v>577.66666666666686</v>
      </c>
      <c r="C37" s="13">
        <f t="shared" si="3"/>
        <v>785.72916666666663</v>
      </c>
      <c r="D37" s="13">
        <f t="shared" si="4"/>
        <v>773.33333333333348</v>
      </c>
      <c r="E37" s="13">
        <f t="shared" si="5"/>
        <v>731.20833333333337</v>
      </c>
      <c r="F37" s="13">
        <f t="shared" si="6"/>
        <v>651.83333333333337</v>
      </c>
    </row>
    <row r="38" spans="1:6" x14ac:dyDescent="0.25">
      <c r="A38" s="4">
        <v>39234</v>
      </c>
      <c r="B38" s="5">
        <v>548</v>
      </c>
      <c r="C38" s="13">
        <f t="shared" si="3"/>
        <v>775.02083333333337</v>
      </c>
      <c r="D38" s="13">
        <f t="shared" si="4"/>
        <v>756.66666666666663</v>
      </c>
      <c r="E38" s="13">
        <f t="shared" si="5"/>
        <v>704.29166666666663</v>
      </c>
      <c r="F38" s="13">
        <f t="shared" si="6"/>
        <v>622.16666666666674</v>
      </c>
    </row>
    <row r="39" spans="1:6" x14ac:dyDescent="0.25">
      <c r="A39" s="4">
        <v>39264</v>
      </c>
      <c r="B39" s="5">
        <v>509.5</v>
      </c>
      <c r="C39" s="13">
        <f t="shared" si="3"/>
        <v>762.40972222222217</v>
      </c>
      <c r="D39" s="13">
        <f t="shared" si="4"/>
        <v>737.64814814814827</v>
      </c>
      <c r="E39" s="13">
        <f t="shared" si="5"/>
        <v>676.18055555555577</v>
      </c>
      <c r="F39" s="13">
        <f t="shared" si="6"/>
        <v>591.02777777777794</v>
      </c>
    </row>
    <row r="40" spans="1:6" x14ac:dyDescent="0.25">
      <c r="A40" s="4">
        <v>39295</v>
      </c>
      <c r="B40" s="5">
        <v>471</v>
      </c>
      <c r="C40" s="13">
        <f t="shared" si="3"/>
        <v>747.89583333333337</v>
      </c>
      <c r="D40" s="13">
        <f t="shared" si="4"/>
        <v>716.27777777777783</v>
      </c>
      <c r="E40" s="13">
        <f t="shared" si="5"/>
        <v>646.87500000000011</v>
      </c>
      <c r="F40" s="13">
        <f t="shared" si="6"/>
        <v>558.41666666666674</v>
      </c>
    </row>
    <row r="41" spans="1:6" x14ac:dyDescent="0.25">
      <c r="A41" s="4">
        <v>39326</v>
      </c>
      <c r="B41" s="5">
        <v>432.5</v>
      </c>
      <c r="C41" s="13">
        <f t="shared" si="3"/>
        <v>731.47916666666663</v>
      </c>
      <c r="D41" s="13">
        <f t="shared" si="4"/>
        <v>692.55555555555554</v>
      </c>
      <c r="E41" s="13">
        <f t="shared" si="5"/>
        <v>616.37500000000011</v>
      </c>
      <c r="F41" s="13">
        <f t="shared" si="6"/>
        <v>524.33333333333337</v>
      </c>
    </row>
    <row r="42" spans="1:6" x14ac:dyDescent="0.25">
      <c r="A42" s="4">
        <v>39356</v>
      </c>
      <c r="B42" s="5">
        <v>394</v>
      </c>
      <c r="C42" s="13">
        <f t="shared" si="3"/>
        <v>713.15972222222217</v>
      </c>
      <c r="D42" s="13">
        <f t="shared" si="4"/>
        <v>666.48148148148152</v>
      </c>
      <c r="E42" s="13">
        <f t="shared" si="5"/>
        <v>584.68055555555554</v>
      </c>
      <c r="F42" s="13">
        <f t="shared" si="6"/>
        <v>488.77777777777783</v>
      </c>
    </row>
    <row r="43" spans="1:6" x14ac:dyDescent="0.25">
      <c r="A43" s="4">
        <v>39387</v>
      </c>
      <c r="B43" s="5">
        <v>355.5</v>
      </c>
      <c r="C43" s="13">
        <f t="shared" si="3"/>
        <v>692.9375</v>
      </c>
      <c r="D43" s="13">
        <f t="shared" si="4"/>
        <v>638.05555555555554</v>
      </c>
      <c r="E43" s="13">
        <f t="shared" si="5"/>
        <v>551.79166666666663</v>
      </c>
      <c r="F43" s="13">
        <f t="shared" si="6"/>
        <v>451.75</v>
      </c>
    </row>
    <row r="44" spans="1:6" x14ac:dyDescent="0.25">
      <c r="A44" s="4">
        <v>39417</v>
      </c>
      <c r="B44" s="5">
        <v>317</v>
      </c>
      <c r="C44" s="13">
        <f t="shared" si="3"/>
        <v>670.8125</v>
      </c>
      <c r="D44" s="13">
        <f t="shared" si="4"/>
        <v>607.27777777777783</v>
      </c>
      <c r="E44" s="13">
        <f t="shared" si="5"/>
        <v>517.70833333333337</v>
      </c>
      <c r="F44" s="13">
        <f t="shared" si="6"/>
        <v>413.25</v>
      </c>
    </row>
    <row r="45" spans="1:6" x14ac:dyDescent="0.25">
      <c r="A45" s="4">
        <v>39448</v>
      </c>
      <c r="B45" s="5">
        <v>283.83333333333331</v>
      </c>
      <c r="C45" s="13">
        <f t="shared" si="3"/>
        <v>647.14583333333337</v>
      </c>
      <c r="D45" s="13">
        <f t="shared" si="4"/>
        <v>576.00000000000011</v>
      </c>
      <c r="E45" s="13">
        <f t="shared" si="5"/>
        <v>483.33333333333343</v>
      </c>
      <c r="F45" s="13">
        <f t="shared" si="6"/>
        <v>375.63888888888891</v>
      </c>
    </row>
    <row r="46" spans="1:6" x14ac:dyDescent="0.25">
      <c r="A46" s="4">
        <v>39479</v>
      </c>
      <c r="B46" s="5">
        <v>250.66666666666666</v>
      </c>
      <c r="C46" s="13">
        <f t="shared" si="3"/>
        <v>621.9375</v>
      </c>
      <c r="D46" s="13">
        <f t="shared" si="4"/>
        <v>544.22222222222217</v>
      </c>
      <c r="E46" s="13">
        <f t="shared" si="5"/>
        <v>448.66666666666669</v>
      </c>
      <c r="F46" s="13">
        <f t="shared" si="6"/>
        <v>338.91666666666669</v>
      </c>
    </row>
    <row r="47" spans="1:6" x14ac:dyDescent="0.25">
      <c r="A47" s="4">
        <v>39508</v>
      </c>
      <c r="B47" s="5">
        <v>217.5</v>
      </c>
      <c r="C47" s="13">
        <f t="shared" si="3"/>
        <v>595.1875</v>
      </c>
      <c r="D47" s="13">
        <f t="shared" si="4"/>
        <v>511.94444444444446</v>
      </c>
      <c r="E47" s="13">
        <f t="shared" si="5"/>
        <v>413.70833333333331</v>
      </c>
      <c r="F47" s="13">
        <f t="shared" si="6"/>
        <v>303.08333333333331</v>
      </c>
    </row>
    <row r="48" spans="1:6" x14ac:dyDescent="0.25">
      <c r="A48" s="4">
        <v>39539</v>
      </c>
      <c r="B48" s="5">
        <v>184.33333333333334</v>
      </c>
      <c r="C48" s="13">
        <f t="shared" si="3"/>
        <v>566.89583333333337</v>
      </c>
      <c r="D48" s="13">
        <f t="shared" si="4"/>
        <v>479.16666666666669</v>
      </c>
      <c r="E48" s="13">
        <f t="shared" si="5"/>
        <v>378.45833333333331</v>
      </c>
      <c r="F48" s="13">
        <f t="shared" si="6"/>
        <v>268.13888888888886</v>
      </c>
    </row>
    <row r="49" spans="1:6" x14ac:dyDescent="0.25">
      <c r="A49" s="4">
        <v>39569</v>
      </c>
      <c r="B49" s="5">
        <v>151.16666666666669</v>
      </c>
      <c r="C49" s="13">
        <f t="shared" si="3"/>
        <v>537.0625</v>
      </c>
      <c r="D49" s="13">
        <f t="shared" si="4"/>
        <v>445.88888888888891</v>
      </c>
      <c r="E49" s="13">
        <f t="shared" si="5"/>
        <v>342.91666666666669</v>
      </c>
      <c r="F49" s="13">
        <f t="shared" si="6"/>
        <v>234.08333333333334</v>
      </c>
    </row>
    <row r="50" spans="1:6" x14ac:dyDescent="0.25">
      <c r="A50" s="4">
        <v>39600</v>
      </c>
      <c r="B50" s="5">
        <v>118</v>
      </c>
      <c r="C50" s="13">
        <f t="shared" si="3"/>
        <v>505.6875</v>
      </c>
      <c r="D50" s="13">
        <f t="shared" si="4"/>
        <v>412.11111111111109</v>
      </c>
      <c r="E50" s="13">
        <f t="shared" si="5"/>
        <v>307.08333333333331</v>
      </c>
      <c r="F50" s="13">
        <f t="shared" si="6"/>
        <v>200.91666666666666</v>
      </c>
    </row>
    <row r="51" spans="1:6" x14ac:dyDescent="0.25">
      <c r="A51" s="4">
        <v>39630</v>
      </c>
      <c r="B51" s="5">
        <v>112.33333333333333</v>
      </c>
      <c r="C51" s="13">
        <f t="shared" si="3"/>
        <v>475.08333333333343</v>
      </c>
      <c r="D51" s="13">
        <f t="shared" si="4"/>
        <v>379.66666666666674</v>
      </c>
      <c r="E51" s="13">
        <f t="shared" si="5"/>
        <v>273.98611111111114</v>
      </c>
      <c r="F51" s="13">
        <f t="shared" si="6"/>
        <v>172.33333333333334</v>
      </c>
    </row>
    <row r="52" spans="1:6" x14ac:dyDescent="0.25">
      <c r="A52" s="4">
        <v>39661</v>
      </c>
      <c r="B52" s="5">
        <v>106.66666666666666</v>
      </c>
      <c r="C52" s="13">
        <f t="shared" si="3"/>
        <v>445.25</v>
      </c>
      <c r="D52" s="13">
        <f t="shared" si="4"/>
        <v>348.55555555555554</v>
      </c>
      <c r="E52" s="13">
        <f t="shared" si="5"/>
        <v>243.625</v>
      </c>
      <c r="F52" s="13">
        <f t="shared" si="6"/>
        <v>148.33333333333334</v>
      </c>
    </row>
    <row r="53" spans="1:6" x14ac:dyDescent="0.25">
      <c r="A53" s="4">
        <v>39692</v>
      </c>
      <c r="B53" s="5">
        <v>100.99999999999999</v>
      </c>
      <c r="C53" s="13">
        <f t="shared" si="3"/>
        <v>416.1875</v>
      </c>
      <c r="D53" s="13">
        <f t="shared" si="4"/>
        <v>318.77777777777777</v>
      </c>
      <c r="E53" s="13">
        <f t="shared" si="5"/>
        <v>216</v>
      </c>
      <c r="F53" s="13">
        <f t="shared" si="6"/>
        <v>128.91666666666666</v>
      </c>
    </row>
    <row r="54" spans="1:6" x14ac:dyDescent="0.25">
      <c r="A54" s="4">
        <v>39722</v>
      </c>
      <c r="B54" s="5">
        <v>95.333333333333314</v>
      </c>
      <c r="C54" s="13">
        <f t="shared" si="3"/>
        <v>387.89583333333331</v>
      </c>
      <c r="D54" s="13">
        <f t="shared" si="4"/>
        <v>290.33333333333331</v>
      </c>
      <c r="E54" s="13">
        <f t="shared" si="5"/>
        <v>191.11111111111111</v>
      </c>
      <c r="F54" s="13">
        <f t="shared" si="6"/>
        <v>114.08333333333333</v>
      </c>
    </row>
    <row r="55" spans="1:6" x14ac:dyDescent="0.25">
      <c r="A55" s="4">
        <v>39753</v>
      </c>
      <c r="B55" s="5">
        <v>89.666666666666643</v>
      </c>
      <c r="C55" s="13">
        <f t="shared" si="3"/>
        <v>360.375</v>
      </c>
      <c r="D55" s="13">
        <f t="shared" si="4"/>
        <v>263.22222222222223</v>
      </c>
      <c r="E55" s="13">
        <f t="shared" si="5"/>
        <v>168.95833333333334</v>
      </c>
      <c r="F55" s="13">
        <f t="shared" si="6"/>
        <v>103.83333333333331</v>
      </c>
    </row>
    <row r="56" spans="1:6" x14ac:dyDescent="0.25">
      <c r="A56" s="4">
        <v>39783</v>
      </c>
      <c r="B56" s="5">
        <v>84</v>
      </c>
      <c r="C56" s="13">
        <f t="shared" si="3"/>
        <v>333.625</v>
      </c>
      <c r="D56" s="13">
        <f t="shared" si="4"/>
        <v>237.44444444444446</v>
      </c>
      <c r="E56" s="13">
        <f t="shared" si="5"/>
        <v>149.54166666666666</v>
      </c>
      <c r="F56" s="13">
        <f t="shared" si="6"/>
        <v>98.166666666666671</v>
      </c>
    </row>
    <row r="57" spans="1:6" x14ac:dyDescent="0.25">
      <c r="A57" s="4">
        <v>39814</v>
      </c>
      <c r="B57" s="5">
        <v>91.166666666666671</v>
      </c>
      <c r="C57" s="13">
        <f t="shared" si="3"/>
        <v>308.40972222222229</v>
      </c>
      <c r="D57" s="13">
        <f t="shared" si="4"/>
        <v>214.2037037037037</v>
      </c>
      <c r="E57" s="13">
        <f t="shared" si="5"/>
        <v>133.48611111111111</v>
      </c>
      <c r="F57" s="13">
        <f t="shared" si="6"/>
        <v>94.638888888888872</v>
      </c>
    </row>
    <row r="58" spans="1:6" x14ac:dyDescent="0.25">
      <c r="A58" s="4">
        <v>39845</v>
      </c>
      <c r="B58" s="5">
        <v>98.333333333333343</v>
      </c>
      <c r="C58" s="13">
        <f t="shared" si="3"/>
        <v>284.72916666666669</v>
      </c>
      <c r="D58" s="13">
        <f t="shared" si="4"/>
        <v>193.5</v>
      </c>
      <c r="E58" s="13">
        <f t="shared" si="5"/>
        <v>120.79166666666667</v>
      </c>
      <c r="F58" s="13">
        <f t="shared" si="6"/>
        <v>93.25</v>
      </c>
    </row>
    <row r="59" spans="1:6" x14ac:dyDescent="0.25">
      <c r="A59" s="4">
        <v>39873</v>
      </c>
      <c r="B59" s="5">
        <v>105.50000000000001</v>
      </c>
      <c r="C59" s="13">
        <f t="shared" si="3"/>
        <v>262.58333333333331</v>
      </c>
      <c r="D59" s="13">
        <f t="shared" si="4"/>
        <v>175.33333333333334</v>
      </c>
      <c r="E59" s="13">
        <f t="shared" si="5"/>
        <v>111.45833333333333</v>
      </c>
      <c r="F59" s="13">
        <f t="shared" si="6"/>
        <v>94</v>
      </c>
    </row>
    <row r="60" spans="1:6" x14ac:dyDescent="0.25">
      <c r="A60" s="4">
        <v>39904</v>
      </c>
      <c r="B60" s="5">
        <v>112.66666666666669</v>
      </c>
      <c r="C60" s="13">
        <f t="shared" si="3"/>
        <v>241.97222222222226</v>
      </c>
      <c r="D60" s="13">
        <f t="shared" si="4"/>
        <v>159.7037037037037</v>
      </c>
      <c r="E60" s="13">
        <f t="shared" si="5"/>
        <v>105.4861111111111</v>
      </c>
      <c r="F60" s="13">
        <f t="shared" si="6"/>
        <v>96.888888888888872</v>
      </c>
    </row>
    <row r="61" spans="1:6" x14ac:dyDescent="0.25">
      <c r="A61" s="4">
        <v>39934</v>
      </c>
      <c r="B61" s="5">
        <v>119.83333333333336</v>
      </c>
      <c r="C61" s="13">
        <f t="shared" si="3"/>
        <v>222.89583333333334</v>
      </c>
      <c r="D61" s="13">
        <f t="shared" si="4"/>
        <v>146.61111111111111</v>
      </c>
      <c r="E61" s="13">
        <f t="shared" si="5"/>
        <v>102.87499999999999</v>
      </c>
      <c r="F61" s="13">
        <f t="shared" si="6"/>
        <v>101.91666666666667</v>
      </c>
    </row>
    <row r="62" spans="1:6" x14ac:dyDescent="0.25">
      <c r="A62" s="4">
        <v>39965</v>
      </c>
      <c r="B62" s="5">
        <v>127</v>
      </c>
      <c r="C62" s="13">
        <f t="shared" si="3"/>
        <v>205.35416666666666</v>
      </c>
      <c r="D62" s="13">
        <f t="shared" si="4"/>
        <v>136.05555555555554</v>
      </c>
      <c r="E62" s="13">
        <f t="shared" si="5"/>
        <v>103.625</v>
      </c>
      <c r="F62" s="13">
        <f t="shared" si="6"/>
        <v>109.08333333333333</v>
      </c>
    </row>
    <row r="63" spans="1:6" x14ac:dyDescent="0.25">
      <c r="A63" s="4">
        <v>39995</v>
      </c>
      <c r="B63" s="5">
        <v>121.5</v>
      </c>
      <c r="C63" s="13">
        <f t="shared" si="3"/>
        <v>189.1875</v>
      </c>
      <c r="D63" s="13">
        <f t="shared" si="4"/>
        <v>127.03703703703705</v>
      </c>
      <c r="E63" s="13">
        <f t="shared" si="5"/>
        <v>104.38888888888887</v>
      </c>
      <c r="F63" s="13">
        <f t="shared" si="6"/>
        <v>114.13888888888891</v>
      </c>
    </row>
    <row r="64" spans="1:6" x14ac:dyDescent="0.25">
      <c r="A64" s="4">
        <v>40026</v>
      </c>
      <c r="B64" s="5">
        <v>116</v>
      </c>
      <c r="C64" s="13">
        <f t="shared" si="3"/>
        <v>174.39583333333334</v>
      </c>
      <c r="D64" s="13">
        <f t="shared" si="4"/>
        <v>119.55555555555556</v>
      </c>
      <c r="E64" s="13">
        <f t="shared" si="5"/>
        <v>105.16666666666667</v>
      </c>
      <c r="F64" s="13">
        <f t="shared" si="6"/>
        <v>117.08333333333333</v>
      </c>
    </row>
    <row r="65" spans="1:6" x14ac:dyDescent="0.25">
      <c r="A65" s="4">
        <v>40057</v>
      </c>
      <c r="B65" s="5">
        <v>110.5</v>
      </c>
      <c r="C65" s="13">
        <f t="shared" si="3"/>
        <v>160.97916666666666</v>
      </c>
      <c r="D65" s="13">
        <f t="shared" si="4"/>
        <v>113.61111111111111</v>
      </c>
      <c r="E65" s="13">
        <f t="shared" si="5"/>
        <v>105.95833333333333</v>
      </c>
      <c r="F65" s="13">
        <f t="shared" si="6"/>
        <v>117.91666666666667</v>
      </c>
    </row>
    <row r="66" spans="1:6" x14ac:dyDescent="0.25">
      <c r="A66" s="4">
        <v>40087</v>
      </c>
      <c r="B66" s="5">
        <v>105</v>
      </c>
      <c r="C66" s="13">
        <f t="shared" si="3"/>
        <v>148.9375</v>
      </c>
      <c r="D66" s="13">
        <f t="shared" si="4"/>
        <v>109.2037037037037</v>
      </c>
      <c r="E66" s="13">
        <f t="shared" si="5"/>
        <v>106.76388888888887</v>
      </c>
      <c r="F66" s="13">
        <f t="shared" si="6"/>
        <v>116.6388888888889</v>
      </c>
    </row>
    <row r="67" spans="1:6" x14ac:dyDescent="0.25">
      <c r="A67" s="4">
        <v>40118</v>
      </c>
      <c r="B67" s="5">
        <v>99.5</v>
      </c>
      <c r="C67" s="13">
        <f t="shared" si="3"/>
        <v>138.27083333333334</v>
      </c>
      <c r="D67" s="13">
        <f t="shared" si="4"/>
        <v>106.33333333333331</v>
      </c>
      <c r="E67" s="13">
        <f t="shared" si="5"/>
        <v>107.58333333333333</v>
      </c>
      <c r="F67" s="13">
        <f t="shared" si="6"/>
        <v>113.25</v>
      </c>
    </row>
    <row r="68" spans="1:6" x14ac:dyDescent="0.25">
      <c r="A68" s="4">
        <v>40148</v>
      </c>
      <c r="B68" s="5">
        <v>94</v>
      </c>
      <c r="C68" s="13">
        <f t="shared" si="3"/>
        <v>128.97916666666666</v>
      </c>
      <c r="D68" s="13">
        <f t="shared" si="4"/>
        <v>105</v>
      </c>
      <c r="E68" s="13">
        <f t="shared" si="5"/>
        <v>108.41666666666667</v>
      </c>
      <c r="F68" s="13">
        <f t="shared" si="6"/>
        <v>107.75</v>
      </c>
    </row>
    <row r="69" spans="1:6" x14ac:dyDescent="0.25">
      <c r="A69" s="4">
        <v>40179</v>
      </c>
      <c r="B69" s="5">
        <v>94.666666666666671</v>
      </c>
      <c r="C69" s="13">
        <f t="shared" si="3"/>
        <v>121.09722222222223</v>
      </c>
      <c r="D69" s="13">
        <f t="shared" si="4"/>
        <v>104.01851851851852</v>
      </c>
      <c r="E69" s="13">
        <f t="shared" si="5"/>
        <v>108.70833333333336</v>
      </c>
      <c r="F69" s="13">
        <f t="shared" si="6"/>
        <v>103.27777777777777</v>
      </c>
    </row>
    <row r="70" spans="1:6" x14ac:dyDescent="0.25">
      <c r="A70" s="4">
        <v>40210</v>
      </c>
      <c r="B70" s="5">
        <v>95.333333333333343</v>
      </c>
      <c r="C70" s="13">
        <f t="shared" si="3"/>
        <v>114.625</v>
      </c>
      <c r="D70" s="13">
        <f t="shared" si="4"/>
        <v>103.38888888888889</v>
      </c>
      <c r="E70" s="13">
        <f t="shared" si="5"/>
        <v>108.45833333333333</v>
      </c>
      <c r="F70" s="13">
        <f t="shared" si="6"/>
        <v>99.833333333333329</v>
      </c>
    </row>
    <row r="71" spans="1:6" x14ac:dyDescent="0.25">
      <c r="A71" s="4">
        <v>40238</v>
      </c>
      <c r="B71" s="5">
        <v>96.000000000000014</v>
      </c>
      <c r="C71" s="13">
        <f t="shared" si="3"/>
        <v>109.5625</v>
      </c>
      <c r="D71" s="13">
        <f t="shared" si="4"/>
        <v>103.11111111111111</v>
      </c>
      <c r="E71" s="13">
        <f t="shared" si="5"/>
        <v>107.66666666666667</v>
      </c>
      <c r="F71" s="13">
        <f t="shared" si="6"/>
        <v>97.416666666666671</v>
      </c>
    </row>
    <row r="72" spans="1:6" x14ac:dyDescent="0.25">
      <c r="A72" s="4">
        <v>40269</v>
      </c>
      <c r="B72" s="5">
        <v>96.666666666666686</v>
      </c>
      <c r="C72" s="13">
        <f t="shared" si="3"/>
        <v>105.90972222222221</v>
      </c>
      <c r="D72" s="13">
        <f t="shared" si="4"/>
        <v>103.18518518518518</v>
      </c>
      <c r="E72" s="13">
        <f t="shared" si="5"/>
        <v>106.33333333333333</v>
      </c>
      <c r="F72" s="13">
        <f t="shared" si="6"/>
        <v>96.027777777777786</v>
      </c>
    </row>
    <row r="73" spans="1:6" x14ac:dyDescent="0.25">
      <c r="A73" s="4">
        <v>40299</v>
      </c>
      <c r="B73" s="5">
        <v>97.333333333333357</v>
      </c>
      <c r="C73" s="13">
        <f t="shared" si="3"/>
        <v>103.66666666666667</v>
      </c>
      <c r="D73" s="13">
        <f t="shared" si="4"/>
        <v>103.61111111111111</v>
      </c>
      <c r="E73" s="13">
        <f t="shared" si="5"/>
        <v>104.45833333333333</v>
      </c>
      <c r="F73" s="13">
        <f t="shared" si="6"/>
        <v>95.666666666666671</v>
      </c>
    </row>
    <row r="74" spans="1:6" x14ac:dyDescent="0.25">
      <c r="A74" s="4">
        <v>40330</v>
      </c>
      <c r="B74" s="5">
        <v>98</v>
      </c>
      <c r="C74" s="13">
        <f t="shared" si="3"/>
        <v>102.83333333333333</v>
      </c>
      <c r="D74" s="13">
        <f t="shared" si="4"/>
        <v>104.38888888888889</v>
      </c>
      <c r="E74" s="13">
        <f t="shared" si="5"/>
        <v>102.04166666666667</v>
      </c>
      <c r="F74" s="13">
        <f t="shared" si="6"/>
        <v>96.333333333333329</v>
      </c>
    </row>
    <row r="75" spans="1:6" x14ac:dyDescent="0.25">
      <c r="A75" s="4">
        <v>40360</v>
      </c>
      <c r="B75" s="5">
        <v>101.16666666666667</v>
      </c>
      <c r="C75" s="13">
        <f t="shared" si="3"/>
        <v>102.36805555555554</v>
      </c>
      <c r="D75" s="13">
        <f t="shared" si="4"/>
        <v>104.94444444444446</v>
      </c>
      <c r="E75" s="13">
        <f t="shared" si="5"/>
        <v>100.34722222222223</v>
      </c>
      <c r="F75" s="13">
        <f t="shared" si="6"/>
        <v>97.416666666666686</v>
      </c>
    </row>
    <row r="76" spans="1:6" x14ac:dyDescent="0.25">
      <c r="A76" s="4">
        <v>40391</v>
      </c>
      <c r="B76" s="5">
        <v>104.33333333333334</v>
      </c>
      <c r="C76" s="13">
        <f t="shared" si="3"/>
        <v>102.27083333333333</v>
      </c>
      <c r="D76" s="13">
        <f t="shared" si="4"/>
        <v>105.27777777777777</v>
      </c>
      <c r="E76" s="13">
        <f t="shared" si="5"/>
        <v>99.375</v>
      </c>
      <c r="F76" s="13">
        <f t="shared" si="6"/>
        <v>98.916666666666686</v>
      </c>
    </row>
    <row r="77" spans="1:6" x14ac:dyDescent="0.25">
      <c r="A77" s="4">
        <v>40422</v>
      </c>
      <c r="B77" s="5">
        <v>107.50000000000001</v>
      </c>
      <c r="C77" s="13">
        <f t="shared" si="3"/>
        <v>102.54166666666667</v>
      </c>
      <c r="D77" s="13">
        <f t="shared" si="4"/>
        <v>105.38888888888889</v>
      </c>
      <c r="E77" s="13">
        <f t="shared" si="5"/>
        <v>99.125</v>
      </c>
      <c r="F77" s="13">
        <f t="shared" si="6"/>
        <v>100.83333333333336</v>
      </c>
    </row>
    <row r="78" spans="1:6" x14ac:dyDescent="0.25">
      <c r="A78" s="4">
        <v>40452</v>
      </c>
      <c r="B78" s="5">
        <v>110.66666666666669</v>
      </c>
      <c r="C78" s="13">
        <f t="shared" si="3"/>
        <v>103.18055555555554</v>
      </c>
      <c r="D78" s="13">
        <f t="shared" si="4"/>
        <v>105.27777777777777</v>
      </c>
      <c r="E78" s="13">
        <f t="shared" si="5"/>
        <v>99.597222222222243</v>
      </c>
      <c r="F78" s="13">
        <f t="shared" si="6"/>
        <v>103.16666666666667</v>
      </c>
    </row>
    <row r="79" spans="1:6" x14ac:dyDescent="0.25">
      <c r="A79" s="4">
        <v>40483</v>
      </c>
      <c r="B79" s="5">
        <v>113.83333333333336</v>
      </c>
      <c r="C79" s="13">
        <f t="shared" si="3"/>
        <v>104.1875</v>
      </c>
      <c r="D79" s="13">
        <f t="shared" si="4"/>
        <v>104.94444444444444</v>
      </c>
      <c r="E79" s="13">
        <f t="shared" si="5"/>
        <v>100.79166666666667</v>
      </c>
      <c r="F79" s="13">
        <f t="shared" si="6"/>
        <v>105.91666666666669</v>
      </c>
    </row>
    <row r="80" spans="1:6" x14ac:dyDescent="0.25">
      <c r="A80" s="4">
        <v>40513</v>
      </c>
      <c r="B80" s="5">
        <v>117</v>
      </c>
      <c r="C80" s="13">
        <f t="shared" si="3"/>
        <v>105.5625</v>
      </c>
      <c r="D80" s="13">
        <f t="shared" si="4"/>
        <v>104.38888888888889</v>
      </c>
      <c r="E80" s="13">
        <f t="shared" si="5"/>
        <v>102.70833333333333</v>
      </c>
      <c r="F80" s="13">
        <f t="shared" si="6"/>
        <v>109.08333333333333</v>
      </c>
    </row>
    <row r="81" spans="1:6" x14ac:dyDescent="0.25">
      <c r="A81" s="4">
        <v>40544</v>
      </c>
      <c r="B81" s="5">
        <v>115.83333333333333</v>
      </c>
      <c r="C81" s="13">
        <f t="shared" si="3"/>
        <v>106.59027777777779</v>
      </c>
      <c r="D81" s="13">
        <f t="shared" si="4"/>
        <v>104.07407407407408</v>
      </c>
      <c r="E81" s="13">
        <f t="shared" si="5"/>
        <v>104.47222222222223</v>
      </c>
      <c r="F81" s="13">
        <f t="shared" si="6"/>
        <v>111.52777777777781</v>
      </c>
    </row>
    <row r="82" spans="1:6" x14ac:dyDescent="0.25">
      <c r="A82" s="4">
        <v>40575</v>
      </c>
      <c r="B82" s="5">
        <v>114.66666666666666</v>
      </c>
      <c r="C82" s="13">
        <f t="shared" si="3"/>
        <v>107.27083333333333</v>
      </c>
      <c r="D82" s="13">
        <f t="shared" si="4"/>
        <v>104</v>
      </c>
      <c r="E82" s="13">
        <f t="shared" si="5"/>
        <v>106.08333333333333</v>
      </c>
      <c r="F82" s="13">
        <f t="shared" si="6"/>
        <v>113.25</v>
      </c>
    </row>
    <row r="83" spans="1:6" x14ac:dyDescent="0.25">
      <c r="A83" s="4">
        <v>40603</v>
      </c>
      <c r="B83" s="5">
        <v>112.08</v>
      </c>
      <c r="C83" s="13">
        <f t="shared" si="3"/>
        <v>107.545</v>
      </c>
      <c r="D83" s="13">
        <f t="shared" si="4"/>
        <v>104.08777777777777</v>
      </c>
      <c r="E83" s="13">
        <f t="shared" si="5"/>
        <v>107.42333333333335</v>
      </c>
      <c r="F83" s="13">
        <f t="shared" si="6"/>
        <v>114.01333333333334</v>
      </c>
    </row>
    <row r="84" spans="1:6" x14ac:dyDescent="0.25">
      <c r="A84" s="4">
        <v>40634</v>
      </c>
      <c r="B84" s="5">
        <v>107.04</v>
      </c>
      <c r="C84" s="13">
        <f t="shared" si="3"/>
        <v>107.31055555555554</v>
      </c>
      <c r="D84" s="13">
        <f t="shared" si="4"/>
        <v>104.20111111111112</v>
      </c>
      <c r="E84" s="13">
        <f t="shared" si="5"/>
        <v>108.28777777777778</v>
      </c>
      <c r="F84" s="13">
        <f t="shared" si="6"/>
        <v>113.4088888888889</v>
      </c>
    </row>
    <row r="85" spans="1:6" x14ac:dyDescent="0.25">
      <c r="A85" s="4">
        <v>40664</v>
      </c>
      <c r="B85" s="5">
        <v>109.28</v>
      </c>
      <c r="C85" s="13">
        <f t="shared" si="3"/>
        <v>106.87083333333334</v>
      </c>
      <c r="D85" s="13">
        <f t="shared" si="4"/>
        <v>104.74444444444444</v>
      </c>
      <c r="E85" s="13">
        <f t="shared" si="5"/>
        <v>109.28333333333335</v>
      </c>
      <c r="F85" s="13">
        <f t="shared" si="6"/>
        <v>112.64999999999999</v>
      </c>
    </row>
    <row r="86" spans="1:6" x14ac:dyDescent="0.25">
      <c r="A86" s="4">
        <v>40695</v>
      </c>
      <c r="B86" s="5">
        <v>110.55</v>
      </c>
      <c r="C86" s="13">
        <f t="shared" si="3"/>
        <v>106.18541666666668</v>
      </c>
      <c r="D86" s="13">
        <f t="shared" si="4"/>
        <v>105.66388888888888</v>
      </c>
      <c r="E86" s="13">
        <f t="shared" si="5"/>
        <v>110.32916666666667</v>
      </c>
      <c r="F86" s="13">
        <f t="shared" si="6"/>
        <v>111.57499999999999</v>
      </c>
    </row>
    <row r="87" spans="1:6" x14ac:dyDescent="0.25">
      <c r="A87" s="4">
        <v>40725</v>
      </c>
      <c r="B87" s="5">
        <v>109.95</v>
      </c>
      <c r="C87" s="13">
        <f t="shared" si="3"/>
        <v>105.70416666666667</v>
      </c>
      <c r="D87" s="13">
        <f t="shared" si="4"/>
        <v>106.51296296296296</v>
      </c>
      <c r="E87" s="13">
        <f t="shared" si="5"/>
        <v>111.06111111111113</v>
      </c>
      <c r="F87" s="13">
        <f t="shared" si="6"/>
        <v>110.59444444444445</v>
      </c>
    </row>
    <row r="88" spans="1:6" x14ac:dyDescent="0.25">
      <c r="A88" s="4">
        <v>40756</v>
      </c>
      <c r="B88" s="5">
        <v>107.75</v>
      </c>
      <c r="C88" s="13">
        <f t="shared" si="3"/>
        <v>105.36041666666667</v>
      </c>
      <c r="D88" s="13">
        <f t="shared" si="4"/>
        <v>107.20277777777777</v>
      </c>
      <c r="E88" s="13">
        <f t="shared" si="5"/>
        <v>111.34583333333335</v>
      </c>
      <c r="F88" s="13">
        <f t="shared" si="6"/>
        <v>109.44166666666666</v>
      </c>
    </row>
    <row r="89" spans="1:6" x14ac:dyDescent="0.25">
      <c r="A89" s="4">
        <v>40787</v>
      </c>
      <c r="B89" s="5">
        <v>111.19</v>
      </c>
      <c r="C89" s="13">
        <f t="shared" si="3"/>
        <v>105.38916666666667</v>
      </c>
      <c r="D89" s="13">
        <f t="shared" si="4"/>
        <v>108.04666666666668</v>
      </c>
      <c r="E89" s="13">
        <f t="shared" si="5"/>
        <v>111.65333333333332</v>
      </c>
      <c r="F89" s="13">
        <f t="shared" si="6"/>
        <v>109.29333333333334</v>
      </c>
    </row>
    <row r="90" spans="1:6" x14ac:dyDescent="0.25">
      <c r="A90" s="4">
        <v>40817</v>
      </c>
      <c r="B90" s="5">
        <v>107.1</v>
      </c>
      <c r="C90" s="13">
        <f t="shared" ref="C90:C144" si="7">AVERAGE(B67:B90)</f>
        <v>105.47666666666667</v>
      </c>
      <c r="D90" s="13">
        <f t="shared" si="4"/>
        <v>108.62629629629629</v>
      </c>
      <c r="E90" s="13">
        <f t="shared" si="5"/>
        <v>111.3561111111111</v>
      </c>
      <c r="F90" s="13">
        <f t="shared" si="6"/>
        <v>109.30333333333334</v>
      </c>
    </row>
    <row r="91" spans="1:6" x14ac:dyDescent="0.25">
      <c r="A91" s="4">
        <v>40848</v>
      </c>
      <c r="B91" s="5">
        <v>106.28</v>
      </c>
      <c r="C91" s="13">
        <f t="shared" si="7"/>
        <v>105.75916666666666</v>
      </c>
      <c r="D91" s="13">
        <f t="shared" ref="D91:D144" si="8">AVERAGE(B74:B91)</f>
        <v>109.12333333333333</v>
      </c>
      <c r="E91" s="13">
        <f t="shared" ref="E91:E144" si="9">AVERAGE(B80:B91)</f>
        <v>110.72666666666665</v>
      </c>
      <c r="F91" s="13">
        <f t="shared" ref="F91:F144" si="10">AVERAGE(B86:B91)</f>
        <v>108.80333333333333</v>
      </c>
    </row>
    <row r="92" spans="1:6" x14ac:dyDescent="0.25">
      <c r="A92" s="4">
        <v>40878</v>
      </c>
      <c r="B92" s="5">
        <v>104.92</v>
      </c>
      <c r="C92" s="13">
        <f t="shared" si="7"/>
        <v>106.21416666666666</v>
      </c>
      <c r="D92" s="13">
        <f t="shared" si="8"/>
        <v>109.50777777777779</v>
      </c>
      <c r="E92" s="13">
        <f t="shared" si="9"/>
        <v>109.71999999999998</v>
      </c>
      <c r="F92" s="13">
        <f t="shared" si="10"/>
        <v>107.86499999999999</v>
      </c>
    </row>
    <row r="93" spans="1:6" x14ac:dyDescent="0.25">
      <c r="A93" s="4">
        <v>40909</v>
      </c>
      <c r="B93" s="5">
        <v>102.38</v>
      </c>
      <c r="C93" s="13">
        <f t="shared" si="7"/>
        <v>106.53555555555556</v>
      </c>
      <c r="D93" s="13">
        <f t="shared" si="8"/>
        <v>109.57518518518519</v>
      </c>
      <c r="E93" s="13">
        <f t="shared" si="9"/>
        <v>108.59888888888891</v>
      </c>
      <c r="F93" s="13">
        <f t="shared" si="10"/>
        <v>106.60333333333331</v>
      </c>
    </row>
    <row r="94" spans="1:6" x14ac:dyDescent="0.25">
      <c r="A94" s="4">
        <v>40940</v>
      </c>
      <c r="B94" s="5">
        <v>99.04</v>
      </c>
      <c r="C94" s="13">
        <f t="shared" si="7"/>
        <v>106.69000000000001</v>
      </c>
      <c r="D94" s="13">
        <f t="shared" si="8"/>
        <v>109.2811111111111</v>
      </c>
      <c r="E94" s="13">
        <f t="shared" si="9"/>
        <v>107.29666666666667</v>
      </c>
      <c r="F94" s="13">
        <f t="shared" si="10"/>
        <v>105.15166666666666</v>
      </c>
    </row>
    <row r="95" spans="1:6" x14ac:dyDescent="0.25">
      <c r="A95" s="4">
        <v>40969</v>
      </c>
      <c r="B95" s="5">
        <v>100</v>
      </c>
      <c r="C95" s="13">
        <f t="shared" si="7"/>
        <v>106.85666666666668</v>
      </c>
      <c r="D95" s="13">
        <f t="shared" si="8"/>
        <v>108.86444444444444</v>
      </c>
      <c r="E95" s="13">
        <f t="shared" si="9"/>
        <v>106.29</v>
      </c>
      <c r="F95" s="13">
        <f t="shared" si="10"/>
        <v>103.28666666666668</v>
      </c>
    </row>
    <row r="96" spans="1:6" x14ac:dyDescent="0.25">
      <c r="A96" s="4">
        <v>41000</v>
      </c>
      <c r="B96" s="5">
        <v>101.71</v>
      </c>
      <c r="C96" s="13">
        <f t="shared" si="7"/>
        <v>107.06680555555556</v>
      </c>
      <c r="D96" s="13">
        <f t="shared" si="8"/>
        <v>108.36685185185186</v>
      </c>
      <c r="E96" s="13">
        <f t="shared" si="9"/>
        <v>105.84583333333335</v>
      </c>
      <c r="F96" s="13">
        <f t="shared" si="10"/>
        <v>102.38833333333334</v>
      </c>
    </row>
    <row r="97" spans="1:6" x14ac:dyDescent="0.25">
      <c r="A97" s="4">
        <v>41030</v>
      </c>
      <c r="B97" s="5">
        <v>101.55</v>
      </c>
      <c r="C97" s="13">
        <f t="shared" si="7"/>
        <v>107.24250000000001</v>
      </c>
      <c r="D97" s="13">
        <f t="shared" si="8"/>
        <v>107.68444444444444</v>
      </c>
      <c r="E97" s="13">
        <f t="shared" si="9"/>
        <v>105.20166666666665</v>
      </c>
      <c r="F97" s="13">
        <f t="shared" si="10"/>
        <v>101.60000000000001</v>
      </c>
    </row>
    <row r="98" spans="1:6" x14ac:dyDescent="0.25">
      <c r="A98" s="4">
        <v>41061</v>
      </c>
      <c r="B98" s="5">
        <v>103.01</v>
      </c>
      <c r="C98" s="13">
        <f t="shared" si="7"/>
        <v>107.45125000000002</v>
      </c>
      <c r="D98" s="13">
        <f t="shared" si="8"/>
        <v>106.90722222222222</v>
      </c>
      <c r="E98" s="13">
        <f t="shared" si="9"/>
        <v>104.57333333333332</v>
      </c>
      <c r="F98" s="13">
        <f t="shared" si="10"/>
        <v>101.28166666666668</v>
      </c>
    </row>
    <row r="99" spans="1:6" x14ac:dyDescent="0.25">
      <c r="A99" s="4">
        <v>41091</v>
      </c>
      <c r="B99" s="5">
        <v>99.67</v>
      </c>
      <c r="C99" s="13">
        <f t="shared" si="7"/>
        <v>107.38888888888891</v>
      </c>
      <c r="D99" s="13">
        <f t="shared" si="8"/>
        <v>106.00925925925928</v>
      </c>
      <c r="E99" s="13">
        <f t="shared" si="9"/>
        <v>103.71666666666665</v>
      </c>
      <c r="F99" s="13">
        <f t="shared" si="10"/>
        <v>100.83</v>
      </c>
    </row>
    <row r="100" spans="1:6" x14ac:dyDescent="0.25">
      <c r="A100" s="4">
        <v>41122</v>
      </c>
      <c r="B100" s="5">
        <v>103.93</v>
      </c>
      <c r="C100" s="13">
        <f t="shared" si="7"/>
        <v>107.37208333333335</v>
      </c>
      <c r="D100" s="13">
        <f t="shared" si="8"/>
        <v>105.41277777777778</v>
      </c>
      <c r="E100" s="13">
        <f t="shared" si="9"/>
        <v>103.39833333333335</v>
      </c>
      <c r="F100" s="13">
        <f t="shared" si="10"/>
        <v>101.645</v>
      </c>
    </row>
    <row r="101" spans="1:6" x14ac:dyDescent="0.25">
      <c r="A101" s="4">
        <v>41153</v>
      </c>
      <c r="B101" s="5">
        <v>103.92</v>
      </c>
      <c r="C101" s="13">
        <f t="shared" si="7"/>
        <v>107.22291666666668</v>
      </c>
      <c r="D101" s="13">
        <f t="shared" si="8"/>
        <v>104.95944444444446</v>
      </c>
      <c r="E101" s="13">
        <f t="shared" si="9"/>
        <v>102.79250000000002</v>
      </c>
      <c r="F101" s="13">
        <f t="shared" si="10"/>
        <v>102.29833333333333</v>
      </c>
    </row>
    <row r="102" spans="1:6" x14ac:dyDescent="0.25">
      <c r="A102" s="4">
        <v>41183</v>
      </c>
      <c r="B102" s="5">
        <v>101.4</v>
      </c>
      <c r="C102" s="13">
        <f t="shared" si="7"/>
        <v>106.83680555555559</v>
      </c>
      <c r="D102" s="13">
        <f t="shared" si="8"/>
        <v>104.64611111111113</v>
      </c>
      <c r="E102" s="13">
        <f t="shared" si="9"/>
        <v>102.31750000000001</v>
      </c>
      <c r="F102" s="13">
        <f t="shared" si="10"/>
        <v>102.24666666666667</v>
      </c>
    </row>
    <row r="103" spans="1:6" x14ac:dyDescent="0.25">
      <c r="A103" s="4">
        <v>41214</v>
      </c>
      <c r="B103" s="5">
        <v>105.95</v>
      </c>
      <c r="C103" s="13">
        <f t="shared" si="7"/>
        <v>106.50833333333333</v>
      </c>
      <c r="D103" s="13">
        <f t="shared" si="8"/>
        <v>104.46111111111112</v>
      </c>
      <c r="E103" s="13">
        <f t="shared" si="9"/>
        <v>102.29</v>
      </c>
      <c r="F103" s="13">
        <f t="shared" si="10"/>
        <v>102.98000000000002</v>
      </c>
    </row>
    <row r="104" spans="1:6" x14ac:dyDescent="0.25">
      <c r="A104" s="4">
        <v>41244</v>
      </c>
      <c r="B104" s="5">
        <v>108.16</v>
      </c>
      <c r="C104" s="13">
        <f t="shared" si="7"/>
        <v>106.13999999999999</v>
      </c>
      <c r="D104" s="13">
        <f t="shared" si="8"/>
        <v>104.32833333333335</v>
      </c>
      <c r="E104" s="13">
        <f t="shared" si="9"/>
        <v>102.56</v>
      </c>
      <c r="F104" s="13">
        <f t="shared" si="10"/>
        <v>103.83833333333335</v>
      </c>
    </row>
    <row r="105" spans="1:6" x14ac:dyDescent="0.25">
      <c r="A105" s="4">
        <v>41275</v>
      </c>
      <c r="B105" s="5">
        <v>108.21</v>
      </c>
      <c r="C105" s="13">
        <f t="shared" si="7"/>
        <v>105.82236111111111</v>
      </c>
      <c r="D105" s="13">
        <f t="shared" si="8"/>
        <v>104.23166666666668</v>
      </c>
      <c r="E105" s="13">
        <f t="shared" si="9"/>
        <v>103.04583333333335</v>
      </c>
      <c r="F105" s="13">
        <f t="shared" si="10"/>
        <v>105.26166666666667</v>
      </c>
    </row>
    <row r="106" spans="1:6" x14ac:dyDescent="0.25">
      <c r="A106" s="4">
        <v>41306</v>
      </c>
      <c r="B106" s="5">
        <v>109.13</v>
      </c>
      <c r="C106" s="13">
        <f t="shared" si="7"/>
        <v>105.59166666666665</v>
      </c>
      <c r="D106" s="13">
        <f t="shared" si="8"/>
        <v>104.30833333333337</v>
      </c>
      <c r="E106" s="13">
        <f t="shared" si="9"/>
        <v>103.88666666666666</v>
      </c>
      <c r="F106" s="13">
        <f t="shared" si="10"/>
        <v>106.12833333333333</v>
      </c>
    </row>
    <row r="107" spans="1:6" x14ac:dyDescent="0.25">
      <c r="A107" s="4">
        <v>41334</v>
      </c>
      <c r="B107" s="5">
        <v>108.01</v>
      </c>
      <c r="C107" s="13">
        <f t="shared" si="7"/>
        <v>105.42208333333336</v>
      </c>
      <c r="D107" s="13">
        <f t="shared" si="8"/>
        <v>104.1316666666667</v>
      </c>
      <c r="E107" s="13">
        <f t="shared" si="9"/>
        <v>104.55416666666666</v>
      </c>
      <c r="F107" s="13">
        <f t="shared" si="10"/>
        <v>106.80999999999999</v>
      </c>
    </row>
    <row r="108" spans="1:6" x14ac:dyDescent="0.25">
      <c r="A108" s="4">
        <v>41365</v>
      </c>
      <c r="B108" s="5">
        <v>108.56</v>
      </c>
      <c r="C108" s="13">
        <f t="shared" si="7"/>
        <v>105.48541666666669</v>
      </c>
      <c r="D108" s="13">
        <f t="shared" si="8"/>
        <v>104.21277777777779</v>
      </c>
      <c r="E108" s="13">
        <f t="shared" si="9"/>
        <v>105.125</v>
      </c>
      <c r="F108" s="13">
        <f t="shared" si="10"/>
        <v>108.00333333333333</v>
      </c>
    </row>
    <row r="109" spans="1:6" x14ac:dyDescent="0.25">
      <c r="A109" s="4">
        <v>41395</v>
      </c>
      <c r="B109" s="5">
        <v>108.87</v>
      </c>
      <c r="C109" s="13">
        <f t="shared" si="7"/>
        <v>105.46833333333335</v>
      </c>
      <c r="D109" s="13">
        <f t="shared" si="8"/>
        <v>104.35666666666667</v>
      </c>
      <c r="E109" s="13">
        <f t="shared" si="9"/>
        <v>105.73500000000001</v>
      </c>
      <c r="F109" s="13">
        <f t="shared" si="10"/>
        <v>108.49</v>
      </c>
    </row>
    <row r="110" spans="1:6" x14ac:dyDescent="0.25">
      <c r="A110" s="4">
        <v>41426</v>
      </c>
      <c r="B110" s="5">
        <v>109.81</v>
      </c>
      <c r="C110" s="13">
        <f t="shared" si="7"/>
        <v>105.43750000000001</v>
      </c>
      <c r="D110" s="13">
        <f t="shared" si="8"/>
        <v>104.62833333333333</v>
      </c>
      <c r="E110" s="13">
        <f t="shared" si="9"/>
        <v>106.30166666666666</v>
      </c>
      <c r="F110" s="13">
        <f t="shared" si="10"/>
        <v>108.76499999999999</v>
      </c>
    </row>
    <row r="111" spans="1:6" x14ac:dyDescent="0.25">
      <c r="A111" s="4">
        <v>41456</v>
      </c>
      <c r="B111" s="5">
        <v>112.3</v>
      </c>
      <c r="C111" s="13">
        <f t="shared" si="7"/>
        <v>105.53541666666668</v>
      </c>
      <c r="D111" s="13">
        <f t="shared" si="8"/>
        <v>105.17944444444446</v>
      </c>
      <c r="E111" s="13">
        <f t="shared" si="9"/>
        <v>107.35416666666664</v>
      </c>
      <c r="F111" s="13">
        <f t="shared" si="10"/>
        <v>109.44666666666666</v>
      </c>
    </row>
    <row r="112" spans="1:6" x14ac:dyDescent="0.25">
      <c r="A112" s="4">
        <v>41487</v>
      </c>
      <c r="B112" s="5">
        <v>111.5</v>
      </c>
      <c r="C112" s="13">
        <f t="shared" si="7"/>
        <v>105.69166666666671</v>
      </c>
      <c r="D112" s="13">
        <f t="shared" si="8"/>
        <v>105.87166666666666</v>
      </c>
      <c r="E112" s="13">
        <f t="shared" si="9"/>
        <v>107.985</v>
      </c>
      <c r="F112" s="13">
        <f t="shared" si="10"/>
        <v>109.84166666666665</v>
      </c>
    </row>
    <row r="113" spans="1:6" x14ac:dyDescent="0.25">
      <c r="A113" s="4">
        <v>41518</v>
      </c>
      <c r="B113" s="5">
        <v>110.7</v>
      </c>
      <c r="C113" s="13">
        <f t="shared" si="7"/>
        <v>105.67125000000003</v>
      </c>
      <c r="D113" s="13">
        <f t="shared" si="8"/>
        <v>106.4661111111111</v>
      </c>
      <c r="E113" s="13">
        <f t="shared" si="9"/>
        <v>108.55</v>
      </c>
      <c r="F113" s="13">
        <f t="shared" si="10"/>
        <v>110.29</v>
      </c>
    </row>
    <row r="114" spans="1:6" x14ac:dyDescent="0.25">
      <c r="A114" s="4">
        <v>41548</v>
      </c>
      <c r="B114" s="5">
        <v>111.5</v>
      </c>
      <c r="C114" s="13">
        <f t="shared" si="7"/>
        <v>105.85458333333334</v>
      </c>
      <c r="D114" s="13">
        <f t="shared" si="8"/>
        <v>107.00999999999999</v>
      </c>
      <c r="E114" s="13">
        <f t="shared" si="9"/>
        <v>109.39166666666667</v>
      </c>
      <c r="F114" s="13">
        <f t="shared" si="10"/>
        <v>110.78000000000002</v>
      </c>
    </row>
    <row r="115" spans="1:6" x14ac:dyDescent="0.25">
      <c r="A115" s="4">
        <v>41579</v>
      </c>
      <c r="B115" s="5">
        <v>110.2</v>
      </c>
      <c r="C115" s="13">
        <f t="shared" si="7"/>
        <v>106.01791666666666</v>
      </c>
      <c r="D115" s="13">
        <f t="shared" si="8"/>
        <v>107.49055555555556</v>
      </c>
      <c r="E115" s="13">
        <f t="shared" si="9"/>
        <v>109.74583333333334</v>
      </c>
      <c r="F115" s="13">
        <f t="shared" si="10"/>
        <v>111.00166666666667</v>
      </c>
    </row>
    <row r="116" spans="1:6" x14ac:dyDescent="0.25">
      <c r="A116" s="4">
        <v>41609</v>
      </c>
      <c r="B116" s="5">
        <v>110.9</v>
      </c>
      <c r="C116" s="13">
        <f t="shared" si="7"/>
        <v>106.2670833333333</v>
      </c>
      <c r="D116" s="13">
        <f t="shared" si="8"/>
        <v>107.92888888888889</v>
      </c>
      <c r="E116" s="13">
        <f t="shared" si="9"/>
        <v>109.97416666666668</v>
      </c>
      <c r="F116" s="13">
        <f t="shared" si="10"/>
        <v>111.18333333333334</v>
      </c>
    </row>
    <row r="117" spans="1:6" x14ac:dyDescent="0.25">
      <c r="A117" s="4">
        <v>41640</v>
      </c>
      <c r="B117" s="5">
        <v>113</v>
      </c>
      <c r="C117" s="13">
        <f t="shared" si="7"/>
        <v>106.70958333333334</v>
      </c>
      <c r="D117" s="13">
        <f t="shared" si="8"/>
        <v>108.66944444444444</v>
      </c>
      <c r="E117" s="13">
        <f t="shared" si="9"/>
        <v>110.37333333333333</v>
      </c>
      <c r="F117" s="13">
        <f t="shared" si="10"/>
        <v>111.3</v>
      </c>
    </row>
    <row r="118" spans="1:6" x14ac:dyDescent="0.25">
      <c r="A118" s="4">
        <v>41671</v>
      </c>
      <c r="B118" s="5">
        <v>113.5</v>
      </c>
      <c r="C118" s="13">
        <f t="shared" si="7"/>
        <v>107.31208333333332</v>
      </c>
      <c r="D118" s="13">
        <f t="shared" si="8"/>
        <v>109.20111111111112</v>
      </c>
      <c r="E118" s="13">
        <f t="shared" si="9"/>
        <v>110.73750000000001</v>
      </c>
      <c r="F118" s="13">
        <f t="shared" si="10"/>
        <v>111.63333333333333</v>
      </c>
    </row>
    <row r="119" spans="1:6" x14ac:dyDescent="0.25">
      <c r="A119" s="4">
        <v>41699</v>
      </c>
      <c r="B119" s="5">
        <v>114</v>
      </c>
      <c r="C119" s="13">
        <f t="shared" si="7"/>
        <v>107.89541666666666</v>
      </c>
      <c r="D119" s="13">
        <f t="shared" si="8"/>
        <v>109.76111111111112</v>
      </c>
      <c r="E119" s="13">
        <f t="shared" si="9"/>
        <v>111.23666666666668</v>
      </c>
      <c r="F119" s="13">
        <f t="shared" si="10"/>
        <v>112.18333333333334</v>
      </c>
    </row>
    <row r="120" spans="1:6" x14ac:dyDescent="0.25">
      <c r="A120" s="4">
        <v>41730</v>
      </c>
      <c r="B120" s="5">
        <v>113.8</v>
      </c>
      <c r="C120" s="13">
        <f t="shared" si="7"/>
        <v>108.39916666666666</v>
      </c>
      <c r="D120" s="13">
        <f t="shared" si="8"/>
        <v>110.45</v>
      </c>
      <c r="E120" s="13">
        <f t="shared" si="9"/>
        <v>111.67333333333335</v>
      </c>
      <c r="F120" s="13">
        <f t="shared" si="10"/>
        <v>112.56666666666666</v>
      </c>
    </row>
    <row r="121" spans="1:6" x14ac:dyDescent="0.25">
      <c r="A121" s="4">
        <v>41760</v>
      </c>
      <c r="B121" s="5">
        <v>115.1</v>
      </c>
      <c r="C121" s="13">
        <f t="shared" si="7"/>
        <v>108.96375000000002</v>
      </c>
      <c r="D121" s="13">
        <f t="shared" si="8"/>
        <v>110.95833333333333</v>
      </c>
      <c r="E121" s="13">
        <f t="shared" si="9"/>
        <v>112.19249999999998</v>
      </c>
      <c r="F121" s="13">
        <f t="shared" si="10"/>
        <v>113.38333333333333</v>
      </c>
    </row>
    <row r="122" spans="1:6" x14ac:dyDescent="0.25">
      <c r="A122" s="4">
        <v>41791</v>
      </c>
      <c r="B122" s="5">
        <v>115.8</v>
      </c>
      <c r="C122" s="13">
        <f t="shared" si="7"/>
        <v>109.49666666666668</v>
      </c>
      <c r="D122" s="13">
        <f t="shared" si="8"/>
        <v>111.38277777777778</v>
      </c>
      <c r="E122" s="13">
        <f t="shared" si="9"/>
        <v>112.69166666666666</v>
      </c>
      <c r="F122" s="13">
        <f t="shared" si="10"/>
        <v>114.19999999999999</v>
      </c>
    </row>
    <row r="123" spans="1:6" x14ac:dyDescent="0.25">
      <c r="A123" s="4">
        <v>41821</v>
      </c>
      <c r="B123" s="5">
        <v>116.4</v>
      </c>
      <c r="C123" s="13">
        <f t="shared" si="7"/>
        <v>110.19375000000002</v>
      </c>
      <c r="D123" s="13">
        <f t="shared" si="8"/>
        <v>111.83777777777777</v>
      </c>
      <c r="E123" s="13">
        <f t="shared" si="9"/>
        <v>113.03333333333332</v>
      </c>
      <c r="F123" s="13">
        <f t="shared" si="10"/>
        <v>114.76666666666665</v>
      </c>
    </row>
    <row r="124" spans="1:6" x14ac:dyDescent="0.25">
      <c r="A124" s="4">
        <v>41852</v>
      </c>
      <c r="B124" s="5">
        <v>116.1</v>
      </c>
      <c r="C124" s="13">
        <f t="shared" si="7"/>
        <v>110.70083333333334</v>
      </c>
      <c r="D124" s="13">
        <f t="shared" si="8"/>
        <v>112.22499999999999</v>
      </c>
      <c r="E124" s="13">
        <f t="shared" si="9"/>
        <v>113.41666666666667</v>
      </c>
      <c r="F124" s="13">
        <f t="shared" si="10"/>
        <v>115.2</v>
      </c>
    </row>
    <row r="125" spans="1:6" x14ac:dyDescent="0.25">
      <c r="A125" s="4">
        <v>41883</v>
      </c>
      <c r="B125" s="5">
        <v>116.1</v>
      </c>
      <c r="C125" s="13">
        <f t="shared" si="7"/>
        <v>111.20833333333333</v>
      </c>
      <c r="D125" s="13">
        <f t="shared" si="8"/>
        <v>112.67444444444443</v>
      </c>
      <c r="E125" s="13">
        <f t="shared" si="9"/>
        <v>113.86666666666666</v>
      </c>
      <c r="F125" s="13">
        <f t="shared" si="10"/>
        <v>115.55000000000001</v>
      </c>
    </row>
    <row r="126" spans="1:6" x14ac:dyDescent="0.25">
      <c r="A126" s="4">
        <v>41913</v>
      </c>
      <c r="B126" s="5">
        <v>113.2</v>
      </c>
      <c r="C126" s="13">
        <f t="shared" si="7"/>
        <v>111.7</v>
      </c>
      <c r="D126" s="13">
        <f t="shared" si="8"/>
        <v>112.93222222222222</v>
      </c>
      <c r="E126" s="13">
        <f t="shared" si="9"/>
        <v>114.00833333333333</v>
      </c>
      <c r="F126" s="13">
        <f t="shared" si="10"/>
        <v>115.45</v>
      </c>
    </row>
    <row r="127" spans="1:6" x14ac:dyDescent="0.25">
      <c r="A127" s="4">
        <v>41944</v>
      </c>
      <c r="B127" s="5">
        <v>114.6</v>
      </c>
      <c r="C127" s="13">
        <f t="shared" si="7"/>
        <v>112.06041666666665</v>
      </c>
      <c r="D127" s="13">
        <f t="shared" si="8"/>
        <v>113.25055555555554</v>
      </c>
      <c r="E127" s="13">
        <f t="shared" si="9"/>
        <v>114.37499999999999</v>
      </c>
      <c r="F127" s="13">
        <f t="shared" si="10"/>
        <v>115.36666666666667</v>
      </c>
    </row>
    <row r="128" spans="1:6" x14ac:dyDescent="0.25">
      <c r="A128" s="4">
        <v>41974</v>
      </c>
      <c r="B128" s="5">
        <v>115.7</v>
      </c>
      <c r="C128" s="13">
        <f t="shared" si="7"/>
        <v>112.37458333333331</v>
      </c>
      <c r="D128" s="13">
        <f t="shared" si="8"/>
        <v>113.57777777777777</v>
      </c>
      <c r="E128" s="13">
        <f t="shared" si="9"/>
        <v>114.77499999999999</v>
      </c>
      <c r="F128" s="13">
        <f t="shared" si="10"/>
        <v>115.35000000000001</v>
      </c>
    </row>
    <row r="129" spans="1:6" x14ac:dyDescent="0.25">
      <c r="A129" s="4">
        <v>42005</v>
      </c>
      <c r="B129" s="5">
        <v>117.8</v>
      </c>
      <c r="C129" s="13">
        <f t="shared" si="7"/>
        <v>112.77416666666664</v>
      </c>
      <c r="D129" s="13">
        <f t="shared" si="8"/>
        <v>113.88333333333331</v>
      </c>
      <c r="E129" s="13">
        <f t="shared" si="9"/>
        <v>115.175</v>
      </c>
      <c r="F129" s="13">
        <f t="shared" si="10"/>
        <v>115.58333333333333</v>
      </c>
    </row>
    <row r="130" spans="1:6" x14ac:dyDescent="0.25">
      <c r="A130" s="4">
        <v>42036</v>
      </c>
      <c r="B130" s="5">
        <v>118.6</v>
      </c>
      <c r="C130" s="13">
        <f t="shared" si="7"/>
        <v>113.16874999999999</v>
      </c>
      <c r="D130" s="13">
        <f t="shared" si="8"/>
        <v>114.27777777777777</v>
      </c>
      <c r="E130" s="13">
        <f t="shared" si="9"/>
        <v>115.60000000000001</v>
      </c>
      <c r="F130" s="13">
        <f t="shared" si="10"/>
        <v>116</v>
      </c>
    </row>
    <row r="131" spans="1:6" x14ac:dyDescent="0.25">
      <c r="A131" s="4">
        <v>42064</v>
      </c>
      <c r="B131" s="5">
        <v>121.35899999999999</v>
      </c>
      <c r="C131" s="13">
        <f t="shared" si="7"/>
        <v>113.7249583333333</v>
      </c>
      <c r="D131" s="13">
        <f t="shared" si="8"/>
        <v>114.86994444444443</v>
      </c>
      <c r="E131" s="13">
        <f t="shared" si="9"/>
        <v>116.21325</v>
      </c>
      <c r="F131" s="13">
        <f t="shared" si="10"/>
        <v>116.87650000000001</v>
      </c>
    </row>
    <row r="132" spans="1:6" x14ac:dyDescent="0.25">
      <c r="A132" s="4">
        <v>42095</v>
      </c>
      <c r="B132" s="5">
        <v>122</v>
      </c>
      <c r="C132" s="13">
        <f t="shared" si="7"/>
        <v>114.28495833333334</v>
      </c>
      <c r="D132" s="13">
        <f t="shared" si="8"/>
        <v>115.45327777777776</v>
      </c>
      <c r="E132" s="13">
        <f t="shared" si="9"/>
        <v>116.89658333333334</v>
      </c>
      <c r="F132" s="13">
        <f t="shared" si="10"/>
        <v>118.34316666666668</v>
      </c>
    </row>
    <row r="133" spans="1:6" x14ac:dyDescent="0.25">
      <c r="A133" s="4">
        <v>42125</v>
      </c>
      <c r="B133" s="5">
        <v>122.6</v>
      </c>
      <c r="C133" s="13">
        <f t="shared" si="7"/>
        <v>114.85704166666665</v>
      </c>
      <c r="D133" s="13">
        <f t="shared" si="8"/>
        <v>116.14216666666665</v>
      </c>
      <c r="E133" s="13">
        <f t="shared" si="9"/>
        <v>117.52158333333331</v>
      </c>
      <c r="F133" s="13">
        <f t="shared" si="10"/>
        <v>119.67650000000002</v>
      </c>
    </row>
    <row r="134" spans="1:6" x14ac:dyDescent="0.25">
      <c r="A134" s="4">
        <v>42156</v>
      </c>
      <c r="B134" s="5">
        <v>122</v>
      </c>
      <c r="C134" s="13">
        <f t="shared" si="7"/>
        <v>115.36495833333332</v>
      </c>
      <c r="D134" s="13">
        <f t="shared" si="8"/>
        <v>116.75883333333331</v>
      </c>
      <c r="E134" s="13">
        <f t="shared" si="9"/>
        <v>118.03824999999999</v>
      </c>
      <c r="F134" s="13">
        <f t="shared" si="10"/>
        <v>120.72649999999999</v>
      </c>
    </row>
    <row r="135" spans="1:6" x14ac:dyDescent="0.25">
      <c r="A135" s="4">
        <v>42186</v>
      </c>
      <c r="B135" s="5">
        <v>125.5</v>
      </c>
      <c r="C135" s="13">
        <f t="shared" si="7"/>
        <v>115.9149583333333</v>
      </c>
      <c r="D135" s="13">
        <f t="shared" si="8"/>
        <v>117.45327777777776</v>
      </c>
      <c r="E135" s="13">
        <f t="shared" si="9"/>
        <v>118.79658333333333</v>
      </c>
      <c r="F135" s="13">
        <f t="shared" si="10"/>
        <v>122.00983333333333</v>
      </c>
    </row>
    <row r="136" spans="1:6" x14ac:dyDescent="0.25">
      <c r="A136" s="4">
        <v>42217</v>
      </c>
      <c r="B136" s="5">
        <v>126.1</v>
      </c>
      <c r="C136" s="13">
        <f t="shared" si="7"/>
        <v>116.52329166666665</v>
      </c>
      <c r="D136" s="13">
        <f t="shared" si="8"/>
        <v>118.15327777777777</v>
      </c>
      <c r="E136" s="13">
        <f t="shared" si="9"/>
        <v>119.62991666666666</v>
      </c>
      <c r="F136" s="13">
        <f t="shared" si="10"/>
        <v>123.25983333333333</v>
      </c>
    </row>
    <row r="137" spans="1:6" x14ac:dyDescent="0.25">
      <c r="A137" s="4">
        <v>42248</v>
      </c>
      <c r="B137" s="5">
        <v>126.5</v>
      </c>
      <c r="C137" s="13">
        <f t="shared" si="7"/>
        <v>117.18162499999998</v>
      </c>
      <c r="D137" s="13">
        <f t="shared" si="8"/>
        <v>118.84772222222222</v>
      </c>
      <c r="E137" s="13">
        <f t="shared" si="9"/>
        <v>120.49658333333332</v>
      </c>
      <c r="F137" s="13">
        <f t="shared" si="10"/>
        <v>124.11666666666667</v>
      </c>
    </row>
    <row r="138" spans="1:6" x14ac:dyDescent="0.25">
      <c r="A138" s="4">
        <v>42278</v>
      </c>
      <c r="B138" s="5">
        <v>128.4</v>
      </c>
      <c r="C138" s="13">
        <f t="shared" si="7"/>
        <v>117.88579166666665</v>
      </c>
      <c r="D138" s="13">
        <f t="shared" si="8"/>
        <v>119.65883333333333</v>
      </c>
      <c r="E138" s="13">
        <f t="shared" si="9"/>
        <v>121.76325000000001</v>
      </c>
      <c r="F138" s="13">
        <f t="shared" si="10"/>
        <v>125.18333333333334</v>
      </c>
    </row>
    <row r="139" spans="1:6" x14ac:dyDescent="0.25">
      <c r="A139" s="4">
        <v>42309</v>
      </c>
      <c r="B139" s="5">
        <v>127.4</v>
      </c>
      <c r="C139" s="13">
        <f t="shared" si="7"/>
        <v>118.60245833333333</v>
      </c>
      <c r="D139" s="13">
        <f t="shared" si="8"/>
        <v>120.34216666666664</v>
      </c>
      <c r="E139" s="13">
        <f t="shared" si="9"/>
        <v>122.82991666666669</v>
      </c>
      <c r="F139" s="13">
        <f t="shared" si="10"/>
        <v>125.98333333333333</v>
      </c>
    </row>
    <row r="140" spans="1:6" x14ac:dyDescent="0.25">
      <c r="A140" s="4">
        <v>42339</v>
      </c>
      <c r="B140" s="5">
        <v>124.346</v>
      </c>
      <c r="C140" s="13">
        <f t="shared" si="7"/>
        <v>119.16270833333333</v>
      </c>
      <c r="D140" s="13">
        <f t="shared" si="8"/>
        <v>120.81694444444445</v>
      </c>
      <c r="E140" s="13">
        <f t="shared" si="9"/>
        <v>123.55041666666666</v>
      </c>
      <c r="F140" s="13">
        <f t="shared" si="10"/>
        <v>126.37433333333333</v>
      </c>
    </row>
    <row r="141" spans="1:6" x14ac:dyDescent="0.25">
      <c r="A141" s="4">
        <v>42370</v>
      </c>
      <c r="B141" s="5">
        <v>123.8</v>
      </c>
      <c r="C141" s="13">
        <f t="shared" si="7"/>
        <v>119.61270833333333</v>
      </c>
      <c r="D141" s="13">
        <f t="shared" si="8"/>
        <v>121.22805555555558</v>
      </c>
      <c r="E141" s="13">
        <f t="shared" si="9"/>
        <v>124.05041666666666</v>
      </c>
      <c r="F141" s="13">
        <f t="shared" si="10"/>
        <v>126.09099999999999</v>
      </c>
    </row>
    <row r="142" spans="1:6" x14ac:dyDescent="0.25">
      <c r="A142" s="4">
        <v>42401</v>
      </c>
      <c r="B142" s="5">
        <v>123.8</v>
      </c>
      <c r="C142" s="13">
        <f t="shared" si="7"/>
        <v>120.04187500000002</v>
      </c>
      <c r="D142" s="13">
        <f t="shared" si="8"/>
        <v>121.65583333333335</v>
      </c>
      <c r="E142" s="13">
        <f t="shared" si="9"/>
        <v>124.48374999999999</v>
      </c>
      <c r="F142" s="13">
        <f t="shared" si="10"/>
        <v>125.70766666666667</v>
      </c>
    </row>
    <row r="143" spans="1:6" x14ac:dyDescent="0.25">
      <c r="A143" s="4">
        <v>42430</v>
      </c>
      <c r="B143" s="5">
        <v>123.5</v>
      </c>
      <c r="C143" s="13">
        <f t="shared" si="7"/>
        <v>120.43770833333336</v>
      </c>
      <c r="D143" s="13">
        <f t="shared" si="8"/>
        <v>122.06694444444445</v>
      </c>
      <c r="E143" s="13">
        <f t="shared" si="9"/>
        <v>124.66216666666666</v>
      </c>
      <c r="F143" s="13">
        <f t="shared" si="10"/>
        <v>125.20766666666667</v>
      </c>
    </row>
    <row r="144" spans="1:6" x14ac:dyDescent="0.25">
      <c r="A144" s="4">
        <v>42461</v>
      </c>
      <c r="B144" s="5">
        <v>122.4</v>
      </c>
      <c r="C144" s="13">
        <f t="shared" si="7"/>
        <v>120.79604166666668</v>
      </c>
      <c r="D144" s="13">
        <f t="shared" si="8"/>
        <v>122.57805555555557</v>
      </c>
      <c r="E144" s="13">
        <f t="shared" si="9"/>
        <v>124.6955</v>
      </c>
      <c r="F144" s="13">
        <f t="shared" si="10"/>
        <v>124.20766666666667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theme="3" tint="0.79998168889431442"/>
  </sheetPr>
  <dimension ref="A1:T1382"/>
  <sheetViews>
    <sheetView topLeftCell="A6" workbookViewId="0">
      <selection activeCell="I2" sqref="I2:J319"/>
    </sheetView>
  </sheetViews>
  <sheetFormatPr defaultRowHeight="15" x14ac:dyDescent="0.25"/>
  <cols>
    <col min="1" max="1" width="11.140625" bestFit="1" customWidth="1"/>
    <col min="2" max="2" width="11.140625" customWidth="1"/>
    <col min="9" max="9" width="13.140625" bestFit="1" customWidth="1"/>
    <col min="10" max="10" width="21.7109375" bestFit="1" customWidth="1"/>
    <col min="13" max="13" width="9.7109375" style="1" bestFit="1" customWidth="1"/>
  </cols>
  <sheetData>
    <row r="1" spans="1:20" x14ac:dyDescent="0.25">
      <c r="B1" t="s">
        <v>12</v>
      </c>
      <c r="C1" s="1" t="s">
        <v>0</v>
      </c>
      <c r="I1" s="9" t="s">
        <v>13</v>
      </c>
      <c r="J1" t="s">
        <v>16</v>
      </c>
      <c r="N1" t="s">
        <v>0</v>
      </c>
      <c r="O1" t="s">
        <v>33</v>
      </c>
      <c r="P1" t="s">
        <v>23</v>
      </c>
      <c r="Q1" t="s">
        <v>32</v>
      </c>
      <c r="R1" t="s">
        <v>29</v>
      </c>
      <c r="S1" t="s">
        <v>30</v>
      </c>
      <c r="T1" t="s">
        <v>31</v>
      </c>
    </row>
    <row r="2" spans="1:20" x14ac:dyDescent="0.25">
      <c r="A2" s="1">
        <v>32878</v>
      </c>
      <c r="B2" s="1">
        <f>A2-DAY(A2)+1</f>
        <v>32874</v>
      </c>
      <c r="C2">
        <v>80.2</v>
      </c>
      <c r="I2" s="10">
        <v>32874</v>
      </c>
      <c r="J2" s="12">
        <v>92.4</v>
      </c>
      <c r="M2" s="1">
        <v>32874</v>
      </c>
      <c r="N2">
        <v>92.4</v>
      </c>
      <c r="O2" t="e">
        <f>VLOOKUP(M2,'Hosing Inventory'!B:D,3,0)</f>
        <v>#N/A</v>
      </c>
      <c r="P2" s="8" t="e">
        <f>N2/VLOOKUP(M2,'Hosing Inventory'!B:D,3,0)</f>
        <v>#N/A</v>
      </c>
      <c r="Q2" s="8" t="e">
        <v>#N/A</v>
      </c>
      <c r="R2" s="8" t="e">
        <v>#N/A</v>
      </c>
      <c r="S2" s="8" t="e">
        <v>#N/A</v>
      </c>
      <c r="T2" s="8" t="e">
        <v>#N/A</v>
      </c>
    </row>
    <row r="3" spans="1:20" x14ac:dyDescent="0.25">
      <c r="A3" s="1">
        <v>32885</v>
      </c>
      <c r="B3" s="1">
        <f t="shared" ref="B3:B66" si="0">A3-DAY(A3)+1</f>
        <v>32874</v>
      </c>
      <c r="C3">
        <v>83.3</v>
      </c>
      <c r="I3" s="10">
        <v>32905</v>
      </c>
      <c r="J3" s="12">
        <v>100.175</v>
      </c>
      <c r="M3" s="1">
        <v>32905</v>
      </c>
      <c r="N3">
        <v>100.175</v>
      </c>
      <c r="O3" t="e">
        <f>VLOOKUP(M3,'Hosing Inventory'!B:D,3,0)</f>
        <v>#N/A</v>
      </c>
      <c r="P3" s="8" t="e">
        <f>N3/VLOOKUP(M3,'Hosing Inventory'!B:D,3,0)</f>
        <v>#N/A</v>
      </c>
      <c r="Q3" s="8" t="e">
        <v>#N/A</v>
      </c>
      <c r="R3" s="8" t="e">
        <v>#N/A</v>
      </c>
      <c r="S3" s="8" t="e">
        <v>#N/A</v>
      </c>
      <c r="T3" s="8" t="e">
        <v>#N/A</v>
      </c>
    </row>
    <row r="4" spans="1:20" x14ac:dyDescent="0.25">
      <c r="A4" s="1">
        <v>32892</v>
      </c>
      <c r="B4" s="1">
        <f t="shared" si="0"/>
        <v>32874</v>
      </c>
      <c r="C4">
        <v>101.2</v>
      </c>
      <c r="I4" s="10">
        <v>32933</v>
      </c>
      <c r="J4" s="12">
        <v>92.28</v>
      </c>
      <c r="M4" s="1">
        <v>32933</v>
      </c>
      <c r="N4">
        <v>92.28</v>
      </c>
      <c r="O4" t="e">
        <f>VLOOKUP(M4,'Hosing Inventory'!B:D,3,0)</f>
        <v>#N/A</v>
      </c>
      <c r="P4" s="8" t="e">
        <f>N4/VLOOKUP(M4,'Hosing Inventory'!B:D,3,0)</f>
        <v>#N/A</v>
      </c>
      <c r="Q4" s="8" t="e">
        <v>#N/A</v>
      </c>
      <c r="R4" s="8" t="e">
        <v>#N/A</v>
      </c>
      <c r="S4" s="8" t="e">
        <v>#N/A</v>
      </c>
      <c r="T4" s="8" t="e">
        <v>#N/A</v>
      </c>
    </row>
    <row r="5" spans="1:20" x14ac:dyDescent="0.25">
      <c r="A5" s="1">
        <v>32899</v>
      </c>
      <c r="B5" s="1">
        <f t="shared" si="0"/>
        <v>32874</v>
      </c>
      <c r="C5">
        <v>104.9</v>
      </c>
      <c r="I5" s="10">
        <v>32964</v>
      </c>
      <c r="J5" s="12">
        <v>91.25</v>
      </c>
      <c r="M5" s="1">
        <v>32964</v>
      </c>
      <c r="N5">
        <v>91.25</v>
      </c>
      <c r="O5" t="e">
        <f>VLOOKUP(M5,'Hosing Inventory'!B:D,3,0)</f>
        <v>#N/A</v>
      </c>
      <c r="P5" s="8" t="e">
        <f>N5/VLOOKUP(M5,'Hosing Inventory'!B:D,3,0)</f>
        <v>#N/A</v>
      </c>
      <c r="Q5" s="8" t="e">
        <v>#N/A</v>
      </c>
      <c r="R5" s="8" t="e">
        <v>#N/A</v>
      </c>
      <c r="S5" s="8" t="e">
        <v>#N/A</v>
      </c>
      <c r="T5" s="8" t="e">
        <v>#N/A</v>
      </c>
    </row>
    <row r="6" spans="1:20" x14ac:dyDescent="0.25">
      <c r="A6" s="1">
        <v>32906</v>
      </c>
      <c r="B6" s="1">
        <f t="shared" si="0"/>
        <v>32905</v>
      </c>
      <c r="C6">
        <v>95.3</v>
      </c>
      <c r="I6" s="10">
        <v>32994</v>
      </c>
      <c r="J6" s="12">
        <v>85.5</v>
      </c>
      <c r="M6" s="1">
        <v>32994</v>
      </c>
      <c r="N6">
        <v>85.5</v>
      </c>
      <c r="O6" t="e">
        <f>VLOOKUP(M6,'Hosing Inventory'!B:D,3,0)</f>
        <v>#N/A</v>
      </c>
      <c r="P6" s="8" t="e">
        <f>N6/VLOOKUP(M6,'Hosing Inventory'!B:D,3,0)</f>
        <v>#N/A</v>
      </c>
      <c r="Q6" s="8" t="e">
        <v>#N/A</v>
      </c>
      <c r="R6" s="8" t="e">
        <v>#N/A</v>
      </c>
      <c r="S6" s="8" t="e">
        <v>#N/A</v>
      </c>
      <c r="T6" s="8" t="e">
        <v>#N/A</v>
      </c>
    </row>
    <row r="7" spans="1:20" x14ac:dyDescent="0.25">
      <c r="A7" s="1">
        <v>32913</v>
      </c>
      <c r="B7" s="1">
        <f t="shared" si="0"/>
        <v>32905</v>
      </c>
      <c r="C7">
        <v>93.2</v>
      </c>
      <c r="I7" s="10">
        <v>33025</v>
      </c>
      <c r="J7" s="12">
        <v>92</v>
      </c>
      <c r="M7" s="1">
        <v>33025</v>
      </c>
      <c r="N7">
        <v>92</v>
      </c>
      <c r="O7" t="e">
        <f>VLOOKUP(M7,'Hosing Inventory'!B:D,3,0)</f>
        <v>#N/A</v>
      </c>
      <c r="P7" s="8" t="e">
        <f>N7/VLOOKUP(M7,'Hosing Inventory'!B:D,3,0)</f>
        <v>#N/A</v>
      </c>
      <c r="Q7" s="8" t="e">
        <v>#N/A</v>
      </c>
      <c r="R7" s="8" t="e">
        <v>#N/A</v>
      </c>
      <c r="S7" s="8" t="e">
        <v>#N/A</v>
      </c>
      <c r="T7" s="8" t="e">
        <v>#N/A</v>
      </c>
    </row>
    <row r="8" spans="1:20" x14ac:dyDescent="0.25">
      <c r="A8" s="1">
        <v>32920</v>
      </c>
      <c r="B8" s="1">
        <f t="shared" si="0"/>
        <v>32905</v>
      </c>
      <c r="C8">
        <v>93.4</v>
      </c>
      <c r="I8" s="10">
        <v>33055</v>
      </c>
      <c r="J8" s="12">
        <v>88.65</v>
      </c>
      <c r="M8" s="1">
        <v>33055</v>
      </c>
      <c r="N8">
        <v>88.65</v>
      </c>
      <c r="O8" t="e">
        <f>VLOOKUP(M8,'Hosing Inventory'!B:D,3,0)</f>
        <v>#N/A</v>
      </c>
      <c r="P8" s="8" t="e">
        <f>N8/VLOOKUP(M8,'Hosing Inventory'!B:D,3,0)</f>
        <v>#N/A</v>
      </c>
      <c r="Q8" s="8" t="e">
        <v>#N/A</v>
      </c>
      <c r="R8" s="8" t="e">
        <v>#N/A</v>
      </c>
      <c r="S8" s="8" t="e">
        <v>#N/A</v>
      </c>
      <c r="T8" s="8" t="e">
        <v>#N/A</v>
      </c>
    </row>
    <row r="9" spans="1:20" x14ac:dyDescent="0.25">
      <c r="A9" s="1">
        <v>32927</v>
      </c>
      <c r="B9" s="1">
        <f t="shared" si="0"/>
        <v>32905</v>
      </c>
      <c r="C9">
        <v>118.8</v>
      </c>
      <c r="I9" s="10">
        <v>33086</v>
      </c>
      <c r="J9" s="12">
        <v>89.179999999999993</v>
      </c>
      <c r="M9" s="1">
        <v>33086</v>
      </c>
      <c r="N9">
        <v>89.179999999999993</v>
      </c>
      <c r="O9" t="e">
        <f>VLOOKUP(M9,'Hosing Inventory'!B:D,3,0)</f>
        <v>#N/A</v>
      </c>
      <c r="P9" s="8" t="e">
        <f>N9/VLOOKUP(M9,'Hosing Inventory'!B:D,3,0)</f>
        <v>#N/A</v>
      </c>
      <c r="Q9" s="8" t="e">
        <v>#N/A</v>
      </c>
      <c r="R9" s="8" t="e">
        <v>#N/A</v>
      </c>
      <c r="S9" s="8" t="e">
        <v>#N/A</v>
      </c>
      <c r="T9" s="8" t="e">
        <v>#N/A</v>
      </c>
    </row>
    <row r="10" spans="1:20" x14ac:dyDescent="0.25">
      <c r="A10" s="1">
        <v>32934</v>
      </c>
      <c r="B10" s="1">
        <f t="shared" si="0"/>
        <v>32933</v>
      </c>
      <c r="C10">
        <v>95.5</v>
      </c>
      <c r="I10" s="10">
        <v>33117</v>
      </c>
      <c r="J10" s="12">
        <v>80.45</v>
      </c>
      <c r="M10" s="1">
        <v>33117</v>
      </c>
      <c r="N10">
        <v>80.45</v>
      </c>
      <c r="O10" t="e">
        <f>VLOOKUP(M10,'Hosing Inventory'!B:D,3,0)</f>
        <v>#N/A</v>
      </c>
      <c r="P10" s="8" t="e">
        <f>N10/VLOOKUP(M10,'Hosing Inventory'!B:D,3,0)</f>
        <v>#N/A</v>
      </c>
      <c r="Q10" s="8" t="e">
        <v>#N/A</v>
      </c>
      <c r="R10" s="8" t="e">
        <v>#N/A</v>
      </c>
      <c r="S10" s="8" t="e">
        <v>#N/A</v>
      </c>
      <c r="T10" s="8" t="e">
        <v>#N/A</v>
      </c>
    </row>
    <row r="11" spans="1:20" x14ac:dyDescent="0.25">
      <c r="A11" s="1">
        <v>32941</v>
      </c>
      <c r="B11" s="1">
        <f t="shared" si="0"/>
        <v>32933</v>
      </c>
      <c r="C11">
        <v>88.7</v>
      </c>
      <c r="I11" s="10">
        <v>33147</v>
      </c>
      <c r="J11" s="12">
        <v>74.949999999999989</v>
      </c>
      <c r="M11" s="1">
        <v>33147</v>
      </c>
      <c r="N11">
        <v>74.949999999999989</v>
      </c>
      <c r="O11" t="e">
        <f>VLOOKUP(M11,'Hosing Inventory'!B:D,3,0)</f>
        <v>#N/A</v>
      </c>
      <c r="P11" s="8" t="e">
        <f>N11/VLOOKUP(M11,'Hosing Inventory'!B:D,3,0)</f>
        <v>#N/A</v>
      </c>
      <c r="Q11" s="8" t="e">
        <v>#N/A</v>
      </c>
      <c r="R11" s="8" t="e">
        <v>#N/A</v>
      </c>
      <c r="S11" s="8" t="e">
        <v>#N/A</v>
      </c>
      <c r="T11" s="8" t="e">
        <v>#N/A</v>
      </c>
    </row>
    <row r="12" spans="1:20" x14ac:dyDescent="0.25">
      <c r="A12" s="1">
        <v>32948</v>
      </c>
      <c r="B12" s="1">
        <f t="shared" si="0"/>
        <v>32933</v>
      </c>
      <c r="C12">
        <v>86.7</v>
      </c>
      <c r="I12" s="10">
        <v>33178</v>
      </c>
      <c r="J12" s="12">
        <v>81.84</v>
      </c>
      <c r="M12" s="1">
        <v>33178</v>
      </c>
      <c r="N12">
        <v>81.84</v>
      </c>
      <c r="O12" t="e">
        <f>VLOOKUP(M12,'Hosing Inventory'!B:D,3,0)</f>
        <v>#N/A</v>
      </c>
      <c r="P12" s="8" t="e">
        <f>N12/VLOOKUP(M12,'Hosing Inventory'!B:D,3,0)</f>
        <v>#N/A</v>
      </c>
      <c r="Q12" s="8" t="e">
        <v>#N/A</v>
      </c>
      <c r="R12" s="8" t="e">
        <v>#N/A</v>
      </c>
      <c r="S12" s="8" t="e">
        <v>#N/A</v>
      </c>
      <c r="T12" s="8" t="e">
        <v>#N/A</v>
      </c>
    </row>
    <row r="13" spans="1:20" x14ac:dyDescent="0.25">
      <c r="A13" s="1">
        <v>32955</v>
      </c>
      <c r="B13" s="1">
        <f t="shared" si="0"/>
        <v>32933</v>
      </c>
      <c r="C13">
        <v>94.3</v>
      </c>
      <c r="I13" s="10">
        <v>33208</v>
      </c>
      <c r="J13" s="12">
        <v>78.900000000000006</v>
      </c>
      <c r="M13" s="1">
        <v>33208</v>
      </c>
      <c r="N13">
        <v>78.900000000000006</v>
      </c>
      <c r="O13" t="e">
        <f>VLOOKUP(M13,'Hosing Inventory'!B:D,3,0)</f>
        <v>#N/A</v>
      </c>
      <c r="P13" s="8" t="e">
        <f>N13/VLOOKUP(M13,'Hosing Inventory'!B:D,3,0)</f>
        <v>#N/A</v>
      </c>
      <c r="Q13" s="8" t="e">
        <v>#N/A</v>
      </c>
      <c r="R13" s="8" t="e">
        <v>#N/A</v>
      </c>
      <c r="S13" s="8" t="e">
        <v>#N/A</v>
      </c>
      <c r="T13" s="8" t="e">
        <v>#N/A</v>
      </c>
    </row>
    <row r="14" spans="1:20" x14ac:dyDescent="0.25">
      <c r="A14" s="1">
        <v>32962</v>
      </c>
      <c r="B14" s="1">
        <f t="shared" si="0"/>
        <v>32933</v>
      </c>
      <c r="C14">
        <v>96.2</v>
      </c>
      <c r="I14" s="10">
        <v>33239</v>
      </c>
      <c r="J14" s="12">
        <v>87.375</v>
      </c>
      <c r="M14" s="1">
        <v>33239</v>
      </c>
      <c r="N14">
        <v>87.375</v>
      </c>
      <c r="O14" t="e">
        <f>VLOOKUP(M14,'Hosing Inventory'!B:D,3,0)</f>
        <v>#N/A</v>
      </c>
      <c r="P14" s="8" t="e">
        <f>N14/VLOOKUP(M14,'Hosing Inventory'!B:D,3,0)</f>
        <v>#N/A</v>
      </c>
      <c r="Q14" s="8" t="e">
        <v>#N/A</v>
      </c>
      <c r="R14" s="8" t="e">
        <v>#N/A</v>
      </c>
      <c r="S14" s="8" t="e">
        <v>#N/A</v>
      </c>
      <c r="T14" s="8" t="e">
        <v>#N/A</v>
      </c>
    </row>
    <row r="15" spans="1:20" x14ac:dyDescent="0.25">
      <c r="A15" s="1">
        <v>32969</v>
      </c>
      <c r="B15" s="1">
        <f t="shared" si="0"/>
        <v>32964</v>
      </c>
      <c r="C15">
        <v>86.7</v>
      </c>
      <c r="I15" s="10">
        <v>33270</v>
      </c>
      <c r="J15" s="12">
        <v>98.8</v>
      </c>
      <c r="M15" s="1">
        <v>33270</v>
      </c>
      <c r="N15">
        <v>98.8</v>
      </c>
      <c r="O15" t="e">
        <f>VLOOKUP(M15,'Hosing Inventory'!B:D,3,0)</f>
        <v>#N/A</v>
      </c>
      <c r="P15" s="8" t="e">
        <f>N15/VLOOKUP(M15,'Hosing Inventory'!B:D,3,0)</f>
        <v>#N/A</v>
      </c>
      <c r="Q15" s="8" t="e">
        <v>#N/A</v>
      </c>
      <c r="R15" s="8" t="e">
        <v>#N/A</v>
      </c>
      <c r="S15" s="8" t="e">
        <v>#N/A</v>
      </c>
      <c r="T15" s="8" t="e">
        <v>#N/A</v>
      </c>
    </row>
    <row r="16" spans="1:20" x14ac:dyDescent="0.25">
      <c r="A16" s="1">
        <v>32976</v>
      </c>
      <c r="B16" s="1">
        <f t="shared" si="0"/>
        <v>32964</v>
      </c>
      <c r="C16">
        <v>114.2</v>
      </c>
      <c r="I16" s="10">
        <v>33298</v>
      </c>
      <c r="J16" s="12">
        <v>114.6</v>
      </c>
      <c r="M16" s="1">
        <v>33298</v>
      </c>
      <c r="N16">
        <v>114.6</v>
      </c>
      <c r="O16" t="e">
        <f>VLOOKUP(M16,'Hosing Inventory'!B:D,3,0)</f>
        <v>#N/A</v>
      </c>
      <c r="P16" s="8" t="e">
        <f>N16/VLOOKUP(M16,'Hosing Inventory'!B:D,3,0)</f>
        <v>#N/A</v>
      </c>
      <c r="Q16" s="8" t="e">
        <v>#N/A</v>
      </c>
      <c r="R16" s="8" t="e">
        <v>#N/A</v>
      </c>
      <c r="S16" s="8" t="e">
        <v>#N/A</v>
      </c>
      <c r="T16" s="8" t="e">
        <v>#N/A</v>
      </c>
    </row>
    <row r="17" spans="1:20" x14ac:dyDescent="0.25">
      <c r="A17" s="1">
        <v>32983</v>
      </c>
      <c r="B17" s="1">
        <f t="shared" si="0"/>
        <v>32964</v>
      </c>
      <c r="C17">
        <v>81.2</v>
      </c>
      <c r="I17" s="10">
        <v>33329</v>
      </c>
      <c r="J17" s="12">
        <v>112</v>
      </c>
      <c r="M17" s="1">
        <v>33329</v>
      </c>
      <c r="N17">
        <v>112</v>
      </c>
      <c r="O17" t="e">
        <f>VLOOKUP(M17,'Hosing Inventory'!B:D,3,0)</f>
        <v>#N/A</v>
      </c>
      <c r="P17" s="8" t="e">
        <f>N17/VLOOKUP(M17,'Hosing Inventory'!B:D,3,0)</f>
        <v>#N/A</v>
      </c>
      <c r="Q17" s="8" t="e">
        <v>#N/A</v>
      </c>
      <c r="R17" s="8" t="e">
        <v>#N/A</v>
      </c>
      <c r="S17" s="8" t="e">
        <v>#N/A</v>
      </c>
      <c r="T17" s="8" t="e">
        <v>#N/A</v>
      </c>
    </row>
    <row r="18" spans="1:20" x14ac:dyDescent="0.25">
      <c r="A18" s="1">
        <v>32990</v>
      </c>
      <c r="B18" s="1">
        <f t="shared" si="0"/>
        <v>32964</v>
      </c>
      <c r="C18">
        <v>82.9</v>
      </c>
      <c r="I18" s="10">
        <v>33359</v>
      </c>
      <c r="J18" s="12">
        <v>117.32000000000001</v>
      </c>
      <c r="M18" s="1">
        <v>33359</v>
      </c>
      <c r="N18">
        <v>117.32000000000001</v>
      </c>
      <c r="O18" t="e">
        <f>VLOOKUP(M18,'Hosing Inventory'!B:D,3,0)</f>
        <v>#N/A</v>
      </c>
      <c r="P18" s="8" t="e">
        <f>N18/VLOOKUP(M18,'Hosing Inventory'!B:D,3,0)</f>
        <v>#N/A</v>
      </c>
      <c r="Q18" s="8" t="e">
        <v>#N/A</v>
      </c>
      <c r="R18" s="8" t="e">
        <v>#N/A</v>
      </c>
      <c r="S18" s="8" t="e">
        <v>#N/A</v>
      </c>
      <c r="T18" s="8" t="e">
        <v>#N/A</v>
      </c>
    </row>
    <row r="19" spans="1:20" x14ac:dyDescent="0.25">
      <c r="A19" s="1">
        <v>32997</v>
      </c>
      <c r="B19" s="1">
        <f t="shared" si="0"/>
        <v>32994</v>
      </c>
      <c r="C19">
        <v>81.5</v>
      </c>
      <c r="I19" s="10">
        <v>33390</v>
      </c>
      <c r="J19" s="12">
        <v>113.875</v>
      </c>
      <c r="M19" s="1">
        <v>33390</v>
      </c>
      <c r="N19">
        <v>113.875</v>
      </c>
      <c r="O19" t="e">
        <f>VLOOKUP(M19,'Hosing Inventory'!B:D,3,0)</f>
        <v>#N/A</v>
      </c>
      <c r="P19" s="8" t="e">
        <f>N19/VLOOKUP(M19,'Hosing Inventory'!B:D,3,0)</f>
        <v>#N/A</v>
      </c>
      <c r="Q19" s="8" t="e">
        <v>#N/A</v>
      </c>
      <c r="R19" s="8" t="e">
        <v>#N/A</v>
      </c>
      <c r="S19" s="8" t="e">
        <v>#N/A</v>
      </c>
      <c r="T19" s="8" t="e">
        <v>#N/A</v>
      </c>
    </row>
    <row r="20" spans="1:20" x14ac:dyDescent="0.25">
      <c r="A20" s="1">
        <v>33004</v>
      </c>
      <c r="B20" s="1">
        <f t="shared" si="0"/>
        <v>32994</v>
      </c>
      <c r="C20">
        <v>85.8</v>
      </c>
      <c r="I20" s="10">
        <v>33420</v>
      </c>
      <c r="J20" s="12">
        <v>116.875</v>
      </c>
      <c r="M20" s="1">
        <v>33420</v>
      </c>
      <c r="N20">
        <v>116.875</v>
      </c>
      <c r="O20" t="e">
        <f>VLOOKUP(M20,'Hosing Inventory'!B:D,3,0)</f>
        <v>#N/A</v>
      </c>
      <c r="P20" s="8" t="e">
        <f>N20/VLOOKUP(M20,'Hosing Inventory'!B:D,3,0)</f>
        <v>#N/A</v>
      </c>
      <c r="Q20" s="8" t="e">
        <v>#N/A</v>
      </c>
      <c r="R20" s="8" t="e">
        <v>#N/A</v>
      </c>
      <c r="S20" s="8" t="e">
        <v>#N/A</v>
      </c>
      <c r="T20" s="8" t="e">
        <v>#N/A</v>
      </c>
    </row>
    <row r="21" spans="1:20" x14ac:dyDescent="0.25">
      <c r="A21" s="1">
        <v>33011</v>
      </c>
      <c r="B21" s="1">
        <f t="shared" si="0"/>
        <v>32994</v>
      </c>
      <c r="C21">
        <v>85.2</v>
      </c>
      <c r="I21" s="10">
        <v>33451</v>
      </c>
      <c r="J21" s="12">
        <v>105.25999999999999</v>
      </c>
      <c r="M21" s="1">
        <v>33451</v>
      </c>
      <c r="N21">
        <v>105.25999999999999</v>
      </c>
      <c r="O21" t="e">
        <f>VLOOKUP(M21,'Hosing Inventory'!B:D,3,0)</f>
        <v>#N/A</v>
      </c>
      <c r="P21" s="8" t="e">
        <f>N21/VLOOKUP(M21,'Hosing Inventory'!B:D,3,0)</f>
        <v>#N/A</v>
      </c>
      <c r="Q21" s="8" t="e">
        <v>#N/A</v>
      </c>
      <c r="R21" s="8" t="e">
        <v>#N/A</v>
      </c>
      <c r="S21" s="8" t="e">
        <v>#N/A</v>
      </c>
      <c r="T21" s="8" t="e">
        <v>#N/A</v>
      </c>
    </row>
    <row r="22" spans="1:20" x14ac:dyDescent="0.25">
      <c r="A22" s="1">
        <v>33018</v>
      </c>
      <c r="B22" s="1">
        <f t="shared" si="0"/>
        <v>32994</v>
      </c>
      <c r="C22">
        <v>89.5</v>
      </c>
      <c r="I22" s="10">
        <v>33482</v>
      </c>
      <c r="J22" s="12">
        <v>106.89999999999999</v>
      </c>
      <c r="M22" s="1">
        <v>33482</v>
      </c>
      <c r="N22">
        <v>106.89999999999999</v>
      </c>
      <c r="O22" t="e">
        <f>VLOOKUP(M22,'Hosing Inventory'!B:D,3,0)</f>
        <v>#N/A</v>
      </c>
      <c r="P22" s="8" t="e">
        <f>N22/VLOOKUP(M22,'Hosing Inventory'!B:D,3,0)</f>
        <v>#N/A</v>
      </c>
      <c r="Q22" s="8" t="e">
        <v>#N/A</v>
      </c>
      <c r="R22" s="8" t="e">
        <v>#N/A</v>
      </c>
      <c r="S22" s="8" t="e">
        <v>#N/A</v>
      </c>
      <c r="T22" s="8" t="e">
        <v>#N/A</v>
      </c>
    </row>
    <row r="23" spans="1:20" x14ac:dyDescent="0.25">
      <c r="A23" s="1">
        <v>33025</v>
      </c>
      <c r="B23" s="1">
        <f t="shared" si="0"/>
        <v>33025</v>
      </c>
      <c r="C23">
        <v>101.1</v>
      </c>
      <c r="I23" s="10">
        <v>33512</v>
      </c>
      <c r="J23" s="12">
        <v>112.22499999999999</v>
      </c>
      <c r="M23" s="1">
        <v>33512</v>
      </c>
      <c r="N23">
        <v>112.22499999999999</v>
      </c>
      <c r="O23" t="e">
        <f>VLOOKUP(M23,'Hosing Inventory'!B:D,3,0)</f>
        <v>#N/A</v>
      </c>
      <c r="P23" s="8" t="e">
        <f>N23/VLOOKUP(M23,'Hosing Inventory'!B:D,3,0)</f>
        <v>#N/A</v>
      </c>
      <c r="Q23" s="8" t="e">
        <v>#N/A</v>
      </c>
      <c r="R23" s="8" t="e">
        <v>#N/A</v>
      </c>
      <c r="S23" s="8" t="e">
        <v>#N/A</v>
      </c>
      <c r="T23" s="8" t="e">
        <v>#N/A</v>
      </c>
    </row>
    <row r="24" spans="1:20" x14ac:dyDescent="0.25">
      <c r="A24" s="1">
        <v>33032</v>
      </c>
      <c r="B24" s="1">
        <f t="shared" si="0"/>
        <v>33025</v>
      </c>
      <c r="C24">
        <v>99.8</v>
      </c>
      <c r="I24" s="10">
        <v>33543</v>
      </c>
      <c r="J24" s="12">
        <v>103.5</v>
      </c>
      <c r="M24" s="1">
        <v>33543</v>
      </c>
      <c r="N24">
        <v>103.5</v>
      </c>
      <c r="O24" t="e">
        <f>VLOOKUP(M24,'Hosing Inventory'!B:D,3,0)</f>
        <v>#N/A</v>
      </c>
      <c r="P24" s="8" t="e">
        <f>N24/VLOOKUP(M24,'Hosing Inventory'!B:D,3,0)</f>
        <v>#N/A</v>
      </c>
      <c r="Q24" s="8" t="e">
        <v>#N/A</v>
      </c>
      <c r="R24" s="8" t="e">
        <v>#N/A</v>
      </c>
      <c r="S24" s="8" t="e">
        <v>#N/A</v>
      </c>
      <c r="T24" s="8" t="e">
        <v>#N/A</v>
      </c>
    </row>
    <row r="25" spans="1:20" x14ac:dyDescent="0.25">
      <c r="A25" s="1">
        <v>33039</v>
      </c>
      <c r="B25" s="1">
        <f t="shared" si="0"/>
        <v>33025</v>
      </c>
      <c r="C25">
        <v>91.8</v>
      </c>
      <c r="I25" s="10">
        <v>33573</v>
      </c>
      <c r="J25" s="12">
        <v>100.25000000000001</v>
      </c>
      <c r="M25" s="1">
        <v>33573</v>
      </c>
      <c r="N25">
        <v>100.25000000000001</v>
      </c>
      <c r="O25" t="e">
        <f>VLOOKUP(M25,'Hosing Inventory'!B:D,3,0)</f>
        <v>#N/A</v>
      </c>
      <c r="P25" s="8" t="e">
        <f>N25/VLOOKUP(M25,'Hosing Inventory'!B:D,3,0)</f>
        <v>#N/A</v>
      </c>
      <c r="Q25" s="8" t="e">
        <v>#N/A</v>
      </c>
      <c r="R25" s="8" t="e">
        <v>#N/A</v>
      </c>
      <c r="S25" s="8" t="e">
        <v>#N/A</v>
      </c>
      <c r="T25" s="8" t="e">
        <v>#N/A</v>
      </c>
    </row>
    <row r="26" spans="1:20" x14ac:dyDescent="0.25">
      <c r="A26" s="1">
        <v>33046</v>
      </c>
      <c r="B26" s="1">
        <f t="shared" si="0"/>
        <v>33025</v>
      </c>
      <c r="C26">
        <v>81.5</v>
      </c>
      <c r="I26" s="10">
        <v>33604</v>
      </c>
      <c r="J26" s="12">
        <v>132.83999999999997</v>
      </c>
      <c r="M26" s="1">
        <v>33604</v>
      </c>
      <c r="N26">
        <v>132.83999999999997</v>
      </c>
      <c r="O26" t="e">
        <f>VLOOKUP(M26,'Hosing Inventory'!B:D,3,0)</f>
        <v>#N/A</v>
      </c>
      <c r="P26" s="8" t="e">
        <f>N26/VLOOKUP(M26,'Hosing Inventory'!B:D,3,0)</f>
        <v>#N/A</v>
      </c>
      <c r="Q26" s="8" t="e">
        <v>#N/A</v>
      </c>
      <c r="R26" s="8" t="e">
        <v>#N/A</v>
      </c>
      <c r="S26" s="8" t="e">
        <v>#N/A</v>
      </c>
      <c r="T26" s="8" t="e">
        <v>#N/A</v>
      </c>
    </row>
    <row r="27" spans="1:20" x14ac:dyDescent="0.25">
      <c r="A27" s="1">
        <v>33053</v>
      </c>
      <c r="B27" s="1">
        <f t="shared" si="0"/>
        <v>33025</v>
      </c>
      <c r="C27">
        <v>85.8</v>
      </c>
      <c r="I27" s="10">
        <v>33635</v>
      </c>
      <c r="J27" s="12">
        <v>129.375</v>
      </c>
      <c r="M27" s="1">
        <v>33635</v>
      </c>
      <c r="N27">
        <v>129.375</v>
      </c>
      <c r="O27" t="e">
        <f>VLOOKUP(M27,'Hosing Inventory'!B:D,3,0)</f>
        <v>#N/A</v>
      </c>
      <c r="P27" s="8" t="e">
        <f>N27/VLOOKUP(M27,'Hosing Inventory'!B:D,3,0)</f>
        <v>#N/A</v>
      </c>
      <c r="Q27" s="8" t="e">
        <v>#N/A</v>
      </c>
      <c r="R27" s="8" t="e">
        <v>#N/A</v>
      </c>
      <c r="S27" s="8" t="e">
        <v>#N/A</v>
      </c>
      <c r="T27" s="8" t="e">
        <v>#N/A</v>
      </c>
    </row>
    <row r="28" spans="1:20" x14ac:dyDescent="0.25">
      <c r="A28" s="1">
        <v>33060</v>
      </c>
      <c r="B28" s="1">
        <f t="shared" si="0"/>
        <v>33055</v>
      </c>
      <c r="C28">
        <v>98.4</v>
      </c>
      <c r="I28" s="10">
        <v>33664</v>
      </c>
      <c r="J28" s="12">
        <v>115.92500000000001</v>
      </c>
      <c r="M28" s="1">
        <v>33664</v>
      </c>
      <c r="N28">
        <v>115.92500000000001</v>
      </c>
      <c r="O28" t="e">
        <f>VLOOKUP(M28,'Hosing Inventory'!B:D,3,0)</f>
        <v>#N/A</v>
      </c>
      <c r="P28" s="8" t="e">
        <f>N28/VLOOKUP(M28,'Hosing Inventory'!B:D,3,0)</f>
        <v>#N/A</v>
      </c>
      <c r="Q28" s="8" t="e">
        <v>#N/A</v>
      </c>
      <c r="R28" s="8" t="e">
        <v>#N/A</v>
      </c>
      <c r="S28" s="8" t="e">
        <v>#N/A</v>
      </c>
      <c r="T28" s="8" t="e">
        <v>#N/A</v>
      </c>
    </row>
    <row r="29" spans="1:20" x14ac:dyDescent="0.25">
      <c r="A29" s="1">
        <v>33067</v>
      </c>
      <c r="B29" s="1">
        <f t="shared" si="0"/>
        <v>33055</v>
      </c>
      <c r="C29">
        <v>84.2</v>
      </c>
      <c r="I29" s="10">
        <v>33695</v>
      </c>
      <c r="J29" s="12">
        <v>117.94999999999999</v>
      </c>
      <c r="M29" s="1">
        <v>33695</v>
      </c>
      <c r="N29">
        <v>117.94999999999999</v>
      </c>
      <c r="O29" t="e">
        <f>VLOOKUP(M29,'Hosing Inventory'!B:D,3,0)</f>
        <v>#N/A</v>
      </c>
      <c r="P29" s="8" t="e">
        <f>N29/VLOOKUP(M29,'Hosing Inventory'!B:D,3,0)</f>
        <v>#N/A</v>
      </c>
      <c r="Q29" s="8" t="e">
        <v>#N/A</v>
      </c>
      <c r="R29" s="8" t="e">
        <v>#N/A</v>
      </c>
      <c r="S29" s="8" t="e">
        <v>#N/A</v>
      </c>
      <c r="T29" s="8" t="e">
        <v>#N/A</v>
      </c>
    </row>
    <row r="30" spans="1:20" x14ac:dyDescent="0.25">
      <c r="A30" s="1">
        <v>33074</v>
      </c>
      <c r="B30" s="1">
        <f t="shared" si="0"/>
        <v>33055</v>
      </c>
      <c r="C30">
        <v>86.5</v>
      </c>
      <c r="I30" s="10">
        <v>33725</v>
      </c>
      <c r="J30" s="12">
        <v>117.66000000000001</v>
      </c>
      <c r="M30" s="1">
        <v>33725</v>
      </c>
      <c r="N30">
        <v>117.66000000000001</v>
      </c>
      <c r="O30" t="e">
        <f>VLOOKUP(M30,'Hosing Inventory'!B:D,3,0)</f>
        <v>#N/A</v>
      </c>
      <c r="P30" s="8" t="e">
        <f>N30/VLOOKUP(M30,'Hosing Inventory'!B:D,3,0)</f>
        <v>#N/A</v>
      </c>
      <c r="Q30" s="8" t="e">
        <v>#N/A</v>
      </c>
      <c r="R30" s="8" t="e">
        <v>#N/A</v>
      </c>
      <c r="S30" s="8" t="e">
        <v>#N/A</v>
      </c>
      <c r="T30" s="8" t="e">
        <v>#N/A</v>
      </c>
    </row>
    <row r="31" spans="1:20" x14ac:dyDescent="0.25">
      <c r="A31" s="1">
        <v>33081</v>
      </c>
      <c r="B31" s="1">
        <f t="shared" si="0"/>
        <v>33055</v>
      </c>
      <c r="C31">
        <v>85.5</v>
      </c>
      <c r="I31" s="10">
        <v>33756</v>
      </c>
      <c r="J31" s="12">
        <v>117.04999999999998</v>
      </c>
      <c r="M31" s="1">
        <v>33756</v>
      </c>
      <c r="N31">
        <v>117.04999999999998</v>
      </c>
      <c r="O31" t="e">
        <f>VLOOKUP(M31,'Hosing Inventory'!B:D,3,0)</f>
        <v>#N/A</v>
      </c>
      <c r="P31" s="8" t="e">
        <f>N31/VLOOKUP(M31,'Hosing Inventory'!B:D,3,0)</f>
        <v>#N/A</v>
      </c>
      <c r="Q31" s="8" t="e">
        <v>#N/A</v>
      </c>
      <c r="R31" s="8" t="e">
        <v>#N/A</v>
      </c>
      <c r="S31" s="8" t="e">
        <v>#N/A</v>
      </c>
      <c r="T31" s="8" t="e">
        <v>#N/A</v>
      </c>
    </row>
    <row r="32" spans="1:20" x14ac:dyDescent="0.25">
      <c r="A32" s="1">
        <v>33088</v>
      </c>
      <c r="B32" s="1">
        <f t="shared" si="0"/>
        <v>33086</v>
      </c>
      <c r="C32">
        <v>93.6</v>
      </c>
      <c r="I32" s="10">
        <v>33786</v>
      </c>
      <c r="J32" s="12">
        <v>138.44</v>
      </c>
      <c r="M32" s="1">
        <v>33786</v>
      </c>
      <c r="N32">
        <v>138.44</v>
      </c>
      <c r="O32" t="e">
        <f>VLOOKUP(M32,'Hosing Inventory'!B:D,3,0)</f>
        <v>#N/A</v>
      </c>
      <c r="P32" s="8" t="e">
        <f>N32/VLOOKUP(M32,'Hosing Inventory'!B:D,3,0)</f>
        <v>#N/A</v>
      </c>
      <c r="Q32" s="8" t="e">
        <v>#N/A</v>
      </c>
      <c r="R32" s="8" t="e">
        <v>#N/A</v>
      </c>
      <c r="S32" s="8" t="e">
        <v>#N/A</v>
      </c>
      <c r="T32" s="8" t="e">
        <v>#N/A</v>
      </c>
    </row>
    <row r="33" spans="1:20" x14ac:dyDescent="0.25">
      <c r="A33" s="1">
        <v>33095</v>
      </c>
      <c r="B33" s="1">
        <f t="shared" si="0"/>
        <v>33086</v>
      </c>
      <c r="C33">
        <v>102.6</v>
      </c>
      <c r="I33" s="10">
        <v>33817</v>
      </c>
      <c r="J33" s="12">
        <v>142.75</v>
      </c>
      <c r="M33" s="1">
        <v>33817</v>
      </c>
      <c r="N33">
        <v>142.75</v>
      </c>
      <c r="O33" t="e">
        <f>VLOOKUP(M33,'Hosing Inventory'!B:D,3,0)</f>
        <v>#N/A</v>
      </c>
      <c r="P33" s="8" t="e">
        <f>N33/VLOOKUP(M33,'Hosing Inventory'!B:D,3,0)</f>
        <v>#N/A</v>
      </c>
      <c r="Q33" s="8" t="e">
        <v>#N/A</v>
      </c>
      <c r="R33" s="8" t="e">
        <v>#N/A</v>
      </c>
      <c r="S33" s="8" t="e">
        <v>#N/A</v>
      </c>
      <c r="T33" s="8" t="e">
        <v>#N/A</v>
      </c>
    </row>
    <row r="34" spans="1:20" x14ac:dyDescent="0.25">
      <c r="A34" s="1">
        <v>33102</v>
      </c>
      <c r="B34" s="1">
        <f t="shared" si="0"/>
        <v>33086</v>
      </c>
      <c r="C34">
        <v>82.3</v>
      </c>
      <c r="I34" s="10">
        <v>33848</v>
      </c>
      <c r="J34" s="12">
        <v>147.17500000000001</v>
      </c>
      <c r="M34" s="1">
        <v>33848</v>
      </c>
      <c r="N34">
        <v>147.17500000000001</v>
      </c>
      <c r="O34" t="e">
        <f>VLOOKUP(M34,'Hosing Inventory'!B:D,3,0)</f>
        <v>#N/A</v>
      </c>
      <c r="P34" s="8" t="e">
        <f>N34/VLOOKUP(M34,'Hosing Inventory'!B:D,3,0)</f>
        <v>#N/A</v>
      </c>
      <c r="Q34" s="8" t="e">
        <v>#N/A</v>
      </c>
      <c r="R34" s="8" t="e">
        <v>#N/A</v>
      </c>
      <c r="S34" s="8" t="e">
        <v>#N/A</v>
      </c>
      <c r="T34" s="8" t="e">
        <v>#N/A</v>
      </c>
    </row>
    <row r="35" spans="1:20" x14ac:dyDescent="0.25">
      <c r="A35" s="1">
        <v>33109</v>
      </c>
      <c r="B35" s="1">
        <f t="shared" si="0"/>
        <v>33086</v>
      </c>
      <c r="C35">
        <v>90.7</v>
      </c>
      <c r="I35" s="10">
        <v>33878</v>
      </c>
      <c r="J35" s="12">
        <v>138.88</v>
      </c>
      <c r="M35" s="1">
        <v>33878</v>
      </c>
      <c r="N35">
        <v>138.88</v>
      </c>
      <c r="O35" t="e">
        <f>VLOOKUP(M35,'Hosing Inventory'!B:D,3,0)</f>
        <v>#N/A</v>
      </c>
      <c r="P35" s="8" t="e">
        <f>N35/VLOOKUP(M35,'Hosing Inventory'!B:D,3,0)</f>
        <v>#N/A</v>
      </c>
      <c r="Q35" s="8" t="e">
        <v>#N/A</v>
      </c>
      <c r="R35" s="8" t="e">
        <v>#N/A</v>
      </c>
      <c r="S35" s="8" t="e">
        <v>#N/A</v>
      </c>
      <c r="T35" s="8" t="e">
        <v>#N/A</v>
      </c>
    </row>
    <row r="36" spans="1:20" x14ac:dyDescent="0.25">
      <c r="A36" s="1">
        <v>33116</v>
      </c>
      <c r="B36" s="1">
        <f t="shared" si="0"/>
        <v>33086</v>
      </c>
      <c r="C36">
        <v>76.7</v>
      </c>
      <c r="I36" s="10">
        <v>33909</v>
      </c>
      <c r="J36" s="12">
        <v>138.17500000000001</v>
      </c>
      <c r="M36" s="1">
        <v>33909</v>
      </c>
      <c r="N36">
        <v>138.17500000000001</v>
      </c>
      <c r="O36" t="e">
        <f>VLOOKUP(M36,'Hosing Inventory'!B:D,3,0)</f>
        <v>#N/A</v>
      </c>
      <c r="P36" s="8" t="e">
        <f>N36/VLOOKUP(M36,'Hosing Inventory'!B:D,3,0)</f>
        <v>#N/A</v>
      </c>
      <c r="Q36" s="8" t="e">
        <v>#N/A</v>
      </c>
      <c r="R36" s="8" t="e">
        <v>#N/A</v>
      </c>
      <c r="S36" s="8" t="e">
        <v>#N/A</v>
      </c>
      <c r="T36" s="8" t="e">
        <v>#N/A</v>
      </c>
    </row>
    <row r="37" spans="1:20" x14ac:dyDescent="0.25">
      <c r="A37" s="1">
        <v>33123</v>
      </c>
      <c r="B37" s="1">
        <f t="shared" si="0"/>
        <v>33117</v>
      </c>
      <c r="C37">
        <v>76</v>
      </c>
      <c r="I37" s="10">
        <v>33939</v>
      </c>
      <c r="J37" s="12">
        <v>135.22500000000002</v>
      </c>
      <c r="M37" s="1">
        <v>33939</v>
      </c>
      <c r="N37">
        <v>135.22500000000002</v>
      </c>
      <c r="O37" t="e">
        <f>VLOOKUP(M37,'Hosing Inventory'!B:D,3,0)</f>
        <v>#N/A</v>
      </c>
      <c r="P37" s="8" t="e">
        <f>N37/VLOOKUP(M37,'Hosing Inventory'!B:D,3,0)</f>
        <v>#N/A</v>
      </c>
      <c r="Q37" s="8" t="e">
        <v>#N/A</v>
      </c>
      <c r="R37" s="8" t="e">
        <v>#N/A</v>
      </c>
      <c r="S37" s="8" t="e">
        <v>#N/A</v>
      </c>
      <c r="T37" s="8" t="e">
        <v>#N/A</v>
      </c>
    </row>
    <row r="38" spans="1:20" x14ac:dyDescent="0.25">
      <c r="A38" s="1">
        <v>33130</v>
      </c>
      <c r="B38" s="1">
        <f t="shared" si="0"/>
        <v>33117</v>
      </c>
      <c r="C38">
        <v>82.9</v>
      </c>
      <c r="I38" s="10">
        <v>33970</v>
      </c>
      <c r="J38" s="12">
        <v>138</v>
      </c>
      <c r="M38" s="1">
        <v>33970</v>
      </c>
      <c r="N38">
        <v>138</v>
      </c>
      <c r="O38" t="e">
        <f>VLOOKUP(M38,'Hosing Inventory'!B:D,3,0)</f>
        <v>#N/A</v>
      </c>
      <c r="P38" s="8" t="e">
        <f>N38/VLOOKUP(M38,'Hosing Inventory'!B:D,3,0)</f>
        <v>#N/A</v>
      </c>
      <c r="Q38" s="8" t="e">
        <v>#N/A</v>
      </c>
      <c r="R38" s="8" t="e">
        <v>#N/A</v>
      </c>
      <c r="S38" s="8" t="e">
        <v>#N/A</v>
      </c>
      <c r="T38" s="8" t="e">
        <v>#N/A</v>
      </c>
    </row>
    <row r="39" spans="1:20" x14ac:dyDescent="0.25">
      <c r="A39" s="1">
        <v>33137</v>
      </c>
      <c r="B39" s="1">
        <f t="shared" si="0"/>
        <v>33117</v>
      </c>
      <c r="C39">
        <v>81.900000000000006</v>
      </c>
      <c r="I39" s="10">
        <v>34001</v>
      </c>
      <c r="J39" s="12">
        <v>154.02499999999998</v>
      </c>
      <c r="M39" s="1">
        <v>34001</v>
      </c>
      <c r="N39">
        <v>154.02499999999998</v>
      </c>
      <c r="O39" t="e">
        <f>VLOOKUP(M39,'Hosing Inventory'!B:D,3,0)</f>
        <v>#N/A</v>
      </c>
      <c r="P39" s="8" t="e">
        <f>N39/VLOOKUP(M39,'Hosing Inventory'!B:D,3,0)</f>
        <v>#N/A</v>
      </c>
      <c r="Q39" s="8" t="e">
        <v>#N/A</v>
      </c>
      <c r="R39" s="8" t="e">
        <v>#N/A</v>
      </c>
      <c r="S39" s="8" t="e">
        <v>#N/A</v>
      </c>
      <c r="T39" s="8" t="e">
        <v>#N/A</v>
      </c>
    </row>
    <row r="40" spans="1:20" x14ac:dyDescent="0.25">
      <c r="A40" s="1">
        <v>33144</v>
      </c>
      <c r="B40" s="1">
        <f t="shared" si="0"/>
        <v>33117</v>
      </c>
      <c r="C40">
        <v>81</v>
      </c>
      <c r="I40" s="10">
        <v>34029</v>
      </c>
      <c r="J40" s="12">
        <v>150.35</v>
      </c>
      <c r="M40" s="1">
        <v>34029</v>
      </c>
      <c r="N40">
        <v>150.35</v>
      </c>
      <c r="O40" t="e">
        <f>VLOOKUP(M40,'Hosing Inventory'!B:D,3,0)</f>
        <v>#N/A</v>
      </c>
      <c r="P40" s="8" t="e">
        <f>N40/VLOOKUP(M40,'Hosing Inventory'!B:D,3,0)</f>
        <v>#N/A</v>
      </c>
      <c r="Q40" s="8" t="e">
        <v>#N/A</v>
      </c>
      <c r="R40" s="8" t="e">
        <v>#N/A</v>
      </c>
      <c r="S40" s="8" t="e">
        <v>#N/A</v>
      </c>
      <c r="T40" s="8" t="e">
        <v>#N/A</v>
      </c>
    </row>
    <row r="41" spans="1:20" x14ac:dyDescent="0.25">
      <c r="A41" s="1">
        <v>33151</v>
      </c>
      <c r="B41" s="1">
        <f t="shared" si="0"/>
        <v>33147</v>
      </c>
      <c r="C41">
        <v>81.3</v>
      </c>
      <c r="I41" s="10">
        <v>34060</v>
      </c>
      <c r="J41" s="12">
        <v>166.70000000000002</v>
      </c>
      <c r="M41" s="1">
        <v>34060</v>
      </c>
      <c r="N41">
        <v>166.70000000000002</v>
      </c>
      <c r="O41" t="e">
        <f>VLOOKUP(M41,'Hosing Inventory'!B:D,3,0)</f>
        <v>#N/A</v>
      </c>
      <c r="P41" s="8" t="e">
        <f>N41/VLOOKUP(M41,'Hosing Inventory'!B:D,3,0)</f>
        <v>#N/A</v>
      </c>
      <c r="Q41" s="8" t="e">
        <v>#N/A</v>
      </c>
      <c r="R41" s="8" t="e">
        <v>#N/A</v>
      </c>
      <c r="S41" s="8" t="e">
        <v>#N/A</v>
      </c>
      <c r="T41" s="8" t="e">
        <v>#N/A</v>
      </c>
    </row>
    <row r="42" spans="1:20" x14ac:dyDescent="0.25">
      <c r="A42" s="1">
        <v>33158</v>
      </c>
      <c r="B42" s="1">
        <f t="shared" si="0"/>
        <v>33147</v>
      </c>
      <c r="C42">
        <v>83.6</v>
      </c>
      <c r="I42" s="10">
        <v>34090</v>
      </c>
      <c r="J42" s="12">
        <v>150.17500000000001</v>
      </c>
      <c r="M42" s="1">
        <v>34090</v>
      </c>
      <c r="N42">
        <v>150.17500000000001</v>
      </c>
      <c r="O42" t="e">
        <f>VLOOKUP(M42,'Hosing Inventory'!B:D,3,0)</f>
        <v>#N/A</v>
      </c>
      <c r="P42" s="8" t="e">
        <f>N42/VLOOKUP(M42,'Hosing Inventory'!B:D,3,0)</f>
        <v>#N/A</v>
      </c>
      <c r="Q42" s="8" t="e">
        <v>#N/A</v>
      </c>
      <c r="R42" s="8" t="e">
        <v>#N/A</v>
      </c>
      <c r="S42" s="8" t="e">
        <v>#N/A</v>
      </c>
      <c r="T42" s="8" t="e">
        <v>#N/A</v>
      </c>
    </row>
    <row r="43" spans="1:20" x14ac:dyDescent="0.25">
      <c r="A43" s="1">
        <v>33165</v>
      </c>
      <c r="B43" s="1">
        <f t="shared" si="0"/>
        <v>33147</v>
      </c>
      <c r="C43">
        <v>63.4</v>
      </c>
      <c r="I43" s="10">
        <v>34121</v>
      </c>
      <c r="J43" s="12">
        <v>157.85</v>
      </c>
      <c r="M43" s="1">
        <v>34121</v>
      </c>
      <c r="N43">
        <v>157.85</v>
      </c>
      <c r="O43" t="e">
        <f>VLOOKUP(M43,'Hosing Inventory'!B:D,3,0)</f>
        <v>#N/A</v>
      </c>
      <c r="P43" s="8" t="e">
        <f>N43/VLOOKUP(M43,'Hosing Inventory'!B:D,3,0)</f>
        <v>#N/A</v>
      </c>
      <c r="Q43" s="8" t="e">
        <v>#N/A</v>
      </c>
      <c r="R43" s="8" t="e">
        <v>#N/A</v>
      </c>
      <c r="S43" s="8" t="e">
        <v>#N/A</v>
      </c>
      <c r="T43" s="8" t="e">
        <v>#N/A</v>
      </c>
    </row>
    <row r="44" spans="1:20" x14ac:dyDescent="0.25">
      <c r="A44" s="1">
        <v>33172</v>
      </c>
      <c r="B44" s="1">
        <f t="shared" si="0"/>
        <v>33147</v>
      </c>
      <c r="C44">
        <v>71.5</v>
      </c>
      <c r="I44" s="10">
        <v>34151</v>
      </c>
      <c r="J44" s="12">
        <v>166.18</v>
      </c>
      <c r="M44" s="1">
        <v>34151</v>
      </c>
      <c r="N44">
        <v>166.18</v>
      </c>
      <c r="O44" t="e">
        <f>VLOOKUP(M44,'Hosing Inventory'!B:D,3,0)</f>
        <v>#N/A</v>
      </c>
      <c r="P44" s="8" t="e">
        <f>N44/VLOOKUP(M44,'Hosing Inventory'!B:D,3,0)</f>
        <v>#N/A</v>
      </c>
      <c r="Q44" s="8" t="e">
        <v>#N/A</v>
      </c>
      <c r="R44" s="8" t="e">
        <v>#N/A</v>
      </c>
      <c r="S44" s="8" t="e">
        <v>#N/A</v>
      </c>
      <c r="T44" s="8" t="e">
        <v>#N/A</v>
      </c>
    </row>
    <row r="45" spans="1:20" x14ac:dyDescent="0.25">
      <c r="A45" s="1">
        <v>33179</v>
      </c>
      <c r="B45" s="1">
        <f t="shared" si="0"/>
        <v>33178</v>
      </c>
      <c r="C45">
        <v>79.8</v>
      </c>
      <c r="I45" s="10">
        <v>34182</v>
      </c>
      <c r="J45" s="12">
        <v>151.6</v>
      </c>
      <c r="M45" s="1">
        <v>34182</v>
      </c>
      <c r="N45">
        <v>151.6</v>
      </c>
      <c r="O45" t="e">
        <f>VLOOKUP(M45,'Hosing Inventory'!B:D,3,0)</f>
        <v>#N/A</v>
      </c>
      <c r="P45" s="8" t="e">
        <f>N45/VLOOKUP(M45,'Hosing Inventory'!B:D,3,0)</f>
        <v>#N/A</v>
      </c>
      <c r="Q45" s="8" t="e">
        <v>#N/A</v>
      </c>
      <c r="R45" s="8" t="e">
        <v>#N/A</v>
      </c>
      <c r="S45" s="8" t="e">
        <v>#N/A</v>
      </c>
      <c r="T45" s="8" t="e">
        <v>#N/A</v>
      </c>
    </row>
    <row r="46" spans="1:20" x14ac:dyDescent="0.25">
      <c r="A46" s="1">
        <v>33186</v>
      </c>
      <c r="B46" s="1">
        <f t="shared" si="0"/>
        <v>33178</v>
      </c>
      <c r="C46">
        <v>82</v>
      </c>
      <c r="I46" s="10">
        <v>34213</v>
      </c>
      <c r="J46" s="12">
        <v>177</v>
      </c>
      <c r="M46" s="1">
        <v>34213</v>
      </c>
      <c r="N46">
        <v>177</v>
      </c>
      <c r="O46" t="e">
        <f>VLOOKUP(M46,'Hosing Inventory'!B:D,3,0)</f>
        <v>#N/A</v>
      </c>
      <c r="P46" s="8" t="e">
        <f>N46/VLOOKUP(M46,'Hosing Inventory'!B:D,3,0)</f>
        <v>#N/A</v>
      </c>
      <c r="Q46" s="8" t="e">
        <v>#N/A</v>
      </c>
      <c r="R46" s="8" t="e">
        <v>#N/A</v>
      </c>
      <c r="S46" s="8" t="e">
        <v>#N/A</v>
      </c>
      <c r="T46" s="8" t="e">
        <v>#N/A</v>
      </c>
    </row>
    <row r="47" spans="1:20" x14ac:dyDescent="0.25">
      <c r="A47" s="1">
        <v>33193</v>
      </c>
      <c r="B47" s="1">
        <f t="shared" si="0"/>
        <v>33178</v>
      </c>
      <c r="C47">
        <v>79.599999999999994</v>
      </c>
      <c r="I47" s="10">
        <v>34243</v>
      </c>
      <c r="J47" s="12">
        <v>163.98</v>
      </c>
      <c r="M47" s="1">
        <v>34243</v>
      </c>
      <c r="N47">
        <v>163.98</v>
      </c>
      <c r="O47" t="e">
        <f>VLOOKUP(M47,'Hosing Inventory'!B:D,3,0)</f>
        <v>#N/A</v>
      </c>
      <c r="P47" s="8" t="e">
        <f>N47/VLOOKUP(M47,'Hosing Inventory'!B:D,3,0)</f>
        <v>#N/A</v>
      </c>
      <c r="Q47" s="8" t="e">
        <v>#N/A</v>
      </c>
      <c r="R47" s="8" t="e">
        <v>#N/A</v>
      </c>
      <c r="S47" s="8" t="e">
        <v>#N/A</v>
      </c>
      <c r="T47" s="8" t="e">
        <v>#N/A</v>
      </c>
    </row>
    <row r="48" spans="1:20" x14ac:dyDescent="0.25">
      <c r="A48" s="1">
        <v>33200</v>
      </c>
      <c r="B48" s="1">
        <f t="shared" si="0"/>
        <v>33178</v>
      </c>
      <c r="C48">
        <v>75.5</v>
      </c>
      <c r="I48" s="10">
        <v>34274</v>
      </c>
      <c r="J48" s="12">
        <v>162.22500000000002</v>
      </c>
      <c r="M48" s="1">
        <v>34274</v>
      </c>
      <c r="N48">
        <v>162.22500000000002</v>
      </c>
      <c r="O48" t="e">
        <f>VLOOKUP(M48,'Hosing Inventory'!B:D,3,0)</f>
        <v>#N/A</v>
      </c>
      <c r="P48" s="8" t="e">
        <f>N48/VLOOKUP(M48,'Hosing Inventory'!B:D,3,0)</f>
        <v>#N/A</v>
      </c>
      <c r="Q48" s="8" t="e">
        <v>#N/A</v>
      </c>
      <c r="R48" s="8" t="e">
        <v>#N/A</v>
      </c>
      <c r="S48" s="8" t="e">
        <v>#N/A</v>
      </c>
      <c r="T48" s="8" t="e">
        <v>#N/A</v>
      </c>
    </row>
    <row r="49" spans="1:20" x14ac:dyDescent="0.25">
      <c r="A49" s="1">
        <v>33207</v>
      </c>
      <c r="B49" s="1">
        <f t="shared" si="0"/>
        <v>33178</v>
      </c>
      <c r="C49">
        <v>92.3</v>
      </c>
      <c r="I49" s="10">
        <v>34304</v>
      </c>
      <c r="J49" s="12">
        <v>151.4</v>
      </c>
      <c r="M49" s="1">
        <v>34304</v>
      </c>
      <c r="N49">
        <v>151.4</v>
      </c>
      <c r="O49" t="e">
        <f>VLOOKUP(M49,'Hosing Inventory'!B:D,3,0)</f>
        <v>#N/A</v>
      </c>
      <c r="P49" s="8" t="e">
        <f>N49/VLOOKUP(M49,'Hosing Inventory'!B:D,3,0)</f>
        <v>#N/A</v>
      </c>
      <c r="Q49" s="8" t="e">
        <v>#N/A</v>
      </c>
      <c r="R49" s="8" t="e">
        <v>#N/A</v>
      </c>
      <c r="S49" s="8" t="e">
        <v>#N/A</v>
      </c>
      <c r="T49" s="8" t="e">
        <v>#N/A</v>
      </c>
    </row>
    <row r="50" spans="1:20" x14ac:dyDescent="0.25">
      <c r="A50" s="1">
        <v>33214</v>
      </c>
      <c r="B50" s="1">
        <f t="shared" si="0"/>
        <v>33208</v>
      </c>
      <c r="C50">
        <v>88.7</v>
      </c>
      <c r="I50" s="10">
        <v>34335</v>
      </c>
      <c r="J50" s="12">
        <v>134.77500000000001</v>
      </c>
      <c r="M50" s="1">
        <v>34335</v>
      </c>
      <c r="N50">
        <v>134.77500000000001</v>
      </c>
      <c r="O50" t="e">
        <f>VLOOKUP(M50,'Hosing Inventory'!B:D,3,0)</f>
        <v>#N/A</v>
      </c>
      <c r="P50" s="8" t="e">
        <f>N50/VLOOKUP(M50,'Hosing Inventory'!B:D,3,0)</f>
        <v>#N/A</v>
      </c>
      <c r="Q50" s="8" t="e">
        <v>#N/A</v>
      </c>
      <c r="R50" s="8" t="e">
        <v>#N/A</v>
      </c>
      <c r="S50" s="8" t="e">
        <v>#N/A</v>
      </c>
      <c r="T50" s="8" t="e">
        <v>#N/A</v>
      </c>
    </row>
    <row r="51" spans="1:20" x14ac:dyDescent="0.25">
      <c r="A51" s="1">
        <v>33221</v>
      </c>
      <c r="B51" s="1">
        <f t="shared" si="0"/>
        <v>33208</v>
      </c>
      <c r="C51">
        <v>92.9</v>
      </c>
      <c r="I51" s="10">
        <v>34366</v>
      </c>
      <c r="J51" s="12">
        <v>155.04999999999998</v>
      </c>
      <c r="M51" s="1">
        <v>34366</v>
      </c>
      <c r="N51">
        <v>155.04999999999998</v>
      </c>
      <c r="O51" t="e">
        <f>VLOOKUP(M51,'Hosing Inventory'!B:D,3,0)</f>
        <v>#N/A</v>
      </c>
      <c r="P51" s="8" t="e">
        <f>N51/VLOOKUP(M51,'Hosing Inventory'!B:D,3,0)</f>
        <v>#N/A</v>
      </c>
      <c r="Q51" s="8" t="e">
        <v>#N/A</v>
      </c>
      <c r="R51" s="8" t="e">
        <v>#N/A</v>
      </c>
      <c r="S51" s="8" t="e">
        <v>#N/A</v>
      </c>
      <c r="T51" s="8" t="e">
        <v>#N/A</v>
      </c>
    </row>
    <row r="52" spans="1:20" x14ac:dyDescent="0.25">
      <c r="A52" s="1">
        <v>33228</v>
      </c>
      <c r="B52" s="1">
        <f t="shared" si="0"/>
        <v>33208</v>
      </c>
      <c r="C52">
        <v>80.5</v>
      </c>
      <c r="I52" s="10">
        <v>34394</v>
      </c>
      <c r="J52" s="12">
        <v>150.85</v>
      </c>
      <c r="M52" s="1">
        <v>34394</v>
      </c>
      <c r="N52">
        <v>150.85</v>
      </c>
      <c r="O52" t="e">
        <f>VLOOKUP(M52,'Hosing Inventory'!B:D,3,0)</f>
        <v>#N/A</v>
      </c>
      <c r="P52" s="8" t="e">
        <f>N52/VLOOKUP(M52,'Hosing Inventory'!B:D,3,0)</f>
        <v>#N/A</v>
      </c>
      <c r="Q52" s="8" t="e">
        <v>#N/A</v>
      </c>
      <c r="R52" s="8" t="e">
        <v>#N/A</v>
      </c>
      <c r="S52" s="8" t="e">
        <v>#N/A</v>
      </c>
      <c r="T52" s="8" t="e">
        <v>#N/A</v>
      </c>
    </row>
    <row r="53" spans="1:20" x14ac:dyDescent="0.25">
      <c r="A53" s="1">
        <v>33235</v>
      </c>
      <c r="B53" s="1">
        <f t="shared" si="0"/>
        <v>33208</v>
      </c>
      <c r="C53">
        <v>53.5</v>
      </c>
      <c r="I53" s="10">
        <v>34425</v>
      </c>
      <c r="J53" s="12">
        <v>161.08000000000001</v>
      </c>
      <c r="M53" s="1">
        <v>34425</v>
      </c>
      <c r="N53">
        <v>161.08000000000001</v>
      </c>
      <c r="O53" t="e">
        <f>VLOOKUP(M53,'Hosing Inventory'!B:D,3,0)</f>
        <v>#N/A</v>
      </c>
      <c r="P53" s="8" t="e">
        <f>N53/VLOOKUP(M53,'Hosing Inventory'!B:D,3,0)</f>
        <v>#N/A</v>
      </c>
      <c r="Q53" s="8" t="e">
        <v>#N/A</v>
      </c>
      <c r="R53" s="8" t="e">
        <v>#N/A</v>
      </c>
      <c r="S53" s="8" t="e">
        <v>#N/A</v>
      </c>
      <c r="T53" s="8" t="e">
        <v>#N/A</v>
      </c>
    </row>
    <row r="54" spans="1:20" x14ac:dyDescent="0.25">
      <c r="A54" s="1">
        <v>33242</v>
      </c>
      <c r="B54" s="1">
        <f t="shared" si="0"/>
        <v>33239</v>
      </c>
      <c r="C54">
        <v>67.2</v>
      </c>
      <c r="I54" s="10">
        <v>34455</v>
      </c>
      <c r="J54" s="12">
        <v>145.9</v>
      </c>
      <c r="M54" s="1">
        <v>34455</v>
      </c>
      <c r="N54">
        <v>145.9</v>
      </c>
      <c r="O54" t="e">
        <f>VLOOKUP(M54,'Hosing Inventory'!B:D,3,0)</f>
        <v>#N/A</v>
      </c>
      <c r="P54" s="8" t="e">
        <f>N54/VLOOKUP(M54,'Hosing Inventory'!B:D,3,0)</f>
        <v>#N/A</v>
      </c>
      <c r="Q54" s="8" t="e">
        <v>#N/A</v>
      </c>
      <c r="R54" s="8" t="e">
        <v>#N/A</v>
      </c>
      <c r="S54" s="8" t="e">
        <v>#N/A</v>
      </c>
      <c r="T54" s="8" t="e">
        <v>#N/A</v>
      </c>
    </row>
    <row r="55" spans="1:20" x14ac:dyDescent="0.25">
      <c r="A55" s="1">
        <v>33249</v>
      </c>
      <c r="B55" s="1">
        <f t="shared" si="0"/>
        <v>33239</v>
      </c>
      <c r="C55">
        <v>108</v>
      </c>
      <c r="I55" s="10">
        <v>34486</v>
      </c>
      <c r="J55" s="12">
        <v>145.17500000000001</v>
      </c>
      <c r="M55" s="1">
        <v>34486</v>
      </c>
      <c r="N55">
        <v>145.17500000000001</v>
      </c>
      <c r="O55" t="e">
        <f>VLOOKUP(M55,'Hosing Inventory'!B:D,3,0)</f>
        <v>#N/A</v>
      </c>
      <c r="P55" s="8" t="e">
        <f>N55/VLOOKUP(M55,'Hosing Inventory'!B:D,3,0)</f>
        <v>#N/A</v>
      </c>
      <c r="Q55" s="8" t="e">
        <v>#N/A</v>
      </c>
      <c r="R55" s="8" t="e">
        <v>#N/A</v>
      </c>
      <c r="S55" s="8" t="e">
        <v>#N/A</v>
      </c>
      <c r="T55" s="8" t="e">
        <v>#N/A</v>
      </c>
    </row>
    <row r="56" spans="1:20" x14ac:dyDescent="0.25">
      <c r="A56" s="1">
        <v>33256</v>
      </c>
      <c r="B56" s="1">
        <f t="shared" si="0"/>
        <v>33239</v>
      </c>
      <c r="C56">
        <v>92.4</v>
      </c>
      <c r="I56" s="10">
        <v>34516</v>
      </c>
      <c r="J56" s="12">
        <v>144.07999999999998</v>
      </c>
      <c r="M56" s="1">
        <v>34516</v>
      </c>
      <c r="N56">
        <v>144.07999999999998</v>
      </c>
      <c r="O56" t="e">
        <f>VLOOKUP(M56,'Hosing Inventory'!B:D,3,0)</f>
        <v>#N/A</v>
      </c>
      <c r="P56" s="8" t="e">
        <f>N56/VLOOKUP(M56,'Hosing Inventory'!B:D,3,0)</f>
        <v>#N/A</v>
      </c>
      <c r="Q56" s="8" t="e">
        <v>#N/A</v>
      </c>
      <c r="R56" s="8" t="e">
        <v>#N/A</v>
      </c>
      <c r="S56" s="8" t="e">
        <v>#N/A</v>
      </c>
      <c r="T56" s="8" t="e">
        <v>#N/A</v>
      </c>
    </row>
    <row r="57" spans="1:20" x14ac:dyDescent="0.25">
      <c r="A57" s="1">
        <v>33263</v>
      </c>
      <c r="B57" s="1">
        <f t="shared" si="0"/>
        <v>33239</v>
      </c>
      <c r="C57">
        <v>81.900000000000006</v>
      </c>
      <c r="I57" s="10">
        <v>34547</v>
      </c>
      <c r="J57" s="12">
        <v>141.75</v>
      </c>
      <c r="M57" s="1">
        <v>34547</v>
      </c>
      <c r="N57">
        <v>141.75</v>
      </c>
      <c r="O57" t="e">
        <f>VLOOKUP(M57,'Hosing Inventory'!B:D,3,0)</f>
        <v>#N/A</v>
      </c>
      <c r="P57" s="8" t="e">
        <f>N57/VLOOKUP(M57,'Hosing Inventory'!B:D,3,0)</f>
        <v>#N/A</v>
      </c>
      <c r="Q57" s="8" t="e">
        <v>#N/A</v>
      </c>
      <c r="R57" s="8" t="e">
        <v>#N/A</v>
      </c>
      <c r="S57" s="8" t="e">
        <v>#N/A</v>
      </c>
      <c r="T57" s="8" t="e">
        <v>#N/A</v>
      </c>
    </row>
    <row r="58" spans="1:20" x14ac:dyDescent="0.25">
      <c r="A58" s="1">
        <v>33270</v>
      </c>
      <c r="B58" s="1">
        <f t="shared" si="0"/>
        <v>33270</v>
      </c>
      <c r="C58">
        <v>77.8</v>
      </c>
      <c r="I58" s="10">
        <v>34578</v>
      </c>
      <c r="J58" s="12">
        <v>138.07999999999998</v>
      </c>
      <c r="M58" s="1">
        <v>34578</v>
      </c>
      <c r="N58">
        <v>138.07999999999998</v>
      </c>
      <c r="O58" t="e">
        <f>VLOOKUP(M58,'Hosing Inventory'!B:D,3,0)</f>
        <v>#N/A</v>
      </c>
      <c r="P58" s="8" t="e">
        <f>N58/VLOOKUP(M58,'Hosing Inventory'!B:D,3,0)</f>
        <v>#N/A</v>
      </c>
      <c r="Q58" s="8" t="e">
        <v>#N/A</v>
      </c>
      <c r="R58" s="8" t="e">
        <v>#N/A</v>
      </c>
      <c r="S58" s="8" t="e">
        <v>#N/A</v>
      </c>
      <c r="T58" s="8" t="e">
        <v>#N/A</v>
      </c>
    </row>
    <row r="59" spans="1:20" x14ac:dyDescent="0.25">
      <c r="A59" s="1">
        <v>33277</v>
      </c>
      <c r="B59" s="1">
        <f t="shared" si="0"/>
        <v>33270</v>
      </c>
      <c r="C59">
        <v>84.4</v>
      </c>
      <c r="I59" s="10">
        <v>34608</v>
      </c>
      <c r="J59" s="12">
        <v>135.27499999999998</v>
      </c>
      <c r="M59" s="1">
        <v>34608</v>
      </c>
      <c r="N59">
        <v>135.27499999999998</v>
      </c>
      <c r="O59" t="e">
        <f>VLOOKUP(M59,'Hosing Inventory'!B:D,3,0)</f>
        <v>#N/A</v>
      </c>
      <c r="P59" s="8" t="e">
        <f>N59/VLOOKUP(M59,'Hosing Inventory'!B:D,3,0)</f>
        <v>#N/A</v>
      </c>
      <c r="Q59" s="8" t="e">
        <v>#N/A</v>
      </c>
      <c r="R59" s="8" t="e">
        <v>#N/A</v>
      </c>
      <c r="S59" s="8" t="e">
        <v>#N/A</v>
      </c>
      <c r="T59" s="8" t="e">
        <v>#N/A</v>
      </c>
    </row>
    <row r="60" spans="1:20" x14ac:dyDescent="0.25">
      <c r="A60" s="1">
        <v>33284</v>
      </c>
      <c r="B60" s="1">
        <f t="shared" si="0"/>
        <v>33270</v>
      </c>
      <c r="C60">
        <v>92</v>
      </c>
      <c r="I60" s="10">
        <v>34639</v>
      </c>
      <c r="J60" s="12">
        <v>135.67500000000001</v>
      </c>
      <c r="M60" s="1">
        <v>34639</v>
      </c>
      <c r="N60">
        <v>135.67500000000001</v>
      </c>
      <c r="O60" t="e">
        <f>VLOOKUP(M60,'Hosing Inventory'!B:D,3,0)</f>
        <v>#N/A</v>
      </c>
      <c r="P60" s="8" t="e">
        <f>N60/VLOOKUP(M60,'Hosing Inventory'!B:D,3,0)</f>
        <v>#N/A</v>
      </c>
      <c r="Q60" s="8" t="e">
        <v>#N/A</v>
      </c>
      <c r="R60" s="8" t="e">
        <v>#N/A</v>
      </c>
      <c r="S60" s="8" t="e">
        <v>#N/A</v>
      </c>
      <c r="T60" s="8" t="e">
        <v>#N/A</v>
      </c>
    </row>
    <row r="61" spans="1:20" x14ac:dyDescent="0.25">
      <c r="A61" s="1">
        <v>33291</v>
      </c>
      <c r="B61" s="1">
        <f t="shared" si="0"/>
        <v>33270</v>
      </c>
      <c r="C61">
        <v>141</v>
      </c>
      <c r="I61" s="10">
        <v>34669</v>
      </c>
      <c r="J61" s="12">
        <v>124.52000000000001</v>
      </c>
      <c r="M61" s="1">
        <v>34669</v>
      </c>
      <c r="N61">
        <v>124.52000000000001</v>
      </c>
      <c r="O61" t="e">
        <f>VLOOKUP(M61,'Hosing Inventory'!B:D,3,0)</f>
        <v>#N/A</v>
      </c>
      <c r="P61" s="8" t="e">
        <f>N61/VLOOKUP(M61,'Hosing Inventory'!B:D,3,0)</f>
        <v>#N/A</v>
      </c>
      <c r="Q61" s="8" t="e">
        <v>#N/A</v>
      </c>
      <c r="R61" s="8" t="e">
        <v>#N/A</v>
      </c>
      <c r="S61" s="8" t="e">
        <v>#N/A</v>
      </c>
      <c r="T61" s="8" t="e">
        <v>#N/A</v>
      </c>
    </row>
    <row r="62" spans="1:20" x14ac:dyDescent="0.25">
      <c r="A62" s="1">
        <v>33298</v>
      </c>
      <c r="B62" s="1">
        <f t="shared" si="0"/>
        <v>33298</v>
      </c>
      <c r="C62">
        <v>108</v>
      </c>
      <c r="I62" s="10">
        <v>34700</v>
      </c>
      <c r="J62" s="12">
        <v>129.65</v>
      </c>
      <c r="M62" s="1">
        <v>34700</v>
      </c>
      <c r="N62">
        <v>129.65</v>
      </c>
      <c r="O62" t="e">
        <f>VLOOKUP(M62,'Hosing Inventory'!B:D,3,0)</f>
        <v>#N/A</v>
      </c>
      <c r="P62" s="8" t="e">
        <f>N62/VLOOKUP(M62,'Hosing Inventory'!B:D,3,0)</f>
        <v>#N/A</v>
      </c>
      <c r="Q62" s="8" t="e">
        <v>#N/A</v>
      </c>
      <c r="R62" s="8" t="e">
        <v>#N/A</v>
      </c>
      <c r="S62" s="8" t="e">
        <v>#N/A</v>
      </c>
      <c r="T62" s="8" t="e">
        <v>#N/A</v>
      </c>
    </row>
    <row r="63" spans="1:20" x14ac:dyDescent="0.25">
      <c r="A63" s="1">
        <v>33305</v>
      </c>
      <c r="B63" s="1">
        <f t="shared" si="0"/>
        <v>33298</v>
      </c>
      <c r="C63">
        <v>96.1</v>
      </c>
      <c r="I63" s="10">
        <v>34731</v>
      </c>
      <c r="J63" s="12">
        <v>139.17499999999998</v>
      </c>
      <c r="M63" s="1">
        <v>34731</v>
      </c>
      <c r="N63">
        <v>139.17499999999998</v>
      </c>
      <c r="O63" t="e">
        <f>VLOOKUP(M63,'Hosing Inventory'!B:D,3,0)</f>
        <v>#N/A</v>
      </c>
      <c r="P63" s="8" t="e">
        <f>N63/VLOOKUP(M63,'Hosing Inventory'!B:D,3,0)</f>
        <v>#N/A</v>
      </c>
      <c r="Q63" s="8" t="e">
        <v>#N/A</v>
      </c>
      <c r="R63" s="8" t="e">
        <v>#N/A</v>
      </c>
      <c r="S63" s="8" t="e">
        <v>#N/A</v>
      </c>
      <c r="T63" s="8" t="e">
        <v>#N/A</v>
      </c>
    </row>
    <row r="64" spans="1:20" x14ac:dyDescent="0.25">
      <c r="A64" s="1">
        <v>33312</v>
      </c>
      <c r="B64" s="1">
        <f t="shared" si="0"/>
        <v>33298</v>
      </c>
      <c r="C64">
        <v>103.3</v>
      </c>
      <c r="I64" s="10">
        <v>34759</v>
      </c>
      <c r="J64" s="12">
        <v>139.45999999999998</v>
      </c>
      <c r="M64" s="1">
        <v>34759</v>
      </c>
      <c r="N64">
        <v>139.45999999999998</v>
      </c>
      <c r="O64" t="e">
        <f>VLOOKUP(M64,'Hosing Inventory'!B:D,3,0)</f>
        <v>#N/A</v>
      </c>
      <c r="P64" s="8" t="e">
        <f>N64/VLOOKUP(M64,'Hosing Inventory'!B:D,3,0)</f>
        <v>#N/A</v>
      </c>
      <c r="Q64" s="8" t="e">
        <v>#N/A</v>
      </c>
      <c r="R64" s="8" t="e">
        <v>#N/A</v>
      </c>
      <c r="S64" s="8" t="e">
        <v>#N/A</v>
      </c>
      <c r="T64" s="8" t="e">
        <v>#N/A</v>
      </c>
    </row>
    <row r="65" spans="1:20" x14ac:dyDescent="0.25">
      <c r="A65" s="1">
        <v>33319</v>
      </c>
      <c r="B65" s="1">
        <f t="shared" si="0"/>
        <v>33298</v>
      </c>
      <c r="C65">
        <v>118.4</v>
      </c>
      <c r="I65" s="10">
        <v>34790</v>
      </c>
      <c r="J65" s="12">
        <v>150.02500000000001</v>
      </c>
      <c r="M65" s="1">
        <v>34790</v>
      </c>
      <c r="N65">
        <v>150.02500000000001</v>
      </c>
      <c r="O65" t="e">
        <f>VLOOKUP(M65,'Hosing Inventory'!B:D,3,0)</f>
        <v>#N/A</v>
      </c>
      <c r="P65" s="8" t="e">
        <f>N65/VLOOKUP(M65,'Hosing Inventory'!B:D,3,0)</f>
        <v>#N/A</v>
      </c>
      <c r="Q65" s="8" t="e">
        <v>#N/A</v>
      </c>
      <c r="R65" s="8" t="e">
        <v>#N/A</v>
      </c>
      <c r="S65" s="8" t="e">
        <v>#N/A</v>
      </c>
      <c r="T65" s="8" t="e">
        <v>#N/A</v>
      </c>
    </row>
    <row r="66" spans="1:20" x14ac:dyDescent="0.25">
      <c r="A66" s="1">
        <v>33326</v>
      </c>
      <c r="B66" s="1">
        <f t="shared" si="0"/>
        <v>33298</v>
      </c>
      <c r="C66">
        <v>147.19999999999999</v>
      </c>
      <c r="I66" s="10">
        <v>34820</v>
      </c>
      <c r="J66" s="12">
        <v>156.14999999999998</v>
      </c>
      <c r="M66" s="1">
        <v>34820</v>
      </c>
      <c r="N66">
        <v>156.14999999999998</v>
      </c>
      <c r="O66" t="e">
        <f>VLOOKUP(M66,'Hosing Inventory'!B:D,3,0)</f>
        <v>#N/A</v>
      </c>
      <c r="P66" s="8" t="e">
        <f>N66/VLOOKUP(M66,'Hosing Inventory'!B:D,3,0)</f>
        <v>#N/A</v>
      </c>
      <c r="Q66" s="8" t="e">
        <v>#N/A</v>
      </c>
      <c r="R66" s="8" t="e">
        <v>#N/A</v>
      </c>
      <c r="S66" s="8" t="e">
        <v>#N/A</v>
      </c>
      <c r="T66" s="8" t="e">
        <v>#N/A</v>
      </c>
    </row>
    <row r="67" spans="1:20" x14ac:dyDescent="0.25">
      <c r="A67" s="1">
        <v>33333</v>
      </c>
      <c r="B67" s="1">
        <f t="shared" ref="B67:B130" si="1">A67-DAY(A67)+1</f>
        <v>33329</v>
      </c>
      <c r="C67">
        <v>105.5</v>
      </c>
      <c r="I67" s="10">
        <v>34851</v>
      </c>
      <c r="J67" s="12">
        <v>172.23999999999995</v>
      </c>
      <c r="M67" s="1">
        <v>34851</v>
      </c>
      <c r="N67">
        <v>172.23999999999995</v>
      </c>
      <c r="O67" t="e">
        <f>VLOOKUP(M67,'Hosing Inventory'!B:D,3,0)</f>
        <v>#N/A</v>
      </c>
      <c r="P67" s="8" t="e">
        <f>N67/VLOOKUP(M67,'Hosing Inventory'!B:D,3,0)</f>
        <v>#N/A</v>
      </c>
      <c r="Q67" s="8" t="e">
        <v>#N/A</v>
      </c>
      <c r="R67" s="8" t="e">
        <v>#N/A</v>
      </c>
      <c r="S67" s="8" t="e">
        <v>#N/A</v>
      </c>
      <c r="T67" s="8" t="e">
        <v>#N/A</v>
      </c>
    </row>
    <row r="68" spans="1:20" x14ac:dyDescent="0.25">
      <c r="A68" s="1">
        <v>33340</v>
      </c>
      <c r="B68" s="1">
        <f t="shared" si="1"/>
        <v>33329</v>
      </c>
      <c r="C68">
        <v>112.4</v>
      </c>
      <c r="I68" s="10">
        <v>34881</v>
      </c>
      <c r="J68" s="12">
        <v>161.72499999999999</v>
      </c>
      <c r="M68" s="1">
        <v>34881</v>
      </c>
      <c r="N68">
        <v>161.72499999999999</v>
      </c>
      <c r="O68" t="e">
        <f>VLOOKUP(M68,'Hosing Inventory'!B:D,3,0)</f>
        <v>#N/A</v>
      </c>
      <c r="P68" s="8" t="e">
        <f>N68/VLOOKUP(M68,'Hosing Inventory'!B:D,3,0)</f>
        <v>#N/A</v>
      </c>
      <c r="Q68" s="8" t="e">
        <v>#N/A</v>
      </c>
      <c r="R68" s="8" t="e">
        <v>#N/A</v>
      </c>
      <c r="S68" s="8" t="e">
        <v>#N/A</v>
      </c>
      <c r="T68" s="8" t="e">
        <v>#N/A</v>
      </c>
    </row>
    <row r="69" spans="1:20" x14ac:dyDescent="0.25">
      <c r="A69" s="1">
        <v>33347</v>
      </c>
      <c r="B69" s="1">
        <f t="shared" si="1"/>
        <v>33329</v>
      </c>
      <c r="C69">
        <v>113.2</v>
      </c>
      <c r="I69" s="10">
        <v>34912</v>
      </c>
      <c r="J69" s="12">
        <v>154.35</v>
      </c>
      <c r="M69" s="1">
        <v>34912</v>
      </c>
      <c r="N69">
        <v>154.35</v>
      </c>
      <c r="O69" t="e">
        <f>VLOOKUP(M69,'Hosing Inventory'!B:D,3,0)</f>
        <v>#N/A</v>
      </c>
      <c r="P69" s="8" t="e">
        <f>N69/VLOOKUP(M69,'Hosing Inventory'!B:D,3,0)</f>
        <v>#N/A</v>
      </c>
      <c r="Q69" s="8" t="e">
        <v>#N/A</v>
      </c>
      <c r="R69" s="8" t="e">
        <v>#N/A</v>
      </c>
      <c r="S69" s="8" t="e">
        <v>#N/A</v>
      </c>
      <c r="T69" s="8" t="e">
        <v>#N/A</v>
      </c>
    </row>
    <row r="70" spans="1:20" x14ac:dyDescent="0.25">
      <c r="A70" s="1">
        <v>33354</v>
      </c>
      <c r="B70" s="1">
        <f t="shared" si="1"/>
        <v>33329</v>
      </c>
      <c r="C70">
        <v>116.9</v>
      </c>
      <c r="I70" s="10">
        <v>34943</v>
      </c>
      <c r="J70" s="12">
        <v>188.7</v>
      </c>
      <c r="M70" s="1">
        <v>34943</v>
      </c>
      <c r="N70">
        <v>188.7</v>
      </c>
      <c r="O70" t="e">
        <f>VLOOKUP(M70,'Hosing Inventory'!B:D,3,0)</f>
        <v>#N/A</v>
      </c>
      <c r="P70" s="8" t="e">
        <f>N70/VLOOKUP(M70,'Hosing Inventory'!B:D,3,0)</f>
        <v>#N/A</v>
      </c>
      <c r="Q70" s="8" t="e">
        <v>#N/A</v>
      </c>
      <c r="R70" s="8" t="e">
        <v>#N/A</v>
      </c>
      <c r="S70" s="8" t="e">
        <v>#N/A</v>
      </c>
      <c r="T70" s="8" t="e">
        <v>#N/A</v>
      </c>
    </row>
    <row r="71" spans="1:20" x14ac:dyDescent="0.25">
      <c r="A71" s="1">
        <v>33361</v>
      </c>
      <c r="B71" s="1">
        <f t="shared" si="1"/>
        <v>33359</v>
      </c>
      <c r="C71">
        <v>106.7</v>
      </c>
      <c r="I71" s="10">
        <v>34973</v>
      </c>
      <c r="J71" s="12">
        <v>186.97499999999999</v>
      </c>
      <c r="M71" s="1">
        <v>34973</v>
      </c>
      <c r="N71">
        <v>186.97499999999999</v>
      </c>
      <c r="O71" t="e">
        <f>VLOOKUP(M71,'Hosing Inventory'!B:D,3,0)</f>
        <v>#N/A</v>
      </c>
      <c r="P71" s="8" t="e">
        <f>N71/VLOOKUP(M71,'Hosing Inventory'!B:D,3,0)</f>
        <v>#N/A</v>
      </c>
      <c r="Q71" s="8" t="e">
        <v>#N/A</v>
      </c>
      <c r="R71" s="8" t="e">
        <v>#N/A</v>
      </c>
      <c r="S71" s="8" t="e">
        <v>#N/A</v>
      </c>
      <c r="T71" s="8" t="e">
        <v>#N/A</v>
      </c>
    </row>
    <row r="72" spans="1:20" x14ac:dyDescent="0.25">
      <c r="A72" s="1">
        <v>33368</v>
      </c>
      <c r="B72" s="1">
        <f t="shared" si="1"/>
        <v>33359</v>
      </c>
      <c r="C72">
        <v>113.3</v>
      </c>
      <c r="I72" s="10">
        <v>35004</v>
      </c>
      <c r="J72" s="12">
        <v>188.375</v>
      </c>
      <c r="M72" s="1">
        <v>35004</v>
      </c>
      <c r="N72">
        <v>188.375</v>
      </c>
      <c r="O72" t="e">
        <f>VLOOKUP(M72,'Hosing Inventory'!B:D,3,0)</f>
        <v>#N/A</v>
      </c>
      <c r="P72" s="8" t="e">
        <f>N72/VLOOKUP(M72,'Hosing Inventory'!B:D,3,0)</f>
        <v>#N/A</v>
      </c>
      <c r="Q72" s="8" t="e">
        <v>#N/A</v>
      </c>
      <c r="R72" s="8" t="e">
        <v>#N/A</v>
      </c>
      <c r="S72" s="8" t="e">
        <v>#N/A</v>
      </c>
      <c r="T72" s="8" t="e">
        <v>#N/A</v>
      </c>
    </row>
    <row r="73" spans="1:20" x14ac:dyDescent="0.25">
      <c r="A73" s="1">
        <v>33375</v>
      </c>
      <c r="B73" s="1">
        <f t="shared" si="1"/>
        <v>33359</v>
      </c>
      <c r="C73">
        <v>117.7</v>
      </c>
      <c r="I73" s="10">
        <v>35034</v>
      </c>
      <c r="J73" s="12">
        <v>204.68</v>
      </c>
      <c r="M73" s="1">
        <v>35034</v>
      </c>
      <c r="N73">
        <v>204.68</v>
      </c>
      <c r="O73" t="e">
        <f>VLOOKUP(M73,'Hosing Inventory'!B:D,3,0)</f>
        <v>#N/A</v>
      </c>
      <c r="P73" s="8" t="e">
        <f>N73/VLOOKUP(M73,'Hosing Inventory'!B:D,3,0)</f>
        <v>#N/A</v>
      </c>
      <c r="Q73" s="8" t="e">
        <v>#N/A</v>
      </c>
      <c r="R73" s="8" t="e">
        <v>#N/A</v>
      </c>
      <c r="S73" s="8" t="e">
        <v>#N/A</v>
      </c>
      <c r="T73" s="8" t="e">
        <v>#N/A</v>
      </c>
    </row>
    <row r="74" spans="1:20" x14ac:dyDescent="0.25">
      <c r="A74" s="1">
        <v>33382</v>
      </c>
      <c r="B74" s="1">
        <f t="shared" si="1"/>
        <v>33359</v>
      </c>
      <c r="C74">
        <v>119.8</v>
      </c>
      <c r="I74" s="10">
        <v>35065</v>
      </c>
      <c r="J74" s="12">
        <v>176.72500000000002</v>
      </c>
      <c r="M74" s="1">
        <v>35065</v>
      </c>
      <c r="N74">
        <v>176.72500000000002</v>
      </c>
      <c r="O74" t="e">
        <f>VLOOKUP(M74,'Hosing Inventory'!B:D,3,0)</f>
        <v>#N/A</v>
      </c>
      <c r="P74" s="8" t="e">
        <f>N74/VLOOKUP(M74,'Hosing Inventory'!B:D,3,0)</f>
        <v>#N/A</v>
      </c>
      <c r="Q74" s="8" t="e">
        <v>#N/A</v>
      </c>
      <c r="R74" s="8" t="e">
        <v>#N/A</v>
      </c>
      <c r="S74" s="8" t="e">
        <v>#N/A</v>
      </c>
      <c r="T74" s="8" t="e">
        <v>#N/A</v>
      </c>
    </row>
    <row r="75" spans="1:20" x14ac:dyDescent="0.25">
      <c r="A75" s="1">
        <v>33389</v>
      </c>
      <c r="B75" s="1">
        <f t="shared" si="1"/>
        <v>33359</v>
      </c>
      <c r="C75">
        <v>129.1</v>
      </c>
      <c r="I75" s="10">
        <v>35096</v>
      </c>
      <c r="J75" s="12">
        <v>173.4</v>
      </c>
      <c r="M75" s="1">
        <v>35096</v>
      </c>
      <c r="N75">
        <v>173.4</v>
      </c>
      <c r="O75" t="e">
        <f>VLOOKUP(M75,'Hosing Inventory'!B:D,3,0)</f>
        <v>#N/A</v>
      </c>
      <c r="P75" s="8" t="e">
        <f>N75/VLOOKUP(M75,'Hosing Inventory'!B:D,3,0)</f>
        <v>#N/A</v>
      </c>
      <c r="Q75" s="8" t="e">
        <v>#N/A</v>
      </c>
      <c r="R75" s="8" t="e">
        <v>#N/A</v>
      </c>
      <c r="S75" s="8" t="e">
        <v>#N/A</v>
      </c>
      <c r="T75" s="8" t="e">
        <v>#N/A</v>
      </c>
    </row>
    <row r="76" spans="1:20" x14ac:dyDescent="0.25">
      <c r="A76" s="1">
        <v>33396</v>
      </c>
      <c r="B76" s="1">
        <f t="shared" si="1"/>
        <v>33390</v>
      </c>
      <c r="C76">
        <v>128.19999999999999</v>
      </c>
      <c r="I76" s="10">
        <v>35125</v>
      </c>
      <c r="J76" s="12">
        <v>179.3</v>
      </c>
      <c r="M76" s="1">
        <v>35125</v>
      </c>
      <c r="N76">
        <v>179.3</v>
      </c>
      <c r="O76" t="e">
        <f>VLOOKUP(M76,'Hosing Inventory'!B:D,3,0)</f>
        <v>#N/A</v>
      </c>
      <c r="P76" s="8" t="e">
        <f>N76/VLOOKUP(M76,'Hosing Inventory'!B:D,3,0)</f>
        <v>#N/A</v>
      </c>
      <c r="Q76" s="8" t="e">
        <v>#N/A</v>
      </c>
      <c r="R76" s="8" t="e">
        <v>#N/A</v>
      </c>
      <c r="S76" s="8" t="e">
        <v>#N/A</v>
      </c>
      <c r="T76" s="8" t="e">
        <v>#N/A</v>
      </c>
    </row>
    <row r="77" spans="1:20" x14ac:dyDescent="0.25">
      <c r="A77" s="1">
        <v>33403</v>
      </c>
      <c r="B77" s="1">
        <f t="shared" si="1"/>
        <v>33390</v>
      </c>
      <c r="C77">
        <v>109.7</v>
      </c>
      <c r="I77" s="10">
        <v>35156</v>
      </c>
      <c r="J77" s="12">
        <v>177.34999999999997</v>
      </c>
      <c r="M77" s="1">
        <v>35156</v>
      </c>
      <c r="N77">
        <v>177.34999999999997</v>
      </c>
      <c r="O77" t="e">
        <f>VLOOKUP(M77,'Hosing Inventory'!B:D,3,0)</f>
        <v>#N/A</v>
      </c>
      <c r="P77" s="8" t="e">
        <f>N77/VLOOKUP(M77,'Hosing Inventory'!B:D,3,0)</f>
        <v>#N/A</v>
      </c>
      <c r="Q77" s="8" t="e">
        <v>#N/A</v>
      </c>
      <c r="R77" s="8" t="e">
        <v>#N/A</v>
      </c>
      <c r="S77" s="8" t="e">
        <v>#N/A</v>
      </c>
      <c r="T77" s="8" t="e">
        <v>#N/A</v>
      </c>
    </row>
    <row r="78" spans="1:20" x14ac:dyDescent="0.25">
      <c r="A78" s="1">
        <v>33410</v>
      </c>
      <c r="B78" s="1">
        <f t="shared" si="1"/>
        <v>33390</v>
      </c>
      <c r="C78">
        <v>107.1</v>
      </c>
      <c r="I78" s="10">
        <v>35186</v>
      </c>
      <c r="J78" s="12">
        <v>189.14000000000001</v>
      </c>
      <c r="M78" s="1">
        <v>35186</v>
      </c>
      <c r="N78">
        <v>189.14000000000001</v>
      </c>
      <c r="O78" t="e">
        <f>VLOOKUP(M78,'Hosing Inventory'!B:D,3,0)</f>
        <v>#N/A</v>
      </c>
      <c r="P78" s="8" t="e">
        <f>N78/VLOOKUP(M78,'Hosing Inventory'!B:D,3,0)</f>
        <v>#N/A</v>
      </c>
      <c r="Q78" s="8" t="e">
        <v>#N/A</v>
      </c>
      <c r="R78" s="8" t="e">
        <v>#N/A</v>
      </c>
      <c r="S78" s="8" t="e">
        <v>#N/A</v>
      </c>
      <c r="T78" s="8" t="e">
        <v>#N/A</v>
      </c>
    </row>
    <row r="79" spans="1:20" x14ac:dyDescent="0.25">
      <c r="A79" s="1">
        <v>33417</v>
      </c>
      <c r="B79" s="1">
        <f t="shared" si="1"/>
        <v>33390</v>
      </c>
      <c r="C79">
        <v>110.5</v>
      </c>
      <c r="I79" s="10">
        <v>35217</v>
      </c>
      <c r="J79" s="12">
        <v>183.67499999999998</v>
      </c>
      <c r="M79" s="1">
        <v>35217</v>
      </c>
      <c r="N79">
        <v>183.67499999999998</v>
      </c>
      <c r="O79" t="e">
        <f>VLOOKUP(M79,'Hosing Inventory'!B:D,3,0)</f>
        <v>#N/A</v>
      </c>
      <c r="P79" s="8" t="e">
        <f>N79/VLOOKUP(M79,'Hosing Inventory'!B:D,3,0)</f>
        <v>#N/A</v>
      </c>
      <c r="Q79" s="8" t="e">
        <v>#N/A</v>
      </c>
      <c r="R79" s="8" t="e">
        <v>#N/A</v>
      </c>
      <c r="S79" s="8" t="e">
        <v>#N/A</v>
      </c>
      <c r="T79" s="8" t="e">
        <v>#N/A</v>
      </c>
    </row>
    <row r="80" spans="1:20" x14ac:dyDescent="0.25">
      <c r="A80" s="1">
        <v>33424</v>
      </c>
      <c r="B80" s="1">
        <f t="shared" si="1"/>
        <v>33420</v>
      </c>
      <c r="C80">
        <v>121.6</v>
      </c>
      <c r="I80" s="10">
        <v>35247</v>
      </c>
      <c r="J80" s="12">
        <v>181.50000000000003</v>
      </c>
      <c r="M80" s="1">
        <v>35247</v>
      </c>
      <c r="N80">
        <v>181.50000000000003</v>
      </c>
      <c r="O80" t="e">
        <f>VLOOKUP(M80,'Hosing Inventory'!B:D,3,0)</f>
        <v>#N/A</v>
      </c>
      <c r="P80" s="8" t="e">
        <f>N80/VLOOKUP(M80,'Hosing Inventory'!B:D,3,0)</f>
        <v>#N/A</v>
      </c>
      <c r="Q80" s="8" t="e">
        <v>#N/A</v>
      </c>
      <c r="R80" s="8" t="e">
        <v>#N/A</v>
      </c>
      <c r="S80" s="8" t="e">
        <v>#N/A</v>
      </c>
      <c r="T80" s="8" t="e">
        <v>#N/A</v>
      </c>
    </row>
    <row r="81" spans="1:20" x14ac:dyDescent="0.25">
      <c r="A81" s="1">
        <v>33431</v>
      </c>
      <c r="B81" s="1">
        <f t="shared" si="1"/>
        <v>33420</v>
      </c>
      <c r="C81">
        <v>111.9</v>
      </c>
      <c r="I81" s="10">
        <v>35278</v>
      </c>
      <c r="J81" s="12">
        <v>182.02000000000004</v>
      </c>
      <c r="M81" s="1">
        <v>35278</v>
      </c>
      <c r="N81">
        <v>182.02000000000004</v>
      </c>
      <c r="O81" t="e">
        <f>VLOOKUP(M81,'Hosing Inventory'!B:D,3,0)</f>
        <v>#N/A</v>
      </c>
      <c r="P81" s="8" t="e">
        <f>N81/VLOOKUP(M81,'Hosing Inventory'!B:D,3,0)</f>
        <v>#N/A</v>
      </c>
      <c r="Q81" s="8" t="e">
        <v>#N/A</v>
      </c>
      <c r="R81" s="8" t="e">
        <v>#N/A</v>
      </c>
      <c r="S81" s="8" t="e">
        <v>#N/A</v>
      </c>
      <c r="T81" s="8" t="e">
        <v>#N/A</v>
      </c>
    </row>
    <row r="82" spans="1:20" x14ac:dyDescent="0.25">
      <c r="A82" s="1">
        <v>33438</v>
      </c>
      <c r="B82" s="1">
        <f t="shared" si="1"/>
        <v>33420</v>
      </c>
      <c r="C82">
        <v>130.19999999999999</v>
      </c>
      <c r="I82" s="10">
        <v>35309</v>
      </c>
      <c r="J82" s="12">
        <v>186.375</v>
      </c>
      <c r="M82" s="1">
        <v>35309</v>
      </c>
      <c r="N82">
        <v>186.375</v>
      </c>
      <c r="O82" t="e">
        <f>VLOOKUP(M82,'Hosing Inventory'!B:D,3,0)</f>
        <v>#N/A</v>
      </c>
      <c r="P82" s="8" t="e">
        <f>N82/VLOOKUP(M82,'Hosing Inventory'!B:D,3,0)</f>
        <v>#N/A</v>
      </c>
      <c r="Q82" s="8" t="e">
        <v>#N/A</v>
      </c>
      <c r="R82" s="8" t="e">
        <v>#N/A</v>
      </c>
      <c r="S82" s="8" t="e">
        <v>#N/A</v>
      </c>
      <c r="T82" s="8" t="e">
        <v>#N/A</v>
      </c>
    </row>
    <row r="83" spans="1:20" x14ac:dyDescent="0.25">
      <c r="A83" s="1">
        <v>33445</v>
      </c>
      <c r="B83" s="1">
        <f t="shared" si="1"/>
        <v>33420</v>
      </c>
      <c r="C83">
        <v>103.8</v>
      </c>
      <c r="I83" s="10">
        <v>35339</v>
      </c>
      <c r="J83" s="12">
        <v>182.27500000000001</v>
      </c>
      <c r="M83" s="1">
        <v>35339</v>
      </c>
      <c r="N83">
        <v>182.27500000000001</v>
      </c>
      <c r="O83" t="e">
        <f>VLOOKUP(M83,'Hosing Inventory'!B:D,3,0)</f>
        <v>#N/A</v>
      </c>
      <c r="P83" s="8" t="e">
        <f>N83/VLOOKUP(M83,'Hosing Inventory'!B:D,3,0)</f>
        <v>#N/A</v>
      </c>
      <c r="Q83" s="8" t="e">
        <v>#N/A</v>
      </c>
      <c r="R83" s="8" t="e">
        <v>#N/A</v>
      </c>
      <c r="S83" s="8" t="e">
        <v>#N/A</v>
      </c>
      <c r="T83" s="8" t="e">
        <v>#N/A</v>
      </c>
    </row>
    <row r="84" spans="1:20" x14ac:dyDescent="0.25">
      <c r="A84" s="1">
        <v>33452</v>
      </c>
      <c r="B84" s="1">
        <f t="shared" si="1"/>
        <v>33451</v>
      </c>
      <c r="C84">
        <v>105.2</v>
      </c>
      <c r="I84" s="10">
        <v>35370</v>
      </c>
      <c r="J84" s="12">
        <v>199.88000000000002</v>
      </c>
      <c r="M84" s="1">
        <v>35370</v>
      </c>
      <c r="N84">
        <v>199.88000000000002</v>
      </c>
      <c r="O84" t="e">
        <f>VLOOKUP(M84,'Hosing Inventory'!B:D,3,0)</f>
        <v>#N/A</v>
      </c>
      <c r="P84" s="8" t="e">
        <f>N84/VLOOKUP(M84,'Hosing Inventory'!B:D,3,0)</f>
        <v>#N/A</v>
      </c>
      <c r="Q84" s="8" t="e">
        <v>#N/A</v>
      </c>
      <c r="R84" s="8" t="e">
        <v>#N/A</v>
      </c>
      <c r="S84" s="8" t="e">
        <v>#N/A</v>
      </c>
      <c r="T84" s="8" t="e">
        <v>#N/A</v>
      </c>
    </row>
    <row r="85" spans="1:20" x14ac:dyDescent="0.25">
      <c r="A85" s="1">
        <v>33459</v>
      </c>
      <c r="B85" s="1">
        <f t="shared" si="1"/>
        <v>33451</v>
      </c>
      <c r="C85">
        <v>101.7</v>
      </c>
      <c r="I85" s="10">
        <v>35400</v>
      </c>
      <c r="J85" s="12">
        <v>190.17500000000001</v>
      </c>
      <c r="M85" s="1">
        <v>35400</v>
      </c>
      <c r="N85">
        <v>190.17500000000001</v>
      </c>
      <c r="O85" t="e">
        <f>VLOOKUP(M85,'Hosing Inventory'!B:D,3,0)</f>
        <v>#N/A</v>
      </c>
      <c r="P85" s="8" t="e">
        <f>N85/VLOOKUP(M85,'Hosing Inventory'!B:D,3,0)</f>
        <v>#N/A</v>
      </c>
      <c r="Q85" s="8" t="e">
        <v>#N/A</v>
      </c>
      <c r="R85" s="8" t="e">
        <v>#N/A</v>
      </c>
      <c r="S85" s="8" t="e">
        <v>#N/A</v>
      </c>
      <c r="T85" s="8" t="e">
        <v>#N/A</v>
      </c>
    </row>
    <row r="86" spans="1:20" x14ac:dyDescent="0.25">
      <c r="A86" s="1">
        <v>33466</v>
      </c>
      <c r="B86" s="1">
        <f t="shared" si="1"/>
        <v>33451</v>
      </c>
      <c r="C86">
        <v>100.3</v>
      </c>
      <c r="I86" s="10">
        <v>35431</v>
      </c>
      <c r="J86" s="12">
        <v>184.28000000000003</v>
      </c>
      <c r="M86" s="1">
        <v>35431</v>
      </c>
      <c r="N86">
        <v>184.28000000000003</v>
      </c>
      <c r="O86" t="e">
        <f>VLOOKUP(M86,'Hosing Inventory'!B:D,3,0)</f>
        <v>#N/A</v>
      </c>
      <c r="P86" s="8" t="e">
        <f>N86/VLOOKUP(M86,'Hosing Inventory'!B:D,3,0)</f>
        <v>#N/A</v>
      </c>
      <c r="Q86" s="8" t="e">
        <v>#N/A</v>
      </c>
      <c r="R86" s="8" t="e">
        <v>#N/A</v>
      </c>
      <c r="S86" s="8" t="e">
        <v>#N/A</v>
      </c>
      <c r="T86" s="8" t="e">
        <v>#N/A</v>
      </c>
    </row>
    <row r="87" spans="1:20" x14ac:dyDescent="0.25">
      <c r="A87" s="1">
        <v>33473</v>
      </c>
      <c r="B87" s="1">
        <f t="shared" si="1"/>
        <v>33451</v>
      </c>
      <c r="C87">
        <v>108.5</v>
      </c>
      <c r="I87" s="10">
        <v>35462</v>
      </c>
      <c r="J87" s="12">
        <v>184.20000000000002</v>
      </c>
      <c r="M87" s="1">
        <v>35462</v>
      </c>
      <c r="N87">
        <v>184.20000000000002</v>
      </c>
      <c r="O87" t="e">
        <f>VLOOKUP(M87,'Hosing Inventory'!B:D,3,0)</f>
        <v>#N/A</v>
      </c>
      <c r="P87" s="8" t="e">
        <f>N87/VLOOKUP(M87,'Hosing Inventory'!B:D,3,0)</f>
        <v>#N/A</v>
      </c>
      <c r="Q87" s="8" t="e">
        <v>#N/A</v>
      </c>
      <c r="R87" s="8" t="e">
        <v>#N/A</v>
      </c>
      <c r="S87" s="8" t="e">
        <v>#N/A</v>
      </c>
      <c r="T87" s="8" t="e">
        <v>#N/A</v>
      </c>
    </row>
    <row r="88" spans="1:20" x14ac:dyDescent="0.25">
      <c r="A88" s="1">
        <v>33480</v>
      </c>
      <c r="B88" s="1">
        <f t="shared" si="1"/>
        <v>33451</v>
      </c>
      <c r="C88">
        <v>110.6</v>
      </c>
      <c r="I88" s="10">
        <v>35490</v>
      </c>
      <c r="J88" s="12">
        <v>204.875</v>
      </c>
      <c r="M88" s="1">
        <v>35490</v>
      </c>
      <c r="N88">
        <v>204.875</v>
      </c>
      <c r="O88" t="e">
        <f>VLOOKUP(M88,'Hosing Inventory'!B:D,3,0)</f>
        <v>#N/A</v>
      </c>
      <c r="P88" s="8" t="e">
        <f>N88/VLOOKUP(M88,'Hosing Inventory'!B:D,3,0)</f>
        <v>#N/A</v>
      </c>
      <c r="Q88" s="8" t="e">
        <v>#N/A</v>
      </c>
      <c r="R88" s="8" t="e">
        <v>#N/A</v>
      </c>
      <c r="S88" s="8" t="e">
        <v>#N/A</v>
      </c>
      <c r="T88" s="8" t="e">
        <v>#N/A</v>
      </c>
    </row>
    <row r="89" spans="1:20" x14ac:dyDescent="0.25">
      <c r="A89" s="1">
        <v>33487</v>
      </c>
      <c r="B89" s="1">
        <f t="shared" si="1"/>
        <v>33482</v>
      </c>
      <c r="C89">
        <v>104.8</v>
      </c>
      <c r="I89" s="10">
        <v>35521</v>
      </c>
      <c r="J89" s="12">
        <v>179.8</v>
      </c>
      <c r="M89" s="1">
        <v>35521</v>
      </c>
      <c r="N89">
        <v>179.8</v>
      </c>
      <c r="O89" t="e">
        <f>VLOOKUP(M89,'Hosing Inventory'!B:D,3,0)</f>
        <v>#N/A</v>
      </c>
      <c r="P89" s="8" t="e">
        <f>N89/VLOOKUP(M89,'Hosing Inventory'!B:D,3,0)</f>
        <v>#N/A</v>
      </c>
      <c r="Q89" s="8" t="e">
        <v>#N/A</v>
      </c>
      <c r="R89" s="8" t="e">
        <v>#N/A</v>
      </c>
      <c r="S89" s="8" t="e">
        <v>#N/A</v>
      </c>
      <c r="T89" s="8" t="e">
        <v>#N/A</v>
      </c>
    </row>
    <row r="90" spans="1:20" x14ac:dyDescent="0.25">
      <c r="A90" s="1">
        <v>33494</v>
      </c>
      <c r="B90" s="1">
        <f t="shared" si="1"/>
        <v>33482</v>
      </c>
      <c r="C90">
        <v>109.1</v>
      </c>
      <c r="I90" s="10">
        <v>35551</v>
      </c>
      <c r="J90" s="12">
        <v>192.95999999999998</v>
      </c>
      <c r="M90" s="1">
        <v>35551</v>
      </c>
      <c r="N90">
        <v>192.95999999999998</v>
      </c>
      <c r="O90" t="e">
        <f>VLOOKUP(M90,'Hosing Inventory'!B:D,3,0)</f>
        <v>#N/A</v>
      </c>
      <c r="P90" s="8" t="e">
        <f>N90/VLOOKUP(M90,'Hosing Inventory'!B:D,3,0)</f>
        <v>#N/A</v>
      </c>
      <c r="Q90" s="8" t="e">
        <v>#N/A</v>
      </c>
      <c r="R90" s="8" t="e">
        <v>#N/A</v>
      </c>
      <c r="S90" s="8" t="e">
        <v>#N/A</v>
      </c>
      <c r="T90" s="8" t="e">
        <v>#N/A</v>
      </c>
    </row>
    <row r="91" spans="1:20" x14ac:dyDescent="0.25">
      <c r="A91" s="1">
        <v>33501</v>
      </c>
      <c r="B91" s="1">
        <f t="shared" si="1"/>
        <v>33482</v>
      </c>
      <c r="C91">
        <v>102.7</v>
      </c>
      <c r="I91" s="10">
        <v>35582</v>
      </c>
      <c r="J91" s="12">
        <v>207.75</v>
      </c>
      <c r="M91" s="1">
        <v>35582</v>
      </c>
      <c r="N91">
        <v>207.75</v>
      </c>
      <c r="O91" t="e">
        <f>VLOOKUP(M91,'Hosing Inventory'!B:D,3,0)</f>
        <v>#N/A</v>
      </c>
      <c r="P91" s="8" t="e">
        <f>N91/VLOOKUP(M91,'Hosing Inventory'!B:D,3,0)</f>
        <v>#N/A</v>
      </c>
      <c r="Q91" s="8" t="e">
        <v>#N/A</v>
      </c>
      <c r="R91" s="8" t="e">
        <v>#N/A</v>
      </c>
      <c r="S91" s="8" t="e">
        <v>#N/A</v>
      </c>
      <c r="T91" s="8" t="e">
        <v>#N/A</v>
      </c>
    </row>
    <row r="92" spans="1:20" x14ac:dyDescent="0.25">
      <c r="A92" s="1">
        <v>33508</v>
      </c>
      <c r="B92" s="1">
        <f t="shared" si="1"/>
        <v>33482</v>
      </c>
      <c r="C92">
        <v>111</v>
      </c>
      <c r="I92" s="10">
        <v>35612</v>
      </c>
      <c r="J92" s="12">
        <v>211.45</v>
      </c>
      <c r="M92" s="1">
        <v>35612</v>
      </c>
      <c r="N92">
        <v>211.45</v>
      </c>
      <c r="O92" t="e">
        <f>VLOOKUP(M92,'Hosing Inventory'!B:D,3,0)</f>
        <v>#N/A</v>
      </c>
      <c r="P92" s="8" t="e">
        <f>N92/VLOOKUP(M92,'Hosing Inventory'!B:D,3,0)</f>
        <v>#N/A</v>
      </c>
      <c r="Q92" s="8" t="e">
        <v>#N/A</v>
      </c>
      <c r="R92" s="8" t="e">
        <v>#N/A</v>
      </c>
      <c r="S92" s="8" t="e">
        <v>#N/A</v>
      </c>
      <c r="T92" s="8" t="e">
        <v>#N/A</v>
      </c>
    </row>
    <row r="93" spans="1:20" x14ac:dyDescent="0.25">
      <c r="A93" s="1">
        <v>33515</v>
      </c>
      <c r="B93" s="1">
        <f t="shared" si="1"/>
        <v>33512</v>
      </c>
      <c r="C93">
        <v>104.7</v>
      </c>
      <c r="I93" s="10">
        <v>35643</v>
      </c>
      <c r="J93" s="12">
        <v>213.92</v>
      </c>
      <c r="M93" s="1">
        <v>35643</v>
      </c>
      <c r="N93">
        <v>213.92</v>
      </c>
      <c r="O93" t="e">
        <f>VLOOKUP(M93,'Hosing Inventory'!B:D,3,0)</f>
        <v>#N/A</v>
      </c>
      <c r="P93" s="8" t="e">
        <f>N93/VLOOKUP(M93,'Hosing Inventory'!B:D,3,0)</f>
        <v>#N/A</v>
      </c>
      <c r="Q93" s="8" t="e">
        <v>#N/A</v>
      </c>
      <c r="R93" s="8" t="e">
        <v>#N/A</v>
      </c>
      <c r="S93" s="8" t="e">
        <v>#N/A</v>
      </c>
      <c r="T93" s="8" t="e">
        <v>#N/A</v>
      </c>
    </row>
    <row r="94" spans="1:20" x14ac:dyDescent="0.25">
      <c r="A94" s="1">
        <v>33522</v>
      </c>
      <c r="B94" s="1">
        <f t="shared" si="1"/>
        <v>33512</v>
      </c>
      <c r="C94">
        <v>126.4</v>
      </c>
      <c r="I94" s="10">
        <v>35674</v>
      </c>
      <c r="J94" s="12">
        <v>218.32499999999999</v>
      </c>
      <c r="M94" s="1">
        <v>35674</v>
      </c>
      <c r="N94">
        <v>218.32499999999999</v>
      </c>
      <c r="O94" t="e">
        <f>VLOOKUP(M94,'Hosing Inventory'!B:D,3,0)</f>
        <v>#N/A</v>
      </c>
      <c r="P94" s="8" t="e">
        <f>N94/VLOOKUP(M94,'Hosing Inventory'!B:D,3,0)</f>
        <v>#N/A</v>
      </c>
      <c r="Q94" s="8" t="e">
        <v>#N/A</v>
      </c>
      <c r="R94" s="8" t="e">
        <v>#N/A</v>
      </c>
      <c r="S94" s="8" t="e">
        <v>#N/A</v>
      </c>
      <c r="T94" s="8" t="e">
        <v>#N/A</v>
      </c>
    </row>
    <row r="95" spans="1:20" x14ac:dyDescent="0.25">
      <c r="A95" s="1">
        <v>33529</v>
      </c>
      <c r="B95" s="1">
        <f t="shared" si="1"/>
        <v>33512</v>
      </c>
      <c r="C95">
        <v>108.2</v>
      </c>
      <c r="I95" s="10">
        <v>35704</v>
      </c>
      <c r="J95" s="12">
        <v>220.12000000000003</v>
      </c>
      <c r="M95" s="1">
        <v>35704</v>
      </c>
      <c r="N95">
        <v>220.12000000000003</v>
      </c>
      <c r="O95" t="e">
        <f>VLOOKUP(M95,'Hosing Inventory'!B:D,3,0)</f>
        <v>#N/A</v>
      </c>
      <c r="P95" s="8" t="e">
        <f>N95/VLOOKUP(M95,'Hosing Inventory'!B:D,3,0)</f>
        <v>#N/A</v>
      </c>
      <c r="Q95" s="8" t="e">
        <v>#N/A</v>
      </c>
      <c r="R95" s="8" t="e">
        <v>#N/A</v>
      </c>
      <c r="S95" s="8" t="e">
        <v>#N/A</v>
      </c>
      <c r="T95" s="8" t="e">
        <v>#N/A</v>
      </c>
    </row>
    <row r="96" spans="1:20" x14ac:dyDescent="0.25">
      <c r="A96" s="1">
        <v>33536</v>
      </c>
      <c r="B96" s="1">
        <f t="shared" si="1"/>
        <v>33512</v>
      </c>
      <c r="C96">
        <v>109.6</v>
      </c>
      <c r="I96" s="10">
        <v>35735</v>
      </c>
      <c r="J96" s="12">
        <v>224.82500000000002</v>
      </c>
      <c r="M96" s="1">
        <v>35735</v>
      </c>
      <c r="N96">
        <v>224.82500000000002</v>
      </c>
      <c r="O96" t="e">
        <f>VLOOKUP(M96,'Hosing Inventory'!B:D,3,0)</f>
        <v>#N/A</v>
      </c>
      <c r="P96" s="8" t="e">
        <f>N96/VLOOKUP(M96,'Hosing Inventory'!B:D,3,0)</f>
        <v>#N/A</v>
      </c>
      <c r="Q96" s="8" t="e">
        <v>#N/A</v>
      </c>
      <c r="R96" s="8" t="e">
        <v>#N/A</v>
      </c>
      <c r="S96" s="8" t="e">
        <v>#N/A</v>
      </c>
      <c r="T96" s="8" t="e">
        <v>#N/A</v>
      </c>
    </row>
    <row r="97" spans="1:20" x14ac:dyDescent="0.25">
      <c r="A97" s="1">
        <v>33543</v>
      </c>
      <c r="B97" s="1">
        <f t="shared" si="1"/>
        <v>33543</v>
      </c>
      <c r="C97">
        <v>99.2</v>
      </c>
      <c r="I97" s="10">
        <v>35765</v>
      </c>
      <c r="J97" s="12">
        <v>227.87500000000003</v>
      </c>
      <c r="M97" s="1">
        <v>35765</v>
      </c>
      <c r="N97">
        <v>227.87500000000003</v>
      </c>
      <c r="O97" t="e">
        <f>VLOOKUP(M97,'Hosing Inventory'!B:D,3,0)</f>
        <v>#N/A</v>
      </c>
      <c r="P97" s="8" t="e">
        <f>N97/VLOOKUP(M97,'Hosing Inventory'!B:D,3,0)</f>
        <v>#N/A</v>
      </c>
      <c r="Q97" s="8" t="e">
        <v>#N/A</v>
      </c>
      <c r="R97" s="8" t="e">
        <v>#N/A</v>
      </c>
      <c r="S97" s="8" t="e">
        <v>#N/A</v>
      </c>
      <c r="T97" s="8" t="e">
        <v>#N/A</v>
      </c>
    </row>
    <row r="98" spans="1:20" x14ac:dyDescent="0.25">
      <c r="A98" s="1">
        <v>33550</v>
      </c>
      <c r="B98" s="1">
        <f t="shared" si="1"/>
        <v>33543</v>
      </c>
      <c r="C98">
        <v>106.3</v>
      </c>
      <c r="I98" s="10">
        <v>35796</v>
      </c>
      <c r="J98" s="12">
        <v>270.17999999999995</v>
      </c>
      <c r="M98" s="1">
        <v>35796</v>
      </c>
      <c r="N98">
        <v>270.17999999999995</v>
      </c>
      <c r="O98" t="e">
        <f>VLOOKUP(M98,'Hosing Inventory'!B:D,3,0)</f>
        <v>#N/A</v>
      </c>
      <c r="P98" s="8" t="e">
        <f>N98/VLOOKUP(M98,'Hosing Inventory'!B:D,3,0)</f>
        <v>#N/A</v>
      </c>
      <c r="Q98" s="8" t="e">
        <v>#N/A</v>
      </c>
      <c r="R98" s="8" t="e">
        <v>#N/A</v>
      </c>
      <c r="S98" s="8" t="e">
        <v>#N/A</v>
      </c>
      <c r="T98" s="8" t="e">
        <v>#N/A</v>
      </c>
    </row>
    <row r="99" spans="1:20" x14ac:dyDescent="0.25">
      <c r="A99" s="1">
        <v>33557</v>
      </c>
      <c r="B99" s="1">
        <f t="shared" si="1"/>
        <v>33543</v>
      </c>
      <c r="C99">
        <v>113.9</v>
      </c>
      <c r="I99" s="10">
        <v>35827</v>
      </c>
      <c r="J99" s="12">
        <v>235</v>
      </c>
      <c r="M99" s="1">
        <v>35827</v>
      </c>
      <c r="N99">
        <v>235</v>
      </c>
      <c r="O99" t="e">
        <f>VLOOKUP(M99,'Hosing Inventory'!B:D,3,0)</f>
        <v>#N/A</v>
      </c>
      <c r="P99" s="8" t="e">
        <f>N99/VLOOKUP(M99,'Hosing Inventory'!B:D,3,0)</f>
        <v>#N/A</v>
      </c>
      <c r="Q99" s="8" t="e">
        <v>#N/A</v>
      </c>
      <c r="R99" s="8" t="e">
        <v>#N/A</v>
      </c>
      <c r="S99" s="8" t="e">
        <v>#N/A</v>
      </c>
      <c r="T99" s="8" t="e">
        <v>#N/A</v>
      </c>
    </row>
    <row r="100" spans="1:20" x14ac:dyDescent="0.25">
      <c r="A100" s="1">
        <v>33564</v>
      </c>
      <c r="B100" s="1">
        <f t="shared" si="1"/>
        <v>33543</v>
      </c>
      <c r="C100">
        <v>106.1</v>
      </c>
      <c r="I100" s="10">
        <v>35855</v>
      </c>
      <c r="J100" s="12">
        <v>224.72500000000002</v>
      </c>
      <c r="M100" s="1">
        <v>35855</v>
      </c>
      <c r="N100">
        <v>224.72500000000002</v>
      </c>
      <c r="O100" t="e">
        <f>VLOOKUP(M100,'Hosing Inventory'!B:D,3,0)</f>
        <v>#N/A</v>
      </c>
      <c r="P100" s="8" t="e">
        <f>N100/VLOOKUP(M100,'Hosing Inventory'!B:D,3,0)</f>
        <v>#N/A</v>
      </c>
      <c r="Q100" s="8" t="e">
        <v>#N/A</v>
      </c>
      <c r="R100" s="8" t="e">
        <v>#N/A</v>
      </c>
      <c r="S100" s="8" t="e">
        <v>#N/A</v>
      </c>
      <c r="T100" s="8" t="e">
        <v>#N/A</v>
      </c>
    </row>
    <row r="101" spans="1:20" x14ac:dyDescent="0.25">
      <c r="A101" s="1">
        <v>33571</v>
      </c>
      <c r="B101" s="1">
        <f t="shared" si="1"/>
        <v>33543</v>
      </c>
      <c r="C101">
        <v>92</v>
      </c>
      <c r="I101" s="10">
        <v>35886</v>
      </c>
      <c r="J101" s="12">
        <v>251.20000000000002</v>
      </c>
      <c r="M101" s="1">
        <v>35886</v>
      </c>
      <c r="N101">
        <v>251.20000000000002</v>
      </c>
      <c r="O101" t="e">
        <f>VLOOKUP(M101,'Hosing Inventory'!B:D,3,0)</f>
        <v>#N/A</v>
      </c>
      <c r="P101" s="8" t="e">
        <f>N101/VLOOKUP(M101,'Hosing Inventory'!B:D,3,0)</f>
        <v>#N/A</v>
      </c>
      <c r="Q101" s="8" t="e">
        <v>#N/A</v>
      </c>
      <c r="R101" s="8" t="e">
        <v>#N/A</v>
      </c>
      <c r="S101" s="8" t="e">
        <v>#N/A</v>
      </c>
      <c r="T101" s="8" t="e">
        <v>#N/A</v>
      </c>
    </row>
    <row r="102" spans="1:20" x14ac:dyDescent="0.25">
      <c r="A102" s="1">
        <v>33578</v>
      </c>
      <c r="B102" s="1">
        <f t="shared" si="1"/>
        <v>33573</v>
      </c>
      <c r="C102">
        <v>107.7</v>
      </c>
      <c r="I102" s="10">
        <v>35916</v>
      </c>
      <c r="J102" s="12">
        <v>264.88</v>
      </c>
      <c r="M102" s="1">
        <v>35916</v>
      </c>
      <c r="N102">
        <v>264.88</v>
      </c>
      <c r="O102" t="e">
        <f>VLOOKUP(M102,'Hosing Inventory'!B:D,3,0)</f>
        <v>#N/A</v>
      </c>
      <c r="P102" s="8" t="e">
        <f>N102/VLOOKUP(M102,'Hosing Inventory'!B:D,3,0)</f>
        <v>#N/A</v>
      </c>
      <c r="Q102" s="8" t="e">
        <v>#N/A</v>
      </c>
      <c r="R102" s="8" t="e">
        <v>#N/A</v>
      </c>
      <c r="S102" s="8" t="e">
        <v>#N/A</v>
      </c>
      <c r="T102" s="8" t="e">
        <v>#N/A</v>
      </c>
    </row>
    <row r="103" spans="1:20" x14ac:dyDescent="0.25">
      <c r="A103" s="1">
        <v>33585</v>
      </c>
      <c r="B103" s="1">
        <f t="shared" si="1"/>
        <v>33573</v>
      </c>
      <c r="C103">
        <v>115.1</v>
      </c>
      <c r="I103" s="10">
        <v>35947</v>
      </c>
      <c r="J103" s="12">
        <v>262.52500000000003</v>
      </c>
      <c r="M103" s="1">
        <v>35947</v>
      </c>
      <c r="N103">
        <v>262.52500000000003</v>
      </c>
      <c r="O103" t="e">
        <f>VLOOKUP(M103,'Hosing Inventory'!B:D,3,0)</f>
        <v>#N/A</v>
      </c>
      <c r="P103" s="8" t="e">
        <f>N103/VLOOKUP(M103,'Hosing Inventory'!B:D,3,0)</f>
        <v>#N/A</v>
      </c>
      <c r="Q103" s="8" t="e">
        <v>#N/A</v>
      </c>
      <c r="R103" s="8" t="e">
        <v>#N/A</v>
      </c>
      <c r="S103" s="8" t="e">
        <v>#N/A</v>
      </c>
      <c r="T103" s="8" t="e">
        <v>#N/A</v>
      </c>
    </row>
    <row r="104" spans="1:20" x14ac:dyDescent="0.25">
      <c r="A104" s="1">
        <v>33592</v>
      </c>
      <c r="B104" s="1">
        <f t="shared" si="1"/>
        <v>33573</v>
      </c>
      <c r="C104">
        <v>99.4</v>
      </c>
      <c r="I104" s="10">
        <v>35977</v>
      </c>
      <c r="J104" s="12">
        <v>262.7</v>
      </c>
      <c r="M104" s="1">
        <v>35977</v>
      </c>
      <c r="N104">
        <v>262.7</v>
      </c>
      <c r="O104" t="e">
        <f>VLOOKUP(M104,'Hosing Inventory'!B:D,3,0)</f>
        <v>#N/A</v>
      </c>
      <c r="P104" s="8" t="e">
        <f>N104/VLOOKUP(M104,'Hosing Inventory'!B:D,3,0)</f>
        <v>#N/A</v>
      </c>
      <c r="Q104" s="8" t="e">
        <v>#N/A</v>
      </c>
      <c r="R104" s="8" t="e">
        <v>#N/A</v>
      </c>
      <c r="S104" s="8" t="e">
        <v>#N/A</v>
      </c>
      <c r="T104" s="8" t="e">
        <v>#N/A</v>
      </c>
    </row>
    <row r="105" spans="1:20" x14ac:dyDescent="0.25">
      <c r="A105" s="1">
        <v>33599</v>
      </c>
      <c r="B105" s="1">
        <f t="shared" si="1"/>
        <v>33573</v>
      </c>
      <c r="C105">
        <v>78.8</v>
      </c>
      <c r="I105" s="10">
        <v>36008</v>
      </c>
      <c r="J105" s="12">
        <v>254.65</v>
      </c>
      <c r="M105" s="1">
        <v>36008</v>
      </c>
      <c r="N105">
        <v>254.65</v>
      </c>
      <c r="O105" t="e">
        <f>VLOOKUP(M105,'Hosing Inventory'!B:D,3,0)</f>
        <v>#N/A</v>
      </c>
      <c r="P105" s="8" t="e">
        <f>N105/VLOOKUP(M105,'Hosing Inventory'!B:D,3,0)</f>
        <v>#N/A</v>
      </c>
      <c r="Q105" s="8" t="e">
        <v>#N/A</v>
      </c>
      <c r="R105" s="8" t="e">
        <v>#N/A</v>
      </c>
      <c r="S105" s="8" t="e">
        <v>#N/A</v>
      </c>
      <c r="T105" s="8" t="e">
        <v>#N/A</v>
      </c>
    </row>
    <row r="106" spans="1:20" x14ac:dyDescent="0.25">
      <c r="A106" s="1">
        <v>33606</v>
      </c>
      <c r="B106" s="1">
        <f t="shared" si="1"/>
        <v>33604</v>
      </c>
      <c r="C106">
        <v>92.8</v>
      </c>
      <c r="I106" s="10">
        <v>36039</v>
      </c>
      <c r="J106" s="12">
        <v>292.375</v>
      </c>
      <c r="M106" s="1">
        <v>36039</v>
      </c>
      <c r="N106">
        <v>292.375</v>
      </c>
      <c r="O106" t="e">
        <f>VLOOKUP(M106,'Hosing Inventory'!B:D,3,0)</f>
        <v>#N/A</v>
      </c>
      <c r="P106" s="8" t="e">
        <f>N106/VLOOKUP(M106,'Hosing Inventory'!B:D,3,0)</f>
        <v>#N/A</v>
      </c>
      <c r="Q106" s="8" t="e">
        <v>#N/A</v>
      </c>
      <c r="R106" s="8" t="e">
        <v>#N/A</v>
      </c>
      <c r="S106" s="8" t="e">
        <v>#N/A</v>
      </c>
      <c r="T106" s="8" t="e">
        <v>#N/A</v>
      </c>
    </row>
    <row r="107" spans="1:20" x14ac:dyDescent="0.25">
      <c r="A107" s="1">
        <v>33613</v>
      </c>
      <c r="B107" s="1">
        <f t="shared" si="1"/>
        <v>33604</v>
      </c>
      <c r="C107">
        <v>122.2</v>
      </c>
      <c r="I107" s="10">
        <v>36069</v>
      </c>
      <c r="J107" s="12">
        <v>298.58</v>
      </c>
      <c r="M107" s="1">
        <v>36069</v>
      </c>
      <c r="N107">
        <v>298.58</v>
      </c>
      <c r="O107" t="e">
        <f>VLOOKUP(M107,'Hosing Inventory'!B:D,3,0)</f>
        <v>#N/A</v>
      </c>
      <c r="P107" s="8" t="e">
        <f>N107/VLOOKUP(M107,'Hosing Inventory'!B:D,3,0)</f>
        <v>#N/A</v>
      </c>
      <c r="Q107" s="8" t="e">
        <v>#N/A</v>
      </c>
      <c r="R107" s="8" t="e">
        <v>#N/A</v>
      </c>
      <c r="S107" s="8" t="e">
        <v>#N/A</v>
      </c>
      <c r="T107" s="8" t="e">
        <v>#N/A</v>
      </c>
    </row>
    <row r="108" spans="1:20" x14ac:dyDescent="0.25">
      <c r="A108" s="1">
        <v>33620</v>
      </c>
      <c r="B108" s="1">
        <f t="shared" si="1"/>
        <v>33604</v>
      </c>
      <c r="C108">
        <v>148.9</v>
      </c>
      <c r="I108" s="10">
        <v>36100</v>
      </c>
      <c r="J108" s="12">
        <v>285.2</v>
      </c>
      <c r="M108" s="1">
        <v>36100</v>
      </c>
      <c r="N108">
        <v>285.2</v>
      </c>
      <c r="O108" t="e">
        <f>VLOOKUP(M108,'Hosing Inventory'!B:D,3,0)</f>
        <v>#N/A</v>
      </c>
      <c r="P108" s="8" t="e">
        <f>N108/VLOOKUP(M108,'Hosing Inventory'!B:D,3,0)</f>
        <v>#N/A</v>
      </c>
      <c r="Q108" s="8" t="e">
        <v>#N/A</v>
      </c>
      <c r="R108" s="8" t="e">
        <v>#N/A</v>
      </c>
      <c r="S108" s="8" t="e">
        <v>#N/A</v>
      </c>
      <c r="T108" s="8" t="e">
        <v>#N/A</v>
      </c>
    </row>
    <row r="109" spans="1:20" x14ac:dyDescent="0.25">
      <c r="A109" s="1">
        <v>33627</v>
      </c>
      <c r="B109" s="1">
        <f t="shared" si="1"/>
        <v>33604</v>
      </c>
      <c r="C109">
        <v>144.4</v>
      </c>
      <c r="I109" s="10">
        <v>36130</v>
      </c>
      <c r="J109" s="12">
        <v>281.27499999999998</v>
      </c>
      <c r="M109" s="1">
        <v>36130</v>
      </c>
      <c r="N109">
        <v>281.27499999999998</v>
      </c>
      <c r="O109" t="e">
        <f>VLOOKUP(M109,'Hosing Inventory'!B:D,3,0)</f>
        <v>#N/A</v>
      </c>
      <c r="P109" s="8" t="e">
        <f>N109/VLOOKUP(M109,'Hosing Inventory'!B:D,3,0)</f>
        <v>#N/A</v>
      </c>
      <c r="Q109" s="8" t="e">
        <v>#N/A</v>
      </c>
      <c r="R109" s="8" t="e">
        <v>#N/A</v>
      </c>
      <c r="S109" s="8" t="e">
        <v>#N/A</v>
      </c>
      <c r="T109" s="8" t="e">
        <v>#N/A</v>
      </c>
    </row>
    <row r="110" spans="1:20" x14ac:dyDescent="0.25">
      <c r="A110" s="1">
        <v>33634</v>
      </c>
      <c r="B110" s="1">
        <f t="shared" si="1"/>
        <v>33604</v>
      </c>
      <c r="C110">
        <v>155.9</v>
      </c>
      <c r="I110" s="10">
        <v>36161</v>
      </c>
      <c r="J110" s="12">
        <v>266.28000000000003</v>
      </c>
      <c r="M110" s="1">
        <v>36161</v>
      </c>
      <c r="N110">
        <v>266.28000000000003</v>
      </c>
      <c r="O110">
        <f>VLOOKUP(M110,'Hosing Inventory'!B:D,3,0)</f>
        <v>1</v>
      </c>
      <c r="P110" s="8">
        <f>N110/VLOOKUP(M110,'Hosing Inventory'!B:D,3,0)</f>
        <v>266.28000000000003</v>
      </c>
      <c r="Q110" s="8" t="e">
        <v>#N/A</v>
      </c>
      <c r="R110" s="8" t="e">
        <v>#N/A</v>
      </c>
      <c r="S110" s="8" t="e">
        <v>#N/A</v>
      </c>
      <c r="T110" s="8" t="e">
        <v>#N/A</v>
      </c>
    </row>
    <row r="111" spans="1:20" x14ac:dyDescent="0.25">
      <c r="A111" s="1">
        <v>33641</v>
      </c>
      <c r="B111" s="1">
        <f t="shared" si="1"/>
        <v>33635</v>
      </c>
      <c r="C111">
        <v>143.6</v>
      </c>
      <c r="I111" s="10">
        <v>36192</v>
      </c>
      <c r="J111" s="12">
        <v>246.97499999999997</v>
      </c>
      <c r="M111" s="1">
        <v>36192</v>
      </c>
      <c r="N111">
        <v>246.97499999999997</v>
      </c>
      <c r="O111">
        <f>VLOOKUP(M111,'Hosing Inventory'!B:D,3,0)</f>
        <v>1.0013707196218573</v>
      </c>
      <c r="P111" s="8">
        <f>N111/VLOOKUP(M111,'Hosing Inventory'!B:D,3,0)</f>
        <v>246.63692992068303</v>
      </c>
      <c r="Q111" s="8" t="e">
        <v>#N/A</v>
      </c>
      <c r="R111" s="8" t="e">
        <v>#N/A</v>
      </c>
      <c r="S111" s="8" t="e">
        <v>#N/A</v>
      </c>
      <c r="T111" s="8" t="e">
        <v>#N/A</v>
      </c>
    </row>
    <row r="112" spans="1:20" x14ac:dyDescent="0.25">
      <c r="A112" s="1">
        <v>33648</v>
      </c>
      <c r="B112" s="1">
        <f t="shared" si="1"/>
        <v>33635</v>
      </c>
      <c r="C112">
        <v>138.4</v>
      </c>
      <c r="I112" s="10">
        <v>36220</v>
      </c>
      <c r="J112" s="12">
        <v>257.2</v>
      </c>
      <c r="M112" s="1">
        <v>36220</v>
      </c>
      <c r="N112">
        <v>257.2</v>
      </c>
      <c r="O112">
        <f>VLOOKUP(M112,'Hosing Inventory'!B:D,3,0)</f>
        <v>1.0027414392437148</v>
      </c>
      <c r="P112" s="8">
        <f>N112/VLOOKUP(M112,'Hosing Inventory'!B:D,3,0)</f>
        <v>256.49682952564996</v>
      </c>
      <c r="Q112" s="8" t="e">
        <v>#N/A</v>
      </c>
      <c r="R112" s="8" t="e">
        <v>#N/A</v>
      </c>
      <c r="S112" s="8" t="e">
        <v>#N/A</v>
      </c>
      <c r="T112" s="8" t="e">
        <v>#N/A</v>
      </c>
    </row>
    <row r="113" spans="1:20" x14ac:dyDescent="0.25">
      <c r="A113" s="1">
        <v>33655</v>
      </c>
      <c r="B113" s="1">
        <f t="shared" si="1"/>
        <v>33635</v>
      </c>
      <c r="C113">
        <v>132.6</v>
      </c>
      <c r="I113" s="10">
        <v>36251</v>
      </c>
      <c r="J113" s="12">
        <v>277.20000000000005</v>
      </c>
      <c r="M113" s="1">
        <v>36251</v>
      </c>
      <c r="N113">
        <v>277.20000000000005</v>
      </c>
      <c r="O113">
        <f>VLOOKUP(M113,'Hosing Inventory'!B:D,3,0)</f>
        <v>1.0041121588655719</v>
      </c>
      <c r="P113" s="8">
        <f>N113/VLOOKUP(M113,'Hosing Inventory'!B:D,3,0)</f>
        <v>276.06477777659387</v>
      </c>
      <c r="Q113" s="8" t="e">
        <v>#N/A</v>
      </c>
      <c r="R113" s="8" t="e">
        <v>#N/A</v>
      </c>
      <c r="S113" s="8" t="e">
        <v>#N/A</v>
      </c>
      <c r="T113" s="8" t="e">
        <v>#N/A</v>
      </c>
    </row>
    <row r="114" spans="1:20" x14ac:dyDescent="0.25">
      <c r="A114" s="1">
        <v>33662</v>
      </c>
      <c r="B114" s="1">
        <f t="shared" si="1"/>
        <v>33635</v>
      </c>
      <c r="C114">
        <v>102.9</v>
      </c>
      <c r="I114" s="10">
        <v>36281</v>
      </c>
      <c r="J114" s="12">
        <v>288.27499999999998</v>
      </c>
      <c r="M114" s="1">
        <v>36281</v>
      </c>
      <c r="N114">
        <v>288.27499999999998</v>
      </c>
      <c r="O114">
        <f>VLOOKUP(M114,'Hosing Inventory'!B:D,3,0)</f>
        <v>1.0054828784874292</v>
      </c>
      <c r="P114" s="8">
        <f>N114/VLOOKUP(M114,'Hosing Inventory'!B:D,3,0)</f>
        <v>286.70304205841734</v>
      </c>
      <c r="Q114" s="8" t="e">
        <v>#N/A</v>
      </c>
      <c r="R114" s="8" t="e">
        <v>#N/A</v>
      </c>
      <c r="S114" s="8" t="e">
        <v>#N/A</v>
      </c>
      <c r="T114" s="8" t="e">
        <v>#N/A</v>
      </c>
    </row>
    <row r="115" spans="1:20" x14ac:dyDescent="0.25">
      <c r="A115" s="1">
        <v>33669</v>
      </c>
      <c r="B115" s="1">
        <f t="shared" si="1"/>
        <v>33664</v>
      </c>
      <c r="C115">
        <v>115.2</v>
      </c>
      <c r="I115" s="10">
        <v>36312</v>
      </c>
      <c r="J115" s="12">
        <v>309.60000000000002</v>
      </c>
      <c r="M115" s="1">
        <v>36312</v>
      </c>
      <c r="N115">
        <v>309.60000000000002</v>
      </c>
      <c r="O115">
        <f>VLOOKUP(M115,'Hosing Inventory'!B:D,3,0)</f>
        <v>1.0068535981092868</v>
      </c>
      <c r="P115" s="8">
        <f>N115/VLOOKUP(M115,'Hosing Inventory'!B:D,3,0)</f>
        <v>307.49256950700709</v>
      </c>
      <c r="Q115" s="8" t="e">
        <f t="shared" ref="Q115:Q132" si="2">AVERAGE(P92:P115)</f>
        <v>#N/A</v>
      </c>
      <c r="R115" s="8" t="e">
        <f t="shared" ref="R115:R144" si="3">AVERAGE(P98:P115)</f>
        <v>#N/A</v>
      </c>
      <c r="S115" s="8" t="e">
        <f t="shared" ref="S115:S137" si="4">AVERAGE(P104:P115)</f>
        <v>#N/A</v>
      </c>
      <c r="T115" s="8">
        <f t="shared" ref="T115:T133" si="5">AVERAGE(P110:P115)</f>
        <v>273.27902479805857</v>
      </c>
    </row>
    <row r="116" spans="1:20" x14ac:dyDescent="0.25">
      <c r="A116" s="1">
        <v>33676</v>
      </c>
      <c r="B116" s="1">
        <f t="shared" si="1"/>
        <v>33664</v>
      </c>
      <c r="C116">
        <v>118.8</v>
      </c>
      <c r="I116" s="10">
        <v>36342</v>
      </c>
      <c r="J116" s="12">
        <v>285.86</v>
      </c>
      <c r="M116" s="1">
        <v>36342</v>
      </c>
      <c r="N116">
        <v>285.86</v>
      </c>
      <c r="O116">
        <f>VLOOKUP(M116,'Hosing Inventory'!B:D,3,0)</f>
        <v>1.0082243177311441</v>
      </c>
      <c r="P116" s="8">
        <f>N116/VLOOKUP(M116,'Hosing Inventory'!B:D,3,0)</f>
        <v>283.52817420956933</v>
      </c>
      <c r="Q116" s="8" t="e">
        <f t="shared" si="2"/>
        <v>#N/A</v>
      </c>
      <c r="R116" s="8" t="e">
        <f t="shared" si="3"/>
        <v>#N/A</v>
      </c>
      <c r="S116" s="8" t="e">
        <f t="shared" si="4"/>
        <v>#N/A</v>
      </c>
      <c r="T116" s="8">
        <f t="shared" si="5"/>
        <v>276.15372049965345</v>
      </c>
    </row>
    <row r="117" spans="1:20" x14ac:dyDescent="0.25">
      <c r="A117" s="1">
        <v>33683</v>
      </c>
      <c r="B117" s="1">
        <f t="shared" si="1"/>
        <v>33664</v>
      </c>
      <c r="C117">
        <v>111.8</v>
      </c>
      <c r="I117" s="10">
        <v>36373</v>
      </c>
      <c r="J117" s="12">
        <v>277.45</v>
      </c>
      <c r="M117" s="1">
        <v>36373</v>
      </c>
      <c r="N117">
        <v>277.45</v>
      </c>
      <c r="O117">
        <f>VLOOKUP(M117,'Hosing Inventory'!B:D,3,0)</f>
        <v>1.0095950373530012</v>
      </c>
      <c r="P117" s="8">
        <f>N117/VLOOKUP(M117,'Hosing Inventory'!B:D,3,0)</f>
        <v>274.81315748879877</v>
      </c>
      <c r="Q117" s="8" t="e">
        <f t="shared" si="2"/>
        <v>#N/A</v>
      </c>
      <c r="R117" s="8" t="e">
        <f t="shared" si="3"/>
        <v>#N/A</v>
      </c>
      <c r="S117" s="8" t="e">
        <f t="shared" si="4"/>
        <v>#N/A</v>
      </c>
      <c r="T117" s="8">
        <f t="shared" si="5"/>
        <v>280.84975842767273</v>
      </c>
    </row>
    <row r="118" spans="1:20" x14ac:dyDescent="0.25">
      <c r="A118" s="1">
        <v>33690</v>
      </c>
      <c r="B118" s="1">
        <f t="shared" si="1"/>
        <v>33664</v>
      </c>
      <c r="C118">
        <v>117.9</v>
      </c>
      <c r="I118" s="10">
        <v>36404</v>
      </c>
      <c r="J118" s="12">
        <v>264.84999999999997</v>
      </c>
      <c r="M118" s="1">
        <v>36404</v>
      </c>
      <c r="N118">
        <v>264.84999999999997</v>
      </c>
      <c r="O118">
        <f>VLOOKUP(M118,'Hosing Inventory'!B:D,3,0)</f>
        <v>1.0109657569748587</v>
      </c>
      <c r="P118" s="8">
        <f>N118/VLOOKUP(M118,'Hosing Inventory'!B:D,3,0)</f>
        <v>261.9772214565586</v>
      </c>
      <c r="Q118" s="8" t="e">
        <f t="shared" si="2"/>
        <v>#N/A</v>
      </c>
      <c r="R118" s="8" t="e">
        <f t="shared" si="3"/>
        <v>#N/A</v>
      </c>
      <c r="S118" s="8" t="e">
        <f t="shared" si="4"/>
        <v>#N/A</v>
      </c>
      <c r="T118" s="8">
        <f t="shared" si="5"/>
        <v>281.76315708282419</v>
      </c>
    </row>
    <row r="119" spans="1:20" x14ac:dyDescent="0.25">
      <c r="A119" s="1">
        <v>33697</v>
      </c>
      <c r="B119" s="1">
        <f t="shared" si="1"/>
        <v>33695</v>
      </c>
      <c r="C119">
        <v>104.1</v>
      </c>
      <c r="I119" s="10">
        <v>36434</v>
      </c>
      <c r="J119" s="12">
        <v>272.38</v>
      </c>
      <c r="M119" s="1">
        <v>36434</v>
      </c>
      <c r="N119">
        <v>272.38</v>
      </c>
      <c r="O119">
        <f>VLOOKUP(M119,'Hosing Inventory'!B:D,3,0)</f>
        <v>1.012336476596716</v>
      </c>
      <c r="P119" s="8">
        <f>N119/VLOOKUP(M119,'Hosing Inventory'!B:D,3,0)</f>
        <v>269.06073849644349</v>
      </c>
      <c r="Q119" s="8" t="e">
        <f t="shared" si="2"/>
        <v>#N/A</v>
      </c>
      <c r="R119" s="8" t="e">
        <f t="shared" si="3"/>
        <v>#N/A</v>
      </c>
      <c r="S119" s="8" t="e">
        <f t="shared" si="4"/>
        <v>#N/A</v>
      </c>
      <c r="T119" s="8">
        <f t="shared" si="5"/>
        <v>280.59581720279914</v>
      </c>
    </row>
    <row r="120" spans="1:20" x14ac:dyDescent="0.25">
      <c r="A120" s="1">
        <v>33704</v>
      </c>
      <c r="B120" s="1">
        <f t="shared" si="1"/>
        <v>33695</v>
      </c>
      <c r="C120">
        <v>109.6</v>
      </c>
      <c r="I120" s="10">
        <v>36465</v>
      </c>
      <c r="J120" s="12">
        <v>295.47500000000002</v>
      </c>
      <c r="M120" s="1">
        <v>36465</v>
      </c>
      <c r="N120">
        <v>295.47500000000002</v>
      </c>
      <c r="O120">
        <f>VLOOKUP(M120,'Hosing Inventory'!B:D,3,0)</f>
        <v>1.0137071962185733</v>
      </c>
      <c r="P120" s="8">
        <f>N120/VLOOKUP(M120,'Hosing Inventory'!B:D,3,0)</f>
        <v>291.47963149734841</v>
      </c>
      <c r="Q120" s="8" t="e">
        <f t="shared" si="2"/>
        <v>#N/A</v>
      </c>
      <c r="R120" s="8" t="e">
        <f t="shared" si="3"/>
        <v>#N/A</v>
      </c>
      <c r="S120" s="8" t="e">
        <f t="shared" si="4"/>
        <v>#N/A</v>
      </c>
      <c r="T120" s="8">
        <f t="shared" si="5"/>
        <v>281.39191544262093</v>
      </c>
    </row>
    <row r="121" spans="1:20" x14ac:dyDescent="0.25">
      <c r="A121" s="1">
        <v>33711</v>
      </c>
      <c r="B121" s="1">
        <f t="shared" si="1"/>
        <v>33695</v>
      </c>
      <c r="C121">
        <v>146.6</v>
      </c>
      <c r="I121" s="10">
        <v>36495</v>
      </c>
      <c r="J121" s="12">
        <v>269.86</v>
      </c>
      <c r="M121" s="1">
        <v>36495</v>
      </c>
      <c r="N121">
        <v>269.86</v>
      </c>
      <c r="O121">
        <f>VLOOKUP(M121,'Hosing Inventory'!B:D,3,0)</f>
        <v>1.0150779158404306</v>
      </c>
      <c r="P121" s="8">
        <f>N121/VLOOKUP(M121,'Hosing Inventory'!B:D,3,0)</f>
        <v>265.85151325705897</v>
      </c>
      <c r="Q121" s="8" t="e">
        <f t="shared" si="2"/>
        <v>#N/A</v>
      </c>
      <c r="R121" s="8" t="e">
        <f t="shared" si="3"/>
        <v>#N/A</v>
      </c>
      <c r="S121" s="8">
        <f t="shared" si="4"/>
        <v>273.86538209951078</v>
      </c>
      <c r="T121" s="8">
        <f t="shared" si="5"/>
        <v>274.45173940096294</v>
      </c>
    </row>
    <row r="122" spans="1:20" x14ac:dyDescent="0.25">
      <c r="A122" s="1">
        <v>33718</v>
      </c>
      <c r="B122" s="1">
        <f t="shared" si="1"/>
        <v>33695</v>
      </c>
      <c r="C122">
        <v>111.5</v>
      </c>
      <c r="I122" s="10">
        <v>36526</v>
      </c>
      <c r="J122" s="12">
        <v>281.32500000000005</v>
      </c>
      <c r="M122" s="1">
        <v>36526</v>
      </c>
      <c r="N122">
        <v>281.32500000000005</v>
      </c>
      <c r="O122">
        <f>VLOOKUP(M122,'Hosing Inventory'!B:D,3,0)</f>
        <v>1.0164486354622879</v>
      </c>
      <c r="P122" s="8">
        <f>N122/VLOOKUP(M122,'Hosing Inventory'!B:D,3,0)</f>
        <v>276.77247052631583</v>
      </c>
      <c r="Q122" s="8" t="e">
        <f t="shared" si="2"/>
        <v>#N/A</v>
      </c>
      <c r="R122" s="8" t="e">
        <f t="shared" si="3"/>
        <v>#N/A</v>
      </c>
      <c r="S122" s="8">
        <f t="shared" si="4"/>
        <v>274.73975464337042</v>
      </c>
      <c r="T122" s="8">
        <f t="shared" si="5"/>
        <v>273.32578878708733</v>
      </c>
    </row>
    <row r="123" spans="1:20" x14ac:dyDescent="0.25">
      <c r="A123" s="1">
        <v>33725</v>
      </c>
      <c r="B123" s="1">
        <f t="shared" si="1"/>
        <v>33725</v>
      </c>
      <c r="C123">
        <v>110.9</v>
      </c>
      <c r="I123" s="10">
        <v>36557</v>
      </c>
      <c r="J123" s="12">
        <v>279.67500000000001</v>
      </c>
      <c r="M123" s="1">
        <v>36557</v>
      </c>
      <c r="N123">
        <v>279.67500000000001</v>
      </c>
      <c r="O123">
        <f>VLOOKUP(M123,'Hosing Inventory'!B:D,3,0)</f>
        <v>1.0180452325586926</v>
      </c>
      <c r="P123" s="8">
        <f>N123/VLOOKUP(M123,'Hosing Inventory'!B:D,3,0)</f>
        <v>274.7176560093327</v>
      </c>
      <c r="Q123" s="8" t="e">
        <f t="shared" si="2"/>
        <v>#N/A</v>
      </c>
      <c r="R123" s="8" t="e">
        <f t="shared" si="3"/>
        <v>#N/A</v>
      </c>
      <c r="S123" s="8">
        <f t="shared" si="4"/>
        <v>277.0798151507579</v>
      </c>
      <c r="T123" s="8">
        <f t="shared" si="5"/>
        <v>273.30987187384295</v>
      </c>
    </row>
    <row r="124" spans="1:20" x14ac:dyDescent="0.25">
      <c r="A124" s="1">
        <v>33732</v>
      </c>
      <c r="B124" s="1">
        <f t="shared" si="1"/>
        <v>33725</v>
      </c>
      <c r="C124">
        <v>112.2</v>
      </c>
      <c r="I124" s="10">
        <v>36586</v>
      </c>
      <c r="J124" s="12">
        <v>296.18</v>
      </c>
      <c r="M124" s="1">
        <v>36586</v>
      </c>
      <c r="N124">
        <v>296.18</v>
      </c>
      <c r="O124">
        <f>VLOOKUP(M124,'Hosing Inventory'!B:D,3,0)</f>
        <v>1.0196418296550969</v>
      </c>
      <c r="P124" s="8">
        <f>N124/VLOOKUP(M124,'Hosing Inventory'!B:D,3,0)</f>
        <v>290.47454840116319</v>
      </c>
      <c r="Q124" s="8" t="e">
        <f t="shared" si="2"/>
        <v>#N/A</v>
      </c>
      <c r="R124" s="8" t="e">
        <f t="shared" si="3"/>
        <v>#N/A</v>
      </c>
      <c r="S124" s="8">
        <f t="shared" si="4"/>
        <v>279.91129172371728</v>
      </c>
      <c r="T124" s="8">
        <f t="shared" si="5"/>
        <v>278.05942636461049</v>
      </c>
    </row>
    <row r="125" spans="1:20" x14ac:dyDescent="0.25">
      <c r="A125" s="1">
        <v>33739</v>
      </c>
      <c r="B125" s="1">
        <f t="shared" si="1"/>
        <v>33725</v>
      </c>
      <c r="C125">
        <v>112</v>
      </c>
      <c r="I125" s="10">
        <v>36617</v>
      </c>
      <c r="J125" s="12">
        <v>304.89999999999998</v>
      </c>
      <c r="M125" s="1">
        <v>36617</v>
      </c>
      <c r="N125">
        <v>304.89999999999998</v>
      </c>
      <c r="O125">
        <f>VLOOKUP(M125,'Hosing Inventory'!B:D,3,0)</f>
        <v>1.0212384267515016</v>
      </c>
      <c r="P125" s="8">
        <f>N125/VLOOKUP(M125,'Hosing Inventory'!B:D,3,0)</f>
        <v>298.55907495556022</v>
      </c>
      <c r="Q125" s="8" t="e">
        <f t="shared" si="2"/>
        <v>#N/A</v>
      </c>
      <c r="R125" s="8" t="e">
        <f t="shared" si="3"/>
        <v>#N/A</v>
      </c>
      <c r="S125" s="8">
        <f t="shared" si="4"/>
        <v>281.78581648863121</v>
      </c>
      <c r="T125" s="8">
        <f t="shared" si="5"/>
        <v>282.97581577446323</v>
      </c>
    </row>
    <row r="126" spans="1:20" x14ac:dyDescent="0.25">
      <c r="A126" s="1">
        <v>33746</v>
      </c>
      <c r="B126" s="1">
        <f t="shared" si="1"/>
        <v>33725</v>
      </c>
      <c r="C126">
        <v>116.3</v>
      </c>
      <c r="I126" s="10">
        <v>36647</v>
      </c>
      <c r="J126" s="12">
        <v>303.77499999999998</v>
      </c>
      <c r="M126" s="1">
        <v>36647</v>
      </c>
      <c r="N126">
        <v>303.77499999999998</v>
      </c>
      <c r="O126">
        <f>VLOOKUP(M126,'Hosing Inventory'!B:D,3,0)</f>
        <v>1.022835023847906</v>
      </c>
      <c r="P126" s="8">
        <f>N126/VLOOKUP(M126,'Hosing Inventory'!B:D,3,0)</f>
        <v>296.99315424025883</v>
      </c>
      <c r="Q126" s="8" t="e">
        <f t="shared" si="2"/>
        <v>#N/A</v>
      </c>
      <c r="R126" s="8" t="e">
        <f t="shared" si="3"/>
        <v>#N/A</v>
      </c>
      <c r="S126" s="8">
        <f t="shared" si="4"/>
        <v>282.64332583711797</v>
      </c>
      <c r="T126" s="8">
        <f t="shared" si="5"/>
        <v>283.8947362316149</v>
      </c>
    </row>
    <row r="127" spans="1:20" x14ac:dyDescent="0.25">
      <c r="A127" s="1">
        <v>33753</v>
      </c>
      <c r="B127" s="1">
        <f t="shared" si="1"/>
        <v>33725</v>
      </c>
      <c r="C127">
        <v>136.9</v>
      </c>
      <c r="I127" s="10">
        <v>36678</v>
      </c>
      <c r="J127" s="12">
        <v>314.82</v>
      </c>
      <c r="M127" s="1">
        <v>36678</v>
      </c>
      <c r="N127">
        <v>314.82</v>
      </c>
      <c r="O127">
        <f>VLOOKUP(M127,'Hosing Inventory'!B:D,3,0)</f>
        <v>1.0244316209443105</v>
      </c>
      <c r="P127" s="8">
        <f>N127/VLOOKUP(M127,'Hosing Inventory'!B:D,3,0)</f>
        <v>307.31187281177648</v>
      </c>
      <c r="Q127" s="8" t="e">
        <f t="shared" si="2"/>
        <v>#N/A</v>
      </c>
      <c r="R127" s="8">
        <f t="shared" si="3"/>
        <v>279.51185345214094</v>
      </c>
      <c r="S127" s="8">
        <f t="shared" si="4"/>
        <v>282.62826777918207</v>
      </c>
      <c r="T127" s="8">
        <f t="shared" si="5"/>
        <v>290.8047961574012</v>
      </c>
    </row>
    <row r="128" spans="1:20" x14ac:dyDescent="0.25">
      <c r="A128" s="1">
        <v>33760</v>
      </c>
      <c r="B128" s="1">
        <f t="shared" si="1"/>
        <v>33756</v>
      </c>
      <c r="C128">
        <v>117.3</v>
      </c>
      <c r="I128" s="10">
        <v>36708</v>
      </c>
      <c r="J128" s="12">
        <v>312.22500000000002</v>
      </c>
      <c r="M128" s="1">
        <v>36708</v>
      </c>
      <c r="N128">
        <v>312.22500000000002</v>
      </c>
      <c r="O128">
        <f>VLOOKUP(M128,'Hosing Inventory'!B:D,3,0)</f>
        <v>1.026028218040715</v>
      </c>
      <c r="P128" s="8">
        <f>N128/VLOOKUP(M128,'Hosing Inventory'!B:D,3,0)</f>
        <v>304.30449622157494</v>
      </c>
      <c r="Q128" s="8" t="e">
        <f t="shared" si="2"/>
        <v>#N/A</v>
      </c>
      <c r="R128" s="8">
        <f t="shared" si="3"/>
        <v>281.62432546445064</v>
      </c>
      <c r="S128" s="8">
        <f t="shared" si="4"/>
        <v>284.35962794684923</v>
      </c>
      <c r="T128" s="8">
        <f t="shared" si="5"/>
        <v>295.39346710661107</v>
      </c>
    </row>
    <row r="129" spans="1:20" x14ac:dyDescent="0.25">
      <c r="A129" s="1">
        <v>33767</v>
      </c>
      <c r="B129" s="1">
        <f t="shared" si="1"/>
        <v>33756</v>
      </c>
      <c r="C129">
        <v>118.4</v>
      </c>
      <c r="I129" s="10">
        <v>36739</v>
      </c>
      <c r="J129" s="12">
        <v>308.42500000000001</v>
      </c>
      <c r="M129" s="1">
        <v>36739</v>
      </c>
      <c r="N129">
        <v>308.42500000000001</v>
      </c>
      <c r="O129">
        <f>VLOOKUP(M129,'Hosing Inventory'!B:D,3,0)</f>
        <v>1.0276248151371197</v>
      </c>
      <c r="P129" s="8">
        <f>N129/VLOOKUP(M129,'Hosing Inventory'!B:D,3,0)</f>
        <v>300.1338576655973</v>
      </c>
      <c r="Q129" s="8" t="e">
        <f t="shared" si="2"/>
        <v>#N/A</v>
      </c>
      <c r="R129" s="8">
        <f t="shared" si="3"/>
        <v>284.59637700583471</v>
      </c>
      <c r="S129" s="8">
        <f t="shared" si="4"/>
        <v>286.46968629491573</v>
      </c>
      <c r="T129" s="8">
        <f t="shared" si="5"/>
        <v>299.62950071598851</v>
      </c>
    </row>
    <row r="130" spans="1:20" x14ac:dyDescent="0.25">
      <c r="A130" s="1">
        <v>33774</v>
      </c>
      <c r="B130" s="1">
        <f t="shared" si="1"/>
        <v>33756</v>
      </c>
      <c r="C130">
        <v>117.6</v>
      </c>
      <c r="I130" s="10">
        <v>36770</v>
      </c>
      <c r="J130" s="12">
        <v>315.78000000000003</v>
      </c>
      <c r="M130" s="1">
        <v>36770</v>
      </c>
      <c r="N130">
        <v>315.78000000000003</v>
      </c>
      <c r="O130">
        <f>VLOOKUP(M130,'Hosing Inventory'!B:D,3,0)</f>
        <v>1.0292214122335239</v>
      </c>
      <c r="P130" s="8">
        <f>N130/VLOOKUP(M130,'Hosing Inventory'!B:D,3,0)</f>
        <v>306.81444852057888</v>
      </c>
      <c r="Q130" s="8" t="e">
        <f t="shared" si="2"/>
        <v>#N/A</v>
      </c>
      <c r="R130" s="8">
        <f t="shared" si="3"/>
        <v>287.39180028333078</v>
      </c>
      <c r="S130" s="8">
        <f t="shared" si="4"/>
        <v>290.2061218835841</v>
      </c>
      <c r="T130" s="8">
        <f t="shared" si="5"/>
        <v>302.35281740255783</v>
      </c>
    </row>
    <row r="131" spans="1:20" x14ac:dyDescent="0.25">
      <c r="A131" s="1">
        <v>33781</v>
      </c>
      <c r="B131" s="1">
        <f t="shared" ref="B131:B194" si="6">A131-DAY(A131)+1</f>
        <v>33756</v>
      </c>
      <c r="C131">
        <v>114.9</v>
      </c>
      <c r="I131" s="10">
        <v>36800</v>
      </c>
      <c r="J131" s="12">
        <v>304.30000000000007</v>
      </c>
      <c r="M131" s="1">
        <v>36800</v>
      </c>
      <c r="N131">
        <v>304.30000000000007</v>
      </c>
      <c r="O131">
        <f>VLOOKUP(M131,'Hosing Inventory'!B:D,3,0)</f>
        <v>1.0308180093299286</v>
      </c>
      <c r="P131" s="8">
        <f>N131/VLOOKUP(M131,'Hosing Inventory'!B:D,3,0)</f>
        <v>295.20244819723979</v>
      </c>
      <c r="Q131" s="8" t="e">
        <f t="shared" si="2"/>
        <v>#N/A</v>
      </c>
      <c r="R131" s="8">
        <f t="shared" si="3"/>
        <v>288.45500419558886</v>
      </c>
      <c r="S131" s="8">
        <f t="shared" si="4"/>
        <v>292.3845976919838</v>
      </c>
      <c r="T131" s="8">
        <f t="shared" si="5"/>
        <v>301.79337960950437</v>
      </c>
    </row>
    <row r="132" spans="1:20" x14ac:dyDescent="0.25">
      <c r="A132" s="1">
        <v>33788</v>
      </c>
      <c r="B132" s="1">
        <f t="shared" si="6"/>
        <v>33786</v>
      </c>
      <c r="C132">
        <v>128.80000000000001</v>
      </c>
      <c r="I132" s="10">
        <v>36831</v>
      </c>
      <c r="J132" s="12">
        <v>312.89999999999998</v>
      </c>
      <c r="M132" s="1">
        <v>36831</v>
      </c>
      <c r="N132">
        <v>312.89999999999998</v>
      </c>
      <c r="O132">
        <f>VLOOKUP(M132,'Hosing Inventory'!B:D,3,0)</f>
        <v>1.0324146064263331</v>
      </c>
      <c r="P132" s="8">
        <f>N132/VLOOKUP(M132,'Hosing Inventory'!B:D,3,0)</f>
        <v>303.07591354513312</v>
      </c>
      <c r="Q132" s="8" t="e">
        <f t="shared" si="2"/>
        <v>#N/A</v>
      </c>
      <c r="R132" s="8">
        <f t="shared" si="3"/>
        <v>289.36460816707307</v>
      </c>
      <c r="S132" s="8">
        <f t="shared" si="4"/>
        <v>293.35095452929914</v>
      </c>
      <c r="T132" s="8">
        <f t="shared" si="5"/>
        <v>302.80717282698345</v>
      </c>
    </row>
    <row r="133" spans="1:20" x14ac:dyDescent="0.25">
      <c r="A133" s="1">
        <v>33795</v>
      </c>
      <c r="B133" s="1">
        <f t="shared" si="6"/>
        <v>33786</v>
      </c>
      <c r="C133">
        <v>114.5</v>
      </c>
      <c r="I133" s="10">
        <v>36861</v>
      </c>
      <c r="J133" s="12">
        <v>295.38</v>
      </c>
      <c r="M133" s="1">
        <v>36861</v>
      </c>
      <c r="N133">
        <v>295.38</v>
      </c>
      <c r="O133">
        <f>VLOOKUP(M133,'Hosing Inventory'!B:D,3,0)</f>
        <v>1.0340112035227376</v>
      </c>
      <c r="P133" s="8">
        <f>N133/VLOOKUP(M133,'Hosing Inventory'!B:D,3,0)</f>
        <v>285.66421620353816</v>
      </c>
      <c r="Q133" s="8">
        <f t="shared" ref="Q133:Q153" si="7">AVERAGE(P110:P133)</f>
        <v>284.43369760384161</v>
      </c>
      <c r="R133" s="8">
        <f t="shared" si="3"/>
        <v>288.15192187243588</v>
      </c>
      <c r="S133" s="8">
        <f t="shared" si="4"/>
        <v>295.00201310817243</v>
      </c>
      <c r="T133" s="8">
        <f t="shared" si="5"/>
        <v>299.19923005894373</v>
      </c>
    </row>
    <row r="134" spans="1:20" x14ac:dyDescent="0.25">
      <c r="A134" s="1">
        <v>33802</v>
      </c>
      <c r="B134" s="1">
        <f t="shared" si="6"/>
        <v>33786</v>
      </c>
      <c r="C134">
        <v>147.6</v>
      </c>
      <c r="I134" s="10">
        <v>36892</v>
      </c>
      <c r="J134" s="12">
        <v>314.10000000000002</v>
      </c>
      <c r="M134" s="1">
        <v>36892</v>
      </c>
      <c r="N134">
        <v>314.10000000000002</v>
      </c>
      <c r="O134">
        <f>VLOOKUP(M134,'Hosing Inventory'!B:D,3,0)</f>
        <v>1.035607800619142</v>
      </c>
      <c r="P134" s="8">
        <f>N134/VLOOKUP(M134,'Hosing Inventory'!B:D,3,0)</f>
        <v>303.30014877467528</v>
      </c>
      <c r="Q134" s="8">
        <f t="shared" si="7"/>
        <v>285.97620380278636</v>
      </c>
      <c r="R134" s="8">
        <f t="shared" si="3"/>
        <v>289.2503649038307</v>
      </c>
      <c r="S134" s="8">
        <f t="shared" si="4"/>
        <v>297.21265296220241</v>
      </c>
      <c r="T134" s="8">
        <f t="shared" ref="T134:T160" si="8">AVERAGE(P129:P134)</f>
        <v>299.03183881779375</v>
      </c>
    </row>
    <row r="135" spans="1:20" x14ac:dyDescent="0.25">
      <c r="A135" s="1">
        <v>33809</v>
      </c>
      <c r="B135" s="1">
        <f t="shared" si="6"/>
        <v>33786</v>
      </c>
      <c r="C135">
        <v>143.6</v>
      </c>
      <c r="I135" s="10">
        <v>36923</v>
      </c>
      <c r="J135" s="12">
        <v>288.70000000000005</v>
      </c>
      <c r="M135" s="1">
        <v>36923</v>
      </c>
      <c r="N135">
        <v>288.70000000000005</v>
      </c>
      <c r="O135">
        <f>VLOOKUP(M135,'Hosing Inventory'!B:D,3,0)</f>
        <v>1.036939288890157</v>
      </c>
      <c r="P135" s="8">
        <f>N135/VLOOKUP(M135,'Hosing Inventory'!B:D,3,0)</f>
        <v>278.41552836617615</v>
      </c>
      <c r="Q135" s="8">
        <f t="shared" si="7"/>
        <v>287.30031207134851</v>
      </c>
      <c r="R135" s="8">
        <f t="shared" si="3"/>
        <v>289.45049661924054</v>
      </c>
      <c r="S135" s="8">
        <f t="shared" si="4"/>
        <v>297.52080899193936</v>
      </c>
      <c r="T135" s="8">
        <f t="shared" si="8"/>
        <v>295.41211726789027</v>
      </c>
    </row>
    <row r="136" spans="1:20" x14ac:dyDescent="0.25">
      <c r="A136" s="1">
        <v>33816</v>
      </c>
      <c r="B136" s="1">
        <f t="shared" si="6"/>
        <v>33786</v>
      </c>
      <c r="C136">
        <v>157.69999999999999</v>
      </c>
      <c r="I136" s="10">
        <v>36951</v>
      </c>
      <c r="J136" s="12">
        <v>299.43999999999994</v>
      </c>
      <c r="M136" s="1">
        <v>36951</v>
      </c>
      <c r="N136">
        <v>299.43999999999994</v>
      </c>
      <c r="O136">
        <f>VLOOKUP(M136,'Hosing Inventory'!B:D,3,0)</f>
        <v>1.0382707771611719</v>
      </c>
      <c r="P136" s="8">
        <f>N136/VLOOKUP(M136,'Hosing Inventory'!B:D,3,0)</f>
        <v>288.4026080544474</v>
      </c>
      <c r="Q136" s="8">
        <f t="shared" si="7"/>
        <v>288.62971951004846</v>
      </c>
      <c r="R136" s="8">
        <f t="shared" si="3"/>
        <v>290.91857365245659</v>
      </c>
      <c r="S136" s="8">
        <f t="shared" si="4"/>
        <v>297.34814729637969</v>
      </c>
      <c r="T136" s="8">
        <f t="shared" si="8"/>
        <v>292.34347719020167</v>
      </c>
    </row>
    <row r="137" spans="1:20" x14ac:dyDescent="0.25">
      <c r="A137" s="1">
        <v>33823</v>
      </c>
      <c r="B137" s="1">
        <f t="shared" si="6"/>
        <v>33817</v>
      </c>
      <c r="C137">
        <v>130</v>
      </c>
      <c r="I137" s="10">
        <v>36982</v>
      </c>
      <c r="J137" s="12">
        <v>301.7</v>
      </c>
      <c r="M137" s="1">
        <v>36982</v>
      </c>
      <c r="N137">
        <v>301.7</v>
      </c>
      <c r="O137">
        <f>VLOOKUP(M137,'Hosing Inventory'!B:D,3,0)</f>
        <v>1.0396022654321868</v>
      </c>
      <c r="P137" s="8">
        <f>N137/VLOOKUP(M137,'Hosing Inventory'!B:D,3,0)</f>
        <v>290.20713981858847</v>
      </c>
      <c r="Q137" s="8">
        <f t="shared" si="7"/>
        <v>289.21898459513153</v>
      </c>
      <c r="R137" s="8">
        <f t="shared" si="3"/>
        <v>292.09337372590903</v>
      </c>
      <c r="S137" s="8">
        <f t="shared" si="4"/>
        <v>296.65215270163208</v>
      </c>
      <c r="T137" s="8">
        <f t="shared" si="8"/>
        <v>291.51092579375978</v>
      </c>
    </row>
    <row r="138" spans="1:20" x14ac:dyDescent="0.25">
      <c r="A138" s="1">
        <v>33830</v>
      </c>
      <c r="B138" s="1">
        <f t="shared" si="6"/>
        <v>33817</v>
      </c>
      <c r="C138">
        <v>142.4</v>
      </c>
      <c r="I138" s="10">
        <v>37012</v>
      </c>
      <c r="J138" s="12">
        <v>307.90000000000003</v>
      </c>
      <c r="M138" s="1">
        <v>37012</v>
      </c>
      <c r="N138">
        <v>307.90000000000003</v>
      </c>
      <c r="O138">
        <f>VLOOKUP(M138,'Hosing Inventory'!B:D,3,0)</f>
        <v>1.0409337537032017</v>
      </c>
      <c r="P138" s="8">
        <f>N138/VLOOKUP(M138,'Hosing Inventory'!B:D,3,0)</f>
        <v>295.79211828286111</v>
      </c>
      <c r="Q138" s="8">
        <f t="shared" si="7"/>
        <v>289.59769610448336</v>
      </c>
      <c r="R138" s="8">
        <f t="shared" si="3"/>
        <v>292.33295632510425</v>
      </c>
      <c r="S138" s="8">
        <f>AVERAGE(P127:P138)</f>
        <v>296.55206637184892</v>
      </c>
      <c r="T138" s="8">
        <f t="shared" si="8"/>
        <v>290.29695991671446</v>
      </c>
    </row>
    <row r="139" spans="1:20" x14ac:dyDescent="0.25">
      <c r="A139" s="1">
        <v>33837</v>
      </c>
      <c r="B139" s="1">
        <f t="shared" si="6"/>
        <v>33817</v>
      </c>
      <c r="C139">
        <v>152.4</v>
      </c>
      <c r="I139" s="10">
        <v>37043</v>
      </c>
      <c r="J139" s="12">
        <v>325.47999999999996</v>
      </c>
      <c r="M139" s="1">
        <v>37043</v>
      </c>
      <c r="N139">
        <v>325.47999999999996</v>
      </c>
      <c r="O139">
        <f>VLOOKUP(M139,'Hosing Inventory'!B:D,3,0)</f>
        <v>1.0422652419742167</v>
      </c>
      <c r="P139" s="8">
        <f>N139/VLOOKUP(M139,'Hosing Inventory'!B:D,3,0)</f>
        <v>312.28135304933409</v>
      </c>
      <c r="Q139" s="8">
        <f t="shared" si="7"/>
        <v>289.79722875208034</v>
      </c>
      <c r="R139" s="8">
        <f t="shared" si="3"/>
        <v>294.91239186911952</v>
      </c>
      <c r="S139" s="8">
        <f t="shared" ref="S139:S202" si="9">AVERAGE(P128:P139)</f>
        <v>296.96618972497873</v>
      </c>
      <c r="T139" s="8">
        <f t="shared" si="8"/>
        <v>294.73314939101374</v>
      </c>
    </row>
    <row r="140" spans="1:20" x14ac:dyDescent="0.25">
      <c r="A140" s="1">
        <v>33844</v>
      </c>
      <c r="B140" s="1">
        <f t="shared" si="6"/>
        <v>33817</v>
      </c>
      <c r="C140">
        <v>146.19999999999999</v>
      </c>
      <c r="I140" s="10">
        <v>37073</v>
      </c>
      <c r="J140" s="12">
        <v>311.92499999999995</v>
      </c>
      <c r="M140" s="1">
        <v>37073</v>
      </c>
      <c r="N140">
        <v>311.92499999999995</v>
      </c>
      <c r="O140">
        <f>VLOOKUP(M140,'Hosing Inventory'!B:D,3,0)</f>
        <v>1.0435967302452316</v>
      </c>
      <c r="P140" s="8">
        <f>N140/VLOOKUP(M140,'Hosing Inventory'!B:D,3,0)</f>
        <v>298.89419060052217</v>
      </c>
      <c r="Q140" s="8">
        <f t="shared" si="7"/>
        <v>290.43747943503672</v>
      </c>
      <c r="R140" s="8">
        <f t="shared" si="3"/>
        <v>296.14137631768654</v>
      </c>
      <c r="S140" s="8">
        <f t="shared" si="9"/>
        <v>296.51533092322433</v>
      </c>
      <c r="T140" s="8">
        <f t="shared" si="8"/>
        <v>293.9988230286549</v>
      </c>
    </row>
    <row r="141" spans="1:20" x14ac:dyDescent="0.25">
      <c r="A141" s="1">
        <v>33851</v>
      </c>
      <c r="B141" s="1">
        <f t="shared" si="6"/>
        <v>33848</v>
      </c>
      <c r="C141">
        <v>140.9</v>
      </c>
      <c r="I141" s="10">
        <v>37104</v>
      </c>
      <c r="J141" s="12">
        <v>304.89999999999998</v>
      </c>
      <c r="M141" s="1">
        <v>37104</v>
      </c>
      <c r="N141">
        <v>304.89999999999998</v>
      </c>
      <c r="O141">
        <f>VLOOKUP(M141,'Hosing Inventory'!B:D,3,0)</f>
        <v>1.0449282185162465</v>
      </c>
      <c r="P141" s="8">
        <f>N141/VLOOKUP(M141,'Hosing Inventory'!B:D,3,0)</f>
        <v>291.79037813041833</v>
      </c>
      <c r="Q141" s="8">
        <f t="shared" si="7"/>
        <v>291.14486362843752</v>
      </c>
      <c r="R141" s="8">
        <f t="shared" si="3"/>
        <v>297.08986087996914</v>
      </c>
      <c r="S141" s="8">
        <f t="shared" si="9"/>
        <v>295.82004096195942</v>
      </c>
      <c r="T141" s="8">
        <f t="shared" si="8"/>
        <v>296.22796465602858</v>
      </c>
    </row>
    <row r="142" spans="1:20" x14ac:dyDescent="0.25">
      <c r="A142" s="1">
        <v>33858</v>
      </c>
      <c r="B142" s="1">
        <f t="shared" si="6"/>
        <v>33848</v>
      </c>
      <c r="C142">
        <v>169.5</v>
      </c>
      <c r="I142" s="10">
        <v>37135</v>
      </c>
      <c r="J142" s="12">
        <v>296.3</v>
      </c>
      <c r="M142" s="1">
        <v>37135</v>
      </c>
      <c r="N142">
        <v>296.3</v>
      </c>
      <c r="O142">
        <f>VLOOKUP(M142,'Hosing Inventory'!B:D,3,0)</f>
        <v>1.0462597067872614</v>
      </c>
      <c r="P142" s="8">
        <f>N142/VLOOKUP(M142,'Hosing Inventory'!B:D,3,0)</f>
        <v>283.19928415273228</v>
      </c>
      <c r="Q142" s="8">
        <f t="shared" si="7"/>
        <v>292.02911624077814</v>
      </c>
      <c r="R142" s="8">
        <f t="shared" si="3"/>
        <v>296.68567953283406</v>
      </c>
      <c r="S142" s="8">
        <f t="shared" si="9"/>
        <v>293.85211059797223</v>
      </c>
      <c r="T142" s="8">
        <f t="shared" si="8"/>
        <v>295.36074400574279</v>
      </c>
    </row>
    <row r="143" spans="1:20" x14ac:dyDescent="0.25">
      <c r="A143" s="1">
        <v>33865</v>
      </c>
      <c r="B143" s="1">
        <f t="shared" si="6"/>
        <v>33848</v>
      </c>
      <c r="C143">
        <v>150.30000000000001</v>
      </c>
      <c r="I143" s="10">
        <v>37165</v>
      </c>
      <c r="J143" s="12">
        <v>272.02499999999998</v>
      </c>
      <c r="M143" s="1">
        <v>37165</v>
      </c>
      <c r="N143">
        <v>272.02499999999998</v>
      </c>
      <c r="O143">
        <f>VLOOKUP(M143,'Hosing Inventory'!B:D,3,0)</f>
        <v>1.0475911950582764</v>
      </c>
      <c r="P143" s="8">
        <f>N143/VLOOKUP(M143,'Hosing Inventory'!B:D,3,0)</f>
        <v>259.66713092206498</v>
      </c>
      <c r="Q143" s="8">
        <f t="shared" si="7"/>
        <v>291.63771592517901</v>
      </c>
      <c r="R143" s="8">
        <f t="shared" si="3"/>
        <v>294.52501597541766</v>
      </c>
      <c r="S143" s="8">
        <f t="shared" si="9"/>
        <v>290.89083415837433</v>
      </c>
      <c r="T143" s="8">
        <f t="shared" si="8"/>
        <v>290.27074252298888</v>
      </c>
    </row>
    <row r="144" spans="1:20" x14ac:dyDescent="0.25">
      <c r="A144" s="1">
        <v>33872</v>
      </c>
      <c r="B144" s="1">
        <f t="shared" si="6"/>
        <v>33848</v>
      </c>
      <c r="C144">
        <v>128</v>
      </c>
      <c r="I144" s="10">
        <v>37196</v>
      </c>
      <c r="J144" s="12">
        <v>315</v>
      </c>
      <c r="M144" s="1">
        <v>37196</v>
      </c>
      <c r="N144">
        <v>315</v>
      </c>
      <c r="O144">
        <f>VLOOKUP(M144,'Hosing Inventory'!B:D,3,0)</f>
        <v>1.0489226833292913</v>
      </c>
      <c r="P144" s="8">
        <f>N144/VLOOKUP(M144,'Hosing Inventory'!B:D,3,0)</f>
        <v>300.308120899995</v>
      </c>
      <c r="Q144" s="8">
        <f t="shared" si="7"/>
        <v>292.00556965028926</v>
      </c>
      <c r="R144" s="8">
        <f t="shared" si="3"/>
        <v>294.70918078984744</v>
      </c>
      <c r="S144" s="8">
        <f t="shared" si="9"/>
        <v>290.66018477127949</v>
      </c>
      <c r="T144" s="8">
        <f t="shared" si="8"/>
        <v>291.02340962584447</v>
      </c>
    </row>
    <row r="145" spans="1:20" x14ac:dyDescent="0.25">
      <c r="A145" s="1">
        <v>33879</v>
      </c>
      <c r="B145" s="1">
        <f t="shared" si="6"/>
        <v>33878</v>
      </c>
      <c r="C145">
        <v>132.19999999999999</v>
      </c>
      <c r="I145" s="10">
        <v>37226</v>
      </c>
      <c r="J145" s="12">
        <v>315</v>
      </c>
      <c r="M145" s="1">
        <v>37226</v>
      </c>
      <c r="N145">
        <v>315</v>
      </c>
      <c r="O145">
        <f>VLOOKUP(M145,'Hosing Inventory'!B:D,3,0)</f>
        <v>1.0502541716003062</v>
      </c>
      <c r="P145" s="8">
        <f>N145/VLOOKUP(M145,'Hosing Inventory'!B:D,3,0)</f>
        <v>299.92739711761806</v>
      </c>
      <c r="Q145" s="8">
        <f t="shared" si="7"/>
        <v>293.42539814447923</v>
      </c>
      <c r="R145" s="8">
        <f t="shared" ref="R145:R160" si="10">AVERAGE(P128:P145)</f>
        <v>294.29893214017198</v>
      </c>
      <c r="S145" s="8">
        <f t="shared" si="9"/>
        <v>291.84878318078614</v>
      </c>
      <c r="T145" s="8">
        <f t="shared" si="8"/>
        <v>288.96441697055849</v>
      </c>
    </row>
    <row r="146" spans="1:20" x14ac:dyDescent="0.25">
      <c r="A146" s="1">
        <v>33886</v>
      </c>
      <c r="B146" s="1">
        <f t="shared" si="6"/>
        <v>33878</v>
      </c>
      <c r="C146">
        <v>131.19999999999999</v>
      </c>
      <c r="I146" s="10">
        <v>37257</v>
      </c>
      <c r="J146" s="12">
        <v>356.2</v>
      </c>
      <c r="M146" s="1">
        <v>37257</v>
      </c>
      <c r="N146">
        <v>356.2</v>
      </c>
      <c r="O146">
        <f>VLOOKUP(M146,'Hosing Inventory'!B:D,3,0)</f>
        <v>1.0515856598713211</v>
      </c>
      <c r="P146" s="8">
        <f>N146/VLOOKUP(M146,'Hosing Inventory'!B:D,3,0)</f>
        <v>338.72656654864136</v>
      </c>
      <c r="Q146" s="8">
        <f t="shared" si="7"/>
        <v>296.00681881207612</v>
      </c>
      <c r="R146" s="8">
        <f t="shared" si="10"/>
        <v>296.21126938056454</v>
      </c>
      <c r="S146" s="8">
        <f t="shared" si="9"/>
        <v>294.80098466195</v>
      </c>
      <c r="T146" s="8">
        <f t="shared" si="8"/>
        <v>295.60314629524504</v>
      </c>
    </row>
    <row r="147" spans="1:20" x14ac:dyDescent="0.25">
      <c r="A147" s="1">
        <v>33893</v>
      </c>
      <c r="B147" s="1">
        <f t="shared" si="6"/>
        <v>33878</v>
      </c>
      <c r="C147">
        <v>134.30000000000001</v>
      </c>
      <c r="I147" s="10">
        <v>37288</v>
      </c>
      <c r="J147" s="12">
        <v>315.32499999999999</v>
      </c>
      <c r="M147" s="1">
        <v>37288</v>
      </c>
      <c r="N147">
        <v>315.32499999999999</v>
      </c>
      <c r="O147">
        <f>VLOOKUP(M147,'Hosing Inventory'!B:D,3,0)</f>
        <v>1.0486908617106769</v>
      </c>
      <c r="P147" s="8">
        <f>N147/VLOOKUP(M147,'Hosing Inventory'!B:D,3,0)</f>
        <v>300.6844166503235</v>
      </c>
      <c r="Q147" s="8">
        <f t="shared" si="7"/>
        <v>297.08876717211746</v>
      </c>
      <c r="R147" s="8">
        <f t="shared" si="10"/>
        <v>296.2418559908271</v>
      </c>
      <c r="S147" s="8">
        <f t="shared" si="9"/>
        <v>296.65672535229555</v>
      </c>
      <c r="T147" s="8">
        <f t="shared" si="8"/>
        <v>297.08548604856253</v>
      </c>
    </row>
    <row r="148" spans="1:20" x14ac:dyDescent="0.25">
      <c r="A148" s="1">
        <v>33900</v>
      </c>
      <c r="B148" s="1">
        <f t="shared" si="6"/>
        <v>33878</v>
      </c>
      <c r="C148">
        <v>148.6</v>
      </c>
      <c r="I148" s="10">
        <v>37316</v>
      </c>
      <c r="J148" s="12">
        <v>328.23999999999995</v>
      </c>
      <c r="M148" s="1">
        <v>37316</v>
      </c>
      <c r="N148">
        <v>328.23999999999995</v>
      </c>
      <c r="O148">
        <f>VLOOKUP(M148,'Hosing Inventory'!B:D,3,0)</f>
        <v>1.0457960635500332</v>
      </c>
      <c r="P148" s="8">
        <f>N148/VLOOKUP(M148,'Hosing Inventory'!B:D,3,0)</f>
        <v>313.86616515438453</v>
      </c>
      <c r="Q148" s="8">
        <f t="shared" si="7"/>
        <v>298.06341787016828</v>
      </c>
      <c r="R148" s="8">
        <f t="shared" si="10"/>
        <v>296.63361802603856</v>
      </c>
      <c r="S148" s="8">
        <f t="shared" si="9"/>
        <v>298.77868844395698</v>
      </c>
      <c r="T148" s="8">
        <f t="shared" si="8"/>
        <v>302.19663288217129</v>
      </c>
    </row>
    <row r="149" spans="1:20" x14ac:dyDescent="0.25">
      <c r="A149" s="1">
        <v>33907</v>
      </c>
      <c r="B149" s="1">
        <f t="shared" si="6"/>
        <v>33878</v>
      </c>
      <c r="C149">
        <v>148.1</v>
      </c>
      <c r="I149" s="10">
        <v>37347</v>
      </c>
      <c r="J149" s="12">
        <v>347.52499999999998</v>
      </c>
      <c r="M149" s="1">
        <v>37347</v>
      </c>
      <c r="N149">
        <v>347.52499999999998</v>
      </c>
      <c r="O149">
        <f>VLOOKUP(M149,'Hosing Inventory'!B:D,3,0)</f>
        <v>1.042901265389389</v>
      </c>
      <c r="P149" s="8">
        <f>N149/VLOOKUP(M149,'Hosing Inventory'!B:D,3,0)</f>
        <v>333.22905200450037</v>
      </c>
      <c r="Q149" s="8">
        <f t="shared" si="7"/>
        <v>299.50800024720752</v>
      </c>
      <c r="R149" s="8">
        <f t="shared" si="10"/>
        <v>298.74620712644196</v>
      </c>
      <c r="S149" s="8">
        <f t="shared" si="9"/>
        <v>302.36384779278291</v>
      </c>
      <c r="T149" s="8">
        <f t="shared" si="8"/>
        <v>314.45695306257716</v>
      </c>
    </row>
    <row r="150" spans="1:20" x14ac:dyDescent="0.25">
      <c r="A150" s="1">
        <v>33914</v>
      </c>
      <c r="B150" s="1">
        <f t="shared" si="6"/>
        <v>33909</v>
      </c>
      <c r="C150">
        <v>163.9</v>
      </c>
      <c r="I150" s="10">
        <v>37377</v>
      </c>
      <c r="J150" s="12">
        <v>369.15999999999997</v>
      </c>
      <c r="M150" s="1">
        <v>37377</v>
      </c>
      <c r="N150">
        <v>369.15999999999997</v>
      </c>
      <c r="O150">
        <f>VLOOKUP(M150,'Hosing Inventory'!B:D,3,0)</f>
        <v>1.0400064672287448</v>
      </c>
      <c r="P150" s="8">
        <f>N150/VLOOKUP(M150,'Hosing Inventory'!B:D,3,0)</f>
        <v>354.95933115077918</v>
      </c>
      <c r="Q150" s="8">
        <f t="shared" si="7"/>
        <v>301.92325761847917</v>
      </c>
      <c r="R150" s="8">
        <f t="shared" si="10"/>
        <v>301.62861921564445</v>
      </c>
      <c r="S150" s="8">
        <f t="shared" si="9"/>
        <v>307.29444886510947</v>
      </c>
      <c r="T150" s="8">
        <f t="shared" si="8"/>
        <v>323.56548810437454</v>
      </c>
    </row>
    <row r="151" spans="1:20" x14ac:dyDescent="0.25">
      <c r="A151" s="1">
        <v>33921</v>
      </c>
      <c r="B151" s="1">
        <f t="shared" si="6"/>
        <v>33909</v>
      </c>
      <c r="C151">
        <v>138.80000000000001</v>
      </c>
      <c r="I151" s="10">
        <v>37408</v>
      </c>
      <c r="J151" s="12">
        <v>373.17499999999995</v>
      </c>
      <c r="M151" s="1">
        <v>37408</v>
      </c>
      <c r="N151">
        <v>373.17499999999995</v>
      </c>
      <c r="O151">
        <f>VLOOKUP(M151,'Hosing Inventory'!B:D,3,0)</f>
        <v>1.037111669068101</v>
      </c>
      <c r="P151" s="8">
        <f>N151/VLOOKUP(M151,'Hosing Inventory'!B:D,3,0)</f>
        <v>359.82142630341548</v>
      </c>
      <c r="Q151" s="8">
        <f t="shared" si="7"/>
        <v>304.11115568063082</v>
      </c>
      <c r="R151" s="8">
        <f t="shared" si="10"/>
        <v>305.74846422119322</v>
      </c>
      <c r="S151" s="8">
        <f t="shared" si="9"/>
        <v>311.2561216362829</v>
      </c>
      <c r="T151" s="8">
        <f t="shared" si="8"/>
        <v>333.54782630200742</v>
      </c>
    </row>
    <row r="152" spans="1:20" x14ac:dyDescent="0.25">
      <c r="A152" s="1">
        <v>33928</v>
      </c>
      <c r="B152" s="1">
        <f t="shared" si="6"/>
        <v>33909</v>
      </c>
      <c r="C152">
        <v>147.19999999999999</v>
      </c>
      <c r="I152" s="10">
        <v>37438</v>
      </c>
      <c r="J152" s="12">
        <v>374.25</v>
      </c>
      <c r="M152" s="1">
        <v>37438</v>
      </c>
      <c r="N152">
        <v>374.25</v>
      </c>
      <c r="O152">
        <f>VLOOKUP(M152,'Hosing Inventory'!B:D,3,0)</f>
        <v>1.0342168709074568</v>
      </c>
      <c r="P152" s="8">
        <f>N152/VLOOKUP(M152,'Hosing Inventory'!B:D,3,0)</f>
        <v>361.86800904883751</v>
      </c>
      <c r="Q152" s="8">
        <f t="shared" si="7"/>
        <v>306.50963538176671</v>
      </c>
      <c r="R152" s="8">
        <f t="shared" si="10"/>
        <v>309.00223423642444</v>
      </c>
      <c r="S152" s="8">
        <f t="shared" si="9"/>
        <v>316.50393984030922</v>
      </c>
      <c r="T152" s="8">
        <f t="shared" si="8"/>
        <v>337.40473338537345</v>
      </c>
    </row>
    <row r="153" spans="1:20" x14ac:dyDescent="0.25">
      <c r="A153" s="1">
        <v>33935</v>
      </c>
      <c r="B153" s="1">
        <f t="shared" si="6"/>
        <v>33909</v>
      </c>
      <c r="C153">
        <v>102.8</v>
      </c>
      <c r="I153" s="10">
        <v>37469</v>
      </c>
      <c r="J153" s="12">
        <v>360.6</v>
      </c>
      <c r="M153" s="1">
        <v>37469</v>
      </c>
      <c r="N153">
        <v>360.6</v>
      </c>
      <c r="O153">
        <f>VLOOKUP(M153,'Hosing Inventory'!B:D,3,0)</f>
        <v>1.0313220727468126</v>
      </c>
      <c r="P153" s="8">
        <f>N153/VLOOKUP(M153,'Hosing Inventory'!B:D,3,0)</f>
        <v>349.6482907997709</v>
      </c>
      <c r="Q153" s="8">
        <f t="shared" si="7"/>
        <v>308.57273676235729</v>
      </c>
      <c r="R153" s="8">
        <f t="shared" si="10"/>
        <v>312.95960992717966</v>
      </c>
      <c r="S153" s="8">
        <f t="shared" si="9"/>
        <v>321.32543256275528</v>
      </c>
      <c r="T153" s="8">
        <f t="shared" si="8"/>
        <v>345.56537907694798</v>
      </c>
    </row>
    <row r="154" spans="1:20" x14ac:dyDescent="0.25">
      <c r="A154" s="1">
        <v>33942</v>
      </c>
      <c r="B154" s="1">
        <f t="shared" si="6"/>
        <v>33939</v>
      </c>
      <c r="C154">
        <v>136.1</v>
      </c>
      <c r="I154" s="10">
        <v>37500</v>
      </c>
      <c r="J154" s="12">
        <v>369.52499999999998</v>
      </c>
      <c r="M154" s="1">
        <v>37500</v>
      </c>
      <c r="N154">
        <v>369.52499999999998</v>
      </c>
      <c r="O154">
        <f>VLOOKUP(M154,'Hosing Inventory'!B:D,3,0)</f>
        <v>1.0284272745861687</v>
      </c>
      <c r="P154" s="8">
        <f>N154/VLOOKUP(M154,'Hosing Inventory'!B:D,3,0)</f>
        <v>359.31077396668036</v>
      </c>
      <c r="Q154" s="8">
        <f t="shared" ref="Q154:Q217" si="11">AVERAGE(P131:P154)</f>
        <v>310.76008365594492</v>
      </c>
      <c r="R154" s="8">
        <f t="shared" si="10"/>
        <v>316.89895247785927</v>
      </c>
      <c r="S154" s="8">
        <f t="shared" si="9"/>
        <v>327.66805671391762</v>
      </c>
      <c r="T154" s="8">
        <f t="shared" si="8"/>
        <v>353.13948054566396</v>
      </c>
    </row>
    <row r="155" spans="1:20" x14ac:dyDescent="0.25">
      <c r="A155" s="1">
        <v>33949</v>
      </c>
      <c r="B155" s="1">
        <f t="shared" si="6"/>
        <v>33939</v>
      </c>
      <c r="C155">
        <v>152</v>
      </c>
      <c r="I155" s="10">
        <v>37530</v>
      </c>
      <c r="J155" s="12">
        <v>348.625</v>
      </c>
      <c r="M155" s="1">
        <v>37530</v>
      </c>
      <c r="N155">
        <v>348.625</v>
      </c>
      <c r="O155">
        <f>VLOOKUP(M155,'Hosing Inventory'!B:D,3,0)</f>
        <v>1.0255324764255247</v>
      </c>
      <c r="P155" s="8">
        <f>N155/VLOOKUP(M155,'Hosing Inventory'!B:D,3,0)</f>
        <v>339.94535328137658</v>
      </c>
      <c r="Q155" s="8">
        <f t="shared" si="11"/>
        <v>312.62437136778391</v>
      </c>
      <c r="R155" s="8">
        <f t="shared" si="10"/>
        <v>319.6621865591253</v>
      </c>
      <c r="S155" s="8">
        <f t="shared" si="9"/>
        <v>334.35790857719354</v>
      </c>
      <c r="T155" s="8">
        <f t="shared" si="8"/>
        <v>354.25886409181004</v>
      </c>
    </row>
    <row r="156" spans="1:20" x14ac:dyDescent="0.25">
      <c r="A156" s="1">
        <v>33956</v>
      </c>
      <c r="B156" s="1">
        <f t="shared" si="6"/>
        <v>33939</v>
      </c>
      <c r="C156">
        <v>132.1</v>
      </c>
      <c r="I156" s="10">
        <v>37561</v>
      </c>
      <c r="J156" s="12">
        <v>356.91999999999996</v>
      </c>
      <c r="M156" s="1">
        <v>37561</v>
      </c>
      <c r="N156">
        <v>356.91999999999996</v>
      </c>
      <c r="O156">
        <f>VLOOKUP(M156,'Hosing Inventory'!B:D,3,0)</f>
        <v>1.0226376782648805</v>
      </c>
      <c r="P156" s="8">
        <f>N156/VLOOKUP(M156,'Hosing Inventory'!B:D,3,0)</f>
        <v>349.01901972318257</v>
      </c>
      <c r="Q156" s="8">
        <f t="shared" si="11"/>
        <v>314.53866745853594</v>
      </c>
      <c r="R156" s="8">
        <f t="shared" si="10"/>
        <v>322.61923663914314</v>
      </c>
      <c r="S156" s="8">
        <f t="shared" si="9"/>
        <v>338.41715014579256</v>
      </c>
      <c r="T156" s="8">
        <f t="shared" si="8"/>
        <v>353.26881218721059</v>
      </c>
    </row>
    <row r="157" spans="1:20" x14ac:dyDescent="0.25">
      <c r="A157" s="1">
        <v>33963</v>
      </c>
      <c r="B157" s="1">
        <f t="shared" si="6"/>
        <v>33939</v>
      </c>
      <c r="C157">
        <v>120.7</v>
      </c>
      <c r="I157" s="10">
        <v>37591</v>
      </c>
      <c r="J157" s="12">
        <v>357.625</v>
      </c>
      <c r="M157" s="1">
        <v>37591</v>
      </c>
      <c r="N157">
        <v>357.625</v>
      </c>
      <c r="O157">
        <f>VLOOKUP(M157,'Hosing Inventory'!B:D,3,0)</f>
        <v>1.0197428801042365</v>
      </c>
      <c r="P157" s="8">
        <f>N157/VLOOKUP(M157,'Hosing Inventory'!B:D,3,0)</f>
        <v>350.70114925778557</v>
      </c>
      <c r="Q157" s="8">
        <f t="shared" si="11"/>
        <v>317.24853966912963</v>
      </c>
      <c r="R157" s="8">
        <f t="shared" si="10"/>
        <v>324.75366976183494</v>
      </c>
      <c r="S157" s="8">
        <f t="shared" si="9"/>
        <v>342.64829615747317</v>
      </c>
      <c r="T157" s="8">
        <f t="shared" si="8"/>
        <v>351.74876601293892</v>
      </c>
    </row>
    <row r="158" spans="1:20" x14ac:dyDescent="0.25">
      <c r="A158" s="1">
        <v>33970</v>
      </c>
      <c r="B158" s="1">
        <f t="shared" si="6"/>
        <v>33970</v>
      </c>
      <c r="C158">
        <v>176</v>
      </c>
      <c r="I158" s="10">
        <v>37622</v>
      </c>
      <c r="J158" s="12">
        <v>365.21999999999997</v>
      </c>
      <c r="M158" s="1">
        <v>37622</v>
      </c>
      <c r="N158">
        <v>365.21999999999997</v>
      </c>
      <c r="O158">
        <f>VLOOKUP(M158,'Hosing Inventory'!B:D,3,0)</f>
        <v>1.0168480819435926</v>
      </c>
      <c r="P158" s="8">
        <f>N158/VLOOKUP(M158,'Hosing Inventory'!B:D,3,0)</f>
        <v>359.16869637195202</v>
      </c>
      <c r="Q158" s="8">
        <f t="shared" si="11"/>
        <v>319.57639581901617</v>
      </c>
      <c r="R158" s="8">
        <f t="shared" si="10"/>
        <v>328.10225341580326</v>
      </c>
      <c r="S158" s="8">
        <f t="shared" si="9"/>
        <v>344.3518069760824</v>
      </c>
      <c r="T158" s="8">
        <f t="shared" si="8"/>
        <v>351.2988805667913</v>
      </c>
    </row>
    <row r="159" spans="1:20" x14ac:dyDescent="0.25">
      <c r="A159" s="1">
        <v>33977</v>
      </c>
      <c r="B159" s="1">
        <f t="shared" si="6"/>
        <v>33970</v>
      </c>
      <c r="C159">
        <v>120.2</v>
      </c>
      <c r="I159" s="10">
        <v>37653</v>
      </c>
      <c r="J159" s="12">
        <v>329.45000000000005</v>
      </c>
      <c r="M159" s="1">
        <v>37653</v>
      </c>
      <c r="N159">
        <v>329.45000000000005</v>
      </c>
      <c r="O159">
        <f>VLOOKUP(M159,'Hosing Inventory'!B:D,3,0)</f>
        <v>1.0177706131027957</v>
      </c>
      <c r="P159" s="8">
        <f>N159/VLOOKUP(M159,'Hosing Inventory'!B:D,3,0)</f>
        <v>323.69769352608074</v>
      </c>
      <c r="Q159" s="8">
        <f t="shared" si="11"/>
        <v>321.46315270067885</v>
      </c>
      <c r="R159" s="8">
        <f t="shared" si="10"/>
        <v>329.87488204889564</v>
      </c>
      <c r="S159" s="8">
        <f t="shared" si="9"/>
        <v>346.26958004906214</v>
      </c>
      <c r="T159" s="8">
        <f t="shared" si="8"/>
        <v>346.97378102117636</v>
      </c>
    </row>
    <row r="160" spans="1:20" x14ac:dyDescent="0.25">
      <c r="A160" s="1">
        <v>33984</v>
      </c>
      <c r="B160" s="1">
        <f t="shared" si="6"/>
        <v>33970</v>
      </c>
      <c r="C160">
        <v>124.9</v>
      </c>
      <c r="I160" s="10">
        <v>37681</v>
      </c>
      <c r="J160" s="12">
        <v>360.17500000000001</v>
      </c>
      <c r="M160" s="1">
        <v>37681</v>
      </c>
      <c r="N160">
        <v>360.17500000000001</v>
      </c>
      <c r="O160">
        <f>VLOOKUP(M160,'Hosing Inventory'!B:D,3,0)</f>
        <v>1.0186931442619989</v>
      </c>
      <c r="P160" s="8">
        <f>N160/VLOOKUP(M160,'Hosing Inventory'!B:D,3,0)</f>
        <v>353.56574453137398</v>
      </c>
      <c r="Q160" s="8">
        <f t="shared" si="11"/>
        <v>324.17828338721745</v>
      </c>
      <c r="R160" s="8">
        <f t="shared" si="10"/>
        <v>333.78412984770904</v>
      </c>
      <c r="S160" s="8">
        <f t="shared" si="9"/>
        <v>349.57787833047792</v>
      </c>
      <c r="T160" s="8">
        <f t="shared" si="8"/>
        <v>346.01627611529187</v>
      </c>
    </row>
    <row r="161" spans="1:20" x14ac:dyDescent="0.25">
      <c r="A161" s="1">
        <v>33991</v>
      </c>
      <c r="B161" s="1">
        <f t="shared" si="6"/>
        <v>33970</v>
      </c>
      <c r="C161">
        <v>125</v>
      </c>
      <c r="I161" s="10">
        <v>37712</v>
      </c>
      <c r="J161" s="12">
        <v>373.20000000000005</v>
      </c>
      <c r="M161" s="1">
        <v>37712</v>
      </c>
      <c r="N161">
        <v>373.20000000000005</v>
      </c>
      <c r="O161">
        <f>VLOOKUP(M161,'Hosing Inventory'!B:D,3,0)</f>
        <v>1.019615675421202</v>
      </c>
      <c r="P161" s="8">
        <f>N161/VLOOKUP(M161,'Hosing Inventory'!B:D,3,0)</f>
        <v>366.02026527871061</v>
      </c>
      <c r="Q161" s="8">
        <f t="shared" si="11"/>
        <v>327.3371636147225</v>
      </c>
      <c r="R161" s="8">
        <f t="shared" ref="R161:R220" si="12">AVERAGE(P144:P161)</f>
        <v>339.69263731196708</v>
      </c>
      <c r="S161" s="8">
        <f t="shared" si="9"/>
        <v>352.31047943666221</v>
      </c>
      <c r="T161" s="8">
        <f>AVERAGE(P156:P161)</f>
        <v>350.36209478151426</v>
      </c>
    </row>
    <row r="162" spans="1:20" x14ac:dyDescent="0.25">
      <c r="A162" s="1">
        <v>33998</v>
      </c>
      <c r="B162" s="1">
        <f t="shared" si="6"/>
        <v>33970</v>
      </c>
      <c r="C162">
        <v>143.9</v>
      </c>
      <c r="I162" s="10">
        <v>37742</v>
      </c>
      <c r="J162" s="12">
        <v>416.64</v>
      </c>
      <c r="M162" s="1">
        <v>37742</v>
      </c>
      <c r="N162">
        <v>416.64</v>
      </c>
      <c r="O162">
        <f>VLOOKUP(M162,'Hosing Inventory'!B:D,3,0)</f>
        <v>1.0205382065804054</v>
      </c>
      <c r="P162" s="8">
        <f>N162/VLOOKUP(M162,'Hosing Inventory'!B:D,3,0)</f>
        <v>408.25517096127851</v>
      </c>
      <c r="Q162" s="8">
        <f t="shared" si="11"/>
        <v>332.0231241429899</v>
      </c>
      <c r="R162" s="8">
        <f t="shared" si="12"/>
        <v>345.68969564870508</v>
      </c>
      <c r="S162" s="8">
        <f t="shared" si="9"/>
        <v>356.75179942087044</v>
      </c>
      <c r="T162" s="8">
        <f t="shared" ref="T162:T225" si="13">AVERAGE(P157:P162)</f>
        <v>360.2347866545303</v>
      </c>
    </row>
    <row r="163" spans="1:20" x14ac:dyDescent="0.25">
      <c r="A163" s="1">
        <v>34005</v>
      </c>
      <c r="B163" s="1">
        <f t="shared" si="6"/>
        <v>34001</v>
      </c>
      <c r="C163">
        <v>140.69999999999999</v>
      </c>
      <c r="I163" s="10">
        <v>37773</v>
      </c>
      <c r="J163" s="12">
        <v>421.9</v>
      </c>
      <c r="M163" s="1">
        <v>37773</v>
      </c>
      <c r="N163">
        <v>421.9</v>
      </c>
      <c r="O163">
        <f>VLOOKUP(M163,'Hosing Inventory'!B:D,3,0)</f>
        <v>1.0214607377396083</v>
      </c>
      <c r="P163" s="8">
        <f>N163/VLOOKUP(M163,'Hosing Inventory'!B:D,3,0)</f>
        <v>413.03594393028067</v>
      </c>
      <c r="Q163" s="8">
        <f t="shared" si="11"/>
        <v>336.22123209636271</v>
      </c>
      <c r="R163" s="8">
        <f t="shared" si="12"/>
        <v>351.97350380496414</v>
      </c>
      <c r="S163" s="8">
        <f t="shared" si="9"/>
        <v>361.18634255644253</v>
      </c>
      <c r="T163" s="8">
        <f t="shared" si="13"/>
        <v>370.62391909994608</v>
      </c>
    </row>
    <row r="164" spans="1:20" x14ac:dyDescent="0.25">
      <c r="A164" s="1">
        <v>34012</v>
      </c>
      <c r="B164" s="1">
        <f t="shared" si="6"/>
        <v>34001</v>
      </c>
      <c r="C164">
        <v>141.5</v>
      </c>
      <c r="I164" s="10">
        <v>37803</v>
      </c>
      <c r="J164" s="12">
        <v>432.65</v>
      </c>
      <c r="M164" s="1">
        <v>37803</v>
      </c>
      <c r="N164">
        <v>432.65</v>
      </c>
      <c r="O164">
        <f>VLOOKUP(M164,'Hosing Inventory'!B:D,3,0)</f>
        <v>1.0223832688988117</v>
      </c>
      <c r="P164" s="8">
        <f>N164/VLOOKUP(M164,'Hosing Inventory'!B:D,3,0)</f>
        <v>423.1778953757709</v>
      </c>
      <c r="Q164" s="8">
        <f t="shared" si="11"/>
        <v>341.39971979533146</v>
      </c>
      <c r="R164" s="8">
        <f t="shared" si="12"/>
        <v>356.66524429536025</v>
      </c>
      <c r="S164" s="8">
        <f t="shared" si="9"/>
        <v>366.29549975035366</v>
      </c>
      <c r="T164" s="8">
        <f t="shared" si="13"/>
        <v>381.2921189339159</v>
      </c>
    </row>
    <row r="165" spans="1:20" x14ac:dyDescent="0.25">
      <c r="A165" s="1">
        <v>34019</v>
      </c>
      <c r="B165" s="1">
        <f t="shared" si="6"/>
        <v>34001</v>
      </c>
      <c r="C165">
        <v>194.6</v>
      </c>
      <c r="I165" s="10">
        <v>37834</v>
      </c>
      <c r="J165" s="12">
        <v>405.41999999999996</v>
      </c>
      <c r="M165" s="1">
        <v>37834</v>
      </c>
      <c r="N165">
        <v>405.41999999999996</v>
      </c>
      <c r="O165">
        <f>VLOOKUP(M165,'Hosing Inventory'!B:D,3,0)</f>
        <v>1.0233058000580149</v>
      </c>
      <c r="P165" s="8">
        <f>N165/VLOOKUP(M165,'Hosing Inventory'!B:D,3,0)</f>
        <v>396.18655535521765</v>
      </c>
      <c r="Q165" s="8">
        <f t="shared" si="11"/>
        <v>345.74956051303144</v>
      </c>
      <c r="R165" s="8">
        <f t="shared" si="12"/>
        <v>361.97091866785439</v>
      </c>
      <c r="S165" s="8">
        <f t="shared" si="9"/>
        <v>370.17368846330754</v>
      </c>
      <c r="T165" s="8">
        <f t="shared" si="13"/>
        <v>393.37359590543866</v>
      </c>
    </row>
    <row r="166" spans="1:20" x14ac:dyDescent="0.25">
      <c r="A166" s="1">
        <v>34026</v>
      </c>
      <c r="B166" s="1">
        <f t="shared" si="6"/>
        <v>34001</v>
      </c>
      <c r="C166">
        <v>139.30000000000001</v>
      </c>
      <c r="I166" s="10">
        <v>37865</v>
      </c>
      <c r="J166" s="12">
        <v>410.27500000000003</v>
      </c>
      <c r="M166" s="1">
        <v>37865</v>
      </c>
      <c r="N166">
        <v>410.27500000000003</v>
      </c>
      <c r="O166">
        <f>VLOOKUP(M166,'Hosing Inventory'!B:D,3,0)</f>
        <v>1.024228331217218</v>
      </c>
      <c r="P166" s="8">
        <f>N166/VLOOKUP(M166,'Hosing Inventory'!B:D,3,0)</f>
        <v>400.56986073839528</v>
      </c>
      <c r="Q166" s="8">
        <f t="shared" si="11"/>
        <v>350.64000120410066</v>
      </c>
      <c r="R166" s="8">
        <f t="shared" si="12"/>
        <v>366.78779064474389</v>
      </c>
      <c r="S166" s="8">
        <f t="shared" si="9"/>
        <v>373.61194569428375</v>
      </c>
      <c r="T166" s="8">
        <f t="shared" si="13"/>
        <v>401.20761527327562</v>
      </c>
    </row>
    <row r="167" spans="1:20" x14ac:dyDescent="0.25">
      <c r="A167" s="1">
        <v>34033</v>
      </c>
      <c r="B167" s="1">
        <f t="shared" si="6"/>
        <v>34029</v>
      </c>
      <c r="C167">
        <v>145.19999999999999</v>
      </c>
      <c r="I167" s="10">
        <v>37895</v>
      </c>
      <c r="J167" s="12">
        <v>390.88</v>
      </c>
      <c r="M167" s="1">
        <v>37895</v>
      </c>
      <c r="N167">
        <v>390.88</v>
      </c>
      <c r="O167">
        <f>VLOOKUP(M167,'Hosing Inventory'!B:D,3,0)</f>
        <v>1.0251508623764212</v>
      </c>
      <c r="P167" s="8">
        <f>N167/VLOOKUP(M167,'Hosing Inventory'!B:D,3,0)</f>
        <v>381.29022209852491</v>
      </c>
      <c r="Q167" s="8">
        <f t="shared" si="11"/>
        <v>355.70763000311985</v>
      </c>
      <c r="R167" s="8">
        <f t="shared" si="12"/>
        <v>369.45785564996754</v>
      </c>
      <c r="S167" s="8">
        <f t="shared" si="9"/>
        <v>377.05735142904609</v>
      </c>
      <c r="T167" s="8">
        <f t="shared" si="13"/>
        <v>403.75260807657793</v>
      </c>
    </row>
    <row r="168" spans="1:20" x14ac:dyDescent="0.25">
      <c r="A168" s="1">
        <v>34040</v>
      </c>
      <c r="B168" s="1">
        <f t="shared" si="6"/>
        <v>34029</v>
      </c>
      <c r="C168">
        <v>147.69999999999999</v>
      </c>
      <c r="I168" s="10">
        <v>37926</v>
      </c>
      <c r="J168" s="12">
        <v>425.74999999999994</v>
      </c>
      <c r="M168" s="1">
        <v>37926</v>
      </c>
      <c r="N168">
        <v>425.74999999999994</v>
      </c>
      <c r="O168">
        <f>VLOOKUP(M168,'Hosing Inventory'!B:D,3,0)</f>
        <v>1.0260733935356245</v>
      </c>
      <c r="P168" s="8">
        <f>N168/VLOOKUP(M168,'Hosing Inventory'!B:D,3,0)</f>
        <v>414.93133208820331</v>
      </c>
      <c r="Q168" s="8">
        <f t="shared" si="11"/>
        <v>360.48359713596187</v>
      </c>
      <c r="R168" s="8">
        <f t="shared" si="12"/>
        <v>372.78963347982443</v>
      </c>
      <c r="S168" s="8">
        <f t="shared" si="9"/>
        <v>382.55004412613113</v>
      </c>
      <c r="T168" s="8">
        <f t="shared" si="13"/>
        <v>404.86530159773207</v>
      </c>
    </row>
    <row r="169" spans="1:20" x14ac:dyDescent="0.25">
      <c r="A169" s="1">
        <v>34047</v>
      </c>
      <c r="B169" s="1">
        <f t="shared" si="6"/>
        <v>34029</v>
      </c>
      <c r="C169">
        <v>145.6</v>
      </c>
      <c r="I169" s="10">
        <v>37956</v>
      </c>
      <c r="J169" s="12">
        <v>409.67499999999995</v>
      </c>
      <c r="M169" s="1">
        <v>37956</v>
      </c>
      <c r="N169">
        <v>409.67499999999995</v>
      </c>
      <c r="O169">
        <f>VLOOKUP(M169,'Hosing Inventory'!B:D,3,0)</f>
        <v>1.0269959246948275</v>
      </c>
      <c r="P169" s="8">
        <f>N169/VLOOKUP(M169,'Hosing Inventory'!B:D,3,0)</f>
        <v>398.90615936157212</v>
      </c>
      <c r="Q169" s="8">
        <f t="shared" si="11"/>
        <v>364.60771222945999</v>
      </c>
      <c r="R169" s="8">
        <f t="shared" si="12"/>
        <v>374.96100753861089</v>
      </c>
      <c r="S169" s="8">
        <f t="shared" si="9"/>
        <v>386.5671283014467</v>
      </c>
      <c r="T169" s="8">
        <f t="shared" si="13"/>
        <v>402.51033750294738</v>
      </c>
    </row>
    <row r="170" spans="1:20" x14ac:dyDescent="0.25">
      <c r="A170" s="1">
        <v>34054</v>
      </c>
      <c r="B170" s="1">
        <f t="shared" si="6"/>
        <v>34029</v>
      </c>
      <c r="C170">
        <v>162.9</v>
      </c>
      <c r="I170" s="10">
        <v>37987</v>
      </c>
      <c r="J170" s="12">
        <v>448.88</v>
      </c>
      <c r="M170" s="1">
        <v>37987</v>
      </c>
      <c r="N170">
        <v>448.88</v>
      </c>
      <c r="O170">
        <f>VLOOKUP(M170,'Hosing Inventory'!B:D,3,0)</f>
        <v>1.0279184558540309</v>
      </c>
      <c r="P170" s="8">
        <f>N170/VLOOKUP(M170,'Hosing Inventory'!B:D,3,0)</f>
        <v>436.68833597024451</v>
      </c>
      <c r="Q170" s="8">
        <f t="shared" si="11"/>
        <v>368.68945262202675</v>
      </c>
      <c r="R170" s="8">
        <f t="shared" si="12"/>
        <v>379.11769236757789</v>
      </c>
      <c r="S170" s="8">
        <f t="shared" si="9"/>
        <v>393.02709826797104</v>
      </c>
      <c r="T170" s="8">
        <f t="shared" si="13"/>
        <v>404.7620776020263</v>
      </c>
    </row>
    <row r="171" spans="1:20" x14ac:dyDescent="0.25">
      <c r="A171" s="1">
        <v>34061</v>
      </c>
      <c r="B171" s="1">
        <f t="shared" si="6"/>
        <v>34060</v>
      </c>
      <c r="C171">
        <v>161.4</v>
      </c>
      <c r="I171" s="10">
        <v>38018</v>
      </c>
      <c r="J171" s="12">
        <v>415.54999999999995</v>
      </c>
      <c r="M171" s="1">
        <v>38018</v>
      </c>
      <c r="N171">
        <v>415.54999999999995</v>
      </c>
      <c r="O171">
        <f>VLOOKUP(M171,'Hosing Inventory'!B:D,3,0)</f>
        <v>1.0297266644792216</v>
      </c>
      <c r="P171" s="8">
        <f>N171/VLOOKUP(M171,'Hosing Inventory'!B:D,3,0)</f>
        <v>403.55369471777448</v>
      </c>
      <c r="Q171" s="8">
        <f t="shared" si="11"/>
        <v>372.97567254150391</v>
      </c>
      <c r="R171" s="8">
        <f t="shared" si="12"/>
        <v>382.11243702968915</v>
      </c>
      <c r="S171" s="8">
        <f t="shared" si="9"/>
        <v>399.68176503394551</v>
      </c>
      <c r="T171" s="8">
        <f t="shared" si="13"/>
        <v>405.98993416245247</v>
      </c>
    </row>
    <row r="172" spans="1:20" x14ac:dyDescent="0.25">
      <c r="A172" s="1">
        <v>34068</v>
      </c>
      <c r="B172" s="1">
        <f t="shared" si="6"/>
        <v>34060</v>
      </c>
      <c r="C172">
        <v>192.3</v>
      </c>
      <c r="I172" s="10">
        <v>38047</v>
      </c>
      <c r="J172" s="12">
        <v>443.42500000000001</v>
      </c>
      <c r="M172" s="1">
        <v>38047</v>
      </c>
      <c r="N172">
        <v>443.42500000000001</v>
      </c>
      <c r="O172">
        <f>VLOOKUP(M172,'Hosing Inventory'!B:D,3,0)</f>
        <v>1.0315348731044125</v>
      </c>
      <c r="P172" s="8">
        <f>N172/VLOOKUP(M172,'Hosing Inventory'!B:D,3,0)</f>
        <v>429.86913148705185</v>
      </c>
      <c r="Q172" s="8">
        <f t="shared" si="11"/>
        <v>377.80912947203177</v>
      </c>
      <c r="R172" s="8">
        <f t="shared" si="12"/>
        <v>386.03234578082089</v>
      </c>
      <c r="S172" s="8">
        <f t="shared" si="9"/>
        <v>406.04038061358546</v>
      </c>
      <c r="T172" s="8">
        <f t="shared" si="13"/>
        <v>410.87314595389518</v>
      </c>
    </row>
    <row r="173" spans="1:20" x14ac:dyDescent="0.25">
      <c r="A173" s="1">
        <v>34075</v>
      </c>
      <c r="B173" s="1">
        <f t="shared" si="6"/>
        <v>34060</v>
      </c>
      <c r="C173">
        <v>156.30000000000001</v>
      </c>
      <c r="I173" s="10">
        <v>38078</v>
      </c>
      <c r="J173" s="12">
        <v>457.96000000000004</v>
      </c>
      <c r="M173" s="1">
        <v>38078</v>
      </c>
      <c r="N173">
        <v>457.96000000000004</v>
      </c>
      <c r="O173">
        <f>VLOOKUP(M173,'Hosing Inventory'!B:D,3,0)</f>
        <v>1.0333430817296032</v>
      </c>
      <c r="P173" s="8">
        <f>N173/VLOOKUP(M173,'Hosing Inventory'!B:D,3,0)</f>
        <v>443.182915816758</v>
      </c>
      <c r="Q173" s="8">
        <f t="shared" si="11"/>
        <v>382.39054046420921</v>
      </c>
      <c r="R173" s="8">
        <f t="shared" si="12"/>
        <v>391.76776592167539</v>
      </c>
      <c r="S173" s="8">
        <f t="shared" si="9"/>
        <v>412.47060149175604</v>
      </c>
      <c r="T173" s="8">
        <f t="shared" si="13"/>
        <v>421.18859490693399</v>
      </c>
    </row>
    <row r="174" spans="1:20" x14ac:dyDescent="0.25">
      <c r="A174" s="1">
        <v>34082</v>
      </c>
      <c r="B174" s="1">
        <f t="shared" si="6"/>
        <v>34060</v>
      </c>
      <c r="C174">
        <v>155.9</v>
      </c>
      <c r="I174" s="10">
        <v>38108</v>
      </c>
      <c r="J174" s="12">
        <v>464.52499999999998</v>
      </c>
      <c r="M174" s="1">
        <v>38108</v>
      </c>
      <c r="N174">
        <v>464.52499999999998</v>
      </c>
      <c r="O174">
        <f>VLOOKUP(M174,'Hosing Inventory'!B:D,3,0)</f>
        <v>1.0351512903547941</v>
      </c>
      <c r="P174" s="8">
        <f>N174/VLOOKUP(M174,'Hosing Inventory'!B:D,3,0)</f>
        <v>448.75082930224221</v>
      </c>
      <c r="Q174" s="8">
        <f t="shared" si="11"/>
        <v>386.2985195538534</v>
      </c>
      <c r="R174" s="8">
        <f t="shared" si="12"/>
        <v>397.30842200940094</v>
      </c>
      <c r="S174" s="8">
        <f t="shared" si="9"/>
        <v>415.84523968683629</v>
      </c>
      <c r="T174" s="8">
        <f t="shared" si="13"/>
        <v>426.82517777594057</v>
      </c>
    </row>
    <row r="175" spans="1:20" x14ac:dyDescent="0.25">
      <c r="A175" s="1">
        <v>34089</v>
      </c>
      <c r="B175" s="1">
        <f t="shared" si="6"/>
        <v>34060</v>
      </c>
      <c r="C175">
        <v>167.6</v>
      </c>
      <c r="I175" s="10">
        <v>38139</v>
      </c>
      <c r="J175" s="12">
        <v>442.9</v>
      </c>
      <c r="M175" s="1">
        <v>38139</v>
      </c>
      <c r="N175">
        <v>442.9</v>
      </c>
      <c r="O175">
        <f>VLOOKUP(M175,'Hosing Inventory'!B:D,3,0)</f>
        <v>1.0369594989799849</v>
      </c>
      <c r="P175" s="8">
        <f>N175/VLOOKUP(M175,'Hosing Inventory'!B:D,3,0)</f>
        <v>427.11407768159006</v>
      </c>
      <c r="Q175" s="8">
        <f t="shared" si="11"/>
        <v>389.10238002794404</v>
      </c>
      <c r="R175" s="8">
        <f t="shared" si="12"/>
        <v>401.55358469961232</v>
      </c>
      <c r="S175" s="8">
        <f t="shared" si="9"/>
        <v>417.01841749944543</v>
      </c>
      <c r="T175" s="8">
        <f t="shared" si="13"/>
        <v>431.52649749594349</v>
      </c>
    </row>
    <row r="176" spans="1:20" x14ac:dyDescent="0.25">
      <c r="A176" s="1">
        <v>34096</v>
      </c>
      <c r="B176" s="1">
        <f t="shared" si="6"/>
        <v>34090</v>
      </c>
      <c r="C176">
        <v>143.1</v>
      </c>
      <c r="I176" s="10">
        <v>38169</v>
      </c>
      <c r="J176" s="12">
        <v>461.36</v>
      </c>
      <c r="M176" s="1">
        <v>38169</v>
      </c>
      <c r="N176">
        <v>461.36</v>
      </c>
      <c r="O176">
        <f>VLOOKUP(M176,'Hosing Inventory'!B:D,3,0)</f>
        <v>1.0387677076051758</v>
      </c>
      <c r="P176" s="8">
        <f>N176/VLOOKUP(M176,'Hosing Inventory'!B:D,3,0)</f>
        <v>444.14164651271381</v>
      </c>
      <c r="Q176" s="8">
        <f t="shared" si="11"/>
        <v>392.53044825560551</v>
      </c>
      <c r="R176" s="8">
        <f t="shared" si="12"/>
        <v>406.27430415187683</v>
      </c>
      <c r="S176" s="8">
        <f t="shared" si="9"/>
        <v>418.76539676085736</v>
      </c>
      <c r="T176" s="8">
        <f t="shared" si="13"/>
        <v>432.76871591968847</v>
      </c>
    </row>
    <row r="177" spans="1:20" x14ac:dyDescent="0.25">
      <c r="A177" s="1">
        <v>34103</v>
      </c>
      <c r="B177" s="1">
        <f t="shared" si="6"/>
        <v>34090</v>
      </c>
      <c r="C177">
        <v>151.4</v>
      </c>
      <c r="I177" s="10">
        <v>38200</v>
      </c>
      <c r="J177" s="12">
        <v>448.47500000000002</v>
      </c>
      <c r="M177" s="1">
        <v>38200</v>
      </c>
      <c r="N177">
        <v>448.47500000000002</v>
      </c>
      <c r="O177">
        <f>VLOOKUP(M177,'Hosing Inventory'!B:D,3,0)</f>
        <v>1.0405759162303665</v>
      </c>
      <c r="P177" s="8">
        <f>N177/VLOOKUP(M177,'Hosing Inventory'!B:D,3,0)</f>
        <v>430.98729559748432</v>
      </c>
      <c r="Q177" s="8">
        <f t="shared" si="11"/>
        <v>395.91957345551026</v>
      </c>
      <c r="R177" s="8">
        <f t="shared" si="12"/>
        <v>412.23483760028813</v>
      </c>
      <c r="S177" s="8">
        <f t="shared" si="9"/>
        <v>421.66545844771298</v>
      </c>
      <c r="T177" s="8">
        <f t="shared" si="13"/>
        <v>437.34098273297332</v>
      </c>
    </row>
    <row r="178" spans="1:20" x14ac:dyDescent="0.25">
      <c r="A178" s="1">
        <v>34110</v>
      </c>
      <c r="B178" s="1">
        <f t="shared" si="6"/>
        <v>34090</v>
      </c>
      <c r="C178">
        <v>149.4</v>
      </c>
      <c r="I178" s="10">
        <v>38231</v>
      </c>
      <c r="J178" s="12">
        <v>464.35</v>
      </c>
      <c r="M178" s="1">
        <v>38231</v>
      </c>
      <c r="N178">
        <v>464.35</v>
      </c>
      <c r="O178">
        <f>VLOOKUP(M178,'Hosing Inventory'!B:D,3,0)</f>
        <v>1.0423841248555572</v>
      </c>
      <c r="P178" s="8">
        <f>N178/VLOOKUP(M178,'Hosing Inventory'!B:D,3,0)</f>
        <v>445.4691787102426</v>
      </c>
      <c r="Q178" s="8">
        <f t="shared" si="11"/>
        <v>399.50950698649194</v>
      </c>
      <c r="R178" s="8">
        <f t="shared" si="12"/>
        <v>417.34058394355873</v>
      </c>
      <c r="S178" s="8">
        <f t="shared" si="9"/>
        <v>425.40706827870025</v>
      </c>
      <c r="T178" s="8">
        <f t="shared" si="13"/>
        <v>439.9409906035051</v>
      </c>
    </row>
    <row r="179" spans="1:20" x14ac:dyDescent="0.25">
      <c r="A179" s="1">
        <v>34117</v>
      </c>
      <c r="B179" s="1">
        <f t="shared" si="6"/>
        <v>34090</v>
      </c>
      <c r="C179">
        <v>156.80000000000001</v>
      </c>
      <c r="I179" s="10">
        <v>38261</v>
      </c>
      <c r="J179" s="12">
        <v>458.82</v>
      </c>
      <c r="M179" s="1">
        <v>38261</v>
      </c>
      <c r="N179">
        <v>458.82</v>
      </c>
      <c r="O179">
        <f>VLOOKUP(M179,'Hosing Inventory'!B:D,3,0)</f>
        <v>1.0441923334807481</v>
      </c>
      <c r="P179" s="8">
        <f>N179/VLOOKUP(M179,'Hosing Inventory'!B:D,3,0)</f>
        <v>439.40180873628231</v>
      </c>
      <c r="Q179" s="8">
        <f t="shared" si="11"/>
        <v>403.65352596377966</v>
      </c>
      <c r="R179" s="8">
        <f t="shared" si="12"/>
        <v>421.41733635786818</v>
      </c>
      <c r="S179" s="8">
        <f t="shared" si="9"/>
        <v>430.24970049851328</v>
      </c>
      <c r="T179" s="8">
        <f t="shared" si="13"/>
        <v>439.31080609009251</v>
      </c>
    </row>
    <row r="180" spans="1:20" x14ac:dyDescent="0.25">
      <c r="A180" s="1">
        <v>34124</v>
      </c>
      <c r="B180" s="1">
        <f t="shared" si="6"/>
        <v>34121</v>
      </c>
      <c r="C180">
        <v>171.6</v>
      </c>
      <c r="I180" s="10">
        <v>38292</v>
      </c>
      <c r="J180" s="12">
        <v>471.72499999999997</v>
      </c>
      <c r="M180" s="1">
        <v>38292</v>
      </c>
      <c r="N180">
        <v>471.72499999999997</v>
      </c>
      <c r="O180">
        <f>VLOOKUP(M180,'Hosing Inventory'!B:D,3,0)</f>
        <v>1.0460005421059388</v>
      </c>
      <c r="P180" s="8">
        <f>N180/VLOOKUP(M180,'Hosing Inventory'!B:D,3,0)</f>
        <v>450.9796897908526</v>
      </c>
      <c r="Q180" s="8">
        <f t="shared" si="11"/>
        <v>407.90188721659928</v>
      </c>
      <c r="R180" s="8">
        <f t="shared" si="12"/>
        <v>423.79092073728896</v>
      </c>
      <c r="S180" s="8">
        <f t="shared" si="9"/>
        <v>433.25373030706743</v>
      </c>
      <c r="T180" s="8">
        <f t="shared" si="13"/>
        <v>439.68228283819434</v>
      </c>
    </row>
    <row r="181" spans="1:20" x14ac:dyDescent="0.25">
      <c r="A181" s="1">
        <v>34131</v>
      </c>
      <c r="B181" s="1">
        <f t="shared" si="6"/>
        <v>34121</v>
      </c>
      <c r="C181">
        <v>154.19999999999999</v>
      </c>
      <c r="I181" s="10">
        <v>38322</v>
      </c>
      <c r="J181" s="12">
        <v>470.4</v>
      </c>
      <c r="M181" s="1">
        <v>38322</v>
      </c>
      <c r="N181">
        <v>470.4</v>
      </c>
      <c r="O181">
        <f>VLOOKUP(M181,'Hosing Inventory'!B:D,3,0)</f>
        <v>1.0478087507311298</v>
      </c>
      <c r="P181" s="8">
        <f>N181/VLOOKUP(M181,'Hosing Inventory'!B:D,3,0)</f>
        <v>448.93688821721412</v>
      </c>
      <c r="Q181" s="8">
        <f t="shared" si="11"/>
        <v>411.99504300657549</v>
      </c>
      <c r="R181" s="8">
        <f t="shared" si="12"/>
        <v>425.7854176421186</v>
      </c>
      <c r="S181" s="8">
        <f t="shared" si="9"/>
        <v>437.42295771170421</v>
      </c>
      <c r="T181" s="8">
        <f t="shared" si="13"/>
        <v>443.31941792746494</v>
      </c>
    </row>
    <row r="182" spans="1:20" x14ac:dyDescent="0.25">
      <c r="A182" s="1">
        <v>34138</v>
      </c>
      <c r="B182" s="1">
        <f t="shared" si="6"/>
        <v>34121</v>
      </c>
      <c r="C182">
        <v>158.69999999999999</v>
      </c>
      <c r="I182" s="10">
        <v>38353</v>
      </c>
      <c r="J182" s="12">
        <v>430.125</v>
      </c>
      <c r="M182" s="1">
        <v>38353</v>
      </c>
      <c r="N182">
        <v>430.125</v>
      </c>
      <c r="O182">
        <f>VLOOKUP(M182,'Hosing Inventory'!B:D,3,0)</f>
        <v>1.0496169593563205</v>
      </c>
      <c r="P182" s="8">
        <f>N182/VLOOKUP(M182,'Hosing Inventory'!B:D,3,0)</f>
        <v>409.7923496432212</v>
      </c>
      <c r="Q182" s="8">
        <f t="shared" si="11"/>
        <v>414.10436189287839</v>
      </c>
      <c r="R182" s="8">
        <f t="shared" si="12"/>
        <v>425.04177621253251</v>
      </c>
      <c r="S182" s="8">
        <f t="shared" si="9"/>
        <v>435.18162551778568</v>
      </c>
      <c r="T182" s="8">
        <f t="shared" si="13"/>
        <v>437.59453511588282</v>
      </c>
    </row>
    <row r="183" spans="1:20" x14ac:dyDescent="0.25">
      <c r="A183" s="1">
        <v>34145</v>
      </c>
      <c r="B183" s="1">
        <f t="shared" si="6"/>
        <v>34121</v>
      </c>
      <c r="C183">
        <v>146.9</v>
      </c>
      <c r="I183" s="10">
        <v>38384</v>
      </c>
      <c r="J183" s="12">
        <v>431.42500000000001</v>
      </c>
      <c r="M183" s="1">
        <v>38384</v>
      </c>
      <c r="N183">
        <v>431.42500000000001</v>
      </c>
      <c r="O183">
        <f>VLOOKUP(M183,'Hosing Inventory'!B:D,3,0)</f>
        <v>1.0507796339358317</v>
      </c>
      <c r="P183" s="8">
        <f>N183/VLOOKUP(M183,'Hosing Inventory'!B:D,3,0)</f>
        <v>410.57609613543951</v>
      </c>
      <c r="Q183" s="8">
        <f t="shared" si="11"/>
        <v>417.72429533493499</v>
      </c>
      <c r="R183" s="8">
        <f t="shared" si="12"/>
        <v>425.84119514476714</v>
      </c>
      <c r="S183" s="8">
        <f t="shared" si="9"/>
        <v>435.76682563592436</v>
      </c>
      <c r="T183" s="8">
        <f t="shared" si="13"/>
        <v>434.19266853887535</v>
      </c>
    </row>
    <row r="184" spans="1:20" x14ac:dyDescent="0.25">
      <c r="A184" s="1">
        <v>34152</v>
      </c>
      <c r="B184" s="1">
        <f t="shared" si="6"/>
        <v>34151</v>
      </c>
      <c r="C184">
        <v>163.19999999999999</v>
      </c>
      <c r="I184" s="10">
        <v>38412</v>
      </c>
      <c r="J184" s="12">
        <v>457.95000000000005</v>
      </c>
      <c r="M184" s="1">
        <v>38412</v>
      </c>
      <c r="N184">
        <v>457.95000000000005</v>
      </c>
      <c r="O184">
        <f>VLOOKUP(M184,'Hosing Inventory'!B:D,3,0)</f>
        <v>1.051942308515343</v>
      </c>
      <c r="P184" s="8">
        <f>N184/VLOOKUP(M184,'Hosing Inventory'!B:D,3,0)</f>
        <v>435.33756204399367</v>
      </c>
      <c r="Q184" s="8">
        <f t="shared" si="11"/>
        <v>421.13145439796079</v>
      </c>
      <c r="R184" s="8">
        <f t="shared" si="12"/>
        <v>427.77273410618926</v>
      </c>
      <c r="S184" s="8">
        <f t="shared" si="9"/>
        <v>436.22252818233625</v>
      </c>
      <c r="T184" s="8">
        <f t="shared" si="13"/>
        <v>432.50406576116728</v>
      </c>
    </row>
    <row r="185" spans="1:20" x14ac:dyDescent="0.25">
      <c r="A185" s="1">
        <v>34159</v>
      </c>
      <c r="B185" s="1">
        <f t="shared" si="6"/>
        <v>34151</v>
      </c>
      <c r="C185">
        <v>175.4</v>
      </c>
      <c r="I185" s="10">
        <v>38443</v>
      </c>
      <c r="J185" s="12">
        <v>470.34</v>
      </c>
      <c r="M185" s="1">
        <v>38443</v>
      </c>
      <c r="N185">
        <v>470.34</v>
      </c>
      <c r="O185">
        <f>VLOOKUP(M185,'Hosing Inventory'!B:D,3,0)</f>
        <v>1.0531049830948542</v>
      </c>
      <c r="P185" s="8">
        <f>N185/VLOOKUP(M185,'Hosing Inventory'!B:D,3,0)</f>
        <v>446.62213886574688</v>
      </c>
      <c r="Q185" s="8">
        <f t="shared" si="11"/>
        <v>424.48986579742063</v>
      </c>
      <c r="R185" s="8">
        <f t="shared" si="12"/>
        <v>431.40228503770157</v>
      </c>
      <c r="S185" s="8">
        <f t="shared" si="9"/>
        <v>436.50913010308528</v>
      </c>
      <c r="T185" s="8">
        <f t="shared" si="13"/>
        <v>433.707454116078</v>
      </c>
    </row>
    <row r="186" spans="1:20" x14ac:dyDescent="0.25">
      <c r="A186" s="1">
        <v>34166</v>
      </c>
      <c r="B186" s="1">
        <f t="shared" si="6"/>
        <v>34151</v>
      </c>
      <c r="C186">
        <v>157.1</v>
      </c>
      <c r="I186" s="10">
        <v>38473</v>
      </c>
      <c r="J186" s="12">
        <v>485.125</v>
      </c>
      <c r="M186" s="1">
        <v>38473</v>
      </c>
      <c r="N186">
        <v>485.125</v>
      </c>
      <c r="O186">
        <f>VLOOKUP(M186,'Hosing Inventory'!B:D,3,0)</f>
        <v>1.0542676576743655</v>
      </c>
      <c r="P186" s="8">
        <f>N186/VLOOKUP(M186,'Hosing Inventory'!B:D,3,0)</f>
        <v>460.15354494526463</v>
      </c>
      <c r="Q186" s="8">
        <f t="shared" si="11"/>
        <v>426.65229804675329</v>
      </c>
      <c r="R186" s="8">
        <f t="shared" si="12"/>
        <v>433.9146301964272</v>
      </c>
      <c r="S186" s="8">
        <f t="shared" si="9"/>
        <v>437.45935640667045</v>
      </c>
      <c r="T186" s="8">
        <f t="shared" si="13"/>
        <v>435.23642997514662</v>
      </c>
    </row>
    <row r="187" spans="1:20" x14ac:dyDescent="0.25">
      <c r="A187" s="1">
        <v>34173</v>
      </c>
      <c r="B187" s="1">
        <f t="shared" si="6"/>
        <v>34151</v>
      </c>
      <c r="C187">
        <v>179.9</v>
      </c>
      <c r="I187" s="10">
        <v>38504</v>
      </c>
      <c r="J187" s="12">
        <v>491.35</v>
      </c>
      <c r="M187" s="1">
        <v>38504</v>
      </c>
      <c r="N187">
        <v>491.35</v>
      </c>
      <c r="O187">
        <f>VLOOKUP(M187,'Hosing Inventory'!B:D,3,0)</f>
        <v>1.0554303322538767</v>
      </c>
      <c r="P187" s="8">
        <f>N187/VLOOKUP(M187,'Hosing Inventory'!B:D,3,0)</f>
        <v>465.54470246342044</v>
      </c>
      <c r="Q187" s="8">
        <f t="shared" si="11"/>
        <v>428.84016298563421</v>
      </c>
      <c r="R187" s="8">
        <f t="shared" si="12"/>
        <v>437.61677147986325</v>
      </c>
      <c r="S187" s="8">
        <f t="shared" si="9"/>
        <v>440.6619084718231</v>
      </c>
      <c r="T187" s="8">
        <f t="shared" si="13"/>
        <v>438.00439901618103</v>
      </c>
    </row>
    <row r="188" spans="1:20" x14ac:dyDescent="0.25">
      <c r="A188" s="1">
        <v>34180</v>
      </c>
      <c r="B188" s="1">
        <f t="shared" si="6"/>
        <v>34151</v>
      </c>
      <c r="C188">
        <v>155.30000000000001</v>
      </c>
      <c r="I188" s="10">
        <v>38534</v>
      </c>
      <c r="J188" s="12">
        <v>495.62</v>
      </c>
      <c r="M188" s="1">
        <v>38534</v>
      </c>
      <c r="N188">
        <v>495.62</v>
      </c>
      <c r="O188">
        <f>VLOOKUP(M188,'Hosing Inventory'!B:D,3,0)</f>
        <v>1.056593006833388</v>
      </c>
      <c r="P188" s="8">
        <f>N188/VLOOKUP(M188,'Hosing Inventory'!B:D,3,0)</f>
        <v>469.07370841434437</v>
      </c>
      <c r="Q188" s="8">
        <f t="shared" si="11"/>
        <v>430.75248852890809</v>
      </c>
      <c r="R188" s="8">
        <f t="shared" si="12"/>
        <v>439.4159588378688</v>
      </c>
      <c r="S188" s="8">
        <f t="shared" si="9"/>
        <v>442.73958029695888</v>
      </c>
      <c r="T188" s="8">
        <f t="shared" si="13"/>
        <v>447.88462547803488</v>
      </c>
    </row>
    <row r="189" spans="1:20" x14ac:dyDescent="0.25">
      <c r="A189" s="1">
        <v>34187</v>
      </c>
      <c r="B189" s="1">
        <f t="shared" si="6"/>
        <v>34182</v>
      </c>
      <c r="C189">
        <v>154.19999999999999</v>
      </c>
      <c r="I189" s="10">
        <v>38565</v>
      </c>
      <c r="J189" s="12">
        <v>489.27499999999998</v>
      </c>
      <c r="M189" s="1">
        <v>38565</v>
      </c>
      <c r="N189">
        <v>489.27499999999998</v>
      </c>
      <c r="O189">
        <f>VLOOKUP(M189,'Hosing Inventory'!B:D,3,0)</f>
        <v>1.0577556814128992</v>
      </c>
      <c r="P189" s="8">
        <f>N189/VLOOKUP(M189,'Hosing Inventory'!B:D,3,0)</f>
        <v>462.55955755912362</v>
      </c>
      <c r="Q189" s="8">
        <f t="shared" si="11"/>
        <v>433.5180302874042</v>
      </c>
      <c r="R189" s="8">
        <f t="shared" si="12"/>
        <v>442.69406232905482</v>
      </c>
      <c r="S189" s="8">
        <f t="shared" si="9"/>
        <v>445.37060212709548</v>
      </c>
      <c r="T189" s="8">
        <f t="shared" si="13"/>
        <v>456.54853571531567</v>
      </c>
    </row>
    <row r="190" spans="1:20" x14ac:dyDescent="0.25">
      <c r="A190" s="1">
        <v>34194</v>
      </c>
      <c r="B190" s="1">
        <f t="shared" si="6"/>
        <v>34182</v>
      </c>
      <c r="C190">
        <v>151.1</v>
      </c>
      <c r="I190" s="10">
        <v>38596</v>
      </c>
      <c r="J190" s="12">
        <v>493.94000000000005</v>
      </c>
      <c r="M190" s="1">
        <v>38596</v>
      </c>
      <c r="N190">
        <v>493.94000000000005</v>
      </c>
      <c r="O190">
        <f>VLOOKUP(M190,'Hosing Inventory'!B:D,3,0)</f>
        <v>1.0589183559924105</v>
      </c>
      <c r="P190" s="8">
        <f>N190/VLOOKUP(M190,'Hosing Inventory'!B:D,3,0)</f>
        <v>466.45711371872778</v>
      </c>
      <c r="Q190" s="8">
        <f t="shared" si="11"/>
        <v>436.26333249491807</v>
      </c>
      <c r="R190" s="8">
        <f t="shared" si="12"/>
        <v>444.72672800859237</v>
      </c>
      <c r="S190" s="8">
        <f t="shared" si="9"/>
        <v>447.1195967111359</v>
      </c>
      <c r="T190" s="8">
        <f t="shared" si="13"/>
        <v>461.73512766110457</v>
      </c>
    </row>
    <row r="191" spans="1:20" x14ac:dyDescent="0.25">
      <c r="A191" s="1">
        <v>34201</v>
      </c>
      <c r="B191" s="1">
        <f t="shared" si="6"/>
        <v>34182</v>
      </c>
      <c r="C191">
        <v>146.69999999999999</v>
      </c>
      <c r="I191" s="10">
        <v>38626</v>
      </c>
      <c r="J191" s="12">
        <v>469.35</v>
      </c>
      <c r="M191" s="1">
        <v>38626</v>
      </c>
      <c r="N191">
        <v>469.35</v>
      </c>
      <c r="O191">
        <f>VLOOKUP(M191,'Hosing Inventory'!B:D,3,0)</f>
        <v>1.0600810305719217</v>
      </c>
      <c r="P191" s="8">
        <f>N191/VLOOKUP(M191,'Hosing Inventory'!B:D,3,0)</f>
        <v>442.74917337855027</v>
      </c>
      <c r="Q191" s="8">
        <f t="shared" si="11"/>
        <v>438.82412213158585</v>
      </c>
      <c r="R191" s="8">
        <f t="shared" si="12"/>
        <v>444.70263120646973</v>
      </c>
      <c r="S191" s="8">
        <f t="shared" si="9"/>
        <v>447.3985437646582</v>
      </c>
      <c r="T191" s="8">
        <f t="shared" si="13"/>
        <v>461.08963341323852</v>
      </c>
    </row>
    <row r="192" spans="1:20" x14ac:dyDescent="0.25">
      <c r="A192" s="1">
        <v>34208</v>
      </c>
      <c r="B192" s="1">
        <f t="shared" si="6"/>
        <v>34182</v>
      </c>
      <c r="C192">
        <v>154.4</v>
      </c>
      <c r="I192" s="10">
        <v>38657</v>
      </c>
      <c r="J192" s="12">
        <v>473.02499999999998</v>
      </c>
      <c r="M192" s="1">
        <v>38657</v>
      </c>
      <c r="N192">
        <v>473.02499999999998</v>
      </c>
      <c r="O192">
        <f>VLOOKUP(M192,'Hosing Inventory'!B:D,3,0)</f>
        <v>1.061243705151433</v>
      </c>
      <c r="P192" s="8">
        <f>N192/VLOOKUP(M192,'Hosing Inventory'!B:D,3,0)</f>
        <v>445.72702547385404</v>
      </c>
      <c r="Q192" s="8">
        <f t="shared" si="11"/>
        <v>440.10727602265462</v>
      </c>
      <c r="R192" s="8">
        <f t="shared" si="12"/>
        <v>444.53464210489255</v>
      </c>
      <c r="S192" s="8">
        <f t="shared" si="9"/>
        <v>446.96082173824169</v>
      </c>
      <c r="T192" s="8">
        <f t="shared" si="13"/>
        <v>458.6852135013367</v>
      </c>
    </row>
    <row r="193" spans="1:20" x14ac:dyDescent="0.25">
      <c r="A193" s="1">
        <v>34215</v>
      </c>
      <c r="B193" s="1">
        <f t="shared" si="6"/>
        <v>34213</v>
      </c>
      <c r="C193">
        <v>173.2</v>
      </c>
      <c r="I193" s="10">
        <v>38687</v>
      </c>
      <c r="J193" s="12">
        <v>455.46000000000004</v>
      </c>
      <c r="M193" s="1">
        <v>38687</v>
      </c>
      <c r="N193">
        <v>455.46000000000004</v>
      </c>
      <c r="O193">
        <f>VLOOKUP(M193,'Hosing Inventory'!B:D,3,0)</f>
        <v>1.0624063797309442</v>
      </c>
      <c r="P193" s="8">
        <f>N193/VLOOKUP(M193,'Hosing Inventory'!B:D,3,0)</f>
        <v>428.70600995011517</v>
      </c>
      <c r="Q193" s="8">
        <f t="shared" si="11"/>
        <v>441.34893646384393</v>
      </c>
      <c r="R193" s="8">
        <f t="shared" si="12"/>
        <v>444.62308278647731</v>
      </c>
      <c r="S193" s="8">
        <f t="shared" si="9"/>
        <v>445.27491521598341</v>
      </c>
      <c r="T193" s="8">
        <f t="shared" si="13"/>
        <v>452.5454314157858</v>
      </c>
    </row>
    <row r="194" spans="1:20" x14ac:dyDescent="0.25">
      <c r="A194" s="1">
        <v>34222</v>
      </c>
      <c r="B194" s="1">
        <f t="shared" si="6"/>
        <v>34213</v>
      </c>
      <c r="C194">
        <v>180.6</v>
      </c>
      <c r="I194" s="10">
        <v>38718</v>
      </c>
      <c r="J194" s="12">
        <v>452.67500000000001</v>
      </c>
      <c r="M194" s="1">
        <v>38718</v>
      </c>
      <c r="N194">
        <v>452.67500000000001</v>
      </c>
      <c r="O194">
        <f>VLOOKUP(M194,'Hosing Inventory'!B:D,3,0)</f>
        <v>1.0635690543104555</v>
      </c>
      <c r="P194" s="8">
        <f>N194/VLOOKUP(M194,'Hosing Inventory'!B:D,3,0)</f>
        <v>425.61881446756001</v>
      </c>
      <c r="Q194" s="8">
        <f t="shared" si="11"/>
        <v>440.88770640123215</v>
      </c>
      <c r="R194" s="8">
        <f t="shared" si="12"/>
        <v>443.59403656174646</v>
      </c>
      <c r="S194" s="8">
        <f t="shared" si="9"/>
        <v>446.59378728467829</v>
      </c>
      <c r="T194" s="8">
        <f t="shared" si="13"/>
        <v>445.30294909132181</v>
      </c>
    </row>
    <row r="195" spans="1:20" x14ac:dyDescent="0.25">
      <c r="A195" s="1">
        <v>34229</v>
      </c>
      <c r="B195" s="1">
        <f t="shared" ref="B195:B258" si="14">A195-DAY(A195)+1</f>
        <v>34213</v>
      </c>
      <c r="C195">
        <v>186</v>
      </c>
      <c r="I195" s="10">
        <v>38749</v>
      </c>
      <c r="J195" s="12">
        <v>406.57499999999999</v>
      </c>
      <c r="M195" s="1">
        <v>38749</v>
      </c>
      <c r="N195">
        <v>406.57499999999999</v>
      </c>
      <c r="O195">
        <f>VLOOKUP(M195,'Hosing Inventory'!B:D,3,0)</f>
        <v>1.0645522157391425</v>
      </c>
      <c r="P195" s="8">
        <f>N195/VLOOKUP(M195,'Hosing Inventory'!B:D,3,0)</f>
        <v>381.9211439221944</v>
      </c>
      <c r="Q195" s="8">
        <f t="shared" si="11"/>
        <v>439.98635011808284</v>
      </c>
      <c r="R195" s="8">
        <f t="shared" si="12"/>
        <v>440.86813924645259</v>
      </c>
      <c r="S195" s="8">
        <f t="shared" si="9"/>
        <v>444.20587460024126</v>
      </c>
      <c r="T195" s="8">
        <f t="shared" si="13"/>
        <v>431.86321348516702</v>
      </c>
    </row>
    <row r="196" spans="1:20" x14ac:dyDescent="0.25">
      <c r="A196" s="1">
        <v>34236</v>
      </c>
      <c r="B196" s="1">
        <f t="shared" si="14"/>
        <v>34213</v>
      </c>
      <c r="C196">
        <v>168.2</v>
      </c>
      <c r="I196" s="10">
        <v>38777</v>
      </c>
      <c r="J196" s="12">
        <v>407.58</v>
      </c>
      <c r="M196" s="1">
        <v>38777</v>
      </c>
      <c r="N196">
        <v>407.58</v>
      </c>
      <c r="O196">
        <f>VLOOKUP(M196,'Hosing Inventory'!B:D,3,0)</f>
        <v>1.0655353771678293</v>
      </c>
      <c r="P196" s="8">
        <f>N196/VLOOKUP(M196,'Hosing Inventory'!B:D,3,0)</f>
        <v>382.5119360028562</v>
      </c>
      <c r="Q196" s="8">
        <f t="shared" si="11"/>
        <v>438.01313363957479</v>
      </c>
      <c r="R196" s="8">
        <f t="shared" si="12"/>
        <v>437.37051465159783</v>
      </c>
      <c r="S196" s="8">
        <f t="shared" si="9"/>
        <v>439.80373909681316</v>
      </c>
      <c r="T196" s="8">
        <f t="shared" si="13"/>
        <v>417.87235053252169</v>
      </c>
    </row>
    <row r="197" spans="1:20" x14ac:dyDescent="0.25">
      <c r="A197" s="1">
        <v>34243</v>
      </c>
      <c r="B197" s="1">
        <f t="shared" si="14"/>
        <v>34243</v>
      </c>
      <c r="C197">
        <v>164.3</v>
      </c>
      <c r="I197" s="10">
        <v>38808</v>
      </c>
      <c r="J197" s="12">
        <v>411.95</v>
      </c>
      <c r="M197" s="1">
        <v>38808</v>
      </c>
      <c r="N197">
        <v>411.95</v>
      </c>
      <c r="O197">
        <f>VLOOKUP(M197,'Hosing Inventory'!B:D,3,0)</f>
        <v>1.0665185385965164</v>
      </c>
      <c r="P197" s="8">
        <f>N197/VLOOKUP(M197,'Hosing Inventory'!B:D,3,0)</f>
        <v>386.25676450228895</v>
      </c>
      <c r="Q197" s="8">
        <f t="shared" si="11"/>
        <v>435.64121066813846</v>
      </c>
      <c r="R197" s="8">
        <f t="shared" si="12"/>
        <v>434.41801219415379</v>
      </c>
      <c r="S197" s="8">
        <f t="shared" si="9"/>
        <v>434.77329123319169</v>
      </c>
      <c r="T197" s="8">
        <f t="shared" si="13"/>
        <v>408.45694905314485</v>
      </c>
    </row>
    <row r="198" spans="1:20" x14ac:dyDescent="0.25">
      <c r="A198" s="1">
        <v>34250</v>
      </c>
      <c r="B198" s="1">
        <f t="shared" si="14"/>
        <v>34243</v>
      </c>
      <c r="C198">
        <v>158.19999999999999</v>
      </c>
      <c r="I198" s="10">
        <v>38838</v>
      </c>
      <c r="J198" s="12">
        <v>408.77499999999998</v>
      </c>
      <c r="M198" s="1">
        <v>38838</v>
      </c>
      <c r="N198">
        <v>408.77499999999998</v>
      </c>
      <c r="O198">
        <f>VLOOKUP(M198,'Hosing Inventory'!B:D,3,0)</f>
        <v>1.0675017000252032</v>
      </c>
      <c r="P198" s="8">
        <f>N198/VLOOKUP(M198,'Hosing Inventory'!B:D,3,0)</f>
        <v>382.92679064618727</v>
      </c>
      <c r="Q198" s="8">
        <f t="shared" si="11"/>
        <v>432.89854239080279</v>
      </c>
      <c r="R198" s="8">
        <f t="shared" si="12"/>
        <v>430.63729557500568</v>
      </c>
      <c r="S198" s="8">
        <f t="shared" si="9"/>
        <v>428.33772837493524</v>
      </c>
      <c r="T198" s="8">
        <f t="shared" si="13"/>
        <v>397.99024324853366</v>
      </c>
    </row>
    <row r="199" spans="1:20" x14ac:dyDescent="0.25">
      <c r="A199" s="1">
        <v>34257</v>
      </c>
      <c r="B199" s="1">
        <f t="shared" si="14"/>
        <v>34243</v>
      </c>
      <c r="C199">
        <v>170.4</v>
      </c>
      <c r="I199" s="10">
        <v>38869</v>
      </c>
      <c r="J199" s="12">
        <v>405.64</v>
      </c>
      <c r="M199" s="1">
        <v>38869</v>
      </c>
      <c r="N199">
        <v>405.64</v>
      </c>
      <c r="O199">
        <f>VLOOKUP(M199,'Hosing Inventory'!B:D,3,0)</f>
        <v>1.06848486145389</v>
      </c>
      <c r="P199" s="8">
        <f>N199/VLOOKUP(M199,'Hosing Inventory'!B:D,3,0)</f>
        <v>379.64038109818853</v>
      </c>
      <c r="Q199" s="8">
        <f t="shared" si="11"/>
        <v>430.92047169982771</v>
      </c>
      <c r="R199" s="8">
        <f t="shared" si="12"/>
        <v>426.78748962394872</v>
      </c>
      <c r="S199" s="8">
        <f t="shared" si="9"/>
        <v>421.17903492783245</v>
      </c>
      <c r="T199" s="8">
        <f t="shared" si="13"/>
        <v>389.81263843987927</v>
      </c>
    </row>
    <row r="200" spans="1:20" x14ac:dyDescent="0.25">
      <c r="A200" s="1">
        <v>34264</v>
      </c>
      <c r="B200" s="1">
        <f t="shared" si="14"/>
        <v>34243</v>
      </c>
      <c r="C200">
        <v>167</v>
      </c>
      <c r="I200" s="10">
        <v>38899</v>
      </c>
      <c r="J200" s="12">
        <v>397.17500000000001</v>
      </c>
      <c r="M200" s="1">
        <v>38899</v>
      </c>
      <c r="N200">
        <v>397.17500000000001</v>
      </c>
      <c r="O200">
        <f>VLOOKUP(M200,'Hosing Inventory'!B:D,3,0)</f>
        <v>1.069468022882577</v>
      </c>
      <c r="P200" s="8">
        <f>N200/VLOOKUP(M200,'Hosing Inventory'!B:D,3,0)</f>
        <v>371.37622771504607</v>
      </c>
      <c r="Q200" s="8">
        <f t="shared" si="11"/>
        <v>427.88857924992482</v>
      </c>
      <c r="R200" s="8">
        <f t="shared" si="12"/>
        <v>424.65326062793901</v>
      </c>
      <c r="S200" s="8">
        <f t="shared" si="9"/>
        <v>413.03757820289098</v>
      </c>
      <c r="T200" s="8">
        <f t="shared" si="13"/>
        <v>380.77220731446022</v>
      </c>
    </row>
    <row r="201" spans="1:20" x14ac:dyDescent="0.25">
      <c r="A201" s="1">
        <v>34271</v>
      </c>
      <c r="B201" s="1">
        <f t="shared" si="14"/>
        <v>34243</v>
      </c>
      <c r="C201">
        <v>160</v>
      </c>
      <c r="I201" s="10">
        <v>38930</v>
      </c>
      <c r="J201" s="12">
        <v>383.22500000000002</v>
      </c>
      <c r="M201" s="1">
        <v>38930</v>
      </c>
      <c r="N201">
        <v>383.22500000000002</v>
      </c>
      <c r="O201">
        <f>VLOOKUP(M201,'Hosing Inventory'!B:D,3,0)</f>
        <v>1.0704511843112641</v>
      </c>
      <c r="P201" s="8">
        <f>N201/VLOOKUP(M201,'Hosing Inventory'!B:D,3,0)</f>
        <v>358.00324724435683</v>
      </c>
      <c r="Q201" s="8">
        <f t="shared" si="11"/>
        <v>424.84757723521119</v>
      </c>
      <c r="R201" s="8">
        <f t="shared" si="12"/>
        <v>421.73254680065668</v>
      </c>
      <c r="S201" s="8">
        <f t="shared" si="9"/>
        <v>404.32455234332724</v>
      </c>
      <c r="T201" s="8">
        <f t="shared" si="13"/>
        <v>376.78589120148735</v>
      </c>
    </row>
    <row r="202" spans="1:20" x14ac:dyDescent="0.25">
      <c r="A202" s="1">
        <v>34278</v>
      </c>
      <c r="B202" s="1">
        <f t="shared" si="14"/>
        <v>34274</v>
      </c>
      <c r="C202">
        <v>170.9</v>
      </c>
      <c r="I202" s="10">
        <v>38961</v>
      </c>
      <c r="J202" s="12">
        <v>395.65999999999997</v>
      </c>
      <c r="M202" s="1">
        <v>38961</v>
      </c>
      <c r="N202">
        <v>395.65999999999997</v>
      </c>
      <c r="O202">
        <f>VLOOKUP(M202,'Hosing Inventory'!B:D,3,0)</f>
        <v>1.0714343457399507</v>
      </c>
      <c r="P202" s="8">
        <f>N202/VLOOKUP(M202,'Hosing Inventory'!B:D,3,0)</f>
        <v>369.28067648116178</v>
      </c>
      <c r="Q202" s="8">
        <f t="shared" si="11"/>
        <v>421.67305630899949</v>
      </c>
      <c r="R202" s="8">
        <f t="shared" si="12"/>
        <v>418.06271982494377</v>
      </c>
      <c r="S202" s="8">
        <f t="shared" si="9"/>
        <v>396.22651590686337</v>
      </c>
      <c r="T202" s="8">
        <f t="shared" si="13"/>
        <v>374.58068128120493</v>
      </c>
    </row>
    <row r="203" spans="1:20" x14ac:dyDescent="0.25">
      <c r="A203" s="1">
        <v>34285</v>
      </c>
      <c r="B203" s="1">
        <f t="shared" si="14"/>
        <v>34274</v>
      </c>
      <c r="C203">
        <v>167.3</v>
      </c>
      <c r="I203" s="10">
        <v>38991</v>
      </c>
      <c r="J203" s="12">
        <v>381.5</v>
      </c>
      <c r="M203" s="1">
        <v>38991</v>
      </c>
      <c r="N203">
        <v>381.5</v>
      </c>
      <c r="O203">
        <f>VLOOKUP(M203,'Hosing Inventory'!B:D,3,0)</f>
        <v>1.0724175071686377</v>
      </c>
      <c r="P203" s="8">
        <f>N203/VLOOKUP(M203,'Hosing Inventory'!B:D,3,0)</f>
        <v>355.73831781917107</v>
      </c>
      <c r="Q203" s="8">
        <f t="shared" si="11"/>
        <v>418.18707752078649</v>
      </c>
      <c r="R203" s="8">
        <f t="shared" si="12"/>
        <v>413.01361865568958</v>
      </c>
      <c r="S203" s="8">
        <f t="shared" ref="S203:S266" si="15">AVERAGE(P192:P203)</f>
        <v>388.97561127691506</v>
      </c>
      <c r="T203" s="8">
        <f t="shared" si="13"/>
        <v>369.49427350068527</v>
      </c>
    </row>
    <row r="204" spans="1:20" x14ac:dyDescent="0.25">
      <c r="A204" s="1">
        <v>34292</v>
      </c>
      <c r="B204" s="1">
        <f t="shared" si="14"/>
        <v>34274</v>
      </c>
      <c r="C204">
        <v>181.1</v>
      </c>
      <c r="I204" s="10">
        <v>39022</v>
      </c>
      <c r="J204" s="12">
        <v>405.8</v>
      </c>
      <c r="M204" s="1">
        <v>39022</v>
      </c>
      <c r="N204">
        <v>405.8</v>
      </c>
      <c r="O204">
        <f>VLOOKUP(M204,'Hosing Inventory'!B:D,3,0)</f>
        <v>1.0734006685973247</v>
      </c>
      <c r="P204" s="8">
        <f>N204/VLOOKUP(M204,'Hosing Inventory'!B:D,3,0)</f>
        <v>378.05081725007915</v>
      </c>
      <c r="Q204" s="8">
        <f t="shared" si="11"/>
        <v>415.14837449825433</v>
      </c>
      <c r="R204" s="8">
        <f t="shared" si="12"/>
        <v>408.45235600595709</v>
      </c>
      <c r="S204" s="8">
        <f t="shared" si="15"/>
        <v>383.33592725826719</v>
      </c>
      <c r="T204" s="8">
        <f t="shared" si="13"/>
        <v>368.68161126800055</v>
      </c>
    </row>
    <row r="205" spans="1:20" x14ac:dyDescent="0.25">
      <c r="A205" s="1">
        <v>34299</v>
      </c>
      <c r="B205" s="1">
        <f t="shared" si="14"/>
        <v>34274</v>
      </c>
      <c r="C205">
        <v>129.6</v>
      </c>
      <c r="I205" s="10">
        <v>39052</v>
      </c>
      <c r="J205" s="12">
        <v>424.8</v>
      </c>
      <c r="M205" s="1">
        <v>39052</v>
      </c>
      <c r="N205">
        <v>424.8</v>
      </c>
      <c r="O205">
        <f>VLOOKUP(M205,'Hosing Inventory'!B:D,3,0)</f>
        <v>1.0743838300260116</v>
      </c>
      <c r="P205" s="8">
        <f>N205/VLOOKUP(M205,'Hosing Inventory'!B:D,3,0)</f>
        <v>395.38942054788305</v>
      </c>
      <c r="Q205" s="8">
        <f t="shared" si="11"/>
        <v>412.91723001203223</v>
      </c>
      <c r="R205" s="8">
        <f t="shared" si="12"/>
        <v>404.55484034398273</v>
      </c>
      <c r="S205" s="8">
        <f t="shared" si="15"/>
        <v>380.55954480808117</v>
      </c>
      <c r="T205" s="8">
        <f t="shared" si="13"/>
        <v>371.30645117628302</v>
      </c>
    </row>
    <row r="206" spans="1:20" x14ac:dyDescent="0.25">
      <c r="A206" s="1">
        <v>34306</v>
      </c>
      <c r="B206" s="1">
        <f t="shared" si="14"/>
        <v>34304</v>
      </c>
      <c r="C206">
        <v>173</v>
      </c>
      <c r="I206" s="10">
        <v>39083</v>
      </c>
      <c r="J206" s="12">
        <v>430.8</v>
      </c>
      <c r="M206" s="1">
        <v>39083</v>
      </c>
      <c r="N206">
        <v>430.8</v>
      </c>
      <c r="O206">
        <f>VLOOKUP(M206,'Hosing Inventory'!B:D,3,0)</f>
        <v>1.0753669914546984</v>
      </c>
      <c r="P206" s="8">
        <f>N206/VLOOKUP(M206,'Hosing Inventory'!B:D,3,0)</f>
        <v>400.60742371981962</v>
      </c>
      <c r="Q206" s="8">
        <f t="shared" si="11"/>
        <v>412.53452476522381</v>
      </c>
      <c r="R206" s="8">
        <f t="shared" si="12"/>
        <v>400.75115786095358</v>
      </c>
      <c r="S206" s="8">
        <f t="shared" si="15"/>
        <v>378.47526224576944</v>
      </c>
      <c r="T206" s="8">
        <f t="shared" si="13"/>
        <v>376.17831717707855</v>
      </c>
    </row>
    <row r="207" spans="1:20" x14ac:dyDescent="0.25">
      <c r="A207" s="1">
        <v>34313</v>
      </c>
      <c r="B207" s="1">
        <f t="shared" si="14"/>
        <v>34304</v>
      </c>
      <c r="C207">
        <v>174.2</v>
      </c>
      <c r="I207" s="10">
        <v>39114</v>
      </c>
      <c r="J207" s="12">
        <v>397.02499999999998</v>
      </c>
      <c r="M207" s="1">
        <v>39114</v>
      </c>
      <c r="N207">
        <v>397.02499999999998</v>
      </c>
      <c r="O207">
        <f>VLOOKUP(M207,'Hosing Inventory'!B:D,3,0)</f>
        <v>1.0751042602869356</v>
      </c>
      <c r="P207" s="8">
        <f>N207/VLOOKUP(M207,'Hosing Inventory'!B:D,3,0)</f>
        <v>369.28976534242139</v>
      </c>
      <c r="Q207" s="8">
        <f t="shared" si="11"/>
        <v>410.81426098218145</v>
      </c>
      <c r="R207" s="8">
        <f t="shared" si="12"/>
        <v>395.56950273780353</v>
      </c>
      <c r="S207" s="8">
        <f t="shared" si="15"/>
        <v>377.4226473641217</v>
      </c>
      <c r="T207" s="8">
        <f t="shared" si="13"/>
        <v>378.05940352675606</v>
      </c>
    </row>
    <row r="208" spans="1:20" x14ac:dyDescent="0.25">
      <c r="A208" s="1">
        <v>34320</v>
      </c>
      <c r="B208" s="1">
        <f t="shared" si="14"/>
        <v>34304</v>
      </c>
      <c r="C208">
        <v>160.4</v>
      </c>
      <c r="I208" s="10">
        <v>39142</v>
      </c>
      <c r="J208" s="12">
        <v>408.84000000000003</v>
      </c>
      <c r="M208" s="1">
        <v>39142</v>
      </c>
      <c r="N208">
        <v>408.84000000000003</v>
      </c>
      <c r="O208">
        <f>VLOOKUP(M208,'Hosing Inventory'!B:D,3,0)</f>
        <v>1.0748415291191731</v>
      </c>
      <c r="P208" s="8">
        <f>N208/VLOOKUP(M208,'Hosing Inventory'!B:D,3,0)</f>
        <v>380.37235157357776</v>
      </c>
      <c r="Q208" s="8">
        <f t="shared" si="11"/>
        <v>408.52404387924747</v>
      </c>
      <c r="R208" s="8">
        <f t="shared" si="12"/>
        <v>390.78701595196185</v>
      </c>
      <c r="S208" s="8">
        <f t="shared" si="15"/>
        <v>377.24434866168173</v>
      </c>
      <c r="T208" s="8">
        <f t="shared" si="13"/>
        <v>379.90801604215864</v>
      </c>
    </row>
    <row r="209" spans="1:20" x14ac:dyDescent="0.25">
      <c r="A209" s="1">
        <v>34327</v>
      </c>
      <c r="B209" s="1">
        <f t="shared" si="14"/>
        <v>34304</v>
      </c>
      <c r="C209">
        <v>111.9</v>
      </c>
      <c r="I209" s="10">
        <v>39173</v>
      </c>
      <c r="J209" s="12">
        <v>412.15</v>
      </c>
      <c r="M209" s="1">
        <v>39173</v>
      </c>
      <c r="N209">
        <v>412.15</v>
      </c>
      <c r="O209">
        <f>VLOOKUP(M209,'Hosing Inventory'!B:D,3,0)</f>
        <v>1.0745787979514101</v>
      </c>
      <c r="P209" s="8">
        <f>N209/VLOOKUP(M209,'Hosing Inventory'!B:D,3,0)</f>
        <v>383.54562809700661</v>
      </c>
      <c r="Q209" s="8">
        <f t="shared" si="11"/>
        <v>405.89585593055</v>
      </c>
      <c r="R209" s="8">
        <f t="shared" si="12"/>
        <v>387.49793010298714</v>
      </c>
      <c r="S209" s="8">
        <f t="shared" si="15"/>
        <v>377.01842062790826</v>
      </c>
      <c r="T209" s="8">
        <f t="shared" si="13"/>
        <v>384.5425677551313</v>
      </c>
    </row>
    <row r="210" spans="1:20" x14ac:dyDescent="0.25">
      <c r="A210" s="1">
        <v>34334</v>
      </c>
      <c r="B210" s="1">
        <f t="shared" si="14"/>
        <v>34304</v>
      </c>
      <c r="C210">
        <v>137.5</v>
      </c>
      <c r="I210" s="10">
        <v>39203</v>
      </c>
      <c r="J210" s="12">
        <v>433.92500000000001</v>
      </c>
      <c r="M210" s="1">
        <v>39203</v>
      </c>
      <c r="N210">
        <v>433.92500000000001</v>
      </c>
      <c r="O210">
        <f>VLOOKUP(M210,'Hosing Inventory'!B:D,3,0)</f>
        <v>1.0743160667836473</v>
      </c>
      <c r="P210" s="8">
        <f>N210/VLOOKUP(M210,'Hosing Inventory'!B:D,3,0)</f>
        <v>403.90813599121816</v>
      </c>
      <c r="Q210" s="8">
        <f t="shared" si="11"/>
        <v>403.55229722413145</v>
      </c>
      <c r="R210" s="8">
        <f t="shared" si="12"/>
        <v>385.17465846506292</v>
      </c>
      <c r="S210" s="8">
        <f t="shared" si="15"/>
        <v>378.76686607332749</v>
      </c>
      <c r="T210" s="8">
        <f t="shared" si="13"/>
        <v>388.85212087865443</v>
      </c>
    </row>
    <row r="211" spans="1:20" x14ac:dyDescent="0.25">
      <c r="A211" s="1">
        <v>34341</v>
      </c>
      <c r="B211" s="1">
        <f t="shared" si="14"/>
        <v>34335</v>
      </c>
      <c r="C211">
        <v>111.9</v>
      </c>
      <c r="I211" s="10">
        <v>39234</v>
      </c>
      <c r="J211" s="12">
        <v>443.08000000000004</v>
      </c>
      <c r="M211" s="1">
        <v>39234</v>
      </c>
      <c r="N211">
        <v>443.08000000000004</v>
      </c>
      <c r="O211">
        <f>VLOOKUP(M211,'Hosing Inventory'!B:D,3,0)</f>
        <v>1.0740533356158848</v>
      </c>
      <c r="P211" s="8">
        <f>N211/VLOOKUP(M211,'Hosing Inventory'!B:D,3,0)</f>
        <v>412.53072385453618</v>
      </c>
      <c r="Q211" s="8">
        <f t="shared" si="11"/>
        <v>401.34338144876119</v>
      </c>
      <c r="R211" s="8">
        <f t="shared" si="12"/>
        <v>384.27603145975297</v>
      </c>
      <c r="S211" s="8">
        <f t="shared" si="15"/>
        <v>381.50772796968982</v>
      </c>
      <c r="T211" s="8">
        <f t="shared" si="13"/>
        <v>391.70900476309663</v>
      </c>
    </row>
    <row r="212" spans="1:20" x14ac:dyDescent="0.25">
      <c r="A212" s="1">
        <v>34348</v>
      </c>
      <c r="B212" s="1">
        <f t="shared" si="14"/>
        <v>34335</v>
      </c>
      <c r="C212">
        <v>154.1</v>
      </c>
      <c r="I212" s="10">
        <v>39264</v>
      </c>
      <c r="J212" s="12">
        <v>435.29999999999995</v>
      </c>
      <c r="M212" s="1">
        <v>39264</v>
      </c>
      <c r="N212">
        <v>435.29999999999995</v>
      </c>
      <c r="O212">
        <f>VLOOKUP(M212,'Hosing Inventory'!B:D,3,0)</f>
        <v>1.0737906044481218</v>
      </c>
      <c r="P212" s="8">
        <f>N212/VLOOKUP(M212,'Hosing Inventory'!B:D,3,0)</f>
        <v>405.38629989570808</v>
      </c>
      <c r="Q212" s="8">
        <f t="shared" si="11"/>
        <v>398.68973942715138</v>
      </c>
      <c r="R212" s="8">
        <f t="shared" si="12"/>
        <v>383.15200287242783</v>
      </c>
      <c r="S212" s="8">
        <f t="shared" si="15"/>
        <v>384.34190065141166</v>
      </c>
      <c r="T212" s="8">
        <f t="shared" si="13"/>
        <v>392.50548412574466</v>
      </c>
    </row>
    <row r="213" spans="1:20" x14ac:dyDescent="0.25">
      <c r="A213" s="1">
        <v>34355</v>
      </c>
      <c r="B213" s="1">
        <f t="shared" si="14"/>
        <v>34335</v>
      </c>
      <c r="C213">
        <v>129.80000000000001</v>
      </c>
      <c r="I213" s="10">
        <v>39295</v>
      </c>
      <c r="J213" s="12">
        <v>440.71999999999997</v>
      </c>
      <c r="M213" s="1">
        <v>39295</v>
      </c>
      <c r="N213">
        <v>440.71999999999997</v>
      </c>
      <c r="O213">
        <f>VLOOKUP(M213,'Hosing Inventory'!B:D,3,0)</f>
        <v>1.073527873280359</v>
      </c>
      <c r="P213" s="8">
        <f>N213/VLOOKUP(M213,'Hosing Inventory'!B:D,3,0)</f>
        <v>410.534286970398</v>
      </c>
      <c r="Q213" s="8">
        <f t="shared" si="11"/>
        <v>396.52201981928783</v>
      </c>
      <c r="R213" s="8">
        <f t="shared" si="12"/>
        <v>384.74162193066138</v>
      </c>
      <c r="S213" s="8">
        <f t="shared" si="15"/>
        <v>388.71948729524843</v>
      </c>
      <c r="T213" s="8">
        <f t="shared" si="13"/>
        <v>399.3795710637408</v>
      </c>
    </row>
    <row r="214" spans="1:20" x14ac:dyDescent="0.25">
      <c r="A214" s="1">
        <v>34362</v>
      </c>
      <c r="B214" s="1">
        <f t="shared" si="14"/>
        <v>34335</v>
      </c>
      <c r="C214">
        <v>143.30000000000001</v>
      </c>
      <c r="I214" s="10">
        <v>39326</v>
      </c>
      <c r="J214" s="12">
        <v>432.54999999999995</v>
      </c>
      <c r="M214" s="1">
        <v>39326</v>
      </c>
      <c r="N214">
        <v>432.54999999999995</v>
      </c>
      <c r="O214">
        <f>VLOOKUP(M214,'Hosing Inventory'!B:D,3,0)</f>
        <v>1.0732651421125965</v>
      </c>
      <c r="P214" s="8">
        <f>N214/VLOOKUP(M214,'Hosing Inventory'!B:D,3,0)</f>
        <v>403.0224993132415</v>
      </c>
      <c r="Q214" s="8">
        <f t="shared" si="11"/>
        <v>393.87891088572587</v>
      </c>
      <c r="R214" s="8">
        <f t="shared" si="12"/>
        <v>385.88109767012725</v>
      </c>
      <c r="S214" s="8">
        <f t="shared" si="15"/>
        <v>391.53130586458838</v>
      </c>
      <c r="T214" s="8">
        <f t="shared" si="13"/>
        <v>403.15459568701812</v>
      </c>
    </row>
    <row r="215" spans="1:20" x14ac:dyDescent="0.25">
      <c r="A215" s="1">
        <v>34369</v>
      </c>
      <c r="B215" s="1">
        <f t="shared" si="14"/>
        <v>34366</v>
      </c>
      <c r="C215">
        <v>156.69999999999999</v>
      </c>
      <c r="I215" s="10">
        <v>39356</v>
      </c>
      <c r="J215" s="12">
        <v>419.52499999999998</v>
      </c>
      <c r="M215" s="1">
        <v>39356</v>
      </c>
      <c r="N215">
        <v>419.52499999999998</v>
      </c>
      <c r="O215">
        <f>VLOOKUP(M215,'Hosing Inventory'!B:D,3,0)</f>
        <v>1.0730024109448335</v>
      </c>
      <c r="P215" s="8">
        <f>N215/VLOOKUP(M215,'Hosing Inventory'!B:D,3,0)</f>
        <v>390.9823460979801</v>
      </c>
      <c r="Q215" s="8">
        <f t="shared" si="11"/>
        <v>391.72195974903548</v>
      </c>
      <c r="R215" s="8">
        <f t="shared" si="12"/>
        <v>386.14362998099904</v>
      </c>
      <c r="S215" s="8">
        <f t="shared" si="15"/>
        <v>394.46830822115572</v>
      </c>
      <c r="T215" s="8">
        <f t="shared" si="13"/>
        <v>404.39404868718037</v>
      </c>
    </row>
    <row r="216" spans="1:20" x14ac:dyDescent="0.25">
      <c r="A216" s="1">
        <v>34376</v>
      </c>
      <c r="B216" s="1">
        <f t="shared" si="14"/>
        <v>34366</v>
      </c>
      <c r="C216">
        <v>135.1</v>
      </c>
      <c r="I216" s="10">
        <v>39387</v>
      </c>
      <c r="J216" s="12">
        <v>427.38</v>
      </c>
      <c r="M216" s="1">
        <v>39387</v>
      </c>
      <c r="N216">
        <v>427.38</v>
      </c>
      <c r="O216">
        <f>VLOOKUP(M216,'Hosing Inventory'!B:D,3,0)</f>
        <v>1.0727396797770707</v>
      </c>
      <c r="P216" s="8">
        <f>N216/VLOOKUP(M216,'Hosing Inventory'!B:D,3,0)</f>
        <v>398.40047688812547</v>
      </c>
      <c r="Q216" s="8">
        <f t="shared" si="11"/>
        <v>389.75002022463013</v>
      </c>
      <c r="R216" s="8">
        <f t="shared" si="12"/>
        <v>387.00327921666224</v>
      </c>
      <c r="S216" s="8">
        <f t="shared" si="15"/>
        <v>396.16411319099296</v>
      </c>
      <c r="T216" s="8">
        <f t="shared" si="13"/>
        <v>403.47610550333155</v>
      </c>
    </row>
    <row r="217" spans="1:20" x14ac:dyDescent="0.25">
      <c r="A217" s="1">
        <v>34383</v>
      </c>
      <c r="B217" s="1">
        <f t="shared" si="14"/>
        <v>34366</v>
      </c>
      <c r="C217">
        <v>141</v>
      </c>
      <c r="I217" s="10">
        <v>39417</v>
      </c>
      <c r="J217" s="12">
        <v>412.375</v>
      </c>
      <c r="M217" s="1">
        <v>39417</v>
      </c>
      <c r="N217">
        <v>412.375</v>
      </c>
      <c r="O217">
        <f>VLOOKUP(M217,'Hosing Inventory'!B:D,3,0)</f>
        <v>1.0724769486093082</v>
      </c>
      <c r="P217" s="8">
        <f>N217/VLOOKUP(M217,'Hosing Inventory'!B:D,3,0)</f>
        <v>384.50709876303716</v>
      </c>
      <c r="Q217" s="8">
        <f t="shared" si="11"/>
        <v>387.90839892516851</v>
      </c>
      <c r="R217" s="8">
        <f t="shared" si="12"/>
        <v>387.27365242026491</v>
      </c>
      <c r="S217" s="8">
        <f t="shared" si="15"/>
        <v>395.2572530422558</v>
      </c>
      <c r="T217" s="8">
        <f t="shared" si="13"/>
        <v>398.80550132141502</v>
      </c>
    </row>
    <row r="218" spans="1:20" x14ac:dyDescent="0.25">
      <c r="A218" s="1">
        <v>34390</v>
      </c>
      <c r="B218" s="1">
        <f t="shared" si="14"/>
        <v>34366</v>
      </c>
      <c r="C218">
        <v>187.4</v>
      </c>
      <c r="I218" s="10">
        <v>39448</v>
      </c>
      <c r="J218" s="12">
        <v>419.27499999999998</v>
      </c>
      <c r="M218" s="1">
        <v>39448</v>
      </c>
      <c r="N218">
        <v>419.27499999999998</v>
      </c>
      <c r="O218">
        <f>VLOOKUP(M218,'Hosing Inventory'!B:D,3,0)</f>
        <v>1.0722142174415452</v>
      </c>
      <c r="P218" s="8">
        <f>N218/VLOOKUP(M218,'Hosing Inventory'!B:D,3,0)</f>
        <v>391.03659807873976</v>
      </c>
      <c r="Q218" s="8">
        <f t="shared" ref="Q218:Q281" si="16">AVERAGE(P195:P218)</f>
        <v>386.46747324230097</v>
      </c>
      <c r="R218" s="8">
        <f t="shared" si="12"/>
        <v>388.36589521824794</v>
      </c>
      <c r="S218" s="8">
        <f t="shared" si="15"/>
        <v>394.45968423883255</v>
      </c>
      <c r="T218" s="8">
        <f t="shared" si="13"/>
        <v>396.41388435192033</v>
      </c>
    </row>
    <row r="219" spans="1:20" x14ac:dyDescent="0.25">
      <c r="A219" s="1">
        <v>34397</v>
      </c>
      <c r="B219" s="1">
        <f t="shared" si="14"/>
        <v>34394</v>
      </c>
      <c r="C219">
        <v>154.9</v>
      </c>
      <c r="I219" s="10">
        <v>39479</v>
      </c>
      <c r="J219" s="12">
        <v>377.62000000000006</v>
      </c>
      <c r="M219" s="1">
        <v>39479</v>
      </c>
      <c r="N219">
        <v>377.62000000000006</v>
      </c>
      <c r="O219">
        <f>VLOOKUP(M219,'Hosing Inventory'!B:D,3,0)</f>
        <v>1.0726980707686016</v>
      </c>
      <c r="P219" s="8">
        <f>N219/VLOOKUP(M219,'Hosing Inventory'!B:D,3,0)</f>
        <v>352.02822703822949</v>
      </c>
      <c r="Q219" s="8">
        <f t="shared" si="16"/>
        <v>385.22193503880243</v>
      </c>
      <c r="R219" s="8">
        <f t="shared" si="12"/>
        <v>388.03394965124085</v>
      </c>
      <c r="S219" s="8">
        <f t="shared" si="15"/>
        <v>393.02122271348321</v>
      </c>
      <c r="T219" s="8">
        <f t="shared" si="13"/>
        <v>386.66287436322563</v>
      </c>
    </row>
    <row r="220" spans="1:20" x14ac:dyDescent="0.25">
      <c r="A220" s="1">
        <v>34404</v>
      </c>
      <c r="B220" s="1">
        <f t="shared" si="14"/>
        <v>34394</v>
      </c>
      <c r="C220">
        <v>145.6</v>
      </c>
      <c r="I220" s="10">
        <v>39508</v>
      </c>
      <c r="J220" s="12">
        <v>373.375</v>
      </c>
      <c r="M220" s="1">
        <v>39508</v>
      </c>
      <c r="N220">
        <v>373.375</v>
      </c>
      <c r="O220">
        <f>VLOOKUP(M220,'Hosing Inventory'!B:D,3,0)</f>
        <v>1.0731819240956579</v>
      </c>
      <c r="P220" s="8">
        <f>N220/VLOOKUP(M220,'Hosing Inventory'!B:D,3,0)</f>
        <v>347.91398514714388</v>
      </c>
      <c r="Q220" s="8">
        <f t="shared" si="16"/>
        <v>383.78035375314784</v>
      </c>
      <c r="R220" s="8">
        <f t="shared" si="12"/>
        <v>386.84691124379538</v>
      </c>
      <c r="S220" s="8">
        <f t="shared" si="15"/>
        <v>390.31635884461366</v>
      </c>
      <c r="T220" s="8">
        <f t="shared" si="13"/>
        <v>377.47812200220932</v>
      </c>
    </row>
    <row r="221" spans="1:20" x14ac:dyDescent="0.25">
      <c r="A221" s="1">
        <v>34411</v>
      </c>
      <c r="B221" s="1">
        <f t="shared" si="14"/>
        <v>34394</v>
      </c>
      <c r="C221">
        <v>142.30000000000001</v>
      </c>
      <c r="I221" s="10">
        <v>39539</v>
      </c>
      <c r="J221" s="12">
        <v>365.92499999999995</v>
      </c>
      <c r="M221" s="1">
        <v>39539</v>
      </c>
      <c r="N221">
        <v>365.92499999999995</v>
      </c>
      <c r="O221">
        <f>VLOOKUP(M221,'Hosing Inventory'!B:D,3,0)</f>
        <v>1.0736657774227143</v>
      </c>
      <c r="P221" s="8">
        <f>N221/VLOOKUP(M221,'Hosing Inventory'!B:D,3,0)</f>
        <v>340.81835119899807</v>
      </c>
      <c r="Q221" s="8">
        <f t="shared" si="16"/>
        <v>381.88708653217736</v>
      </c>
      <c r="R221" s="8">
        <f t="shared" ref="R221:R284" si="17">AVERAGE(P204:P221)</f>
        <v>386.01802420934132</v>
      </c>
      <c r="S221" s="8">
        <f t="shared" si="15"/>
        <v>386.7557524364463</v>
      </c>
      <c r="T221" s="8">
        <f t="shared" si="13"/>
        <v>369.11745618571234</v>
      </c>
    </row>
    <row r="222" spans="1:20" x14ac:dyDescent="0.25">
      <c r="A222" s="1">
        <v>34418</v>
      </c>
      <c r="B222" s="1">
        <f t="shared" si="14"/>
        <v>34394</v>
      </c>
      <c r="C222">
        <v>160.6</v>
      </c>
      <c r="I222" s="10">
        <v>39569</v>
      </c>
      <c r="J222" s="12">
        <v>359.71999999999997</v>
      </c>
      <c r="M222" s="1">
        <v>39569</v>
      </c>
      <c r="N222">
        <v>359.71999999999997</v>
      </c>
      <c r="O222">
        <f>VLOOKUP(M222,'Hosing Inventory'!B:D,3,0)</f>
        <v>1.0741496307497707</v>
      </c>
      <c r="P222" s="8">
        <f>N222/VLOOKUP(M222,'Hosing Inventory'!B:D,3,0)</f>
        <v>334.88816613837184</v>
      </c>
      <c r="Q222" s="8">
        <f t="shared" si="16"/>
        <v>379.885477177685</v>
      </c>
      <c r="R222" s="8">
        <f t="shared" si="17"/>
        <v>383.62009914757977</v>
      </c>
      <c r="S222" s="8">
        <f t="shared" si="15"/>
        <v>381.00408828204246</v>
      </c>
      <c r="T222" s="8">
        <f t="shared" si="13"/>
        <v>358.53207106075337</v>
      </c>
    </row>
    <row r="223" spans="1:20" x14ac:dyDescent="0.25">
      <c r="A223" s="1">
        <v>34425</v>
      </c>
      <c r="B223" s="1">
        <f t="shared" si="14"/>
        <v>34425</v>
      </c>
      <c r="C223">
        <v>204.9</v>
      </c>
      <c r="I223" s="10">
        <v>39600</v>
      </c>
      <c r="J223" s="12">
        <v>353.15</v>
      </c>
      <c r="M223" s="1">
        <v>39600</v>
      </c>
      <c r="N223">
        <v>353.15</v>
      </c>
      <c r="O223">
        <f>VLOOKUP(M223,'Hosing Inventory'!B:D,3,0)</f>
        <v>1.0746334840768268</v>
      </c>
      <c r="P223" s="8">
        <f>N223/VLOOKUP(M223,'Hosing Inventory'!B:D,3,0)</f>
        <v>328.62367051904823</v>
      </c>
      <c r="Q223" s="8">
        <f t="shared" si="16"/>
        <v>377.75978090355414</v>
      </c>
      <c r="R223" s="8">
        <f t="shared" si="17"/>
        <v>379.91089081264454</v>
      </c>
      <c r="S223" s="8">
        <f t="shared" si="15"/>
        <v>374.01183383741846</v>
      </c>
      <c r="T223" s="8">
        <f t="shared" si="13"/>
        <v>349.21816635342185</v>
      </c>
    </row>
    <row r="224" spans="1:20" x14ac:dyDescent="0.25">
      <c r="A224" s="1">
        <v>34432</v>
      </c>
      <c r="B224" s="1">
        <f t="shared" si="14"/>
        <v>34425</v>
      </c>
      <c r="C224">
        <v>146.19999999999999</v>
      </c>
      <c r="I224" s="10">
        <v>39630</v>
      </c>
      <c r="J224" s="12">
        <v>342.65</v>
      </c>
      <c r="M224" s="1">
        <v>39630</v>
      </c>
      <c r="N224">
        <v>342.65</v>
      </c>
      <c r="O224">
        <f>VLOOKUP(M224,'Hosing Inventory'!B:D,3,0)</f>
        <v>1.0751173374038832</v>
      </c>
      <c r="P224" s="8">
        <f>N224/VLOOKUP(M224,'Hosing Inventory'!B:D,3,0)</f>
        <v>318.70939857356109</v>
      </c>
      <c r="Q224" s="8">
        <f t="shared" si="16"/>
        <v>375.56532968932561</v>
      </c>
      <c r="R224" s="8">
        <f t="shared" si="17"/>
        <v>375.36100052674129</v>
      </c>
      <c r="S224" s="8">
        <f t="shared" si="15"/>
        <v>366.78875872723961</v>
      </c>
      <c r="T224" s="8">
        <f t="shared" si="13"/>
        <v>337.16363310255878</v>
      </c>
    </row>
    <row r="225" spans="1:20" x14ac:dyDescent="0.25">
      <c r="A225" s="1">
        <v>34439</v>
      </c>
      <c r="B225" s="1">
        <f t="shared" si="14"/>
        <v>34425</v>
      </c>
      <c r="C225">
        <v>144.80000000000001</v>
      </c>
      <c r="I225" s="10">
        <v>39661</v>
      </c>
      <c r="J225" s="12">
        <v>321.86</v>
      </c>
      <c r="M225" s="1">
        <v>39661</v>
      </c>
      <c r="N225">
        <v>321.86</v>
      </c>
      <c r="O225">
        <f>VLOOKUP(M225,'Hosing Inventory'!B:D,3,0)</f>
        <v>1.0756011907309395</v>
      </c>
      <c r="P225" s="8">
        <f>N225/VLOOKUP(M225,'Hosing Inventory'!B:D,3,0)</f>
        <v>299.23730354117185</v>
      </c>
      <c r="Q225" s="8">
        <f t="shared" si="16"/>
        <v>373.11674870169287</v>
      </c>
      <c r="R225" s="8">
        <f t="shared" si="17"/>
        <v>371.46919709333855</v>
      </c>
      <c r="S225" s="8">
        <f t="shared" si="15"/>
        <v>357.51401010813737</v>
      </c>
      <c r="T225" s="8">
        <f t="shared" si="13"/>
        <v>328.36514585304917</v>
      </c>
    </row>
    <row r="226" spans="1:20" x14ac:dyDescent="0.25">
      <c r="A226" s="1">
        <v>34446</v>
      </c>
      <c r="B226" s="1">
        <f t="shared" si="14"/>
        <v>34425</v>
      </c>
      <c r="C226">
        <v>158.19999999999999</v>
      </c>
      <c r="I226" s="10">
        <v>39692</v>
      </c>
      <c r="J226" s="12">
        <v>349.72499999999997</v>
      </c>
      <c r="M226" s="1">
        <v>39692</v>
      </c>
      <c r="N226">
        <v>349.72499999999997</v>
      </c>
      <c r="O226">
        <f>VLOOKUP(M226,'Hosing Inventory'!B:D,3,0)</f>
        <v>1.0760850440579957</v>
      </c>
      <c r="P226" s="8">
        <f>N226/VLOOKUP(M226,'Hosing Inventory'!B:D,3,0)</f>
        <v>324.99754729529678</v>
      </c>
      <c r="Q226" s="8">
        <f t="shared" si="16"/>
        <v>371.27161831894858</v>
      </c>
      <c r="R226" s="8">
        <f t="shared" si="17"/>
        <v>368.39281907787847</v>
      </c>
      <c r="S226" s="8">
        <f t="shared" si="15"/>
        <v>351.01193077330868</v>
      </c>
      <c r="T226" s="8">
        <f t="shared" ref="T226:T289" si="18">AVERAGE(P221:P226)</f>
        <v>324.54573954440792</v>
      </c>
    </row>
    <row r="227" spans="1:20" x14ac:dyDescent="0.25">
      <c r="A227" s="1">
        <v>34453</v>
      </c>
      <c r="B227" s="1">
        <f t="shared" si="14"/>
        <v>34425</v>
      </c>
      <c r="C227">
        <v>151.30000000000001</v>
      </c>
      <c r="I227" s="10">
        <v>39722</v>
      </c>
      <c r="J227" s="12">
        <v>294.26000000000005</v>
      </c>
      <c r="M227" s="1">
        <v>39722</v>
      </c>
      <c r="N227">
        <v>294.26000000000005</v>
      </c>
      <c r="O227">
        <f>VLOOKUP(M227,'Hosing Inventory'!B:D,3,0)</f>
        <v>1.0765688973850522</v>
      </c>
      <c r="P227" s="8">
        <f>N227/VLOOKUP(M227,'Hosing Inventory'!B:D,3,0)</f>
        <v>273.3313220498448</v>
      </c>
      <c r="Q227" s="8">
        <f t="shared" si="16"/>
        <v>367.83799349522656</v>
      </c>
      <c r="R227" s="8">
        <f t="shared" si="17"/>
        <v>362.26980207525838</v>
      </c>
      <c r="S227" s="8">
        <f t="shared" si="15"/>
        <v>341.20767876929739</v>
      </c>
      <c r="T227" s="8">
        <f t="shared" si="18"/>
        <v>313.29790135288243</v>
      </c>
    </row>
    <row r="228" spans="1:20" x14ac:dyDescent="0.25">
      <c r="A228" s="1">
        <v>34460</v>
      </c>
      <c r="B228" s="1">
        <f t="shared" si="14"/>
        <v>34455</v>
      </c>
      <c r="C228">
        <v>145.5</v>
      </c>
      <c r="I228" s="10">
        <v>39753</v>
      </c>
      <c r="J228" s="12">
        <v>288.89999999999998</v>
      </c>
      <c r="M228" s="1">
        <v>39753</v>
      </c>
      <c r="N228">
        <v>288.89999999999998</v>
      </c>
      <c r="O228">
        <f>VLOOKUP(M228,'Hosing Inventory'!B:D,3,0)</f>
        <v>1.0770527507121086</v>
      </c>
      <c r="P228" s="8">
        <f>N228/VLOOKUP(M228,'Hosing Inventory'!B:D,3,0)</f>
        <v>268.23198753170601</v>
      </c>
      <c r="Q228" s="8">
        <f t="shared" si="16"/>
        <v>363.26220892362767</v>
      </c>
      <c r="R228" s="8">
        <f t="shared" si="17"/>
        <v>354.73223827195216</v>
      </c>
      <c r="S228" s="8">
        <f t="shared" si="15"/>
        <v>330.36030465626243</v>
      </c>
      <c r="T228" s="8">
        <f t="shared" si="18"/>
        <v>302.18853825177149</v>
      </c>
    </row>
    <row r="229" spans="1:20" x14ac:dyDescent="0.25">
      <c r="A229" s="1">
        <v>34467</v>
      </c>
      <c r="B229" s="1">
        <f t="shared" si="14"/>
        <v>34455</v>
      </c>
      <c r="C229">
        <v>143.69999999999999</v>
      </c>
      <c r="I229" s="10">
        <v>39783</v>
      </c>
      <c r="J229" s="12">
        <v>305.77499999999998</v>
      </c>
      <c r="M229" s="1">
        <v>39783</v>
      </c>
      <c r="N229">
        <v>305.77499999999998</v>
      </c>
      <c r="O229">
        <f>VLOOKUP(M229,'Hosing Inventory'!B:D,3,0)</f>
        <v>1.0775366040391647</v>
      </c>
      <c r="P229" s="8">
        <f>N229/VLOOKUP(M229,'Hosing Inventory'!B:D,3,0)</f>
        <v>283.77226244917995</v>
      </c>
      <c r="Q229" s="8">
        <f t="shared" si="16"/>
        <v>358.61149400284836</v>
      </c>
      <c r="R229" s="8">
        <f t="shared" si="17"/>
        <v>347.57899041609903</v>
      </c>
      <c r="S229" s="8">
        <f t="shared" si="15"/>
        <v>321.96573496344098</v>
      </c>
      <c r="T229" s="8">
        <f t="shared" si="18"/>
        <v>294.71330357346005</v>
      </c>
    </row>
    <row r="230" spans="1:20" x14ac:dyDescent="0.25">
      <c r="A230" s="1">
        <v>34474</v>
      </c>
      <c r="B230" s="1">
        <f t="shared" si="14"/>
        <v>34455</v>
      </c>
      <c r="C230">
        <v>154.80000000000001</v>
      </c>
      <c r="I230" s="10">
        <v>39814</v>
      </c>
      <c r="J230" s="12">
        <v>299.76000000000005</v>
      </c>
      <c r="M230" s="1">
        <v>39814</v>
      </c>
      <c r="N230">
        <v>299.76000000000005</v>
      </c>
      <c r="O230">
        <f>VLOOKUP(M230,'Hosing Inventory'!B:D,3,0)</f>
        <v>1.0780204573662211</v>
      </c>
      <c r="P230" s="8">
        <f>N230/VLOOKUP(M230,'Hosing Inventory'!B:D,3,0)</f>
        <v>278.06522404255884</v>
      </c>
      <c r="Q230" s="8">
        <f t="shared" si="16"/>
        <v>353.50556901629596</v>
      </c>
      <c r="R230" s="8">
        <f t="shared" si="17"/>
        <v>340.50559731314632</v>
      </c>
      <c r="S230" s="8">
        <f t="shared" si="15"/>
        <v>312.55145379375926</v>
      </c>
      <c r="T230" s="8">
        <f t="shared" si="18"/>
        <v>287.9392744849597</v>
      </c>
    </row>
    <row r="231" spans="1:20" x14ac:dyDescent="0.25">
      <c r="A231" s="1">
        <v>34481</v>
      </c>
      <c r="B231" s="1">
        <f t="shared" si="14"/>
        <v>34455</v>
      </c>
      <c r="C231">
        <v>139.6</v>
      </c>
      <c r="I231" s="10">
        <v>39845</v>
      </c>
      <c r="J231" s="12">
        <v>245.02500000000001</v>
      </c>
      <c r="M231" s="1">
        <v>39845</v>
      </c>
      <c r="N231">
        <v>245.02500000000001</v>
      </c>
      <c r="O231">
        <f>VLOOKUP(M231,'Hosing Inventory'!B:D,3,0)</f>
        <v>1.0773642238612209</v>
      </c>
      <c r="P231" s="8">
        <f>N231/VLOOKUP(M231,'Hosing Inventory'!B:D,3,0)</f>
        <v>227.43005064883474</v>
      </c>
      <c r="Q231" s="8">
        <f t="shared" si="16"/>
        <v>347.59474757072979</v>
      </c>
      <c r="R231" s="8">
        <f t="shared" si="17"/>
        <v>330.33313973972605</v>
      </c>
      <c r="S231" s="8">
        <f t="shared" si="15"/>
        <v>302.16827242797638</v>
      </c>
      <c r="T231" s="8">
        <f t="shared" si="18"/>
        <v>275.97139900290352</v>
      </c>
    </row>
    <row r="232" spans="1:20" x14ac:dyDescent="0.25">
      <c r="A232" s="1">
        <v>34488</v>
      </c>
      <c r="B232" s="1">
        <f t="shared" si="14"/>
        <v>34486</v>
      </c>
      <c r="C232">
        <v>147.80000000000001</v>
      </c>
      <c r="I232" s="10">
        <v>39873</v>
      </c>
      <c r="J232" s="12">
        <v>261.55</v>
      </c>
      <c r="M232" s="1">
        <v>39873</v>
      </c>
      <c r="N232">
        <v>261.55</v>
      </c>
      <c r="O232">
        <f>VLOOKUP(M232,'Hosing Inventory'!B:D,3,0)</f>
        <v>1.0767079903562207</v>
      </c>
      <c r="P232" s="8">
        <f>N232/VLOOKUP(M232,'Hosing Inventory'!B:D,3,0)</f>
        <v>242.91637318811777</v>
      </c>
      <c r="Q232" s="8">
        <f t="shared" si="16"/>
        <v>341.86741513800229</v>
      </c>
      <c r="R232" s="8">
        <f t="shared" si="17"/>
        <v>321.43835495499701</v>
      </c>
      <c r="S232" s="8">
        <f t="shared" si="15"/>
        <v>293.4184714313908</v>
      </c>
      <c r="T232" s="8">
        <f t="shared" si="18"/>
        <v>262.29120331837373</v>
      </c>
    </row>
    <row r="233" spans="1:20" x14ac:dyDescent="0.25">
      <c r="A233" s="1">
        <v>34495</v>
      </c>
      <c r="B233" s="1">
        <f t="shared" si="14"/>
        <v>34486</v>
      </c>
      <c r="C233">
        <v>148.69999999999999</v>
      </c>
      <c r="I233" s="10">
        <v>39904</v>
      </c>
      <c r="J233" s="12">
        <v>266.59999999999997</v>
      </c>
      <c r="M233" s="1">
        <v>39904</v>
      </c>
      <c r="N233">
        <v>266.59999999999997</v>
      </c>
      <c r="O233">
        <f>VLOOKUP(M233,'Hosing Inventory'!B:D,3,0)</f>
        <v>1.0760517568512205</v>
      </c>
      <c r="P233" s="8">
        <f>N233/VLOOKUP(M233,'Hosing Inventory'!B:D,3,0)</f>
        <v>247.75759929999467</v>
      </c>
      <c r="Q233" s="8">
        <f t="shared" si="16"/>
        <v>336.20958060479342</v>
      </c>
      <c r="R233" s="8">
        <f t="shared" si="17"/>
        <v>313.48142457733115</v>
      </c>
      <c r="S233" s="8">
        <f t="shared" si="15"/>
        <v>285.66340877314053</v>
      </c>
      <c r="T233" s="8">
        <f t="shared" si="18"/>
        <v>258.02891619339869</v>
      </c>
    </row>
    <row r="234" spans="1:20" x14ac:dyDescent="0.25">
      <c r="A234" s="1">
        <v>34502</v>
      </c>
      <c r="B234" s="1">
        <f t="shared" si="14"/>
        <v>34486</v>
      </c>
      <c r="C234">
        <v>143.80000000000001</v>
      </c>
      <c r="I234" s="10">
        <v>39934</v>
      </c>
      <c r="J234" s="12">
        <v>261.65999999999997</v>
      </c>
      <c r="M234" s="1">
        <v>39934</v>
      </c>
      <c r="N234">
        <v>261.65999999999997</v>
      </c>
      <c r="O234">
        <f>VLOOKUP(M234,'Hosing Inventory'!B:D,3,0)</f>
        <v>1.0753955233462202</v>
      </c>
      <c r="P234" s="8">
        <f>N234/VLOOKUP(M234,'Hosing Inventory'!B:D,3,0)</f>
        <v>243.31512854527602</v>
      </c>
      <c r="Q234" s="8">
        <f t="shared" si="16"/>
        <v>329.51820529454585</v>
      </c>
      <c r="R234" s="8">
        <f t="shared" si="17"/>
        <v>304.86557189161726</v>
      </c>
      <c r="S234" s="8">
        <f t="shared" si="15"/>
        <v>278.03232230704924</v>
      </c>
      <c r="T234" s="8">
        <f t="shared" si="18"/>
        <v>253.87610636232702</v>
      </c>
    </row>
    <row r="235" spans="1:20" x14ac:dyDescent="0.25">
      <c r="A235" s="1">
        <v>34509</v>
      </c>
      <c r="B235" s="1">
        <f t="shared" si="14"/>
        <v>34486</v>
      </c>
      <c r="C235">
        <v>140.4</v>
      </c>
      <c r="I235" s="10">
        <v>39965</v>
      </c>
      <c r="J235" s="12">
        <v>269.97500000000002</v>
      </c>
      <c r="M235" s="1">
        <v>39965</v>
      </c>
      <c r="N235">
        <v>269.97500000000002</v>
      </c>
      <c r="O235">
        <f>VLOOKUP(M235,'Hosing Inventory'!B:D,3,0)</f>
        <v>1.07473928984122</v>
      </c>
      <c r="P235" s="8">
        <f>N235/VLOOKUP(M235,'Hosing Inventory'!B:D,3,0)</f>
        <v>251.20045628915793</v>
      </c>
      <c r="Q235" s="8">
        <f t="shared" si="16"/>
        <v>322.79611081265506</v>
      </c>
      <c r="R235" s="8">
        <f t="shared" si="17"/>
        <v>297.45964730973509</v>
      </c>
      <c r="S235" s="8">
        <f t="shared" si="15"/>
        <v>271.58038778789165</v>
      </c>
      <c r="T235" s="8">
        <f t="shared" si="18"/>
        <v>248.44747200232334</v>
      </c>
    </row>
    <row r="236" spans="1:20" x14ac:dyDescent="0.25">
      <c r="A236" s="1">
        <v>34516</v>
      </c>
      <c r="B236" s="1">
        <f t="shared" si="14"/>
        <v>34516</v>
      </c>
      <c r="C236">
        <v>147.19999999999999</v>
      </c>
      <c r="I236" s="10">
        <v>39995</v>
      </c>
      <c r="J236" s="12">
        <v>266.58000000000004</v>
      </c>
      <c r="M236" s="1">
        <v>39995</v>
      </c>
      <c r="N236">
        <v>266.58000000000004</v>
      </c>
      <c r="O236">
        <f>VLOOKUP(M236,'Hosing Inventory'!B:D,3,0)</f>
        <v>1.0740830563362198</v>
      </c>
      <c r="P236" s="8">
        <f>N236/VLOOKUP(M236,'Hosing Inventory'!B:D,3,0)</f>
        <v>248.19309682560768</v>
      </c>
      <c r="Q236" s="8">
        <f t="shared" si="16"/>
        <v>316.24639401806758</v>
      </c>
      <c r="R236" s="8">
        <f t="shared" si="17"/>
        <v>289.52389724011664</v>
      </c>
      <c r="S236" s="8">
        <f t="shared" si="15"/>
        <v>265.7040293088956</v>
      </c>
      <c r="T236" s="8">
        <f t="shared" si="18"/>
        <v>243.46878413283147</v>
      </c>
    </row>
    <row r="237" spans="1:20" x14ac:dyDescent="0.25">
      <c r="A237" s="1">
        <v>34523</v>
      </c>
      <c r="B237" s="1">
        <f t="shared" si="14"/>
        <v>34516</v>
      </c>
      <c r="C237">
        <v>150.19999999999999</v>
      </c>
      <c r="I237" s="10">
        <v>40026</v>
      </c>
      <c r="J237" s="12">
        <v>275.72500000000002</v>
      </c>
      <c r="M237" s="1">
        <v>40026</v>
      </c>
      <c r="N237">
        <v>275.72500000000002</v>
      </c>
      <c r="O237">
        <f>VLOOKUP(M237,'Hosing Inventory'!B:D,3,0)</f>
        <v>1.0734268228312196</v>
      </c>
      <c r="P237" s="8">
        <f>N237/VLOOKUP(M237,'Hosing Inventory'!B:D,3,0)</f>
        <v>256.8642725665834</v>
      </c>
      <c r="Q237" s="8">
        <f t="shared" si="16"/>
        <v>309.84347675124189</v>
      </c>
      <c r="R237" s="8">
        <f t="shared" si="17"/>
        <v>284.23701088058073</v>
      </c>
      <c r="S237" s="8">
        <f t="shared" si="15"/>
        <v>262.17294339434653</v>
      </c>
      <c r="T237" s="8">
        <f t="shared" si="18"/>
        <v>248.3744877857896</v>
      </c>
    </row>
    <row r="238" spans="1:20" x14ac:dyDescent="0.25">
      <c r="A238" s="1">
        <v>34530</v>
      </c>
      <c r="B238" s="1">
        <f t="shared" si="14"/>
        <v>34516</v>
      </c>
      <c r="C238">
        <v>136.9</v>
      </c>
      <c r="I238" s="10">
        <v>40057</v>
      </c>
      <c r="J238" s="12">
        <v>283.92499999999995</v>
      </c>
      <c r="M238" s="1">
        <v>40057</v>
      </c>
      <c r="N238">
        <v>283.92499999999995</v>
      </c>
      <c r="O238">
        <f>VLOOKUP(M238,'Hosing Inventory'!B:D,3,0)</f>
        <v>1.0727705893262194</v>
      </c>
      <c r="P238" s="8">
        <f>N238/VLOOKUP(M238,'Hosing Inventory'!B:D,3,0)</f>
        <v>264.66516031011457</v>
      </c>
      <c r="Q238" s="8">
        <f t="shared" si="16"/>
        <v>304.07858762611164</v>
      </c>
      <c r="R238" s="8">
        <f t="shared" si="17"/>
        <v>279.6120761674124</v>
      </c>
      <c r="S238" s="8">
        <f t="shared" si="15"/>
        <v>257.14524447891472</v>
      </c>
      <c r="T238" s="8">
        <f t="shared" si="18"/>
        <v>251.99928563945571</v>
      </c>
    </row>
    <row r="239" spans="1:20" x14ac:dyDescent="0.25">
      <c r="A239" s="1">
        <v>34537</v>
      </c>
      <c r="B239" s="1">
        <f t="shared" si="14"/>
        <v>34516</v>
      </c>
      <c r="C239">
        <v>146.19999999999999</v>
      </c>
      <c r="I239" s="10">
        <v>40087</v>
      </c>
      <c r="J239" s="12">
        <v>274.2</v>
      </c>
      <c r="M239" s="1">
        <v>40087</v>
      </c>
      <c r="N239">
        <v>274.2</v>
      </c>
      <c r="O239">
        <f>VLOOKUP(M239,'Hosing Inventory'!B:D,3,0)</f>
        <v>1.0721143558212192</v>
      </c>
      <c r="P239" s="8">
        <f>N239/VLOOKUP(M239,'Hosing Inventory'!B:D,3,0)</f>
        <v>255.75629923355334</v>
      </c>
      <c r="Q239" s="8">
        <f t="shared" si="16"/>
        <v>298.44416900676055</v>
      </c>
      <c r="R239" s="8">
        <f t="shared" si="17"/>
        <v>274.88640661377661</v>
      </c>
      <c r="S239" s="8">
        <f t="shared" si="15"/>
        <v>255.68065924422376</v>
      </c>
      <c r="T239" s="8">
        <f t="shared" si="18"/>
        <v>253.33240229504884</v>
      </c>
    </row>
    <row r="240" spans="1:20" x14ac:dyDescent="0.25">
      <c r="A240" s="1">
        <v>34544</v>
      </c>
      <c r="B240" s="1">
        <f t="shared" si="14"/>
        <v>34516</v>
      </c>
      <c r="C240">
        <v>139.9</v>
      </c>
      <c r="I240" s="10">
        <v>40118</v>
      </c>
      <c r="J240" s="12">
        <v>219.97500000000002</v>
      </c>
      <c r="M240" s="1">
        <v>40118</v>
      </c>
      <c r="N240">
        <v>219.97500000000002</v>
      </c>
      <c r="O240">
        <f>VLOOKUP(M240,'Hosing Inventory'!B:D,3,0)</f>
        <v>1.071458122316219</v>
      </c>
      <c r="P240" s="8">
        <f>N240/VLOOKUP(M240,'Hosing Inventory'!B:D,3,0)</f>
        <v>205.30433753628208</v>
      </c>
      <c r="Q240" s="8">
        <f t="shared" si="16"/>
        <v>290.39849653376706</v>
      </c>
      <c r="R240" s="8">
        <f t="shared" si="17"/>
        <v>267.68730502477166</v>
      </c>
      <c r="S240" s="8">
        <f t="shared" si="15"/>
        <v>250.43668841127177</v>
      </c>
      <c r="T240" s="8">
        <f t="shared" si="18"/>
        <v>246.99727046021647</v>
      </c>
    </row>
    <row r="241" spans="1:20" x14ac:dyDescent="0.25">
      <c r="A241" s="1">
        <v>34551</v>
      </c>
      <c r="B241" s="1">
        <f t="shared" si="14"/>
        <v>34547</v>
      </c>
      <c r="C241">
        <v>147.1</v>
      </c>
      <c r="I241" s="10">
        <v>40148</v>
      </c>
      <c r="J241" s="12">
        <v>225.17500000000001</v>
      </c>
      <c r="M241" s="1">
        <v>40148</v>
      </c>
      <c r="N241">
        <v>225.17500000000001</v>
      </c>
      <c r="O241">
        <f>VLOOKUP(M241,'Hosing Inventory'!B:D,3,0)</f>
        <v>1.0708018888112187</v>
      </c>
      <c r="P241" s="8">
        <f>N241/VLOOKUP(M241,'Hosing Inventory'!B:D,3,0)</f>
        <v>210.28633060218493</v>
      </c>
      <c r="Q241" s="8">
        <f t="shared" si="16"/>
        <v>283.13929786039819</v>
      </c>
      <c r="R241" s="8">
        <f t="shared" si="17"/>
        <v>261.11300836272369</v>
      </c>
      <c r="S241" s="8">
        <f t="shared" si="15"/>
        <v>244.31286075735554</v>
      </c>
      <c r="T241" s="8">
        <f t="shared" si="18"/>
        <v>240.17824951238765</v>
      </c>
    </row>
    <row r="242" spans="1:20" x14ac:dyDescent="0.25">
      <c r="A242" s="1">
        <v>34558</v>
      </c>
      <c r="B242" s="1">
        <f t="shared" si="14"/>
        <v>34547</v>
      </c>
      <c r="C242">
        <v>139</v>
      </c>
      <c r="I242" s="10">
        <v>40179</v>
      </c>
      <c r="J242" s="12">
        <v>220.44</v>
      </c>
      <c r="M242" s="1">
        <v>40179</v>
      </c>
      <c r="N242">
        <v>220.44</v>
      </c>
      <c r="O242">
        <f>VLOOKUP(M242,'Hosing Inventory'!B:D,3,0)</f>
        <v>1.0701456553062185</v>
      </c>
      <c r="P242" s="8">
        <f>N242/VLOOKUP(M242,'Hosing Inventory'!B:D,3,0)</f>
        <v>205.99065081184844</v>
      </c>
      <c r="Q242" s="8">
        <f t="shared" si="16"/>
        <v>275.42905005761105</v>
      </c>
      <c r="R242" s="8">
        <f t="shared" si="17"/>
        <v>254.85085570929519</v>
      </c>
      <c r="S242" s="8">
        <f t="shared" si="15"/>
        <v>238.30664632146295</v>
      </c>
      <c r="T242" s="8">
        <f t="shared" si="18"/>
        <v>233.14450851009443</v>
      </c>
    </row>
    <row r="243" spans="1:20" x14ac:dyDescent="0.25">
      <c r="A243" s="1">
        <v>34565</v>
      </c>
      <c r="B243" s="1">
        <f t="shared" si="14"/>
        <v>34547</v>
      </c>
      <c r="C243">
        <v>150.5</v>
      </c>
      <c r="I243" s="10">
        <v>40210</v>
      </c>
      <c r="J243" s="12">
        <v>211.2</v>
      </c>
      <c r="M243" s="1">
        <v>40210</v>
      </c>
      <c r="N243">
        <v>211.2</v>
      </c>
      <c r="O243">
        <f>VLOOKUP(M243,'Hosing Inventory'!B:D,3,0)</f>
        <v>1.069880546480829</v>
      </c>
      <c r="P243" s="8">
        <f>N243/VLOOKUP(M243,'Hosing Inventory'!B:D,3,0)</f>
        <v>197.4052156520676</v>
      </c>
      <c r="Q243" s="8">
        <f t="shared" si="16"/>
        <v>268.98642458318767</v>
      </c>
      <c r="R243" s="8">
        <f t="shared" si="17"/>
        <v>249.19351749323388</v>
      </c>
      <c r="S243" s="8">
        <f t="shared" si="15"/>
        <v>235.80457673839905</v>
      </c>
      <c r="T243" s="8">
        <f t="shared" si="18"/>
        <v>223.23466569100847</v>
      </c>
    </row>
    <row r="244" spans="1:20" x14ac:dyDescent="0.25">
      <c r="A244" s="1">
        <v>34572</v>
      </c>
      <c r="B244" s="1">
        <f t="shared" si="14"/>
        <v>34547</v>
      </c>
      <c r="C244">
        <v>130.4</v>
      </c>
      <c r="I244" s="10">
        <v>40238</v>
      </c>
      <c r="J244" s="12">
        <v>229.7</v>
      </c>
      <c r="M244" s="1">
        <v>40238</v>
      </c>
      <c r="N244">
        <v>229.7</v>
      </c>
      <c r="O244">
        <f>VLOOKUP(M244,'Hosing Inventory'!B:D,3,0)</f>
        <v>1.0696154376554392</v>
      </c>
      <c r="P244" s="8">
        <f>N244/VLOOKUP(M244,'Hosing Inventory'!B:D,3,0)</f>
        <v>214.75007924670066</v>
      </c>
      <c r="Q244" s="8">
        <f t="shared" si="16"/>
        <v>263.43792850400251</v>
      </c>
      <c r="R244" s="8">
        <f t="shared" si="17"/>
        <v>243.06865815720079</v>
      </c>
      <c r="S244" s="8">
        <f t="shared" si="15"/>
        <v>233.45738557661426</v>
      </c>
      <c r="T244" s="8">
        <f t="shared" si="18"/>
        <v>214.91548551377284</v>
      </c>
    </row>
    <row r="245" spans="1:20" x14ac:dyDescent="0.25">
      <c r="A245" s="1">
        <v>34579</v>
      </c>
      <c r="B245" s="1">
        <f t="shared" si="14"/>
        <v>34578</v>
      </c>
      <c r="C245">
        <v>137.19999999999999</v>
      </c>
      <c r="I245" s="10">
        <v>40269</v>
      </c>
      <c r="J245" s="12">
        <v>250.18</v>
      </c>
      <c r="M245" s="1">
        <v>40269</v>
      </c>
      <c r="N245">
        <v>250.18</v>
      </c>
      <c r="O245">
        <f>VLOOKUP(M245,'Hosing Inventory'!B:D,3,0)</f>
        <v>1.0693503288300499</v>
      </c>
      <c r="P245" s="8">
        <f>N245/VLOOKUP(M245,'Hosing Inventory'!B:D,3,0)</f>
        <v>233.95513449153361</v>
      </c>
      <c r="Q245" s="8">
        <f t="shared" si="16"/>
        <v>258.98529447452484</v>
      </c>
      <c r="R245" s="8">
        <f t="shared" si="17"/>
        <v>240.88109218173901</v>
      </c>
      <c r="S245" s="8">
        <f t="shared" si="15"/>
        <v>232.30718017590917</v>
      </c>
      <c r="T245" s="8">
        <f t="shared" si="18"/>
        <v>211.28195805676955</v>
      </c>
    </row>
    <row r="246" spans="1:20" x14ac:dyDescent="0.25">
      <c r="A246" s="1">
        <v>34586</v>
      </c>
      <c r="B246" s="1">
        <f t="shared" si="14"/>
        <v>34578</v>
      </c>
      <c r="C246">
        <v>139.6</v>
      </c>
      <c r="I246" s="10">
        <v>40299</v>
      </c>
      <c r="J246" s="12">
        <v>204.85000000000002</v>
      </c>
      <c r="M246" s="1">
        <v>40299</v>
      </c>
      <c r="N246">
        <v>204.85000000000002</v>
      </c>
      <c r="O246">
        <f>VLOOKUP(M246,'Hosing Inventory'!B:D,3,0)</f>
        <v>1.0690852200046603</v>
      </c>
      <c r="P246" s="8">
        <f>N246/VLOOKUP(M246,'Hosing Inventory'!B:D,3,0)</f>
        <v>191.61241420876348</v>
      </c>
      <c r="Q246" s="8">
        <f t="shared" si="16"/>
        <v>253.01547147745785</v>
      </c>
      <c r="R246" s="8">
        <f t="shared" si="17"/>
        <v>236.62444921935332</v>
      </c>
      <c r="S246" s="8">
        <f t="shared" si="15"/>
        <v>227.99862064786646</v>
      </c>
      <c r="T246" s="8">
        <f t="shared" si="18"/>
        <v>208.99997083551645</v>
      </c>
    </row>
    <row r="247" spans="1:20" x14ac:dyDescent="0.25">
      <c r="A247" s="1">
        <v>34593</v>
      </c>
      <c r="B247" s="1">
        <f t="shared" si="14"/>
        <v>34578</v>
      </c>
      <c r="C247">
        <v>134.69999999999999</v>
      </c>
      <c r="I247" s="10">
        <v>40330</v>
      </c>
      <c r="J247" s="12">
        <v>174.45000000000002</v>
      </c>
      <c r="M247" s="1">
        <v>40330</v>
      </c>
      <c r="N247">
        <v>174.45000000000002</v>
      </c>
      <c r="O247">
        <f>VLOOKUP(M247,'Hosing Inventory'!B:D,3,0)</f>
        <v>1.0688201111792706</v>
      </c>
      <c r="P247" s="8">
        <f>N247/VLOOKUP(M247,'Hosing Inventory'!B:D,3,0)</f>
        <v>163.21736293633415</v>
      </c>
      <c r="Q247" s="8">
        <f t="shared" si="16"/>
        <v>246.12354199484477</v>
      </c>
      <c r="R247" s="8">
        <f t="shared" si="17"/>
        <v>229.92695480197301</v>
      </c>
      <c r="S247" s="8">
        <f t="shared" si="15"/>
        <v>220.66669620179781</v>
      </c>
      <c r="T247" s="8">
        <f t="shared" si="18"/>
        <v>201.15514289120802</v>
      </c>
    </row>
    <row r="248" spans="1:20" x14ac:dyDescent="0.25">
      <c r="A248" s="1">
        <v>34600</v>
      </c>
      <c r="B248" s="1">
        <f t="shared" si="14"/>
        <v>34578</v>
      </c>
      <c r="C248">
        <v>136.80000000000001</v>
      </c>
      <c r="I248" s="10">
        <v>40360</v>
      </c>
      <c r="J248" s="12">
        <v>169.59999999999997</v>
      </c>
      <c r="M248" s="1">
        <v>40360</v>
      </c>
      <c r="N248">
        <v>169.59999999999997</v>
      </c>
      <c r="O248">
        <f>VLOOKUP(M248,'Hosing Inventory'!B:D,3,0)</f>
        <v>1.068555002353881</v>
      </c>
      <c r="P248" s="8">
        <f>N248/VLOOKUP(M248,'Hosing Inventory'!B:D,3,0)</f>
        <v>158.71901738927269</v>
      </c>
      <c r="Q248" s="8">
        <f t="shared" si="16"/>
        <v>239.45727611216606</v>
      </c>
      <c r="R248" s="8">
        <f t="shared" si="17"/>
        <v>223.29660998790152</v>
      </c>
      <c r="S248" s="8">
        <f t="shared" si="15"/>
        <v>213.21052291543654</v>
      </c>
      <c r="T248" s="8">
        <f t="shared" si="18"/>
        <v>193.27653732077871</v>
      </c>
    </row>
    <row r="249" spans="1:20" x14ac:dyDescent="0.25">
      <c r="A249" s="1">
        <v>34607</v>
      </c>
      <c r="B249" s="1">
        <f t="shared" si="14"/>
        <v>34578</v>
      </c>
      <c r="C249">
        <v>142.1</v>
      </c>
      <c r="I249" s="10">
        <v>40391</v>
      </c>
      <c r="J249" s="12">
        <v>172.22499999999999</v>
      </c>
      <c r="M249" s="1">
        <v>40391</v>
      </c>
      <c r="N249">
        <v>172.22499999999999</v>
      </c>
      <c r="O249">
        <f>VLOOKUP(M249,'Hosing Inventory'!B:D,3,0)</f>
        <v>1.0682898935284915</v>
      </c>
      <c r="P249" s="8">
        <f>N249/VLOOKUP(M249,'Hosing Inventory'!B:D,3,0)</f>
        <v>161.21560359534257</v>
      </c>
      <c r="Q249" s="8">
        <f t="shared" si="16"/>
        <v>233.70637194775654</v>
      </c>
      <c r="R249" s="8">
        <f t="shared" si="17"/>
        <v>219.61802959604086</v>
      </c>
      <c r="S249" s="8">
        <f t="shared" si="15"/>
        <v>205.23980050116651</v>
      </c>
      <c r="T249" s="8">
        <f t="shared" si="18"/>
        <v>187.24493531132455</v>
      </c>
    </row>
    <row r="250" spans="1:20" x14ac:dyDescent="0.25">
      <c r="A250" s="1">
        <v>34614</v>
      </c>
      <c r="B250" s="1">
        <f t="shared" si="14"/>
        <v>34608</v>
      </c>
      <c r="C250">
        <v>142</v>
      </c>
      <c r="I250" s="10">
        <v>40422</v>
      </c>
      <c r="J250" s="12">
        <v>181.89999999999998</v>
      </c>
      <c r="M250" s="1">
        <v>40422</v>
      </c>
      <c r="N250">
        <v>181.89999999999998</v>
      </c>
      <c r="O250">
        <f>VLOOKUP(M250,'Hosing Inventory'!B:D,3,0)</f>
        <v>1.0680247847031019</v>
      </c>
      <c r="P250" s="8">
        <f>N250/VLOOKUP(M250,'Hosing Inventory'!B:D,3,0)</f>
        <v>170.314399633119</v>
      </c>
      <c r="Q250" s="8">
        <f t="shared" si="16"/>
        <v>227.2612407951658</v>
      </c>
      <c r="R250" s="8">
        <f t="shared" si="17"/>
        <v>215.58458662076316</v>
      </c>
      <c r="S250" s="8">
        <f t="shared" si="15"/>
        <v>197.37723711141689</v>
      </c>
      <c r="T250" s="8">
        <f t="shared" si="18"/>
        <v>179.83898870906091</v>
      </c>
    </row>
    <row r="251" spans="1:20" x14ac:dyDescent="0.25">
      <c r="A251" s="1">
        <v>34621</v>
      </c>
      <c r="B251" s="1">
        <f t="shared" si="14"/>
        <v>34608</v>
      </c>
      <c r="C251">
        <v>133.30000000000001</v>
      </c>
      <c r="I251" s="10">
        <v>40452</v>
      </c>
      <c r="J251" s="12">
        <v>181.1</v>
      </c>
      <c r="M251" s="1">
        <v>40452</v>
      </c>
      <c r="N251">
        <v>181.1</v>
      </c>
      <c r="O251">
        <f>VLOOKUP(M251,'Hosing Inventory'!B:D,3,0)</f>
        <v>1.0677596758777124</v>
      </c>
      <c r="P251" s="8">
        <f>N251/VLOOKUP(M251,'Hosing Inventory'!B:D,3,0)</f>
        <v>169.60745389746381</v>
      </c>
      <c r="Q251" s="8">
        <f t="shared" si="16"/>
        <v>222.93941295548322</v>
      </c>
      <c r="R251" s="8">
        <f t="shared" si="17"/>
        <v>211.24291187617811</v>
      </c>
      <c r="S251" s="8">
        <f t="shared" si="15"/>
        <v>190.19816666674276</v>
      </c>
      <c r="T251" s="8">
        <f t="shared" si="18"/>
        <v>169.11437527671595</v>
      </c>
    </row>
    <row r="252" spans="1:20" x14ac:dyDescent="0.25">
      <c r="A252" s="1">
        <v>34628</v>
      </c>
      <c r="B252" s="1">
        <f t="shared" si="14"/>
        <v>34608</v>
      </c>
      <c r="C252">
        <v>134.1</v>
      </c>
      <c r="I252" s="10">
        <v>40483</v>
      </c>
      <c r="J252" s="12">
        <v>195.02499999999998</v>
      </c>
      <c r="M252" s="1">
        <v>40483</v>
      </c>
      <c r="N252">
        <v>195.02499999999998</v>
      </c>
      <c r="O252">
        <f>VLOOKUP(M252,'Hosing Inventory'!B:D,3,0)</f>
        <v>1.0674945670523228</v>
      </c>
      <c r="P252" s="8">
        <f>N252/VLOOKUP(M252,'Hosing Inventory'!B:D,3,0)</f>
        <v>182.69413823671565</v>
      </c>
      <c r="Q252" s="8">
        <f t="shared" si="16"/>
        <v>219.37533590152529</v>
      </c>
      <c r="R252" s="8">
        <f t="shared" si="17"/>
        <v>207.87507908125812</v>
      </c>
      <c r="S252" s="8">
        <f t="shared" si="15"/>
        <v>188.31398339177892</v>
      </c>
      <c r="T252" s="8">
        <f t="shared" si="18"/>
        <v>167.6279959480413</v>
      </c>
    </row>
    <row r="253" spans="1:20" x14ac:dyDescent="0.25">
      <c r="A253" s="1">
        <v>34635</v>
      </c>
      <c r="B253" s="1">
        <f t="shared" si="14"/>
        <v>34608</v>
      </c>
      <c r="C253">
        <v>131.69999999999999</v>
      </c>
      <c r="I253" s="10">
        <v>40513</v>
      </c>
      <c r="J253" s="12">
        <v>201.54000000000002</v>
      </c>
      <c r="M253" s="1">
        <v>40513</v>
      </c>
      <c r="N253">
        <v>201.54000000000002</v>
      </c>
      <c r="O253">
        <f>VLOOKUP(M253,'Hosing Inventory'!B:D,3,0)</f>
        <v>1.067229458226933</v>
      </c>
      <c r="P253" s="8">
        <f>N253/VLOOKUP(M253,'Hosing Inventory'!B:D,3,0)</f>
        <v>188.84411261926115</v>
      </c>
      <c r="Q253" s="8">
        <f t="shared" si="16"/>
        <v>215.41999632527867</v>
      </c>
      <c r="R253" s="8">
        <f t="shared" si="17"/>
        <v>204.41083776626385</v>
      </c>
      <c r="S253" s="8">
        <f t="shared" si="15"/>
        <v>186.52713189320193</v>
      </c>
      <c r="T253" s="8">
        <f t="shared" si="18"/>
        <v>171.89912089519578</v>
      </c>
    </row>
    <row r="254" spans="1:20" x14ac:dyDescent="0.25">
      <c r="A254" s="1">
        <v>34642</v>
      </c>
      <c r="B254" s="1">
        <f t="shared" si="14"/>
        <v>34639</v>
      </c>
      <c r="C254">
        <v>136.80000000000001</v>
      </c>
      <c r="I254" s="10">
        <v>40544</v>
      </c>
      <c r="J254" s="12">
        <v>185.55</v>
      </c>
      <c r="M254" s="1">
        <v>40544</v>
      </c>
      <c r="N254">
        <v>185.55</v>
      </c>
      <c r="O254">
        <f>VLOOKUP(M254,'Hosing Inventory'!B:D,3,0)</f>
        <v>1.0669643494015435</v>
      </c>
      <c r="P254" s="8">
        <f>N254/VLOOKUP(M254,'Hosing Inventory'!B:D,3,0)</f>
        <v>173.90459213006915</v>
      </c>
      <c r="Q254" s="8">
        <f t="shared" si="16"/>
        <v>211.0799699955916</v>
      </c>
      <c r="R254" s="8">
        <f t="shared" si="17"/>
        <v>200.28369861651169</v>
      </c>
      <c r="S254" s="8">
        <f t="shared" si="15"/>
        <v>183.85329366972027</v>
      </c>
      <c r="T254" s="8">
        <f t="shared" si="18"/>
        <v>174.43005001866189</v>
      </c>
    </row>
    <row r="255" spans="1:20" x14ac:dyDescent="0.25">
      <c r="A255" s="1">
        <v>34649</v>
      </c>
      <c r="B255" s="1">
        <f t="shared" si="14"/>
        <v>34639</v>
      </c>
      <c r="C255">
        <v>133.4</v>
      </c>
      <c r="I255" s="10">
        <v>40575</v>
      </c>
      <c r="J255" s="12">
        <v>179.52499999999998</v>
      </c>
      <c r="M255" s="1">
        <v>40575</v>
      </c>
      <c r="N255">
        <v>179.52499999999998</v>
      </c>
      <c r="O255">
        <f>VLOOKUP(M255,'Hosing Inventory'!B:D,3,0)</f>
        <v>1.0673209980455654</v>
      </c>
      <c r="P255" s="8">
        <f>N255/VLOOKUP(M255,'Hosing Inventory'!B:D,3,0)</f>
        <v>168.20150669642857</v>
      </c>
      <c r="Q255" s="8">
        <f t="shared" si="16"/>
        <v>208.61211399757471</v>
      </c>
      <c r="R255" s="8">
        <f t="shared" si="17"/>
        <v>195.35798940150309</v>
      </c>
      <c r="S255" s="8">
        <f t="shared" si="15"/>
        <v>181.41965125675037</v>
      </c>
      <c r="T255" s="8">
        <f t="shared" si="18"/>
        <v>175.59436720217624</v>
      </c>
    </row>
    <row r="256" spans="1:20" x14ac:dyDescent="0.25">
      <c r="A256" s="1">
        <v>34656</v>
      </c>
      <c r="B256" s="1">
        <f t="shared" si="14"/>
        <v>34639</v>
      </c>
      <c r="C256">
        <v>167.5</v>
      </c>
      <c r="I256" s="10">
        <v>40603</v>
      </c>
      <c r="J256" s="12">
        <v>190.3</v>
      </c>
      <c r="M256" s="1">
        <v>40603</v>
      </c>
      <c r="N256">
        <v>190.3</v>
      </c>
      <c r="O256">
        <f>VLOOKUP(M256,'Hosing Inventory'!B:D,3,0)</f>
        <v>1.0676776466895872</v>
      </c>
      <c r="P256" s="8">
        <f>N256/VLOOKUP(M256,'Hosing Inventory'!B:D,3,0)</f>
        <v>178.23731778036105</v>
      </c>
      <c r="Q256" s="8">
        <f t="shared" si="16"/>
        <v>205.91715335558487</v>
      </c>
      <c r="R256" s="8">
        <f t="shared" si="17"/>
        <v>190.55644259429457</v>
      </c>
      <c r="S256" s="8">
        <f t="shared" si="15"/>
        <v>178.37692113455537</v>
      </c>
      <c r="T256" s="8">
        <f t="shared" si="18"/>
        <v>176.91485356004992</v>
      </c>
    </row>
    <row r="257" spans="1:20" x14ac:dyDescent="0.25">
      <c r="A257" s="1">
        <v>34663</v>
      </c>
      <c r="B257" s="1">
        <f t="shared" si="14"/>
        <v>34639</v>
      </c>
      <c r="C257">
        <v>105</v>
      </c>
      <c r="I257" s="10">
        <v>40634</v>
      </c>
      <c r="J257" s="12">
        <v>193.7</v>
      </c>
      <c r="M257" s="1">
        <v>40634</v>
      </c>
      <c r="N257">
        <v>193.7</v>
      </c>
      <c r="O257">
        <f>VLOOKUP(M257,'Hosing Inventory'!B:D,3,0)</f>
        <v>1.0680342953336091</v>
      </c>
      <c r="P257" s="8">
        <f>N257/VLOOKUP(M257,'Hosing Inventory'!B:D,3,0)</f>
        <v>181.36121737504342</v>
      </c>
      <c r="Q257" s="8">
        <f t="shared" si="16"/>
        <v>203.15063744204522</v>
      </c>
      <c r="R257" s="8">
        <f t="shared" si="17"/>
        <v>186.42338249104401</v>
      </c>
      <c r="S257" s="8">
        <f t="shared" si="15"/>
        <v>173.99409470818122</v>
      </c>
      <c r="T257" s="8">
        <f t="shared" si="18"/>
        <v>178.8738141396465</v>
      </c>
    </row>
    <row r="258" spans="1:20" x14ac:dyDescent="0.25">
      <c r="A258" s="1">
        <v>34670</v>
      </c>
      <c r="B258" s="1">
        <f t="shared" si="14"/>
        <v>34669</v>
      </c>
      <c r="C258">
        <v>139.69999999999999</v>
      </c>
      <c r="I258" s="10">
        <v>40664</v>
      </c>
      <c r="J258" s="12">
        <v>191.57499999999999</v>
      </c>
      <c r="M258" s="1">
        <v>40664</v>
      </c>
      <c r="N258">
        <v>191.57499999999999</v>
      </c>
      <c r="O258">
        <f>VLOOKUP(M258,'Hosing Inventory'!B:D,3,0)</f>
        <v>1.0683909439776309</v>
      </c>
      <c r="P258" s="8">
        <f>N258/VLOOKUP(M258,'Hosing Inventory'!B:D,3,0)</f>
        <v>179.31170334219067</v>
      </c>
      <c r="Q258" s="8">
        <f t="shared" si="16"/>
        <v>200.48382805858333</v>
      </c>
      <c r="R258" s="8">
        <f t="shared" si="17"/>
        <v>184.97934725803896</v>
      </c>
      <c r="S258" s="8">
        <f t="shared" si="15"/>
        <v>172.96903546930017</v>
      </c>
      <c r="T258" s="8">
        <f t="shared" si="18"/>
        <v>178.310074990559</v>
      </c>
    </row>
    <row r="259" spans="1:20" x14ac:dyDescent="0.25">
      <c r="A259" s="1">
        <v>34677</v>
      </c>
      <c r="B259" s="1">
        <f t="shared" ref="B259:B322" si="19">A259-DAY(A259)+1</f>
        <v>34669</v>
      </c>
      <c r="C259">
        <v>140.6</v>
      </c>
      <c r="I259" s="10">
        <v>40695</v>
      </c>
      <c r="J259" s="12">
        <v>185.02499999999998</v>
      </c>
      <c r="M259" s="1">
        <v>40695</v>
      </c>
      <c r="N259">
        <v>185.02499999999998</v>
      </c>
      <c r="O259">
        <f>VLOOKUP(M259,'Hosing Inventory'!B:D,3,0)</f>
        <v>1.0687475926216528</v>
      </c>
      <c r="P259" s="8">
        <f>N259/VLOOKUP(M259,'Hosing Inventory'!B:D,3,0)</f>
        <v>173.12319698061827</v>
      </c>
      <c r="Q259" s="8">
        <f t="shared" si="16"/>
        <v>197.23060892072749</v>
      </c>
      <c r="R259" s="8">
        <f t="shared" si="17"/>
        <v>182.91472872350744</v>
      </c>
      <c r="S259" s="8">
        <f t="shared" si="15"/>
        <v>173.79452163965718</v>
      </c>
      <c r="T259" s="8">
        <f t="shared" si="18"/>
        <v>175.68992238411852</v>
      </c>
    </row>
    <row r="260" spans="1:20" x14ac:dyDescent="0.25">
      <c r="A260" s="1">
        <v>34684</v>
      </c>
      <c r="B260" s="1">
        <f t="shared" si="19"/>
        <v>34669</v>
      </c>
      <c r="C260">
        <v>133.9</v>
      </c>
      <c r="I260" s="10">
        <v>40725</v>
      </c>
      <c r="J260" s="12">
        <v>183.8</v>
      </c>
      <c r="M260" s="1">
        <v>40725</v>
      </c>
      <c r="N260">
        <v>183.8</v>
      </c>
      <c r="O260">
        <f>VLOOKUP(M260,'Hosing Inventory'!B:D,3,0)</f>
        <v>1.0691042412656746</v>
      </c>
      <c r="P260" s="8">
        <f>N260/VLOOKUP(M260,'Hosing Inventory'!B:D,3,0)</f>
        <v>171.91962477148692</v>
      </c>
      <c r="Q260" s="8">
        <f t="shared" si="16"/>
        <v>194.05254758513914</v>
      </c>
      <c r="R260" s="8">
        <f t="shared" si="17"/>
        <v>181.02189394348733</v>
      </c>
      <c r="S260" s="8">
        <f t="shared" si="15"/>
        <v>174.89457225484171</v>
      </c>
      <c r="T260" s="8">
        <f t="shared" si="18"/>
        <v>175.35909449102147</v>
      </c>
    </row>
    <row r="261" spans="1:20" x14ac:dyDescent="0.25">
      <c r="A261" s="1">
        <v>34691</v>
      </c>
      <c r="B261" s="1">
        <f t="shared" si="19"/>
        <v>34669</v>
      </c>
      <c r="C261">
        <v>112.7</v>
      </c>
      <c r="I261" s="10">
        <v>40756</v>
      </c>
      <c r="J261" s="12">
        <v>167.22500000000002</v>
      </c>
      <c r="M261" s="1">
        <v>40756</v>
      </c>
      <c r="N261">
        <v>167.22500000000002</v>
      </c>
      <c r="O261">
        <f>VLOOKUP(M261,'Hosing Inventory'!B:D,3,0)</f>
        <v>1.0694608899096965</v>
      </c>
      <c r="P261" s="8">
        <f>N261/VLOOKUP(M261,'Hosing Inventory'!B:D,3,0)</f>
        <v>156.36382926926876</v>
      </c>
      <c r="Q261" s="8">
        <f t="shared" si="16"/>
        <v>189.86502911441769</v>
      </c>
      <c r="R261" s="8">
        <f t="shared" si="17"/>
        <v>178.74181692222075</v>
      </c>
      <c r="S261" s="8">
        <f t="shared" si="15"/>
        <v>174.4902577276689</v>
      </c>
      <c r="T261" s="8">
        <f t="shared" si="18"/>
        <v>173.38614825316154</v>
      </c>
    </row>
    <row r="262" spans="1:20" x14ac:dyDescent="0.25">
      <c r="A262" s="1">
        <v>34698</v>
      </c>
      <c r="B262" s="1">
        <f t="shared" si="19"/>
        <v>34669</v>
      </c>
      <c r="C262">
        <v>95.7</v>
      </c>
      <c r="I262" s="10">
        <v>40787</v>
      </c>
      <c r="J262" s="12">
        <v>170.87599999999998</v>
      </c>
      <c r="M262" s="1">
        <v>40787</v>
      </c>
      <c r="N262">
        <v>170.87599999999998</v>
      </c>
      <c r="O262">
        <f>VLOOKUP(M262,'Hosing Inventory'!B:D,3,0)</f>
        <v>1.0698175385537185</v>
      </c>
      <c r="P262" s="8">
        <f>N262/VLOOKUP(M262,'Hosing Inventory'!B:D,3,0)</f>
        <v>159.72443322532033</v>
      </c>
      <c r="Q262" s="8">
        <f t="shared" si="16"/>
        <v>185.49249881921796</v>
      </c>
      <c r="R262" s="8">
        <f t="shared" si="17"/>
        <v>175.68483658769961</v>
      </c>
      <c r="S262" s="8">
        <f t="shared" si="15"/>
        <v>173.607760527019</v>
      </c>
      <c r="T262" s="8">
        <f t="shared" si="18"/>
        <v>170.30066749398807</v>
      </c>
    </row>
    <row r="263" spans="1:20" x14ac:dyDescent="0.25">
      <c r="A263" s="1">
        <v>34705</v>
      </c>
      <c r="B263" s="1">
        <f t="shared" si="19"/>
        <v>34700</v>
      </c>
      <c r="C263">
        <v>125.3</v>
      </c>
      <c r="I263" s="10">
        <v>40817</v>
      </c>
      <c r="J263" s="12">
        <v>171.25</v>
      </c>
      <c r="M263" s="1">
        <v>40817</v>
      </c>
      <c r="N263">
        <v>171.25</v>
      </c>
      <c r="O263">
        <f>VLOOKUP(M263,'Hosing Inventory'!B:D,3,0)</f>
        <v>1.0701741871977404</v>
      </c>
      <c r="P263" s="8">
        <f>N263/VLOOKUP(M263,'Hosing Inventory'!B:D,3,0)</f>
        <v>160.02067892182998</v>
      </c>
      <c r="Q263" s="8">
        <f t="shared" si="16"/>
        <v>181.50351463956281</v>
      </c>
      <c r="R263" s="8">
        <f t="shared" si="17"/>
        <v>171.5773668338272</v>
      </c>
      <c r="S263" s="8">
        <f t="shared" si="15"/>
        <v>172.80886261238285</v>
      </c>
      <c r="T263" s="8">
        <f t="shared" si="18"/>
        <v>166.74391108511918</v>
      </c>
    </row>
    <row r="264" spans="1:20" x14ac:dyDescent="0.25">
      <c r="A264" s="1">
        <v>34712</v>
      </c>
      <c r="B264" s="1">
        <f t="shared" si="19"/>
        <v>34700</v>
      </c>
      <c r="C264">
        <v>124.9</v>
      </c>
      <c r="I264" s="10">
        <v>40848</v>
      </c>
      <c r="J264" s="12">
        <v>186.92750000000001</v>
      </c>
      <c r="M264" s="1">
        <v>40848</v>
      </c>
      <c r="N264">
        <v>186.92750000000001</v>
      </c>
      <c r="O264">
        <f>VLOOKUP(M264,'Hosing Inventory'!B:D,3,0)</f>
        <v>1.0705308358417622</v>
      </c>
      <c r="P264" s="8">
        <f>N264/VLOOKUP(M264,'Hosing Inventory'!B:D,3,0)</f>
        <v>174.61197168881012</v>
      </c>
      <c r="Q264" s="8">
        <f t="shared" si="16"/>
        <v>180.22466606258479</v>
      </c>
      <c r="R264" s="8">
        <f t="shared" si="17"/>
        <v>170.63289780494088</v>
      </c>
      <c r="S264" s="8">
        <f t="shared" si="15"/>
        <v>172.13534873339071</v>
      </c>
      <c r="T264" s="8">
        <f t="shared" si="18"/>
        <v>165.9606224762224</v>
      </c>
    </row>
    <row r="265" spans="1:20" x14ac:dyDescent="0.25">
      <c r="A265" s="1">
        <v>34719</v>
      </c>
      <c r="B265" s="1">
        <f t="shared" si="19"/>
        <v>34700</v>
      </c>
      <c r="C265">
        <v>130.4</v>
      </c>
      <c r="I265" s="10">
        <v>40878</v>
      </c>
      <c r="J265" s="12">
        <v>185.166</v>
      </c>
      <c r="M265" s="1">
        <v>40878</v>
      </c>
      <c r="N265">
        <v>185.166</v>
      </c>
      <c r="O265">
        <f>VLOOKUP(M265,'Hosing Inventory'!B:D,3,0)</f>
        <v>1.0708874844857841</v>
      </c>
      <c r="P265" s="8">
        <f>N265/VLOOKUP(M265,'Hosing Inventory'!B:D,3,0)</f>
        <v>172.908921509072</v>
      </c>
      <c r="Q265" s="8">
        <f t="shared" si="16"/>
        <v>178.66727401703838</v>
      </c>
      <c r="R265" s="8">
        <f t="shared" si="17"/>
        <v>171.17131772564855</v>
      </c>
      <c r="S265" s="8">
        <f t="shared" si="15"/>
        <v>170.80741614087495</v>
      </c>
      <c r="T265" s="8">
        <f t="shared" si="18"/>
        <v>165.92490989763138</v>
      </c>
    </row>
    <row r="266" spans="1:20" x14ac:dyDescent="0.25">
      <c r="A266" s="1">
        <v>34726</v>
      </c>
      <c r="B266" s="1">
        <f t="shared" si="19"/>
        <v>34700</v>
      </c>
      <c r="C266">
        <v>138</v>
      </c>
      <c r="I266" s="10">
        <v>40909</v>
      </c>
      <c r="J266" s="12">
        <v>184.7475</v>
      </c>
      <c r="M266" s="1">
        <v>40909</v>
      </c>
      <c r="N266">
        <v>184.7475</v>
      </c>
      <c r="O266">
        <f>VLOOKUP(M266,'Hosing Inventory'!B:D,3,0)</f>
        <v>1.0712441331298059</v>
      </c>
      <c r="P266" s="8">
        <f>N266/VLOOKUP(M266,'Hosing Inventory'!B:D,3,0)</f>
        <v>172.46068779880412</v>
      </c>
      <c r="Q266" s="8">
        <f t="shared" si="16"/>
        <v>177.27019222482826</v>
      </c>
      <c r="R266" s="8">
        <f t="shared" si="17"/>
        <v>171.93474385951143</v>
      </c>
      <c r="S266" s="8">
        <f t="shared" si="15"/>
        <v>170.68709077993617</v>
      </c>
      <c r="T266" s="8">
        <f t="shared" si="18"/>
        <v>166.01508706885087</v>
      </c>
    </row>
    <row r="267" spans="1:20" x14ac:dyDescent="0.25">
      <c r="A267" s="1">
        <v>34733</v>
      </c>
      <c r="B267" s="1">
        <f t="shared" si="19"/>
        <v>34731</v>
      </c>
      <c r="C267">
        <v>154.1</v>
      </c>
      <c r="I267" s="10">
        <v>40940</v>
      </c>
      <c r="J267" s="12">
        <v>171.35</v>
      </c>
      <c r="M267" s="1">
        <v>40940</v>
      </c>
      <c r="N267">
        <v>171.35</v>
      </c>
      <c r="O267">
        <f>VLOOKUP(M267,'Hosing Inventory'!B:D,3,0)</f>
        <v>1.0707412585417351</v>
      </c>
      <c r="P267" s="8">
        <f>N267/VLOOKUP(M267,'Hosing Inventory'!B:D,3,0)</f>
        <v>160.02932420234291</v>
      </c>
      <c r="Q267" s="8">
        <f t="shared" si="16"/>
        <v>175.71286341442305</v>
      </c>
      <c r="R267" s="8">
        <f t="shared" si="17"/>
        <v>171.86883944878926</v>
      </c>
      <c r="S267" s="8">
        <f t="shared" ref="S267:S319" si="20">AVERAGE(P256:P267)</f>
        <v>170.00607557209574</v>
      </c>
      <c r="T267" s="8">
        <f t="shared" si="18"/>
        <v>166.62600289102991</v>
      </c>
    </row>
    <row r="268" spans="1:20" x14ac:dyDescent="0.25">
      <c r="A268" s="1">
        <v>34740</v>
      </c>
      <c r="B268" s="1">
        <f t="shared" si="19"/>
        <v>34731</v>
      </c>
      <c r="C268">
        <v>125.3</v>
      </c>
      <c r="I268" s="10">
        <v>40969</v>
      </c>
      <c r="J268" s="12">
        <v>188.95999999999998</v>
      </c>
      <c r="M268" s="1">
        <v>40969</v>
      </c>
      <c r="N268">
        <v>188.95999999999998</v>
      </c>
      <c r="O268">
        <f>VLOOKUP(M268,'Hosing Inventory'!B:D,3,0)</f>
        <v>1.0702383839536642</v>
      </c>
      <c r="P268" s="8">
        <f>N268/VLOOKUP(M268,'Hosing Inventory'!B:D,3,0)</f>
        <v>176.55879552922198</v>
      </c>
      <c r="Q268" s="8">
        <f t="shared" si="16"/>
        <v>174.12155992619478</v>
      </c>
      <c r="R268" s="8">
        <f t="shared" si="17"/>
        <v>172.21575033190609</v>
      </c>
      <c r="S268" s="8">
        <f t="shared" si="20"/>
        <v>169.86619871783415</v>
      </c>
      <c r="T268" s="8">
        <f t="shared" si="18"/>
        <v>169.43172994168017</v>
      </c>
    </row>
    <row r="269" spans="1:20" x14ac:dyDescent="0.25">
      <c r="A269" s="1">
        <v>34747</v>
      </c>
      <c r="B269" s="1">
        <f t="shared" si="19"/>
        <v>34731</v>
      </c>
      <c r="C269">
        <v>113.9</v>
      </c>
      <c r="I269" s="10">
        <v>41000</v>
      </c>
      <c r="J269" s="12">
        <v>189.97500000000002</v>
      </c>
      <c r="M269" s="1">
        <v>41000</v>
      </c>
      <c r="N269">
        <v>189.97500000000002</v>
      </c>
      <c r="O269">
        <f>VLOOKUP(M269,'Hosing Inventory'!B:D,3,0)</f>
        <v>1.0697355093655934</v>
      </c>
      <c r="P269" s="8">
        <f>N269/VLOOKUP(M269,'Hosing Inventory'!B:D,3,0)</f>
        <v>177.59062715667417</v>
      </c>
      <c r="Q269" s="8">
        <f t="shared" si="16"/>
        <v>171.77303878724231</v>
      </c>
      <c r="R269" s="8">
        <f t="shared" si="17"/>
        <v>172.65925995741776</v>
      </c>
      <c r="S269" s="8">
        <f t="shared" si="20"/>
        <v>169.55198286630338</v>
      </c>
      <c r="T269" s="8">
        <f t="shared" si="18"/>
        <v>172.36005464748754</v>
      </c>
    </row>
    <row r="270" spans="1:20" x14ac:dyDescent="0.25">
      <c r="A270" s="1">
        <v>34754</v>
      </c>
      <c r="B270" s="1">
        <f t="shared" si="19"/>
        <v>34731</v>
      </c>
      <c r="C270">
        <v>163.4</v>
      </c>
      <c r="I270" s="10">
        <v>41030</v>
      </c>
      <c r="J270" s="12">
        <v>190.45000000000002</v>
      </c>
      <c r="M270" s="1">
        <v>41030</v>
      </c>
      <c r="N270">
        <v>190.45000000000002</v>
      </c>
      <c r="O270">
        <f>VLOOKUP(M270,'Hosing Inventory'!B:D,3,0)</f>
        <v>1.0692326347775225</v>
      </c>
      <c r="P270" s="8">
        <f>N270/VLOOKUP(M270,'Hosing Inventory'!B:D,3,0)</f>
        <v>178.11839426284192</v>
      </c>
      <c r="Q270" s="8">
        <f t="shared" si="16"/>
        <v>171.21078795616222</v>
      </c>
      <c r="R270" s="8">
        <f t="shared" si="17"/>
        <v>172.40505195886919</v>
      </c>
      <c r="S270" s="8">
        <f t="shared" si="20"/>
        <v>169.4525404430243</v>
      </c>
      <c r="T270" s="8">
        <f t="shared" si="18"/>
        <v>172.94445840982618</v>
      </c>
    </row>
    <row r="271" spans="1:20" x14ac:dyDescent="0.25">
      <c r="A271" s="1">
        <v>34761</v>
      </c>
      <c r="B271" s="1">
        <f t="shared" si="19"/>
        <v>34759</v>
      </c>
      <c r="C271">
        <v>134.19999999999999</v>
      </c>
      <c r="I271" s="10">
        <v>41061</v>
      </c>
      <c r="J271" s="12">
        <v>189.56</v>
      </c>
      <c r="M271" s="1">
        <v>41061</v>
      </c>
      <c r="N271">
        <v>189.56</v>
      </c>
      <c r="O271">
        <f>VLOOKUP(M271,'Hosing Inventory'!B:D,3,0)</f>
        <v>1.0687297601894516</v>
      </c>
      <c r="P271" s="8">
        <f>N271/VLOOKUP(M271,'Hosing Inventory'!B:D,3,0)</f>
        <v>177.36944086444927</v>
      </c>
      <c r="Q271" s="8">
        <f t="shared" si="16"/>
        <v>171.80045786983371</v>
      </c>
      <c r="R271" s="8">
        <f t="shared" si="17"/>
        <v>171.76757019471299</v>
      </c>
      <c r="S271" s="8">
        <f t="shared" si="20"/>
        <v>169.80639410001021</v>
      </c>
      <c r="T271" s="8">
        <f t="shared" si="18"/>
        <v>173.68787830238907</v>
      </c>
    </row>
    <row r="272" spans="1:20" x14ac:dyDescent="0.25">
      <c r="A272" s="1">
        <v>34768</v>
      </c>
      <c r="B272" s="1">
        <f t="shared" si="19"/>
        <v>34759</v>
      </c>
      <c r="C272">
        <v>135.19999999999999</v>
      </c>
      <c r="I272" s="10">
        <v>41091</v>
      </c>
      <c r="J272" s="12">
        <v>188.3</v>
      </c>
      <c r="M272" s="1">
        <v>41091</v>
      </c>
      <c r="N272">
        <v>188.3</v>
      </c>
      <c r="O272">
        <f>VLOOKUP(M272,'Hosing Inventory'!B:D,3,0)</f>
        <v>1.068226885601381</v>
      </c>
      <c r="P272" s="8">
        <f>N272/VLOOKUP(M272,'Hosing Inventory'!B:D,3,0)</f>
        <v>176.27341395174915</v>
      </c>
      <c r="Q272" s="8">
        <f t="shared" si="16"/>
        <v>172.5318910599369</v>
      </c>
      <c r="R272" s="8">
        <f t="shared" si="17"/>
        <v>171.89917140702855</v>
      </c>
      <c r="S272" s="8">
        <f t="shared" si="20"/>
        <v>170.16920986503206</v>
      </c>
      <c r="T272" s="8">
        <f t="shared" si="18"/>
        <v>174.32333266121324</v>
      </c>
    </row>
    <row r="273" spans="1:20" x14ac:dyDescent="0.25">
      <c r="A273" s="1">
        <v>34775</v>
      </c>
      <c r="B273" s="1">
        <f t="shared" si="19"/>
        <v>34759</v>
      </c>
      <c r="C273">
        <v>143.19999999999999</v>
      </c>
      <c r="I273" s="10">
        <v>41122</v>
      </c>
      <c r="J273" s="12">
        <v>178.21999999999997</v>
      </c>
      <c r="M273" s="1">
        <v>41122</v>
      </c>
      <c r="N273">
        <v>178.21999999999997</v>
      </c>
      <c r="O273">
        <f>VLOOKUP(M273,'Hosing Inventory'!B:D,3,0)</f>
        <v>1.0677240110133102</v>
      </c>
      <c r="P273" s="8">
        <f>N273/VLOOKUP(M273,'Hosing Inventory'!B:D,3,0)</f>
        <v>166.91579299678997</v>
      </c>
      <c r="Q273" s="8">
        <f t="shared" si="16"/>
        <v>172.76939895166387</v>
      </c>
      <c r="R273" s="8">
        <f t="shared" si="17"/>
        <v>171.82774286815976</v>
      </c>
      <c r="S273" s="8">
        <f t="shared" si="20"/>
        <v>171.04854017565881</v>
      </c>
      <c r="T273" s="8">
        <f t="shared" si="18"/>
        <v>175.47107746028777</v>
      </c>
    </row>
    <row r="274" spans="1:20" x14ac:dyDescent="0.25">
      <c r="A274" s="1">
        <v>34782</v>
      </c>
      <c r="B274" s="1">
        <f t="shared" si="19"/>
        <v>34759</v>
      </c>
      <c r="C274">
        <v>138.69999999999999</v>
      </c>
      <c r="I274" s="10">
        <v>41153</v>
      </c>
      <c r="J274" s="12">
        <v>189.97500000000002</v>
      </c>
      <c r="M274" s="1">
        <v>41153</v>
      </c>
      <c r="N274">
        <v>189.97500000000002</v>
      </c>
      <c r="O274">
        <f>VLOOKUP(M274,'Hosing Inventory'!B:D,3,0)</f>
        <v>1.0672211364252393</v>
      </c>
      <c r="P274" s="8">
        <f>N274/VLOOKUP(M274,'Hosing Inventory'!B:D,3,0)</f>
        <v>178.00903066475962</v>
      </c>
      <c r="Q274" s="8">
        <f t="shared" si="16"/>
        <v>173.09000857798222</v>
      </c>
      <c r="R274" s="8">
        <f t="shared" si="17"/>
        <v>171.81506025062632</v>
      </c>
      <c r="S274" s="8">
        <f t="shared" si="20"/>
        <v>172.57225662894544</v>
      </c>
      <c r="T274" s="8">
        <f t="shared" si="18"/>
        <v>175.71278331621068</v>
      </c>
    </row>
    <row r="275" spans="1:20" x14ac:dyDescent="0.25">
      <c r="A275" s="1">
        <v>34789</v>
      </c>
      <c r="B275" s="1">
        <f t="shared" si="19"/>
        <v>34759</v>
      </c>
      <c r="C275">
        <v>146</v>
      </c>
      <c r="I275" s="10">
        <v>41183</v>
      </c>
      <c r="J275" s="12">
        <v>192.375</v>
      </c>
      <c r="M275" s="1">
        <v>41183</v>
      </c>
      <c r="N275">
        <v>192.375</v>
      </c>
      <c r="O275">
        <f>VLOOKUP(M275,'Hosing Inventory'!B:D,3,0)</f>
        <v>1.0667182618371684</v>
      </c>
      <c r="P275" s="8">
        <f>N275/VLOOKUP(M275,'Hosing Inventory'!B:D,3,0)</f>
        <v>180.34283923168226</v>
      </c>
      <c r="Q275" s="8">
        <f t="shared" si="16"/>
        <v>173.53731630024132</v>
      </c>
      <c r="R275" s="8">
        <f t="shared" si="17"/>
        <v>171.75848368710626</v>
      </c>
      <c r="S275" s="8">
        <f t="shared" si="20"/>
        <v>174.26576998809978</v>
      </c>
      <c r="T275" s="8">
        <f t="shared" si="18"/>
        <v>176.17148532871204</v>
      </c>
    </row>
    <row r="276" spans="1:20" x14ac:dyDescent="0.25">
      <c r="A276" s="1">
        <v>34796</v>
      </c>
      <c r="B276" s="1">
        <f t="shared" si="19"/>
        <v>34790</v>
      </c>
      <c r="C276">
        <v>136.80000000000001</v>
      </c>
      <c r="I276" s="10">
        <v>41214</v>
      </c>
      <c r="J276" s="12">
        <v>197.2</v>
      </c>
      <c r="M276" s="1">
        <v>41214</v>
      </c>
      <c r="N276">
        <v>197.2</v>
      </c>
      <c r="O276">
        <f>VLOOKUP(M276,'Hosing Inventory'!B:D,3,0)</f>
        <v>1.0662153872490976</v>
      </c>
      <c r="P276" s="8">
        <f>N276/VLOOKUP(M276,'Hosing Inventory'!B:D,3,0)</f>
        <v>184.95324899482864</v>
      </c>
      <c r="Q276" s="8">
        <f t="shared" si="16"/>
        <v>173.63144591516269</v>
      </c>
      <c r="R276" s="8">
        <f t="shared" si="17"/>
        <v>172.07190289003063</v>
      </c>
      <c r="S276" s="8">
        <f t="shared" si="20"/>
        <v>175.12754309693466</v>
      </c>
      <c r="T276" s="8">
        <f t="shared" si="18"/>
        <v>177.31062778404316</v>
      </c>
    </row>
    <row r="277" spans="1:20" x14ac:dyDescent="0.25">
      <c r="A277" s="1">
        <v>34803</v>
      </c>
      <c r="B277" s="1">
        <f t="shared" si="19"/>
        <v>34790</v>
      </c>
      <c r="C277">
        <v>177.9</v>
      </c>
      <c r="I277" s="10">
        <v>41244</v>
      </c>
      <c r="J277" s="12">
        <v>191.22499999999999</v>
      </c>
      <c r="M277" s="1">
        <v>41244</v>
      </c>
      <c r="N277">
        <v>191.22499999999999</v>
      </c>
      <c r="O277">
        <f>VLOOKUP(M277,'Hosing Inventory'!B:D,3,0)</f>
        <v>1.065712512661027</v>
      </c>
      <c r="P277" s="8">
        <f>N277/VLOOKUP(M277,'Hosing Inventory'!B:D,3,0)</f>
        <v>179.43394464096272</v>
      </c>
      <c r="Q277" s="8">
        <f t="shared" si="16"/>
        <v>173.23935558273362</v>
      </c>
      <c r="R277" s="8">
        <f t="shared" si="17"/>
        <v>172.42249998227194</v>
      </c>
      <c r="S277" s="8">
        <f t="shared" si="20"/>
        <v>175.67129502459224</v>
      </c>
      <c r="T277" s="8">
        <f t="shared" si="18"/>
        <v>177.65471174679541</v>
      </c>
    </row>
    <row r="278" spans="1:20" x14ac:dyDescent="0.25">
      <c r="A278" s="1">
        <v>34810</v>
      </c>
      <c r="B278" s="1">
        <f t="shared" si="19"/>
        <v>34790</v>
      </c>
      <c r="C278">
        <v>138.69999999999999</v>
      </c>
      <c r="I278" s="10">
        <v>41275</v>
      </c>
      <c r="J278" s="12">
        <v>205.32499999999999</v>
      </c>
      <c r="M278" s="1">
        <v>41275</v>
      </c>
      <c r="N278">
        <v>205.32499999999999</v>
      </c>
      <c r="O278">
        <f>VLOOKUP(M278,'Hosing Inventory'!B:D,3,0)</f>
        <v>1.0652096380729561</v>
      </c>
      <c r="P278" s="8">
        <f>N278/VLOOKUP(M278,'Hosing Inventory'!B:D,3,0)</f>
        <v>192.75548461188191</v>
      </c>
      <c r="Q278" s="8">
        <f t="shared" si="16"/>
        <v>174.02480943614248</v>
      </c>
      <c r="R278" s="8">
        <f t="shared" si="17"/>
        <v>173.58004775118278</v>
      </c>
      <c r="S278" s="8">
        <f t="shared" si="20"/>
        <v>177.36252809234873</v>
      </c>
      <c r="T278" s="8">
        <f t="shared" si="18"/>
        <v>180.40172352348418</v>
      </c>
    </row>
    <row r="279" spans="1:20" x14ac:dyDescent="0.25">
      <c r="A279" s="1">
        <v>34817</v>
      </c>
      <c r="B279" s="1">
        <f t="shared" si="19"/>
        <v>34790</v>
      </c>
      <c r="C279">
        <v>146.69999999999999</v>
      </c>
      <c r="I279" s="10">
        <v>41306</v>
      </c>
      <c r="J279" s="12">
        <v>196.375</v>
      </c>
      <c r="M279" s="1">
        <v>41306</v>
      </c>
      <c r="N279">
        <v>196.375</v>
      </c>
      <c r="O279">
        <f>VLOOKUP(M279,'Hosing Inventory'!B:D,3,0)</f>
        <v>1.0649231303289253</v>
      </c>
      <c r="P279" s="8">
        <f>N279/VLOOKUP(M279,'Hosing Inventory'!B:D,3,0)</f>
        <v>184.40298121738158</v>
      </c>
      <c r="Q279" s="8">
        <f t="shared" si="16"/>
        <v>174.69987087451548</v>
      </c>
      <c r="R279" s="8">
        <f t="shared" si="17"/>
        <v>175.13777841496685</v>
      </c>
      <c r="S279" s="8">
        <f t="shared" si="20"/>
        <v>179.39366617693528</v>
      </c>
      <c r="T279" s="8">
        <f t="shared" si="18"/>
        <v>183.31625489358279</v>
      </c>
    </row>
    <row r="280" spans="1:20" x14ac:dyDescent="0.25">
      <c r="A280" s="1">
        <v>34824</v>
      </c>
      <c r="B280" s="1">
        <f t="shared" si="19"/>
        <v>34820</v>
      </c>
      <c r="C280">
        <v>145.69999999999999</v>
      </c>
      <c r="I280" s="10">
        <v>41334</v>
      </c>
      <c r="J280" s="12">
        <v>206.44</v>
      </c>
      <c r="M280" s="1">
        <v>41334</v>
      </c>
      <c r="N280">
        <v>206.44</v>
      </c>
      <c r="O280">
        <f>VLOOKUP(M280,'Hosing Inventory'!B:D,3,0)</f>
        <v>1.0646366225848942</v>
      </c>
      <c r="P280" s="8">
        <f>N280/VLOOKUP(M280,'Hosing Inventory'!B:D,3,0)</f>
        <v>193.90653639057814</v>
      </c>
      <c r="Q280" s="8">
        <f t="shared" si="16"/>
        <v>175.35275498327454</v>
      </c>
      <c r="R280" s="8">
        <f t="shared" si="17"/>
        <v>177.03678414637002</v>
      </c>
      <c r="S280" s="8">
        <f t="shared" si="20"/>
        <v>180.83931124871492</v>
      </c>
      <c r="T280" s="8">
        <f t="shared" si="18"/>
        <v>185.9658391812192</v>
      </c>
    </row>
    <row r="281" spans="1:20" x14ac:dyDescent="0.25">
      <c r="A281" s="1">
        <v>34831</v>
      </c>
      <c r="B281" s="1">
        <f t="shared" si="19"/>
        <v>34820</v>
      </c>
      <c r="C281">
        <v>173.8</v>
      </c>
      <c r="I281" s="10">
        <v>41365</v>
      </c>
      <c r="J281" s="12">
        <v>215.375</v>
      </c>
      <c r="M281" s="1">
        <v>41365</v>
      </c>
      <c r="N281">
        <v>215.375</v>
      </c>
      <c r="O281">
        <f>VLOOKUP(M281,'Hosing Inventory'!B:D,3,0)</f>
        <v>1.0643501148408634</v>
      </c>
      <c r="P281" s="8">
        <f>N281/VLOOKUP(M281,'Hosing Inventory'!B:D,3,0)</f>
        <v>202.35352728101302</v>
      </c>
      <c r="Q281" s="8">
        <f t="shared" si="16"/>
        <v>176.22743456268995</v>
      </c>
      <c r="R281" s="8">
        <f t="shared" si="17"/>
        <v>179.38860905521355</v>
      </c>
      <c r="S281" s="8">
        <f t="shared" si="20"/>
        <v>182.9028862590765</v>
      </c>
      <c r="T281" s="8">
        <f t="shared" si="18"/>
        <v>189.63428718944101</v>
      </c>
    </row>
    <row r="282" spans="1:20" x14ac:dyDescent="0.25">
      <c r="A282" s="1">
        <v>34838</v>
      </c>
      <c r="B282" s="1">
        <f t="shared" si="19"/>
        <v>34820</v>
      </c>
      <c r="C282">
        <v>153.9</v>
      </c>
      <c r="I282" s="10">
        <v>41395</v>
      </c>
      <c r="J282" s="12">
        <v>211.08</v>
      </c>
      <c r="M282" s="1">
        <v>41395</v>
      </c>
      <c r="N282">
        <v>211.08</v>
      </c>
      <c r="O282">
        <f>VLOOKUP(M282,'Hosing Inventory'!B:D,3,0)</f>
        <v>1.0640636070968326</v>
      </c>
      <c r="P282" s="8">
        <f>N282/VLOOKUP(M282,'Hosing Inventory'!B:D,3,0)</f>
        <v>198.37159977297409</v>
      </c>
      <c r="Q282" s="8">
        <f t="shared" ref="Q282:Q319" si="21">AVERAGE(P259:P282)</f>
        <v>177.02159691397262</v>
      </c>
      <c r="R282" s="8">
        <f t="shared" si="17"/>
        <v>180.70858839322261</v>
      </c>
      <c r="S282" s="8">
        <f t="shared" si="20"/>
        <v>184.59065338492087</v>
      </c>
      <c r="T282" s="8">
        <f t="shared" si="18"/>
        <v>191.87067898579858</v>
      </c>
    </row>
    <row r="283" spans="1:20" x14ac:dyDescent="0.25">
      <c r="A283" s="1">
        <v>34845</v>
      </c>
      <c r="B283" s="1">
        <f t="shared" si="19"/>
        <v>34820</v>
      </c>
      <c r="C283">
        <v>151.19999999999999</v>
      </c>
      <c r="I283" s="10">
        <v>41426</v>
      </c>
      <c r="J283" s="12">
        <v>212.60000000000002</v>
      </c>
      <c r="M283" s="1">
        <v>41426</v>
      </c>
      <c r="N283">
        <v>212.60000000000002</v>
      </c>
      <c r="O283">
        <f>VLOOKUP(M283,'Hosing Inventory'!B:D,3,0)</f>
        <v>1.0637770993528015</v>
      </c>
      <c r="P283" s="8">
        <f>N283/VLOOKUP(M283,'Hosing Inventory'!B:D,3,0)</f>
        <v>199.85389808574104</v>
      </c>
      <c r="Q283" s="8">
        <f t="shared" si="21"/>
        <v>178.13537612668605</v>
      </c>
      <c r="R283" s="8">
        <f t="shared" si="17"/>
        <v>182.20553153637093</v>
      </c>
      <c r="S283" s="8">
        <f t="shared" si="20"/>
        <v>186.46435815336187</v>
      </c>
      <c r="T283" s="8">
        <f t="shared" si="18"/>
        <v>195.27400455992833</v>
      </c>
    </row>
    <row r="284" spans="1:20" x14ac:dyDescent="0.25">
      <c r="A284" s="1">
        <v>34852</v>
      </c>
      <c r="B284" s="1">
        <f t="shared" si="19"/>
        <v>34851</v>
      </c>
      <c r="C284">
        <v>183.2</v>
      </c>
      <c r="I284" s="10">
        <v>41456</v>
      </c>
      <c r="J284" s="12">
        <v>198.64999999999998</v>
      </c>
      <c r="M284" s="1">
        <v>41456</v>
      </c>
      <c r="N284">
        <v>198.64999999999998</v>
      </c>
      <c r="O284">
        <f>VLOOKUP(M284,'Hosing Inventory'!B:D,3,0)</f>
        <v>1.0634905916087707</v>
      </c>
      <c r="P284" s="8">
        <f>N284/VLOOKUP(M284,'Hosing Inventory'!B:D,3,0)</f>
        <v>186.79055702739862</v>
      </c>
      <c r="Q284" s="8">
        <f t="shared" si="21"/>
        <v>178.75499830401569</v>
      </c>
      <c r="R284" s="8">
        <f t="shared" si="17"/>
        <v>183.001635382404</v>
      </c>
      <c r="S284" s="8">
        <f t="shared" si="20"/>
        <v>187.34078674299931</v>
      </c>
      <c r="T284" s="8">
        <f t="shared" si="18"/>
        <v>194.27984996251442</v>
      </c>
    </row>
    <row r="285" spans="1:20" x14ac:dyDescent="0.25">
      <c r="A285" s="1">
        <v>34859</v>
      </c>
      <c r="B285" s="1">
        <f t="shared" si="19"/>
        <v>34851</v>
      </c>
      <c r="C285">
        <v>184.6</v>
      </c>
      <c r="I285" s="10">
        <v>41487</v>
      </c>
      <c r="J285" s="12">
        <v>187.73999999999998</v>
      </c>
      <c r="M285" s="1">
        <v>41487</v>
      </c>
      <c r="N285">
        <v>187.73999999999998</v>
      </c>
      <c r="O285">
        <f>VLOOKUP(M285,'Hosing Inventory'!B:D,3,0)</f>
        <v>1.0632040838647399</v>
      </c>
      <c r="P285" s="8">
        <f>N285/VLOOKUP(M285,'Hosing Inventory'!B:D,3,0)</f>
        <v>176.57945717962849</v>
      </c>
      <c r="Q285" s="8">
        <f t="shared" si="21"/>
        <v>179.59731613361404</v>
      </c>
      <c r="R285" s="8">
        <f t="shared" ref="R285:R319" si="22">AVERAGE(P268:P285)</f>
        <v>183.92108721447539</v>
      </c>
      <c r="S285" s="8">
        <f t="shared" si="20"/>
        <v>188.14609209156922</v>
      </c>
      <c r="T285" s="8">
        <f t="shared" si="18"/>
        <v>192.97592928955555</v>
      </c>
    </row>
    <row r="286" spans="1:20" x14ac:dyDescent="0.25">
      <c r="A286" s="1">
        <v>34866</v>
      </c>
      <c r="B286" s="1">
        <f t="shared" si="19"/>
        <v>34851</v>
      </c>
      <c r="C286">
        <v>169.8</v>
      </c>
      <c r="I286" s="10">
        <v>41518</v>
      </c>
      <c r="J286" s="12">
        <v>190.42499999999998</v>
      </c>
      <c r="M286" s="1">
        <v>41518</v>
      </c>
      <c r="N286">
        <v>190.42499999999998</v>
      </c>
      <c r="O286">
        <f>VLOOKUP(M286,'Hosing Inventory'!B:D,3,0)</f>
        <v>1.0629175761207088</v>
      </c>
      <c r="P286" s="8">
        <f>N286/VLOOKUP(M286,'Hosing Inventory'!B:D,3,0)</f>
        <v>179.15311993897691</v>
      </c>
      <c r="Q286" s="8">
        <f t="shared" si="21"/>
        <v>180.40684474668305</v>
      </c>
      <c r="R286" s="8">
        <f t="shared" si="22"/>
        <v>184.06521634835065</v>
      </c>
      <c r="S286" s="8">
        <f t="shared" si="20"/>
        <v>188.24143286442063</v>
      </c>
      <c r="T286" s="8">
        <f t="shared" si="18"/>
        <v>190.51702654762201</v>
      </c>
    </row>
    <row r="287" spans="1:20" x14ac:dyDescent="0.25">
      <c r="A287" s="1">
        <v>34873</v>
      </c>
      <c r="B287" s="1">
        <f t="shared" si="19"/>
        <v>34851</v>
      </c>
      <c r="C287">
        <v>157.80000000000001</v>
      </c>
      <c r="I287" s="10">
        <v>41548</v>
      </c>
      <c r="J287" s="12">
        <v>182.97500000000002</v>
      </c>
      <c r="M287" s="1">
        <v>41548</v>
      </c>
      <c r="N287">
        <v>182.97500000000002</v>
      </c>
      <c r="O287">
        <f>VLOOKUP(M287,'Hosing Inventory'!B:D,3,0)</f>
        <v>1.062631068376678</v>
      </c>
      <c r="P287" s="8">
        <f>N287/VLOOKUP(M287,'Hosing Inventory'!B:D,3,0)</f>
        <v>172.19052354597602</v>
      </c>
      <c r="Q287" s="8">
        <f t="shared" si="21"/>
        <v>180.91392160602246</v>
      </c>
      <c r="R287" s="8">
        <f t="shared" si="22"/>
        <v>183.76521059220079</v>
      </c>
      <c r="S287" s="8">
        <f t="shared" si="20"/>
        <v>187.56207322394508</v>
      </c>
      <c r="T287" s="8">
        <f t="shared" si="18"/>
        <v>185.4898592584492</v>
      </c>
    </row>
    <row r="288" spans="1:20" x14ac:dyDescent="0.25">
      <c r="A288" s="1">
        <v>34880</v>
      </c>
      <c r="B288" s="1">
        <f t="shared" si="19"/>
        <v>34851</v>
      </c>
      <c r="C288">
        <v>165.8</v>
      </c>
      <c r="I288" s="10">
        <v>41579</v>
      </c>
      <c r="J288" s="12">
        <v>187.02</v>
      </c>
      <c r="M288" s="1">
        <v>41579</v>
      </c>
      <c r="N288">
        <v>187.02</v>
      </c>
      <c r="O288">
        <f>VLOOKUP(M288,'Hosing Inventory'!B:D,3,0)</f>
        <v>1.0623445606326472</v>
      </c>
      <c r="P288" s="8">
        <f>N288/VLOOKUP(M288,'Hosing Inventory'!B:D,3,0)</f>
        <v>176.04457812503497</v>
      </c>
      <c r="Q288" s="8">
        <f t="shared" si="21"/>
        <v>180.97361354086513</v>
      </c>
      <c r="R288" s="8">
        <f t="shared" si="22"/>
        <v>183.64999858454482</v>
      </c>
      <c r="S288" s="8">
        <f t="shared" si="20"/>
        <v>186.8196839847956</v>
      </c>
      <c r="T288" s="8">
        <f t="shared" si="18"/>
        <v>181.76868898379269</v>
      </c>
    </row>
    <row r="289" spans="1:20" x14ac:dyDescent="0.25">
      <c r="A289" s="1">
        <v>34887</v>
      </c>
      <c r="B289" s="1">
        <f t="shared" si="19"/>
        <v>34881</v>
      </c>
      <c r="C289">
        <v>153.19999999999999</v>
      </c>
      <c r="I289" s="10">
        <v>41609</v>
      </c>
      <c r="J289" s="12">
        <v>175.52499999999998</v>
      </c>
      <c r="M289" s="1">
        <v>41609</v>
      </c>
      <c r="N289">
        <v>175.52499999999998</v>
      </c>
      <c r="O289">
        <f>VLOOKUP(M289,'Hosing Inventory'!B:D,3,0)</f>
        <v>1.0620580528886161</v>
      </c>
      <c r="P289" s="8">
        <f>N289/VLOOKUP(M289,'Hosing Inventory'!B:D,3,0)</f>
        <v>165.26874357065702</v>
      </c>
      <c r="Q289" s="8">
        <f t="shared" si="21"/>
        <v>180.65527279343118</v>
      </c>
      <c r="R289" s="8">
        <f t="shared" si="22"/>
        <v>182.97773762377861</v>
      </c>
      <c r="S289" s="8">
        <f t="shared" si="20"/>
        <v>185.63925056227015</v>
      </c>
      <c r="T289" s="8">
        <f t="shared" si="18"/>
        <v>176.00449656461203</v>
      </c>
    </row>
    <row r="290" spans="1:20" x14ac:dyDescent="0.25">
      <c r="A290" s="1">
        <v>34894</v>
      </c>
      <c r="B290" s="1">
        <f t="shared" si="19"/>
        <v>34881</v>
      </c>
      <c r="C290">
        <v>174.8</v>
      </c>
      <c r="I290" s="10">
        <v>41640</v>
      </c>
      <c r="J290" s="12">
        <v>183.3</v>
      </c>
      <c r="M290" s="1">
        <v>41640</v>
      </c>
      <c r="N290">
        <v>183.3</v>
      </c>
      <c r="O290">
        <f>VLOOKUP(M290,'Hosing Inventory'!B:D,3,0)</f>
        <v>1.0617715451445853</v>
      </c>
      <c r="P290" s="8">
        <f>N290/VLOOKUP(M290,'Hosing Inventory'!B:D,3,0)</f>
        <v>172.6360070941997</v>
      </c>
      <c r="Q290" s="8">
        <f t="shared" si="21"/>
        <v>180.66257776407272</v>
      </c>
      <c r="R290" s="8">
        <f t="shared" si="22"/>
        <v>182.77565946502583</v>
      </c>
      <c r="S290" s="8">
        <f t="shared" si="20"/>
        <v>183.96262743579666</v>
      </c>
      <c r="T290" s="8">
        <f t="shared" ref="T290:T319" si="23">AVERAGE(P285:P290)</f>
        <v>173.64540490907882</v>
      </c>
    </row>
    <row r="291" spans="1:20" x14ac:dyDescent="0.25">
      <c r="A291" s="1">
        <v>34901</v>
      </c>
      <c r="B291" s="1">
        <f t="shared" si="19"/>
        <v>34881</v>
      </c>
      <c r="C291">
        <v>165.5</v>
      </c>
      <c r="I291" s="10">
        <v>41671</v>
      </c>
      <c r="J291" s="12">
        <v>164.2</v>
      </c>
      <c r="M291" s="1">
        <v>41671</v>
      </c>
      <c r="N291">
        <v>164.2</v>
      </c>
      <c r="O291">
        <f>VLOOKUP(M291,'Hosing Inventory'!B:D,3,0)</f>
        <v>1.0621032283835257</v>
      </c>
      <c r="P291" s="8">
        <f>N291/VLOOKUP(M291,'Hosing Inventory'!B:D,3,0)</f>
        <v>154.59890866719721</v>
      </c>
      <c r="Q291" s="8">
        <f t="shared" si="21"/>
        <v>180.43631045010829</v>
      </c>
      <c r="R291" s="8">
        <f t="shared" si="22"/>
        <v>182.09138811338181</v>
      </c>
      <c r="S291" s="8">
        <f t="shared" si="20"/>
        <v>181.47895472328128</v>
      </c>
      <c r="T291" s="8">
        <f t="shared" si="23"/>
        <v>169.98198015700697</v>
      </c>
    </row>
    <row r="292" spans="1:20" x14ac:dyDescent="0.25">
      <c r="A292" s="1">
        <v>34908</v>
      </c>
      <c r="B292" s="1">
        <f t="shared" si="19"/>
        <v>34881</v>
      </c>
      <c r="C292">
        <v>153.4</v>
      </c>
      <c r="I292" s="10">
        <v>41699</v>
      </c>
      <c r="J292" s="12">
        <v>171.9</v>
      </c>
      <c r="M292" s="1">
        <v>41699</v>
      </c>
      <c r="N292">
        <v>171.9</v>
      </c>
      <c r="O292">
        <f>VLOOKUP(M292,'Hosing Inventory'!B:D,3,0)</f>
        <v>1.0624349116224661</v>
      </c>
      <c r="P292" s="8">
        <f>N292/VLOOKUP(M292,'Hosing Inventory'!B:D,3,0)</f>
        <v>161.79814699188302</v>
      </c>
      <c r="Q292" s="8">
        <f t="shared" si="21"/>
        <v>179.82128342771918</v>
      </c>
      <c r="R292" s="8">
        <f t="shared" si="22"/>
        <v>181.19078346488865</v>
      </c>
      <c r="S292" s="8">
        <f t="shared" si="20"/>
        <v>178.80325560672335</v>
      </c>
      <c r="T292" s="8">
        <f t="shared" si="23"/>
        <v>167.08948466582464</v>
      </c>
    </row>
    <row r="293" spans="1:20" x14ac:dyDescent="0.25">
      <c r="A293" s="1">
        <v>34915</v>
      </c>
      <c r="B293" s="1">
        <f t="shared" si="19"/>
        <v>34912</v>
      </c>
      <c r="C293">
        <v>156.69999999999999</v>
      </c>
      <c r="I293" s="10">
        <v>41730</v>
      </c>
      <c r="J293" s="12">
        <v>177.77500000000001</v>
      </c>
      <c r="M293" s="1">
        <v>41730</v>
      </c>
      <c r="N293">
        <v>177.77500000000001</v>
      </c>
      <c r="O293">
        <f>VLOOKUP(M293,'Hosing Inventory'!B:D,3,0)</f>
        <v>1.0627665948614062</v>
      </c>
      <c r="P293" s="8">
        <f>N293/VLOOKUP(M293,'Hosing Inventory'!B:D,3,0)</f>
        <v>167.27567544892901</v>
      </c>
      <c r="Q293" s="8">
        <f t="shared" si="21"/>
        <v>179.39149377322977</v>
      </c>
      <c r="R293" s="8">
        <f t="shared" si="22"/>
        <v>180.46482992140236</v>
      </c>
      <c r="S293" s="8">
        <f t="shared" si="20"/>
        <v>175.88010128738301</v>
      </c>
      <c r="T293" s="8">
        <f t="shared" si="23"/>
        <v>166.27034331631683</v>
      </c>
    </row>
    <row r="294" spans="1:20" x14ac:dyDescent="0.25">
      <c r="A294" s="1">
        <v>34922</v>
      </c>
      <c r="B294" s="1">
        <f t="shared" si="19"/>
        <v>34912</v>
      </c>
      <c r="C294">
        <v>155.6</v>
      </c>
      <c r="I294" s="10">
        <v>41760</v>
      </c>
      <c r="J294" s="12">
        <v>180</v>
      </c>
      <c r="M294" s="1">
        <v>41760</v>
      </c>
      <c r="N294">
        <v>180</v>
      </c>
      <c r="O294">
        <f>VLOOKUP(M294,'Hosing Inventory'!B:D,3,0)</f>
        <v>1.0630982781003466</v>
      </c>
      <c r="P294" s="8">
        <f>N294/VLOOKUP(M294,'Hosing Inventory'!B:D,3,0)</f>
        <v>169.31642512077295</v>
      </c>
      <c r="Q294" s="8">
        <f t="shared" si="21"/>
        <v>179.02474505897689</v>
      </c>
      <c r="R294" s="8">
        <f t="shared" si="22"/>
        <v>179.5961174839548</v>
      </c>
      <c r="S294" s="8">
        <f t="shared" si="20"/>
        <v>173.45883673303294</v>
      </c>
      <c r="T294" s="8">
        <f t="shared" si="23"/>
        <v>165.14898448227314</v>
      </c>
    </row>
    <row r="295" spans="1:20" x14ac:dyDescent="0.25">
      <c r="A295" s="1">
        <v>34929</v>
      </c>
      <c r="B295" s="1">
        <f t="shared" si="19"/>
        <v>34912</v>
      </c>
      <c r="C295">
        <v>151.30000000000001</v>
      </c>
      <c r="I295" s="10">
        <v>41791</v>
      </c>
      <c r="J295" s="12">
        <v>179.42500000000001</v>
      </c>
      <c r="M295" s="1">
        <v>41791</v>
      </c>
      <c r="N295">
        <v>179.42500000000001</v>
      </c>
      <c r="O295">
        <f>VLOOKUP(M295,'Hosing Inventory'!B:D,3,0)</f>
        <v>1.063429961339287</v>
      </c>
      <c r="P295" s="8">
        <f>N295/VLOOKUP(M295,'Hosing Inventory'!B:D,3,0)</f>
        <v>168.7229122019767</v>
      </c>
      <c r="Q295" s="8">
        <f t="shared" si="21"/>
        <v>178.66447303137394</v>
      </c>
      <c r="R295" s="8">
        <f t="shared" si="22"/>
        <v>179.00106012623337</v>
      </c>
      <c r="S295" s="8">
        <f t="shared" si="20"/>
        <v>170.8645879093859</v>
      </c>
      <c r="T295" s="8">
        <f t="shared" si="23"/>
        <v>165.72467925415975</v>
      </c>
    </row>
    <row r="296" spans="1:20" x14ac:dyDescent="0.25">
      <c r="A296" s="1">
        <v>34936</v>
      </c>
      <c r="B296" s="1">
        <f t="shared" si="19"/>
        <v>34912</v>
      </c>
      <c r="C296">
        <v>153.80000000000001</v>
      </c>
      <c r="I296" s="10">
        <v>41821</v>
      </c>
      <c r="J296" s="12">
        <v>171.625</v>
      </c>
      <c r="M296" s="1">
        <v>41821</v>
      </c>
      <c r="N296">
        <v>171.625</v>
      </c>
      <c r="O296">
        <f>VLOOKUP(M296,'Hosing Inventory'!B:D,3,0)</f>
        <v>1.0637616445782274</v>
      </c>
      <c r="P296" s="8">
        <f>N296/VLOOKUP(M296,'Hosing Inventory'!B:D,3,0)</f>
        <v>161.33783434920505</v>
      </c>
      <c r="Q296" s="8">
        <f t="shared" si="21"/>
        <v>178.04215721460125</v>
      </c>
      <c r="R296" s="8">
        <f t="shared" si="22"/>
        <v>177.25563511164023</v>
      </c>
      <c r="S296" s="8">
        <f t="shared" si="20"/>
        <v>168.74352768620307</v>
      </c>
      <c r="T296" s="8">
        <f t="shared" si="23"/>
        <v>163.84165046332734</v>
      </c>
    </row>
    <row r="297" spans="1:20" x14ac:dyDescent="0.25">
      <c r="A297" s="1">
        <v>34943</v>
      </c>
      <c r="B297" s="1">
        <f t="shared" si="19"/>
        <v>34943</v>
      </c>
      <c r="C297">
        <v>185.8</v>
      </c>
      <c r="I297" s="10">
        <v>41852</v>
      </c>
      <c r="J297" s="12">
        <v>165.92</v>
      </c>
      <c r="M297" s="1">
        <v>41852</v>
      </c>
      <c r="N297">
        <v>165.92</v>
      </c>
      <c r="O297">
        <f>VLOOKUP(M297,'Hosing Inventory'!B:D,3,0)</f>
        <v>1.0640933278171676</v>
      </c>
      <c r="P297" s="8">
        <f>N297/VLOOKUP(M297,'Hosing Inventory'!B:D,3,0)</f>
        <v>155.92617269799135</v>
      </c>
      <c r="Q297" s="8">
        <f t="shared" si="21"/>
        <v>177.58425636881796</v>
      </c>
      <c r="R297" s="8">
        <f t="shared" si="22"/>
        <v>175.6735901938963</v>
      </c>
      <c r="S297" s="8">
        <f t="shared" si="20"/>
        <v>167.02242064606665</v>
      </c>
      <c r="T297" s="8">
        <f t="shared" si="23"/>
        <v>164.06286113512633</v>
      </c>
    </row>
    <row r="298" spans="1:20" x14ac:dyDescent="0.25">
      <c r="A298" s="1">
        <v>34950</v>
      </c>
      <c r="B298" s="1">
        <f t="shared" si="19"/>
        <v>34943</v>
      </c>
      <c r="C298">
        <v>190.7</v>
      </c>
      <c r="I298" s="10">
        <v>41883</v>
      </c>
      <c r="J298" s="12">
        <v>167.10000000000002</v>
      </c>
      <c r="M298" s="1">
        <v>41883</v>
      </c>
      <c r="N298">
        <v>167.10000000000002</v>
      </c>
      <c r="O298">
        <f>VLOOKUP(M298,'Hosing Inventory'!B:D,3,0)</f>
        <v>1.064425011056108</v>
      </c>
      <c r="P298" s="8">
        <f>N298/VLOOKUP(M298,'Hosing Inventory'!B:D,3,0)</f>
        <v>156.98616460938445</v>
      </c>
      <c r="Q298" s="8">
        <f t="shared" si="21"/>
        <v>176.70830361651065</v>
      </c>
      <c r="R298" s="8">
        <f t="shared" si="22"/>
        <v>173.62245842827443</v>
      </c>
      <c r="S298" s="8">
        <f t="shared" si="20"/>
        <v>165.17517436860058</v>
      </c>
      <c r="T298" s="8">
        <f t="shared" si="23"/>
        <v>163.26086407137657</v>
      </c>
    </row>
    <row r="299" spans="1:20" x14ac:dyDescent="0.25">
      <c r="A299" s="1">
        <v>34957</v>
      </c>
      <c r="B299" s="1">
        <f t="shared" si="19"/>
        <v>34943</v>
      </c>
      <c r="C299">
        <v>184.6</v>
      </c>
      <c r="I299" s="10">
        <v>41913</v>
      </c>
      <c r="J299" s="12">
        <v>164.48000000000002</v>
      </c>
      <c r="M299" s="1">
        <v>41913</v>
      </c>
      <c r="N299">
        <v>164.48000000000002</v>
      </c>
      <c r="O299">
        <f>VLOOKUP(M299,'Hosing Inventory'!B:D,3,0)</f>
        <v>1.0647566942950484</v>
      </c>
      <c r="P299" s="8">
        <f>N299/VLOOKUP(M299,'Hosing Inventory'!B:D,3,0)</f>
        <v>154.4766056708369</v>
      </c>
      <c r="Q299" s="8">
        <f t="shared" si="21"/>
        <v>175.63054388480873</v>
      </c>
      <c r="R299" s="8">
        <f t="shared" si="22"/>
        <v>170.96262944993131</v>
      </c>
      <c r="S299" s="8">
        <f t="shared" si="20"/>
        <v>163.69901454567236</v>
      </c>
      <c r="T299" s="8">
        <f t="shared" si="23"/>
        <v>161.12768577502789</v>
      </c>
    </row>
    <row r="300" spans="1:20" x14ac:dyDescent="0.25">
      <c r="A300" s="1">
        <v>34964</v>
      </c>
      <c r="B300" s="1">
        <f t="shared" si="19"/>
        <v>34943</v>
      </c>
      <c r="C300">
        <v>202.1</v>
      </c>
      <c r="I300" s="10">
        <v>41944</v>
      </c>
      <c r="J300" s="12">
        <v>171.85000000000002</v>
      </c>
      <c r="M300" s="1">
        <v>41944</v>
      </c>
      <c r="N300">
        <v>171.85000000000002</v>
      </c>
      <c r="O300">
        <f>VLOOKUP(M300,'Hosing Inventory'!B:D,3,0)</f>
        <v>1.0650883775339886</v>
      </c>
      <c r="P300" s="8">
        <f>N300/VLOOKUP(M300,'Hosing Inventory'!B:D,3,0)</f>
        <v>161.34811310014135</v>
      </c>
      <c r="Q300" s="8">
        <f t="shared" si="21"/>
        <v>174.64699655586344</v>
      </c>
      <c r="R300" s="8">
        <f t="shared" si="22"/>
        <v>168.90576907921837</v>
      </c>
      <c r="S300" s="8">
        <f t="shared" si="20"/>
        <v>162.47430912693122</v>
      </c>
      <c r="T300" s="8">
        <f t="shared" si="23"/>
        <v>159.79963377158927</v>
      </c>
    </row>
    <row r="301" spans="1:20" x14ac:dyDescent="0.25">
      <c r="A301" s="1">
        <v>34971</v>
      </c>
      <c r="B301" s="1">
        <f t="shared" si="19"/>
        <v>34943</v>
      </c>
      <c r="C301">
        <v>180.3</v>
      </c>
      <c r="I301" s="10">
        <v>41974</v>
      </c>
      <c r="J301" s="12">
        <v>165.82499999999999</v>
      </c>
      <c r="M301" s="1">
        <v>41974</v>
      </c>
      <c r="N301">
        <v>165.82499999999999</v>
      </c>
      <c r="O301">
        <f>VLOOKUP(M301,'Hosing Inventory'!B:D,3,0)</f>
        <v>1.0654200607729289</v>
      </c>
      <c r="P301" s="8">
        <f>N301/VLOOKUP(M301,'Hosing Inventory'!B:D,3,0)</f>
        <v>155.64283619711378</v>
      </c>
      <c r="Q301" s="8">
        <f t="shared" si="21"/>
        <v>173.65570037070304</v>
      </c>
      <c r="R301" s="8">
        <f t="shared" si="22"/>
        <v>166.44959897429464</v>
      </c>
      <c r="S301" s="8">
        <f t="shared" si="20"/>
        <v>161.67215017913597</v>
      </c>
      <c r="T301" s="8">
        <f t="shared" si="23"/>
        <v>157.61962110411213</v>
      </c>
    </row>
    <row r="302" spans="1:20" x14ac:dyDescent="0.25">
      <c r="A302" s="1">
        <v>34978</v>
      </c>
      <c r="B302" s="1">
        <f t="shared" si="19"/>
        <v>34973</v>
      </c>
      <c r="C302">
        <v>180.7</v>
      </c>
      <c r="I302" s="10">
        <v>42005</v>
      </c>
      <c r="J302" s="12">
        <v>184.51999999999998</v>
      </c>
      <c r="M302" s="1">
        <v>42005</v>
      </c>
      <c r="N302">
        <v>184.51999999999998</v>
      </c>
      <c r="O302">
        <f>VLOOKUP(M302,'Hosing Inventory'!B:D,3,0)</f>
        <v>1.0657517440118693</v>
      </c>
      <c r="P302" s="8">
        <f>N302/VLOOKUP(M302,'Hosing Inventory'!B:D,3,0)</f>
        <v>173.13600567558157</v>
      </c>
      <c r="Q302" s="8">
        <f t="shared" si="21"/>
        <v>172.83822208169056</v>
      </c>
      <c r="R302" s="8">
        <f t="shared" si="22"/>
        <v>165.69101278808256</v>
      </c>
      <c r="S302" s="8">
        <f t="shared" si="20"/>
        <v>161.71381672758449</v>
      </c>
      <c r="T302" s="8">
        <f t="shared" si="23"/>
        <v>159.58598299184158</v>
      </c>
    </row>
    <row r="303" spans="1:20" x14ac:dyDescent="0.25">
      <c r="A303" s="1">
        <v>34985</v>
      </c>
      <c r="B303" s="1">
        <f t="shared" si="19"/>
        <v>34973</v>
      </c>
      <c r="C303">
        <v>184.6</v>
      </c>
      <c r="I303" s="10">
        <v>42036</v>
      </c>
      <c r="J303" s="12">
        <v>169.45</v>
      </c>
      <c r="M303" s="1">
        <v>42036</v>
      </c>
      <c r="N303">
        <v>169.45</v>
      </c>
      <c r="O303">
        <f>VLOOKUP(M303,'Hosing Inventory'!B:D,3,0)</f>
        <v>1.0657517440118693</v>
      </c>
      <c r="P303" s="8">
        <f>N303/VLOOKUP(M303,'Hosing Inventory'!B:D,3,0)</f>
        <v>158.99575201456375</v>
      </c>
      <c r="Q303" s="8">
        <f t="shared" si="21"/>
        <v>171.77958753157316</v>
      </c>
      <c r="R303" s="8">
        <f t="shared" si="22"/>
        <v>164.71414027891228</v>
      </c>
      <c r="S303" s="8">
        <f t="shared" si="20"/>
        <v>162.08022033986501</v>
      </c>
      <c r="T303" s="8">
        <f t="shared" si="23"/>
        <v>160.09757954460363</v>
      </c>
    </row>
    <row r="304" spans="1:20" x14ac:dyDescent="0.25">
      <c r="A304" s="1">
        <v>34992</v>
      </c>
      <c r="B304" s="1">
        <f t="shared" si="19"/>
        <v>34973</v>
      </c>
      <c r="C304">
        <v>193.7</v>
      </c>
      <c r="I304" s="10">
        <v>42064</v>
      </c>
      <c r="J304" s="12">
        <v>177.74999999999997</v>
      </c>
      <c r="M304" s="1">
        <v>42064</v>
      </c>
      <c r="N304">
        <v>177.74999999999997</v>
      </c>
      <c r="O304">
        <f>VLOOKUP(M304,'Hosing Inventory'!B:D,3,0)</f>
        <v>1.0657517440118693</v>
      </c>
      <c r="P304" s="8">
        <f>N304/VLOOKUP(M304,'Hosing Inventory'!B:D,3,0)</f>
        <v>166.78368203357155</v>
      </c>
      <c r="Q304" s="8">
        <f t="shared" si="21"/>
        <v>170.64946860003118</v>
      </c>
      <c r="R304" s="8">
        <f t="shared" si="22"/>
        <v>164.02694928416753</v>
      </c>
      <c r="S304" s="8">
        <f t="shared" si="20"/>
        <v>162.49568159333904</v>
      </c>
      <c r="T304" s="8">
        <f t="shared" si="23"/>
        <v>161.73049911530151</v>
      </c>
    </row>
    <row r="305" spans="1:20" x14ac:dyDescent="0.25">
      <c r="A305" s="1">
        <v>34999</v>
      </c>
      <c r="B305" s="1">
        <f t="shared" si="19"/>
        <v>34973</v>
      </c>
      <c r="C305">
        <v>188.9</v>
      </c>
      <c r="I305" s="10">
        <v>42095</v>
      </c>
      <c r="J305" s="12">
        <v>202.04999999999998</v>
      </c>
      <c r="M305" s="1">
        <v>42095</v>
      </c>
      <c r="N305">
        <v>202.04999999999998</v>
      </c>
      <c r="O305">
        <f>VLOOKUP(M305,'Hosing Inventory'!B:D,3,0)</f>
        <v>1.0657517440118693</v>
      </c>
      <c r="P305" s="8">
        <f>N305/VLOOKUP(M305,'Hosing Inventory'!B:D,3,0)</f>
        <v>189.58448919765479</v>
      </c>
      <c r="Q305" s="8">
        <f t="shared" si="21"/>
        <v>170.11742534655792</v>
      </c>
      <c r="R305" s="8">
        <f t="shared" si="22"/>
        <v>164.99328070926083</v>
      </c>
      <c r="S305" s="8">
        <f t="shared" si="20"/>
        <v>164.35474940573286</v>
      </c>
      <c r="T305" s="8">
        <f t="shared" si="23"/>
        <v>167.58181303643781</v>
      </c>
    </row>
    <row r="306" spans="1:20" x14ac:dyDescent="0.25">
      <c r="A306" s="1">
        <v>35006</v>
      </c>
      <c r="B306" s="1">
        <f t="shared" si="19"/>
        <v>35004</v>
      </c>
      <c r="C306">
        <v>183.7</v>
      </c>
      <c r="I306" s="10">
        <v>42125</v>
      </c>
      <c r="J306" s="12">
        <v>201.95999999999998</v>
      </c>
      <c r="M306" s="1">
        <v>42125</v>
      </c>
      <c r="N306">
        <v>201.95999999999998</v>
      </c>
      <c r="O306">
        <f>VLOOKUP(M306,'Hosing Inventory'!B:D,3,0)</f>
        <v>1.0657517440118693</v>
      </c>
      <c r="P306" s="8">
        <f>N306/VLOOKUP(M306,'Hosing Inventory'!B:D,3,0)</f>
        <v>189.50004176371374</v>
      </c>
      <c r="Q306" s="8">
        <f t="shared" si="21"/>
        <v>169.74777709617209</v>
      </c>
      <c r="R306" s="8">
        <f t="shared" si="22"/>
        <v>165.74080646696518</v>
      </c>
      <c r="S306" s="8">
        <f t="shared" si="20"/>
        <v>166.03671745931126</v>
      </c>
      <c r="T306" s="8">
        <f t="shared" si="23"/>
        <v>172.2738011470332</v>
      </c>
    </row>
    <row r="307" spans="1:20" x14ac:dyDescent="0.25">
      <c r="A307" s="1">
        <v>35013</v>
      </c>
      <c r="B307" s="1">
        <f t="shared" si="19"/>
        <v>35004</v>
      </c>
      <c r="C307">
        <v>199.1</v>
      </c>
      <c r="I307" s="10">
        <v>42156</v>
      </c>
      <c r="J307" s="12">
        <v>206.67500000000001</v>
      </c>
      <c r="M307" s="1">
        <v>42156</v>
      </c>
      <c r="N307">
        <v>206.67500000000001</v>
      </c>
      <c r="O307">
        <f>VLOOKUP(M307,'Hosing Inventory'!B:D,3,0)</f>
        <v>1.0657517440118693</v>
      </c>
      <c r="P307" s="8">
        <f>N307/VLOOKUP(M307,'Hosing Inventory'!B:D,3,0)</f>
        <v>193.92414899740317</v>
      </c>
      <c r="Q307" s="8">
        <f t="shared" si="21"/>
        <v>169.50070421749135</v>
      </c>
      <c r="R307" s="8">
        <f t="shared" si="22"/>
        <v>167.33277343511779</v>
      </c>
      <c r="S307" s="8">
        <f t="shared" si="20"/>
        <v>168.13682052559676</v>
      </c>
      <c r="T307" s="8">
        <f t="shared" si="23"/>
        <v>178.65401994708142</v>
      </c>
    </row>
    <row r="308" spans="1:20" x14ac:dyDescent="0.25">
      <c r="A308" s="1">
        <v>35020</v>
      </c>
      <c r="B308" s="1">
        <f t="shared" si="19"/>
        <v>35004</v>
      </c>
      <c r="C308">
        <v>197.7</v>
      </c>
      <c r="I308" s="10">
        <v>42186</v>
      </c>
      <c r="J308" s="12">
        <v>201.96</v>
      </c>
      <c r="M308" s="1">
        <v>42186</v>
      </c>
      <c r="N308">
        <v>201.96</v>
      </c>
      <c r="O308">
        <f>VLOOKUP(M308,'Hosing Inventory'!B:D,3,0)</f>
        <v>1.0657517440118693</v>
      </c>
      <c r="P308" s="8">
        <f>N308/VLOOKUP(M308,'Hosing Inventory'!B:D,3,0)</f>
        <v>189.50004176371374</v>
      </c>
      <c r="Q308" s="8">
        <f t="shared" si="21"/>
        <v>169.61359941483781</v>
      </c>
      <c r="R308" s="8">
        <f t="shared" si="22"/>
        <v>168.26966425009084</v>
      </c>
      <c r="S308" s="8">
        <f t="shared" si="20"/>
        <v>170.48367114347249</v>
      </c>
      <c r="T308" s="8">
        <f t="shared" si="23"/>
        <v>181.38135929510341</v>
      </c>
    </row>
    <row r="309" spans="1:20" x14ac:dyDescent="0.25">
      <c r="A309" s="1">
        <v>35027</v>
      </c>
      <c r="B309" s="1">
        <f t="shared" si="19"/>
        <v>35004</v>
      </c>
      <c r="C309">
        <v>173</v>
      </c>
      <c r="I309" s="10">
        <v>42217</v>
      </c>
      <c r="J309" s="12">
        <v>199.57500000000002</v>
      </c>
      <c r="M309" s="1">
        <v>42217</v>
      </c>
      <c r="N309">
        <v>199.57500000000002</v>
      </c>
      <c r="O309">
        <f>VLOOKUP(M309,'Hosing Inventory'!B:D,3,0)</f>
        <v>1.0657517440118693</v>
      </c>
      <c r="P309" s="8">
        <f>N309/VLOOKUP(M309,'Hosing Inventory'!B:D,3,0)</f>
        <v>187.26218476427596</v>
      </c>
      <c r="Q309" s="8">
        <f t="shared" si="21"/>
        <v>170.05871306419809</v>
      </c>
      <c r="R309" s="8">
        <f t="shared" si="22"/>
        <v>170.08429069992852</v>
      </c>
      <c r="S309" s="8">
        <f t="shared" si="20"/>
        <v>173.09500548232953</v>
      </c>
      <c r="T309" s="8">
        <f t="shared" si="23"/>
        <v>186.0924314200555</v>
      </c>
    </row>
    <row r="310" spans="1:20" x14ac:dyDescent="0.25">
      <c r="A310" s="1">
        <v>35034</v>
      </c>
      <c r="B310" s="1">
        <f t="shared" si="19"/>
        <v>35034</v>
      </c>
      <c r="C310">
        <v>198.6</v>
      </c>
      <c r="I310" s="10">
        <v>42248</v>
      </c>
      <c r="J310" s="12">
        <v>204.4</v>
      </c>
      <c r="M310" s="1">
        <v>42248</v>
      </c>
      <c r="N310">
        <v>204.4</v>
      </c>
      <c r="O310">
        <f>VLOOKUP(M310,'Hosing Inventory'!B:D,3,0)</f>
        <v>1.0657517440118693</v>
      </c>
      <c r="P310" s="8">
        <f>N310/VLOOKUP(M310,'Hosing Inventory'!B:D,3,0)</f>
        <v>191.78950552833774</v>
      </c>
      <c r="Q310" s="8">
        <f t="shared" si="21"/>
        <v>170.58522913042148</v>
      </c>
      <c r="R310" s="8">
        <f t="shared" si="22"/>
        <v>171.7504772852871</v>
      </c>
      <c r="S310" s="8">
        <f t="shared" si="20"/>
        <v>175.99528389224236</v>
      </c>
      <c r="T310" s="8">
        <f t="shared" si="23"/>
        <v>190.26006866918317</v>
      </c>
    </row>
    <row r="311" spans="1:20" x14ac:dyDescent="0.25">
      <c r="A311" s="1">
        <v>35041</v>
      </c>
      <c r="B311" s="1">
        <f t="shared" si="19"/>
        <v>35034</v>
      </c>
      <c r="C311">
        <v>213.9</v>
      </c>
      <c r="I311" s="10">
        <v>42278</v>
      </c>
      <c r="J311" s="12">
        <v>201.11999999999998</v>
      </c>
      <c r="M311" s="1">
        <v>42278</v>
      </c>
      <c r="N311">
        <v>201.11999999999998</v>
      </c>
      <c r="O311">
        <f>VLOOKUP(M311,'Hosing Inventory'!B:D,3,0)</f>
        <v>1.0657517440118693</v>
      </c>
      <c r="P311" s="8">
        <f>N311/VLOOKUP(M311,'Hosing Inventory'!B:D,3,0)</f>
        <v>188.71186571359726</v>
      </c>
      <c r="Q311" s="8">
        <f t="shared" si="21"/>
        <v>171.27361838740572</v>
      </c>
      <c r="R311" s="8">
        <f t="shared" si="22"/>
        <v>172.94137674443533</v>
      </c>
      <c r="S311" s="8">
        <f t="shared" si="20"/>
        <v>178.848222229139</v>
      </c>
      <c r="T311" s="8">
        <f t="shared" si="23"/>
        <v>190.11463142184024</v>
      </c>
    </row>
    <row r="312" spans="1:20" x14ac:dyDescent="0.25">
      <c r="A312" s="1">
        <v>35048</v>
      </c>
      <c r="B312" s="1">
        <f t="shared" si="19"/>
        <v>35034</v>
      </c>
      <c r="C312">
        <v>190</v>
      </c>
      <c r="I312" s="10">
        <v>42309</v>
      </c>
      <c r="J312" s="12">
        <v>210.67499999999998</v>
      </c>
      <c r="M312" s="1">
        <v>42309</v>
      </c>
      <c r="N312">
        <v>210.67499999999998</v>
      </c>
      <c r="O312">
        <f>VLOOKUP(M312,'Hosing Inventory'!B:D,3,0)</f>
        <v>1.0657517440118693</v>
      </c>
      <c r="P312" s="8">
        <f>N312/VLOOKUP(M312,'Hosing Inventory'!B:D,3,0)</f>
        <v>197.67736828367197</v>
      </c>
      <c r="Q312" s="8">
        <f t="shared" si="21"/>
        <v>172.17498464401558</v>
      </c>
      <c r="R312" s="8">
        <f t="shared" si="22"/>
        <v>174.51698469792973</v>
      </c>
      <c r="S312" s="8">
        <f t="shared" si="20"/>
        <v>181.87566016109989</v>
      </c>
      <c r="T312" s="8">
        <f t="shared" si="23"/>
        <v>191.47751917516663</v>
      </c>
    </row>
    <row r="313" spans="1:20" x14ac:dyDescent="0.25">
      <c r="A313" s="1">
        <v>35055</v>
      </c>
      <c r="B313" s="1">
        <f t="shared" si="19"/>
        <v>35034</v>
      </c>
      <c r="C313">
        <v>218.3</v>
      </c>
      <c r="I313" s="10">
        <v>42339</v>
      </c>
      <c r="J313" s="12">
        <v>225.375</v>
      </c>
      <c r="M313" s="1">
        <v>42339</v>
      </c>
      <c r="N313">
        <v>225.375</v>
      </c>
      <c r="O313">
        <f>VLOOKUP(M313,'Hosing Inventory'!B:D,3,0)</f>
        <v>1.0657517440118693</v>
      </c>
      <c r="P313" s="8">
        <f>N313/VLOOKUP(M313,'Hosing Inventory'!B:D,3,0)</f>
        <v>211.47044916070996</v>
      </c>
      <c r="Q313" s="8">
        <f t="shared" si="21"/>
        <v>174.10005571026781</v>
      </c>
      <c r="R313" s="8">
        <f t="shared" si="22"/>
        <v>176.89184786230376</v>
      </c>
      <c r="S313" s="8">
        <f t="shared" si="20"/>
        <v>186.52796124139957</v>
      </c>
      <c r="T313" s="8">
        <f t="shared" si="23"/>
        <v>194.40190253571777</v>
      </c>
    </row>
    <row r="314" spans="1:20" x14ac:dyDescent="0.25">
      <c r="A314" s="1">
        <v>35062</v>
      </c>
      <c r="B314" s="1">
        <f t="shared" si="19"/>
        <v>35034</v>
      </c>
      <c r="C314">
        <v>202.6</v>
      </c>
      <c r="I314" s="10">
        <v>42370</v>
      </c>
      <c r="J314" s="12">
        <v>222.69999999999996</v>
      </c>
      <c r="M314" s="1">
        <v>42370</v>
      </c>
      <c r="N314">
        <v>222.69999999999996</v>
      </c>
      <c r="O314">
        <f>VLOOKUP(M314,'Hosing Inventory'!B:D,3,0)</f>
        <v>1.0657517440118693</v>
      </c>
      <c r="P314" s="8">
        <f>N314/VLOOKUP(M314,'Hosing Inventory'!B:D,3,0)</f>
        <v>208.96048376301763</v>
      </c>
      <c r="Q314" s="8">
        <f t="shared" si="21"/>
        <v>175.61357557146857</v>
      </c>
      <c r="R314" s="8">
        <f t="shared" si="22"/>
        <v>179.53755060751558</v>
      </c>
      <c r="S314" s="8">
        <f t="shared" si="20"/>
        <v>189.51333441535257</v>
      </c>
      <c r="T314" s="8">
        <f t="shared" si="23"/>
        <v>197.64530953560177</v>
      </c>
    </row>
    <row r="315" spans="1:20" x14ac:dyDescent="0.25">
      <c r="A315" s="1">
        <v>35069</v>
      </c>
      <c r="B315" s="1">
        <f t="shared" si="19"/>
        <v>35065</v>
      </c>
      <c r="C315">
        <v>170.4</v>
      </c>
      <c r="I315" s="10">
        <v>42401</v>
      </c>
      <c r="J315" s="12">
        <v>217.375</v>
      </c>
      <c r="M315" s="1">
        <v>42401</v>
      </c>
      <c r="N315">
        <v>217.375</v>
      </c>
      <c r="O315">
        <f>VLOOKUP(M315,'Hosing Inventory'!B:D,3,0)</f>
        <v>1.0657517440118693</v>
      </c>
      <c r="P315" s="8">
        <f>N315/VLOOKUP(M315,'Hosing Inventory'!B:D,3,0)</f>
        <v>203.9640105881723</v>
      </c>
      <c r="Q315" s="8">
        <f t="shared" si="21"/>
        <v>177.67045481817584</v>
      </c>
      <c r="R315" s="8">
        <f t="shared" si="22"/>
        <v>182.20631937919231</v>
      </c>
      <c r="S315" s="8">
        <f t="shared" si="20"/>
        <v>193.26068929648662</v>
      </c>
      <c r="T315" s="8">
        <f t="shared" si="23"/>
        <v>200.42894717291779</v>
      </c>
    </row>
    <row r="316" spans="1:20" x14ac:dyDescent="0.25">
      <c r="A316" s="1">
        <v>35076</v>
      </c>
      <c r="B316" s="1">
        <f t="shared" si="19"/>
        <v>35065</v>
      </c>
      <c r="C316">
        <v>165.8</v>
      </c>
      <c r="I316" s="10">
        <v>42430</v>
      </c>
      <c r="J316" s="12">
        <v>226.15</v>
      </c>
      <c r="M316" s="1">
        <v>42430</v>
      </c>
      <c r="N316">
        <v>226.15</v>
      </c>
      <c r="O316">
        <f>VLOOKUP(M316,'Hosing Inventory'!B:D,3,0)</f>
        <v>1.0657517440118693</v>
      </c>
      <c r="P316" s="8">
        <f>N316/VLOOKUP(M316,'Hosing Inventory'!B:D,3,0)</f>
        <v>212.19763539742456</v>
      </c>
      <c r="Q316" s="8">
        <f t="shared" si="21"/>
        <v>179.77043350174006</v>
      </c>
      <c r="R316" s="8">
        <f t="shared" si="22"/>
        <v>185.27362331186123</v>
      </c>
      <c r="S316" s="8">
        <f t="shared" si="20"/>
        <v>197.04518541014104</v>
      </c>
      <c r="T316" s="8">
        <f t="shared" si="23"/>
        <v>203.83030215109895</v>
      </c>
    </row>
    <row r="317" spans="1:20" x14ac:dyDescent="0.25">
      <c r="A317" s="1">
        <v>35083</v>
      </c>
      <c r="B317" s="1">
        <f t="shared" si="19"/>
        <v>35065</v>
      </c>
      <c r="C317">
        <v>180.9</v>
      </c>
      <c r="I317" s="10">
        <v>42461</v>
      </c>
      <c r="J317" s="12">
        <v>235.1</v>
      </c>
      <c r="M317" s="1">
        <v>42461</v>
      </c>
      <c r="N317">
        <v>235.1</v>
      </c>
      <c r="O317">
        <f>VLOOKUP(M317,'Hosing Inventory'!B:D,3,0)</f>
        <v>1.0657517440118693</v>
      </c>
      <c r="P317" s="8">
        <f>N317/VLOOKUP(M317,'Hosing Inventory'!B:D,3,0)</f>
        <v>220.59546355045109</v>
      </c>
      <c r="Q317" s="8">
        <f t="shared" si="21"/>
        <v>181.99209133930347</v>
      </c>
      <c r="R317" s="8">
        <f t="shared" si="22"/>
        <v>188.946893194062</v>
      </c>
      <c r="S317" s="8">
        <f t="shared" si="20"/>
        <v>199.62943327287408</v>
      </c>
      <c r="T317" s="8">
        <f t="shared" si="23"/>
        <v>209.14423512390792</v>
      </c>
    </row>
    <row r="318" spans="1:20" x14ac:dyDescent="0.25">
      <c r="A318" s="1">
        <v>35090</v>
      </c>
      <c r="B318" s="1">
        <f t="shared" si="19"/>
        <v>35065</v>
      </c>
      <c r="C318">
        <v>189.8</v>
      </c>
      <c r="I318" s="10">
        <v>42491</v>
      </c>
      <c r="J318" s="12">
        <v>229.60000000000002</v>
      </c>
      <c r="M318" s="1">
        <v>42491</v>
      </c>
      <c r="N318">
        <v>229.60000000000002</v>
      </c>
      <c r="O318">
        <f>VLOOKUP(M318,'Hosing Inventory'!B:D,3,0)</f>
        <v>1.0657517440118693</v>
      </c>
      <c r="P318" s="8">
        <f>N318/VLOOKUP(M318,'Hosing Inventory'!B:D,3,0)</f>
        <v>215.43478703183146</v>
      </c>
      <c r="Q318" s="8">
        <f t="shared" si="21"/>
        <v>183.91368975226428</v>
      </c>
      <c r="R318" s="8">
        <f t="shared" si="22"/>
        <v>191.95170841248921</v>
      </c>
      <c r="S318" s="8">
        <f t="shared" si="20"/>
        <v>201.79066204521723</v>
      </c>
      <c r="T318" s="8">
        <f t="shared" si="23"/>
        <v>212.10380491526783</v>
      </c>
    </row>
    <row r="319" spans="1:20" x14ac:dyDescent="0.25">
      <c r="A319" s="1">
        <v>35097</v>
      </c>
      <c r="B319" s="1">
        <f t="shared" si="19"/>
        <v>35096</v>
      </c>
      <c r="C319">
        <v>163.30000000000001</v>
      </c>
      <c r="I319" s="10">
        <v>42522</v>
      </c>
      <c r="J319" s="12">
        <v>239.79999999999998</v>
      </c>
      <c r="M319" s="1">
        <v>42522</v>
      </c>
      <c r="N319">
        <v>239.79999999999998</v>
      </c>
      <c r="O319" t="e">
        <f>VLOOKUP(M319,'Hosing Inventory'!B:D,3,0)</f>
        <v>#N/A</v>
      </c>
      <c r="P319" s="8" t="e">
        <f>N319/VLOOKUP(M319,'Hosing Inventory'!B:D,3,0)</f>
        <v>#N/A</v>
      </c>
      <c r="Q319" s="8" t="e">
        <f t="shared" si="21"/>
        <v>#N/A</v>
      </c>
      <c r="R319" s="8" t="e">
        <f t="shared" si="22"/>
        <v>#N/A</v>
      </c>
      <c r="S319" s="8" t="e">
        <f t="shared" si="20"/>
        <v>#N/A</v>
      </c>
      <c r="T319" s="8" t="e">
        <f t="shared" si="23"/>
        <v>#N/A</v>
      </c>
    </row>
    <row r="320" spans="1:20" x14ac:dyDescent="0.25">
      <c r="A320" s="1">
        <v>35104</v>
      </c>
      <c r="B320" s="1">
        <f t="shared" si="19"/>
        <v>35096</v>
      </c>
      <c r="C320">
        <v>157.4</v>
      </c>
      <c r="I320" s="11" t="s">
        <v>14</v>
      </c>
      <c r="J320" s="12"/>
    </row>
    <row r="321" spans="1:10" x14ac:dyDescent="0.25">
      <c r="A321" s="1">
        <v>35111</v>
      </c>
      <c r="B321" s="1">
        <f t="shared" si="19"/>
        <v>35096</v>
      </c>
      <c r="C321">
        <v>173</v>
      </c>
      <c r="I321" s="11" t="s">
        <v>15</v>
      </c>
      <c r="J321" s="12">
        <v>252.85062273714684</v>
      </c>
    </row>
    <row r="322" spans="1:10" x14ac:dyDescent="0.25">
      <c r="A322" s="1">
        <v>35118</v>
      </c>
      <c r="B322" s="1">
        <f t="shared" si="19"/>
        <v>35096</v>
      </c>
      <c r="C322">
        <v>199.9</v>
      </c>
    </row>
    <row r="323" spans="1:10" x14ac:dyDescent="0.25">
      <c r="A323" s="1">
        <v>35125</v>
      </c>
      <c r="B323" s="1">
        <f t="shared" ref="B323:B386" si="24">A323-DAY(A323)+1</f>
        <v>35125</v>
      </c>
      <c r="C323">
        <v>181.3</v>
      </c>
    </row>
    <row r="324" spans="1:10" x14ac:dyDescent="0.25">
      <c r="A324" s="1">
        <v>35132</v>
      </c>
      <c r="B324" s="1">
        <f t="shared" si="24"/>
        <v>35125</v>
      </c>
      <c r="C324">
        <v>173.4</v>
      </c>
    </row>
    <row r="325" spans="1:10" x14ac:dyDescent="0.25">
      <c r="A325" s="1">
        <v>35139</v>
      </c>
      <c r="B325" s="1">
        <f t="shared" si="24"/>
        <v>35125</v>
      </c>
      <c r="C325">
        <v>176.4</v>
      </c>
    </row>
    <row r="326" spans="1:10" x14ac:dyDescent="0.25">
      <c r="A326" s="1">
        <v>35146</v>
      </c>
      <c r="B326" s="1">
        <f t="shared" si="24"/>
        <v>35125</v>
      </c>
      <c r="C326">
        <v>164.9</v>
      </c>
    </row>
    <row r="327" spans="1:10" x14ac:dyDescent="0.25">
      <c r="A327" s="1">
        <v>35153</v>
      </c>
      <c r="B327" s="1">
        <f t="shared" si="24"/>
        <v>35125</v>
      </c>
      <c r="C327">
        <v>200.5</v>
      </c>
    </row>
    <row r="328" spans="1:10" x14ac:dyDescent="0.25">
      <c r="A328" s="1">
        <v>35160</v>
      </c>
      <c r="B328" s="1">
        <f t="shared" si="24"/>
        <v>35156</v>
      </c>
      <c r="C328">
        <v>195.1</v>
      </c>
    </row>
    <row r="329" spans="1:10" x14ac:dyDescent="0.25">
      <c r="A329" s="1">
        <v>35167</v>
      </c>
      <c r="B329" s="1">
        <f t="shared" si="24"/>
        <v>35156</v>
      </c>
      <c r="C329">
        <v>166.7</v>
      </c>
    </row>
    <row r="330" spans="1:10" x14ac:dyDescent="0.25">
      <c r="A330" s="1">
        <v>35174</v>
      </c>
      <c r="B330" s="1">
        <f t="shared" si="24"/>
        <v>35156</v>
      </c>
      <c r="C330">
        <v>172.4</v>
      </c>
    </row>
    <row r="331" spans="1:10" x14ac:dyDescent="0.25">
      <c r="A331" s="1">
        <v>35181</v>
      </c>
      <c r="B331" s="1">
        <f t="shared" si="24"/>
        <v>35156</v>
      </c>
      <c r="C331">
        <v>175.2</v>
      </c>
    </row>
    <row r="332" spans="1:10" x14ac:dyDescent="0.25">
      <c r="A332" s="1">
        <v>35188</v>
      </c>
      <c r="B332" s="1">
        <f t="shared" si="24"/>
        <v>35186</v>
      </c>
      <c r="C332">
        <v>209.6</v>
      </c>
    </row>
    <row r="333" spans="1:10" x14ac:dyDescent="0.25">
      <c r="A333" s="1">
        <v>35195</v>
      </c>
      <c r="B333" s="1">
        <f t="shared" si="24"/>
        <v>35186</v>
      </c>
      <c r="C333">
        <v>172</v>
      </c>
    </row>
    <row r="334" spans="1:10" x14ac:dyDescent="0.25">
      <c r="A334" s="1">
        <v>35202</v>
      </c>
      <c r="B334" s="1">
        <f t="shared" si="24"/>
        <v>35186</v>
      </c>
      <c r="C334">
        <v>175.5</v>
      </c>
    </row>
    <row r="335" spans="1:10" x14ac:dyDescent="0.25">
      <c r="A335" s="1">
        <v>35209</v>
      </c>
      <c r="B335" s="1">
        <f t="shared" si="24"/>
        <v>35186</v>
      </c>
      <c r="C335">
        <v>178.4</v>
      </c>
    </row>
    <row r="336" spans="1:10" x14ac:dyDescent="0.25">
      <c r="A336" s="1">
        <v>35216</v>
      </c>
      <c r="B336" s="1">
        <f t="shared" si="24"/>
        <v>35186</v>
      </c>
      <c r="C336">
        <v>210.2</v>
      </c>
    </row>
    <row r="337" spans="1:3" x14ac:dyDescent="0.25">
      <c r="A337" s="1">
        <v>35223</v>
      </c>
      <c r="B337" s="1">
        <f t="shared" si="24"/>
        <v>35217</v>
      </c>
      <c r="C337">
        <v>183.9</v>
      </c>
    </row>
    <row r="338" spans="1:3" x14ac:dyDescent="0.25">
      <c r="A338" s="1">
        <v>35230</v>
      </c>
      <c r="B338" s="1">
        <f t="shared" si="24"/>
        <v>35217</v>
      </c>
      <c r="C338">
        <v>181.4</v>
      </c>
    </row>
    <row r="339" spans="1:3" x14ac:dyDescent="0.25">
      <c r="A339" s="1">
        <v>35237</v>
      </c>
      <c r="B339" s="1">
        <f t="shared" si="24"/>
        <v>35217</v>
      </c>
      <c r="C339">
        <v>175.5</v>
      </c>
    </row>
    <row r="340" spans="1:3" x14ac:dyDescent="0.25">
      <c r="A340" s="1">
        <v>35244</v>
      </c>
      <c r="B340" s="1">
        <f t="shared" si="24"/>
        <v>35217</v>
      </c>
      <c r="C340">
        <v>193.9</v>
      </c>
    </row>
    <row r="341" spans="1:3" x14ac:dyDescent="0.25">
      <c r="A341" s="1">
        <v>35251</v>
      </c>
      <c r="B341" s="1">
        <f t="shared" si="24"/>
        <v>35247</v>
      </c>
      <c r="C341">
        <v>197.6</v>
      </c>
    </row>
    <row r="342" spans="1:3" x14ac:dyDescent="0.25">
      <c r="A342" s="1">
        <v>35258</v>
      </c>
      <c r="B342" s="1">
        <f t="shared" si="24"/>
        <v>35247</v>
      </c>
      <c r="C342">
        <v>167</v>
      </c>
    </row>
    <row r="343" spans="1:3" x14ac:dyDescent="0.25">
      <c r="A343" s="1">
        <v>35265</v>
      </c>
      <c r="B343" s="1">
        <f t="shared" si="24"/>
        <v>35247</v>
      </c>
      <c r="C343">
        <v>184.8</v>
      </c>
    </row>
    <row r="344" spans="1:3" x14ac:dyDescent="0.25">
      <c r="A344" s="1">
        <v>35272</v>
      </c>
      <c r="B344" s="1">
        <f t="shared" si="24"/>
        <v>35247</v>
      </c>
      <c r="C344">
        <v>176.6</v>
      </c>
    </row>
    <row r="345" spans="1:3" x14ac:dyDescent="0.25">
      <c r="A345" s="1">
        <v>35279</v>
      </c>
      <c r="B345" s="1">
        <f t="shared" si="24"/>
        <v>35278</v>
      </c>
      <c r="C345">
        <v>189.9</v>
      </c>
    </row>
    <row r="346" spans="1:3" x14ac:dyDescent="0.25">
      <c r="A346" s="1">
        <v>35286</v>
      </c>
      <c r="B346" s="1">
        <f t="shared" si="24"/>
        <v>35278</v>
      </c>
      <c r="C346">
        <v>176.3</v>
      </c>
    </row>
    <row r="347" spans="1:3" x14ac:dyDescent="0.25">
      <c r="A347" s="1">
        <v>35293</v>
      </c>
      <c r="B347" s="1">
        <f t="shared" si="24"/>
        <v>35278</v>
      </c>
      <c r="C347">
        <v>177.6</v>
      </c>
    </row>
    <row r="348" spans="1:3" x14ac:dyDescent="0.25">
      <c r="A348" s="1">
        <v>35300</v>
      </c>
      <c r="B348" s="1">
        <f t="shared" si="24"/>
        <v>35278</v>
      </c>
      <c r="C348">
        <v>172.8</v>
      </c>
    </row>
    <row r="349" spans="1:3" x14ac:dyDescent="0.25">
      <c r="A349" s="1">
        <v>35307</v>
      </c>
      <c r="B349" s="1">
        <f t="shared" si="24"/>
        <v>35278</v>
      </c>
      <c r="C349">
        <v>193.5</v>
      </c>
    </row>
    <row r="350" spans="1:3" x14ac:dyDescent="0.25">
      <c r="A350" s="1">
        <v>35314</v>
      </c>
      <c r="B350" s="1">
        <f t="shared" si="24"/>
        <v>35309</v>
      </c>
      <c r="C350">
        <v>188.9</v>
      </c>
    </row>
    <row r="351" spans="1:3" x14ac:dyDescent="0.25">
      <c r="A351" s="1">
        <v>35321</v>
      </c>
      <c r="B351" s="1">
        <f t="shared" si="24"/>
        <v>35309</v>
      </c>
      <c r="C351">
        <v>179.9</v>
      </c>
    </row>
    <row r="352" spans="1:3" x14ac:dyDescent="0.25">
      <c r="A352" s="1">
        <v>35328</v>
      </c>
      <c r="B352" s="1">
        <f t="shared" si="24"/>
        <v>35309</v>
      </c>
      <c r="C352">
        <v>192.4</v>
      </c>
    </row>
    <row r="353" spans="1:3" x14ac:dyDescent="0.25">
      <c r="A353" s="1">
        <v>35335</v>
      </c>
      <c r="B353" s="1">
        <f t="shared" si="24"/>
        <v>35309</v>
      </c>
      <c r="C353">
        <v>184.3</v>
      </c>
    </row>
    <row r="354" spans="1:3" x14ac:dyDescent="0.25">
      <c r="A354" s="1">
        <v>35342</v>
      </c>
      <c r="B354" s="1">
        <f t="shared" si="24"/>
        <v>35339</v>
      </c>
      <c r="C354">
        <v>182.4</v>
      </c>
    </row>
    <row r="355" spans="1:3" x14ac:dyDescent="0.25">
      <c r="A355" s="1">
        <v>35349</v>
      </c>
      <c r="B355" s="1">
        <f t="shared" si="24"/>
        <v>35339</v>
      </c>
      <c r="C355">
        <v>189.1</v>
      </c>
    </row>
    <row r="356" spans="1:3" x14ac:dyDescent="0.25">
      <c r="A356" s="1">
        <v>35356</v>
      </c>
      <c r="B356" s="1">
        <f t="shared" si="24"/>
        <v>35339</v>
      </c>
      <c r="C356">
        <v>179.2</v>
      </c>
    </row>
    <row r="357" spans="1:3" x14ac:dyDescent="0.25">
      <c r="A357" s="1">
        <v>35363</v>
      </c>
      <c r="B357" s="1">
        <f t="shared" si="24"/>
        <v>35339</v>
      </c>
      <c r="C357">
        <v>178.4</v>
      </c>
    </row>
    <row r="358" spans="1:3" x14ac:dyDescent="0.25">
      <c r="A358" s="1">
        <v>35370</v>
      </c>
      <c r="B358" s="1">
        <f t="shared" si="24"/>
        <v>35370</v>
      </c>
      <c r="C358">
        <v>189.7</v>
      </c>
    </row>
    <row r="359" spans="1:3" x14ac:dyDescent="0.25">
      <c r="A359" s="1">
        <v>35377</v>
      </c>
      <c r="B359" s="1">
        <f t="shared" si="24"/>
        <v>35370</v>
      </c>
      <c r="C359">
        <v>194.2</v>
      </c>
    </row>
    <row r="360" spans="1:3" x14ac:dyDescent="0.25">
      <c r="A360" s="1">
        <v>35384</v>
      </c>
      <c r="B360" s="1">
        <f t="shared" si="24"/>
        <v>35370</v>
      </c>
      <c r="C360">
        <v>196.3</v>
      </c>
    </row>
    <row r="361" spans="1:3" x14ac:dyDescent="0.25">
      <c r="A361" s="1">
        <v>35391</v>
      </c>
      <c r="B361" s="1">
        <f t="shared" si="24"/>
        <v>35370</v>
      </c>
      <c r="C361">
        <v>198.7</v>
      </c>
    </row>
    <row r="362" spans="1:3" x14ac:dyDescent="0.25">
      <c r="A362" s="1">
        <v>35398</v>
      </c>
      <c r="B362" s="1">
        <f t="shared" si="24"/>
        <v>35370</v>
      </c>
      <c r="C362">
        <v>220.5</v>
      </c>
    </row>
    <row r="363" spans="1:3" x14ac:dyDescent="0.25">
      <c r="A363" s="1">
        <v>35405</v>
      </c>
      <c r="B363" s="1">
        <f t="shared" si="24"/>
        <v>35400</v>
      </c>
      <c r="C363">
        <v>219.2</v>
      </c>
    </row>
    <row r="364" spans="1:3" x14ac:dyDescent="0.25">
      <c r="A364" s="1">
        <v>35412</v>
      </c>
      <c r="B364" s="1">
        <f t="shared" si="24"/>
        <v>35400</v>
      </c>
      <c r="C364">
        <v>204.7</v>
      </c>
    </row>
    <row r="365" spans="1:3" x14ac:dyDescent="0.25">
      <c r="A365" s="1">
        <v>35419</v>
      </c>
      <c r="B365" s="1">
        <f t="shared" si="24"/>
        <v>35400</v>
      </c>
      <c r="C365">
        <v>180</v>
      </c>
    </row>
    <row r="366" spans="1:3" x14ac:dyDescent="0.25">
      <c r="A366" s="1">
        <v>35426</v>
      </c>
      <c r="B366" s="1">
        <f t="shared" si="24"/>
        <v>35400</v>
      </c>
      <c r="C366">
        <v>156.80000000000001</v>
      </c>
    </row>
    <row r="367" spans="1:3" x14ac:dyDescent="0.25">
      <c r="A367" s="1">
        <v>35433</v>
      </c>
      <c r="B367" s="1">
        <f t="shared" si="24"/>
        <v>35431</v>
      </c>
      <c r="C367">
        <v>206.9</v>
      </c>
    </row>
    <row r="368" spans="1:3" x14ac:dyDescent="0.25">
      <c r="A368" s="1">
        <v>35440</v>
      </c>
      <c r="B368" s="1">
        <f t="shared" si="24"/>
        <v>35431</v>
      </c>
      <c r="C368">
        <v>178.3</v>
      </c>
    </row>
    <row r="369" spans="1:3" x14ac:dyDescent="0.25">
      <c r="A369" s="1">
        <v>35447</v>
      </c>
      <c r="B369" s="1">
        <f t="shared" si="24"/>
        <v>35431</v>
      </c>
      <c r="C369">
        <v>180</v>
      </c>
    </row>
    <row r="370" spans="1:3" x14ac:dyDescent="0.25">
      <c r="A370" s="1">
        <v>35454</v>
      </c>
      <c r="B370" s="1">
        <f t="shared" si="24"/>
        <v>35431</v>
      </c>
      <c r="C370">
        <v>179.6</v>
      </c>
    </row>
    <row r="371" spans="1:3" x14ac:dyDescent="0.25">
      <c r="A371" s="1">
        <v>35461</v>
      </c>
      <c r="B371" s="1">
        <f t="shared" si="24"/>
        <v>35431</v>
      </c>
      <c r="C371">
        <v>176.6</v>
      </c>
    </row>
    <row r="372" spans="1:3" x14ac:dyDescent="0.25">
      <c r="A372" s="1">
        <v>35468</v>
      </c>
      <c r="B372" s="1">
        <f t="shared" si="24"/>
        <v>35462</v>
      </c>
      <c r="C372">
        <v>177.8</v>
      </c>
    </row>
    <row r="373" spans="1:3" x14ac:dyDescent="0.25">
      <c r="A373" s="1">
        <v>35475</v>
      </c>
      <c r="B373" s="1">
        <f t="shared" si="24"/>
        <v>35462</v>
      </c>
      <c r="C373">
        <v>167.3</v>
      </c>
    </row>
    <row r="374" spans="1:3" x14ac:dyDescent="0.25">
      <c r="A374" s="1">
        <v>35482</v>
      </c>
      <c r="B374" s="1">
        <f t="shared" si="24"/>
        <v>35462</v>
      </c>
      <c r="C374">
        <v>205.3</v>
      </c>
    </row>
    <row r="375" spans="1:3" x14ac:dyDescent="0.25">
      <c r="A375" s="1">
        <v>35489</v>
      </c>
      <c r="B375" s="1">
        <f t="shared" si="24"/>
        <v>35462</v>
      </c>
      <c r="C375">
        <v>186.4</v>
      </c>
    </row>
    <row r="376" spans="1:3" x14ac:dyDescent="0.25">
      <c r="A376" s="1">
        <v>35496</v>
      </c>
      <c r="B376" s="1">
        <f t="shared" si="24"/>
        <v>35490</v>
      </c>
      <c r="C376">
        <v>176</v>
      </c>
    </row>
    <row r="377" spans="1:3" x14ac:dyDescent="0.25">
      <c r="A377" s="1">
        <v>35503</v>
      </c>
      <c r="B377" s="1">
        <f t="shared" si="24"/>
        <v>35490</v>
      </c>
      <c r="C377">
        <v>189</v>
      </c>
    </row>
    <row r="378" spans="1:3" x14ac:dyDescent="0.25">
      <c r="A378" s="1">
        <v>35510</v>
      </c>
      <c r="B378" s="1">
        <f t="shared" si="24"/>
        <v>35490</v>
      </c>
      <c r="C378">
        <v>197.2</v>
      </c>
    </row>
    <row r="379" spans="1:3" x14ac:dyDescent="0.25">
      <c r="A379" s="1">
        <v>35517</v>
      </c>
      <c r="B379" s="1">
        <f t="shared" si="24"/>
        <v>35490</v>
      </c>
      <c r="C379">
        <v>257.3</v>
      </c>
    </row>
    <row r="380" spans="1:3" x14ac:dyDescent="0.25">
      <c r="A380" s="1">
        <v>35524</v>
      </c>
      <c r="B380" s="1">
        <f t="shared" si="24"/>
        <v>35521</v>
      </c>
      <c r="C380">
        <v>174</v>
      </c>
    </row>
    <row r="381" spans="1:3" x14ac:dyDescent="0.25">
      <c r="A381" s="1">
        <v>35531</v>
      </c>
      <c r="B381" s="1">
        <f t="shared" si="24"/>
        <v>35521</v>
      </c>
      <c r="C381">
        <v>176.3</v>
      </c>
    </row>
    <row r="382" spans="1:3" x14ac:dyDescent="0.25">
      <c r="A382" s="1">
        <v>35538</v>
      </c>
      <c r="B382" s="1">
        <f t="shared" si="24"/>
        <v>35521</v>
      </c>
      <c r="C382">
        <v>181.2</v>
      </c>
    </row>
    <row r="383" spans="1:3" x14ac:dyDescent="0.25">
      <c r="A383" s="1">
        <v>35545</v>
      </c>
      <c r="B383" s="1">
        <f t="shared" si="24"/>
        <v>35521</v>
      </c>
      <c r="C383">
        <v>187.7</v>
      </c>
    </row>
    <row r="384" spans="1:3" x14ac:dyDescent="0.25">
      <c r="A384" s="1">
        <v>35552</v>
      </c>
      <c r="B384" s="1">
        <f t="shared" si="24"/>
        <v>35551</v>
      </c>
      <c r="C384">
        <v>189.4</v>
      </c>
    </row>
    <row r="385" spans="1:3" x14ac:dyDescent="0.25">
      <c r="A385" s="1">
        <v>35559</v>
      </c>
      <c r="B385" s="1">
        <f t="shared" si="24"/>
        <v>35551</v>
      </c>
      <c r="C385">
        <v>205.1</v>
      </c>
    </row>
    <row r="386" spans="1:3" x14ac:dyDescent="0.25">
      <c r="A386" s="1">
        <v>35566</v>
      </c>
      <c r="B386" s="1">
        <f t="shared" si="24"/>
        <v>35551</v>
      </c>
      <c r="C386">
        <v>192</v>
      </c>
    </row>
    <row r="387" spans="1:3" x14ac:dyDescent="0.25">
      <c r="A387" s="1">
        <v>35573</v>
      </c>
      <c r="B387" s="1">
        <f t="shared" ref="B387:B450" si="25">A387-DAY(A387)+1</f>
        <v>35551</v>
      </c>
      <c r="C387">
        <v>191.1</v>
      </c>
    </row>
    <row r="388" spans="1:3" x14ac:dyDescent="0.25">
      <c r="A388" s="1">
        <v>35580</v>
      </c>
      <c r="B388" s="1">
        <f t="shared" si="25"/>
        <v>35551</v>
      </c>
      <c r="C388">
        <v>187.2</v>
      </c>
    </row>
    <row r="389" spans="1:3" x14ac:dyDescent="0.25">
      <c r="A389" s="1">
        <v>35587</v>
      </c>
      <c r="B389" s="1">
        <f t="shared" si="25"/>
        <v>35582</v>
      </c>
      <c r="C389">
        <v>206.4</v>
      </c>
    </row>
    <row r="390" spans="1:3" x14ac:dyDescent="0.25">
      <c r="A390" s="1">
        <v>35594</v>
      </c>
      <c r="B390" s="1">
        <f t="shared" si="25"/>
        <v>35582</v>
      </c>
      <c r="C390">
        <v>210.1</v>
      </c>
    </row>
    <row r="391" spans="1:3" x14ac:dyDescent="0.25">
      <c r="A391" s="1">
        <v>35601</v>
      </c>
      <c r="B391" s="1">
        <f t="shared" si="25"/>
        <v>35582</v>
      </c>
      <c r="C391">
        <v>206.5</v>
      </c>
    </row>
    <row r="392" spans="1:3" x14ac:dyDescent="0.25">
      <c r="A392" s="1">
        <v>35608</v>
      </c>
      <c r="B392" s="1">
        <f t="shared" si="25"/>
        <v>35582</v>
      </c>
      <c r="C392">
        <v>208</v>
      </c>
    </row>
    <row r="393" spans="1:3" x14ac:dyDescent="0.25">
      <c r="A393" s="1">
        <v>35615</v>
      </c>
      <c r="B393" s="1">
        <f t="shared" si="25"/>
        <v>35612</v>
      </c>
      <c r="C393">
        <v>218.6</v>
      </c>
    </row>
    <row r="394" spans="1:3" x14ac:dyDescent="0.25">
      <c r="A394" s="1">
        <v>35622</v>
      </c>
      <c r="B394" s="1">
        <f t="shared" si="25"/>
        <v>35612</v>
      </c>
      <c r="C394">
        <v>212.9</v>
      </c>
    </row>
    <row r="395" spans="1:3" x14ac:dyDescent="0.25">
      <c r="A395" s="1">
        <v>35629</v>
      </c>
      <c r="B395" s="1">
        <f t="shared" si="25"/>
        <v>35612</v>
      </c>
      <c r="C395">
        <v>208.4</v>
      </c>
    </row>
    <row r="396" spans="1:3" x14ac:dyDescent="0.25">
      <c r="A396" s="1">
        <v>35636</v>
      </c>
      <c r="B396" s="1">
        <f t="shared" si="25"/>
        <v>35612</v>
      </c>
      <c r="C396">
        <v>205.9</v>
      </c>
    </row>
    <row r="397" spans="1:3" x14ac:dyDescent="0.25">
      <c r="A397" s="1">
        <v>35643</v>
      </c>
      <c r="B397" s="1">
        <f t="shared" si="25"/>
        <v>35643</v>
      </c>
      <c r="C397">
        <v>211.7</v>
      </c>
    </row>
    <row r="398" spans="1:3" x14ac:dyDescent="0.25">
      <c r="A398" s="1">
        <v>35650</v>
      </c>
      <c r="B398" s="1">
        <f t="shared" si="25"/>
        <v>35643</v>
      </c>
      <c r="C398">
        <v>220.5</v>
      </c>
    </row>
    <row r="399" spans="1:3" x14ac:dyDescent="0.25">
      <c r="A399" s="1">
        <v>35657</v>
      </c>
      <c r="B399" s="1">
        <f t="shared" si="25"/>
        <v>35643</v>
      </c>
      <c r="C399">
        <v>211.8</v>
      </c>
    </row>
    <row r="400" spans="1:3" x14ac:dyDescent="0.25">
      <c r="A400" s="1">
        <v>35664</v>
      </c>
      <c r="B400" s="1">
        <f t="shared" si="25"/>
        <v>35643</v>
      </c>
      <c r="C400">
        <v>219.8</v>
      </c>
    </row>
    <row r="401" spans="1:3" x14ac:dyDescent="0.25">
      <c r="A401" s="1">
        <v>35671</v>
      </c>
      <c r="B401" s="1">
        <f t="shared" si="25"/>
        <v>35643</v>
      </c>
      <c r="C401">
        <v>205.8</v>
      </c>
    </row>
    <row r="402" spans="1:3" x14ac:dyDescent="0.25">
      <c r="A402" s="1">
        <v>35678</v>
      </c>
      <c r="B402" s="1">
        <f t="shared" si="25"/>
        <v>35674</v>
      </c>
      <c r="C402">
        <v>214.7</v>
      </c>
    </row>
    <row r="403" spans="1:3" x14ac:dyDescent="0.25">
      <c r="A403" s="1">
        <v>35685</v>
      </c>
      <c r="B403" s="1">
        <f t="shared" si="25"/>
        <v>35674</v>
      </c>
      <c r="C403">
        <v>214.3</v>
      </c>
    </row>
    <row r="404" spans="1:3" x14ac:dyDescent="0.25">
      <c r="A404" s="1">
        <v>35692</v>
      </c>
      <c r="B404" s="1">
        <f t="shared" si="25"/>
        <v>35674</v>
      </c>
      <c r="C404">
        <v>227.3</v>
      </c>
    </row>
    <row r="405" spans="1:3" x14ac:dyDescent="0.25">
      <c r="A405" s="1">
        <v>35699</v>
      </c>
      <c r="B405" s="1">
        <f t="shared" si="25"/>
        <v>35674</v>
      </c>
      <c r="C405">
        <v>217</v>
      </c>
    </row>
    <row r="406" spans="1:3" x14ac:dyDescent="0.25">
      <c r="A406" s="1">
        <v>35706</v>
      </c>
      <c r="B406" s="1">
        <f t="shared" si="25"/>
        <v>35704</v>
      </c>
      <c r="C406">
        <v>220</v>
      </c>
    </row>
    <row r="407" spans="1:3" x14ac:dyDescent="0.25">
      <c r="A407" s="1">
        <v>35713</v>
      </c>
      <c r="B407" s="1">
        <f t="shared" si="25"/>
        <v>35704</v>
      </c>
      <c r="C407">
        <v>234.6</v>
      </c>
    </row>
    <row r="408" spans="1:3" x14ac:dyDescent="0.25">
      <c r="A408" s="1">
        <v>35720</v>
      </c>
      <c r="B408" s="1">
        <f t="shared" si="25"/>
        <v>35704</v>
      </c>
      <c r="C408">
        <v>207.8</v>
      </c>
    </row>
    <row r="409" spans="1:3" x14ac:dyDescent="0.25">
      <c r="A409" s="1">
        <v>35727</v>
      </c>
      <c r="B409" s="1">
        <f t="shared" si="25"/>
        <v>35704</v>
      </c>
      <c r="C409">
        <v>204.3</v>
      </c>
    </row>
    <row r="410" spans="1:3" x14ac:dyDescent="0.25">
      <c r="A410" s="1">
        <v>35734</v>
      </c>
      <c r="B410" s="1">
        <f t="shared" si="25"/>
        <v>35704</v>
      </c>
      <c r="C410">
        <v>233.9</v>
      </c>
    </row>
    <row r="411" spans="1:3" x14ac:dyDescent="0.25">
      <c r="A411" s="1">
        <v>35741</v>
      </c>
      <c r="B411" s="1">
        <f t="shared" si="25"/>
        <v>35735</v>
      </c>
      <c r="C411">
        <v>202.1</v>
      </c>
    </row>
    <row r="412" spans="1:3" x14ac:dyDescent="0.25">
      <c r="A412" s="1">
        <v>35748</v>
      </c>
      <c r="B412" s="1">
        <f t="shared" si="25"/>
        <v>35735</v>
      </c>
      <c r="C412">
        <v>227</v>
      </c>
    </row>
    <row r="413" spans="1:3" x14ac:dyDescent="0.25">
      <c r="A413" s="1">
        <v>35755</v>
      </c>
      <c r="B413" s="1">
        <f t="shared" si="25"/>
        <v>35735</v>
      </c>
      <c r="C413">
        <v>224.1</v>
      </c>
    </row>
    <row r="414" spans="1:3" x14ac:dyDescent="0.25">
      <c r="A414" s="1">
        <v>35762</v>
      </c>
      <c r="B414" s="1">
        <f t="shared" si="25"/>
        <v>35735</v>
      </c>
      <c r="C414">
        <v>246.1</v>
      </c>
    </row>
    <row r="415" spans="1:3" x14ac:dyDescent="0.25">
      <c r="A415" s="1">
        <v>35769</v>
      </c>
      <c r="B415" s="1">
        <f t="shared" si="25"/>
        <v>35765</v>
      </c>
      <c r="C415">
        <v>235.7</v>
      </c>
    </row>
    <row r="416" spans="1:3" x14ac:dyDescent="0.25">
      <c r="A416" s="1">
        <v>35776</v>
      </c>
      <c r="B416" s="1">
        <f t="shared" si="25"/>
        <v>35765</v>
      </c>
      <c r="C416">
        <v>234.9</v>
      </c>
    </row>
    <row r="417" spans="1:3" x14ac:dyDescent="0.25">
      <c r="A417" s="1">
        <v>35783</v>
      </c>
      <c r="B417" s="1">
        <f t="shared" si="25"/>
        <v>35765</v>
      </c>
      <c r="C417">
        <v>217.8</v>
      </c>
    </row>
    <row r="418" spans="1:3" x14ac:dyDescent="0.25">
      <c r="A418" s="1">
        <v>35790</v>
      </c>
      <c r="B418" s="1">
        <f t="shared" si="25"/>
        <v>35765</v>
      </c>
      <c r="C418">
        <v>223.1</v>
      </c>
    </row>
    <row r="419" spans="1:3" x14ac:dyDescent="0.25">
      <c r="A419" s="1">
        <v>35797</v>
      </c>
      <c r="B419" s="1">
        <f t="shared" si="25"/>
        <v>35796</v>
      </c>
      <c r="C419">
        <v>234.1</v>
      </c>
    </row>
    <row r="420" spans="1:3" x14ac:dyDescent="0.25">
      <c r="A420" s="1">
        <v>35804</v>
      </c>
      <c r="B420" s="1">
        <f t="shared" si="25"/>
        <v>35796</v>
      </c>
      <c r="C420">
        <v>266</v>
      </c>
    </row>
    <row r="421" spans="1:3" x14ac:dyDescent="0.25">
      <c r="A421" s="1">
        <v>35811</v>
      </c>
      <c r="B421" s="1">
        <f t="shared" si="25"/>
        <v>35796</v>
      </c>
      <c r="C421">
        <v>283.60000000000002</v>
      </c>
    </row>
    <row r="422" spans="1:3" x14ac:dyDescent="0.25">
      <c r="A422" s="1">
        <v>35818</v>
      </c>
      <c r="B422" s="1">
        <f t="shared" si="25"/>
        <v>35796</v>
      </c>
      <c r="C422">
        <v>313.39999999999998</v>
      </c>
    </row>
    <row r="423" spans="1:3" x14ac:dyDescent="0.25">
      <c r="A423" s="1">
        <v>35825</v>
      </c>
      <c r="B423" s="1">
        <f t="shared" si="25"/>
        <v>35796</v>
      </c>
      <c r="C423">
        <v>253.8</v>
      </c>
    </row>
    <row r="424" spans="1:3" x14ac:dyDescent="0.25">
      <c r="A424" s="1">
        <v>35832</v>
      </c>
      <c r="B424" s="1">
        <f t="shared" si="25"/>
        <v>35827</v>
      </c>
      <c r="C424">
        <v>249.4</v>
      </c>
    </row>
    <row r="425" spans="1:3" x14ac:dyDescent="0.25">
      <c r="A425" s="1">
        <v>35839</v>
      </c>
      <c r="B425" s="1">
        <f t="shared" si="25"/>
        <v>35827</v>
      </c>
      <c r="C425">
        <v>222.5</v>
      </c>
    </row>
    <row r="426" spans="1:3" x14ac:dyDescent="0.25">
      <c r="A426" s="1">
        <v>35846</v>
      </c>
      <c r="B426" s="1">
        <f t="shared" si="25"/>
        <v>35827</v>
      </c>
      <c r="C426">
        <v>250.8</v>
      </c>
    </row>
    <row r="427" spans="1:3" x14ac:dyDescent="0.25">
      <c r="A427" s="1">
        <v>35853</v>
      </c>
      <c r="B427" s="1">
        <f t="shared" si="25"/>
        <v>35827</v>
      </c>
      <c r="C427">
        <v>217.3</v>
      </c>
    </row>
    <row r="428" spans="1:3" x14ac:dyDescent="0.25">
      <c r="A428" s="1">
        <v>35860</v>
      </c>
      <c r="B428" s="1">
        <f t="shared" si="25"/>
        <v>35855</v>
      </c>
      <c r="C428">
        <v>225.4</v>
      </c>
    </row>
    <row r="429" spans="1:3" x14ac:dyDescent="0.25">
      <c r="A429" s="1">
        <v>35867</v>
      </c>
      <c r="B429" s="1">
        <f t="shared" si="25"/>
        <v>35855</v>
      </c>
      <c r="C429">
        <v>217.2</v>
      </c>
    </row>
    <row r="430" spans="1:3" x14ac:dyDescent="0.25">
      <c r="A430" s="1">
        <v>35874</v>
      </c>
      <c r="B430" s="1">
        <f t="shared" si="25"/>
        <v>35855</v>
      </c>
      <c r="C430">
        <v>234.1</v>
      </c>
    </row>
    <row r="431" spans="1:3" x14ac:dyDescent="0.25">
      <c r="A431" s="1">
        <v>35881</v>
      </c>
      <c r="B431" s="1">
        <f t="shared" si="25"/>
        <v>35855</v>
      </c>
      <c r="C431">
        <v>222.2</v>
      </c>
    </row>
    <row r="432" spans="1:3" x14ac:dyDescent="0.25">
      <c r="A432" s="1">
        <v>35888</v>
      </c>
      <c r="B432" s="1">
        <f t="shared" si="25"/>
        <v>35886</v>
      </c>
      <c r="C432">
        <v>248.8</v>
      </c>
    </row>
    <row r="433" spans="1:3" x14ac:dyDescent="0.25">
      <c r="A433" s="1">
        <v>35895</v>
      </c>
      <c r="B433" s="1">
        <f t="shared" si="25"/>
        <v>35886</v>
      </c>
      <c r="C433">
        <v>287.3</v>
      </c>
    </row>
    <row r="434" spans="1:3" x14ac:dyDescent="0.25">
      <c r="A434" s="1">
        <v>35902</v>
      </c>
      <c r="B434" s="1">
        <f t="shared" si="25"/>
        <v>35886</v>
      </c>
      <c r="C434">
        <v>227.3</v>
      </c>
    </row>
    <row r="435" spans="1:3" x14ac:dyDescent="0.25">
      <c r="A435" s="1">
        <v>35909</v>
      </c>
      <c r="B435" s="1">
        <f t="shared" si="25"/>
        <v>35886</v>
      </c>
      <c r="C435">
        <v>241.4</v>
      </c>
    </row>
    <row r="436" spans="1:3" x14ac:dyDescent="0.25">
      <c r="A436" s="1">
        <v>35916</v>
      </c>
      <c r="B436" s="1">
        <f t="shared" si="25"/>
        <v>35916</v>
      </c>
      <c r="C436">
        <v>282.5</v>
      </c>
    </row>
    <row r="437" spans="1:3" x14ac:dyDescent="0.25">
      <c r="A437" s="1">
        <v>35923</v>
      </c>
      <c r="B437" s="1">
        <f t="shared" si="25"/>
        <v>35916</v>
      </c>
      <c r="C437">
        <v>279.2</v>
      </c>
    </row>
    <row r="438" spans="1:3" x14ac:dyDescent="0.25">
      <c r="A438" s="1">
        <v>35930</v>
      </c>
      <c r="B438" s="1">
        <f t="shared" si="25"/>
        <v>35916</v>
      </c>
      <c r="C438">
        <v>254.8</v>
      </c>
    </row>
    <row r="439" spans="1:3" x14ac:dyDescent="0.25">
      <c r="A439" s="1">
        <v>35937</v>
      </c>
      <c r="B439" s="1">
        <f t="shared" si="25"/>
        <v>35916</v>
      </c>
      <c r="C439">
        <v>248.1</v>
      </c>
    </row>
    <row r="440" spans="1:3" x14ac:dyDescent="0.25">
      <c r="A440" s="1">
        <v>35944</v>
      </c>
      <c r="B440" s="1">
        <f t="shared" si="25"/>
        <v>35916</v>
      </c>
      <c r="C440">
        <v>259.8</v>
      </c>
    </row>
    <row r="441" spans="1:3" x14ac:dyDescent="0.25">
      <c r="A441" s="1">
        <v>35951</v>
      </c>
      <c r="B441" s="1">
        <f t="shared" si="25"/>
        <v>35947</v>
      </c>
      <c r="C441">
        <v>272.10000000000002</v>
      </c>
    </row>
    <row r="442" spans="1:3" x14ac:dyDescent="0.25">
      <c r="A442" s="1">
        <v>35958</v>
      </c>
      <c r="B442" s="1">
        <f t="shared" si="25"/>
        <v>35947</v>
      </c>
      <c r="C442">
        <v>262.10000000000002</v>
      </c>
    </row>
    <row r="443" spans="1:3" x14ac:dyDescent="0.25">
      <c r="A443" s="1">
        <v>35965</v>
      </c>
      <c r="B443" s="1">
        <f t="shared" si="25"/>
        <v>35947</v>
      </c>
      <c r="C443">
        <v>274.60000000000002</v>
      </c>
    </row>
    <row r="444" spans="1:3" x14ac:dyDescent="0.25">
      <c r="A444" s="1">
        <v>35972</v>
      </c>
      <c r="B444" s="1">
        <f t="shared" si="25"/>
        <v>35947</v>
      </c>
      <c r="C444">
        <v>241.3</v>
      </c>
    </row>
    <row r="445" spans="1:3" x14ac:dyDescent="0.25">
      <c r="A445" s="1">
        <v>35979</v>
      </c>
      <c r="B445" s="1">
        <f t="shared" si="25"/>
        <v>35977</v>
      </c>
      <c r="C445">
        <v>286.39999999999998</v>
      </c>
    </row>
    <row r="446" spans="1:3" x14ac:dyDescent="0.25">
      <c r="A446" s="1">
        <v>35986</v>
      </c>
      <c r="B446" s="1">
        <f t="shared" si="25"/>
        <v>35977</v>
      </c>
      <c r="C446">
        <v>262.5</v>
      </c>
    </row>
    <row r="447" spans="1:3" x14ac:dyDescent="0.25">
      <c r="A447" s="1">
        <v>35993</v>
      </c>
      <c r="B447" s="1">
        <f t="shared" si="25"/>
        <v>35977</v>
      </c>
      <c r="C447">
        <v>255</v>
      </c>
    </row>
    <row r="448" spans="1:3" x14ac:dyDescent="0.25">
      <c r="A448" s="1">
        <v>36000</v>
      </c>
      <c r="B448" s="1">
        <f t="shared" si="25"/>
        <v>35977</v>
      </c>
      <c r="C448">
        <v>252.4</v>
      </c>
    </row>
    <row r="449" spans="1:3" x14ac:dyDescent="0.25">
      <c r="A449" s="1">
        <v>36007</v>
      </c>
      <c r="B449" s="1">
        <f t="shared" si="25"/>
        <v>35977</v>
      </c>
      <c r="C449">
        <v>257.2</v>
      </c>
    </row>
    <row r="450" spans="1:3" x14ac:dyDescent="0.25">
      <c r="A450" s="1">
        <v>36014</v>
      </c>
      <c r="B450" s="1">
        <f t="shared" si="25"/>
        <v>36008</v>
      </c>
      <c r="C450">
        <v>254.7</v>
      </c>
    </row>
    <row r="451" spans="1:3" x14ac:dyDescent="0.25">
      <c r="A451" s="1">
        <v>36021</v>
      </c>
      <c r="B451" s="1">
        <f t="shared" ref="B451:B514" si="26">A451-DAY(A451)+1</f>
        <v>36008</v>
      </c>
      <c r="C451">
        <v>251.4</v>
      </c>
    </row>
    <row r="452" spans="1:3" x14ac:dyDescent="0.25">
      <c r="A452" s="1">
        <v>36028</v>
      </c>
      <c r="B452" s="1">
        <f t="shared" si="26"/>
        <v>36008</v>
      </c>
      <c r="C452">
        <v>243.1</v>
      </c>
    </row>
    <row r="453" spans="1:3" x14ac:dyDescent="0.25">
      <c r="A453" s="1">
        <v>36035</v>
      </c>
      <c r="B453" s="1">
        <f t="shared" si="26"/>
        <v>36008</v>
      </c>
      <c r="C453">
        <v>269.39999999999998</v>
      </c>
    </row>
    <row r="454" spans="1:3" x14ac:dyDescent="0.25">
      <c r="A454" s="1">
        <v>36042</v>
      </c>
      <c r="B454" s="1">
        <f t="shared" si="26"/>
        <v>36039</v>
      </c>
      <c r="C454">
        <v>305.10000000000002</v>
      </c>
    </row>
    <row r="455" spans="1:3" x14ac:dyDescent="0.25">
      <c r="A455" s="1">
        <v>36049</v>
      </c>
      <c r="B455" s="1">
        <f t="shared" si="26"/>
        <v>36039</v>
      </c>
      <c r="C455">
        <v>302.5</v>
      </c>
    </row>
    <row r="456" spans="1:3" x14ac:dyDescent="0.25">
      <c r="A456" s="1">
        <v>36056</v>
      </c>
      <c r="B456" s="1">
        <f t="shared" si="26"/>
        <v>36039</v>
      </c>
      <c r="C456">
        <v>278.3</v>
      </c>
    </row>
    <row r="457" spans="1:3" x14ac:dyDescent="0.25">
      <c r="A457" s="1">
        <v>36063</v>
      </c>
      <c r="B457" s="1">
        <f t="shared" si="26"/>
        <v>36039</v>
      </c>
      <c r="C457">
        <v>283.60000000000002</v>
      </c>
    </row>
    <row r="458" spans="1:3" x14ac:dyDescent="0.25">
      <c r="A458" s="1">
        <v>36070</v>
      </c>
      <c r="B458" s="1">
        <f t="shared" si="26"/>
        <v>36069</v>
      </c>
      <c r="C458">
        <v>304</v>
      </c>
    </row>
    <row r="459" spans="1:3" x14ac:dyDescent="0.25">
      <c r="A459" s="1">
        <v>36077</v>
      </c>
      <c r="B459" s="1">
        <f t="shared" si="26"/>
        <v>36069</v>
      </c>
      <c r="C459">
        <v>343.1</v>
      </c>
    </row>
    <row r="460" spans="1:3" x14ac:dyDescent="0.25">
      <c r="A460" s="1">
        <v>36084</v>
      </c>
      <c r="B460" s="1">
        <f t="shared" si="26"/>
        <v>36069</v>
      </c>
      <c r="C460">
        <v>296.89999999999998</v>
      </c>
    </row>
    <row r="461" spans="1:3" x14ac:dyDescent="0.25">
      <c r="A461" s="1">
        <v>36091</v>
      </c>
      <c r="B461" s="1">
        <f t="shared" si="26"/>
        <v>36069</v>
      </c>
      <c r="C461">
        <v>299.60000000000002</v>
      </c>
    </row>
    <row r="462" spans="1:3" x14ac:dyDescent="0.25">
      <c r="A462" s="1">
        <v>36098</v>
      </c>
      <c r="B462" s="1">
        <f t="shared" si="26"/>
        <v>36069</v>
      </c>
      <c r="C462">
        <v>249.3</v>
      </c>
    </row>
    <row r="463" spans="1:3" x14ac:dyDescent="0.25">
      <c r="A463" s="1">
        <v>36105</v>
      </c>
      <c r="B463" s="1">
        <f t="shared" si="26"/>
        <v>36100</v>
      </c>
      <c r="C463">
        <v>291.89999999999998</v>
      </c>
    </row>
    <row r="464" spans="1:3" x14ac:dyDescent="0.25">
      <c r="A464" s="1">
        <v>36112</v>
      </c>
      <c r="B464" s="1">
        <f t="shared" si="26"/>
        <v>36100</v>
      </c>
      <c r="C464">
        <v>295.8</v>
      </c>
    </row>
    <row r="465" spans="1:3" x14ac:dyDescent="0.25">
      <c r="A465" s="1">
        <v>36119</v>
      </c>
      <c r="B465" s="1">
        <f t="shared" si="26"/>
        <v>36100</v>
      </c>
      <c r="C465">
        <v>259.3</v>
      </c>
    </row>
    <row r="466" spans="1:3" x14ac:dyDescent="0.25">
      <c r="A466" s="1">
        <v>36126</v>
      </c>
      <c r="B466" s="1">
        <f t="shared" si="26"/>
        <v>36100</v>
      </c>
      <c r="C466">
        <v>293.8</v>
      </c>
    </row>
    <row r="467" spans="1:3" x14ac:dyDescent="0.25">
      <c r="A467" s="1">
        <v>36133</v>
      </c>
      <c r="B467" s="1">
        <f t="shared" si="26"/>
        <v>36130</v>
      </c>
      <c r="C467">
        <v>299.60000000000002</v>
      </c>
    </row>
    <row r="468" spans="1:3" x14ac:dyDescent="0.25">
      <c r="A468" s="1">
        <v>36140</v>
      </c>
      <c r="B468" s="1">
        <f t="shared" si="26"/>
        <v>36130</v>
      </c>
      <c r="C468">
        <v>277.2</v>
      </c>
    </row>
    <row r="469" spans="1:3" x14ac:dyDescent="0.25">
      <c r="A469" s="1">
        <v>36147</v>
      </c>
      <c r="B469" s="1">
        <f t="shared" si="26"/>
        <v>36130</v>
      </c>
      <c r="C469">
        <v>268.5</v>
      </c>
    </row>
    <row r="470" spans="1:3" x14ac:dyDescent="0.25">
      <c r="A470" s="1">
        <v>36154</v>
      </c>
      <c r="B470" s="1">
        <f t="shared" si="26"/>
        <v>36130</v>
      </c>
      <c r="C470">
        <v>279.8</v>
      </c>
    </row>
    <row r="471" spans="1:3" x14ac:dyDescent="0.25">
      <c r="A471" s="1">
        <v>36161</v>
      </c>
      <c r="B471" s="1">
        <f t="shared" si="26"/>
        <v>36161</v>
      </c>
      <c r="C471">
        <v>249</v>
      </c>
    </row>
    <row r="472" spans="1:3" x14ac:dyDescent="0.25">
      <c r="A472" s="1">
        <v>36168</v>
      </c>
      <c r="B472" s="1">
        <f t="shared" si="26"/>
        <v>36161</v>
      </c>
      <c r="C472">
        <v>254.8</v>
      </c>
    </row>
    <row r="473" spans="1:3" x14ac:dyDescent="0.25">
      <c r="A473" s="1">
        <v>36175</v>
      </c>
      <c r="B473" s="1">
        <f t="shared" si="26"/>
        <v>36161</v>
      </c>
      <c r="C473">
        <v>276.39999999999998</v>
      </c>
    </row>
    <row r="474" spans="1:3" x14ac:dyDescent="0.25">
      <c r="A474" s="1">
        <v>36182</v>
      </c>
      <c r="B474" s="1">
        <f t="shared" si="26"/>
        <v>36161</v>
      </c>
      <c r="C474">
        <v>278.3</v>
      </c>
    </row>
    <row r="475" spans="1:3" x14ac:dyDescent="0.25">
      <c r="A475" s="1">
        <v>36189</v>
      </c>
      <c r="B475" s="1">
        <f t="shared" si="26"/>
        <v>36161</v>
      </c>
      <c r="C475">
        <v>272.89999999999998</v>
      </c>
    </row>
    <row r="476" spans="1:3" x14ac:dyDescent="0.25">
      <c r="A476" s="1">
        <v>36196</v>
      </c>
      <c r="B476" s="1">
        <f t="shared" si="26"/>
        <v>36192</v>
      </c>
      <c r="C476">
        <v>253.5</v>
      </c>
    </row>
    <row r="477" spans="1:3" x14ac:dyDescent="0.25">
      <c r="A477" s="1">
        <v>36203</v>
      </c>
      <c r="B477" s="1">
        <f t="shared" si="26"/>
        <v>36192</v>
      </c>
      <c r="C477">
        <v>232.9</v>
      </c>
    </row>
    <row r="478" spans="1:3" x14ac:dyDescent="0.25">
      <c r="A478" s="1">
        <v>36210</v>
      </c>
      <c r="B478" s="1">
        <f t="shared" si="26"/>
        <v>36192</v>
      </c>
      <c r="C478">
        <v>231.7</v>
      </c>
    </row>
    <row r="479" spans="1:3" x14ac:dyDescent="0.25">
      <c r="A479" s="1">
        <v>36217</v>
      </c>
      <c r="B479" s="1">
        <f t="shared" si="26"/>
        <v>36192</v>
      </c>
      <c r="C479">
        <v>269.8</v>
      </c>
    </row>
    <row r="480" spans="1:3" x14ac:dyDescent="0.25">
      <c r="A480" s="1">
        <v>36224</v>
      </c>
      <c r="B480" s="1">
        <f t="shared" si="26"/>
        <v>36220</v>
      </c>
      <c r="C480">
        <v>259.8</v>
      </c>
    </row>
    <row r="481" spans="1:3" x14ac:dyDescent="0.25">
      <c r="A481" s="1">
        <v>36231</v>
      </c>
      <c r="B481" s="1">
        <f t="shared" si="26"/>
        <v>36220</v>
      </c>
      <c r="C481">
        <v>246.4</v>
      </c>
    </row>
    <row r="482" spans="1:3" x14ac:dyDescent="0.25">
      <c r="A482" s="1">
        <v>36238</v>
      </c>
      <c r="B482" s="1">
        <f t="shared" si="26"/>
        <v>36220</v>
      </c>
      <c r="C482">
        <v>259.39999999999998</v>
      </c>
    </row>
    <row r="483" spans="1:3" x14ac:dyDescent="0.25">
      <c r="A483" s="1">
        <v>36245</v>
      </c>
      <c r="B483" s="1">
        <f t="shared" si="26"/>
        <v>36220</v>
      </c>
      <c r="C483">
        <v>263.2</v>
      </c>
    </row>
    <row r="484" spans="1:3" x14ac:dyDescent="0.25">
      <c r="A484" s="1">
        <v>36252</v>
      </c>
      <c r="B484" s="1">
        <f t="shared" si="26"/>
        <v>36251</v>
      </c>
      <c r="C484">
        <v>269</v>
      </c>
    </row>
    <row r="485" spans="1:3" x14ac:dyDescent="0.25">
      <c r="A485" s="1">
        <v>36259</v>
      </c>
      <c r="B485" s="1">
        <f t="shared" si="26"/>
        <v>36251</v>
      </c>
      <c r="C485">
        <v>251.2</v>
      </c>
    </row>
    <row r="486" spans="1:3" x14ac:dyDescent="0.25">
      <c r="A486" s="1">
        <v>36266</v>
      </c>
      <c r="B486" s="1">
        <f t="shared" si="26"/>
        <v>36251</v>
      </c>
      <c r="C486">
        <v>288.2</v>
      </c>
    </row>
    <row r="487" spans="1:3" x14ac:dyDescent="0.25">
      <c r="A487" s="1">
        <v>36273</v>
      </c>
      <c r="B487" s="1">
        <f t="shared" si="26"/>
        <v>36251</v>
      </c>
      <c r="C487">
        <v>278.89999999999998</v>
      </c>
    </row>
    <row r="488" spans="1:3" x14ac:dyDescent="0.25">
      <c r="A488" s="1">
        <v>36280</v>
      </c>
      <c r="B488" s="1">
        <f t="shared" si="26"/>
        <v>36251</v>
      </c>
      <c r="C488">
        <v>298.7</v>
      </c>
    </row>
    <row r="489" spans="1:3" x14ac:dyDescent="0.25">
      <c r="A489" s="1">
        <v>36287</v>
      </c>
      <c r="B489" s="1">
        <f t="shared" si="26"/>
        <v>36281</v>
      </c>
      <c r="C489">
        <v>289</v>
      </c>
    </row>
    <row r="490" spans="1:3" x14ac:dyDescent="0.25">
      <c r="A490" s="1">
        <v>36294</v>
      </c>
      <c r="B490" s="1">
        <f t="shared" si="26"/>
        <v>36281</v>
      </c>
      <c r="C490">
        <v>271.10000000000002</v>
      </c>
    </row>
    <row r="491" spans="1:3" x14ac:dyDescent="0.25">
      <c r="A491" s="1">
        <v>36301</v>
      </c>
      <c r="B491" s="1">
        <f t="shared" si="26"/>
        <v>36281</v>
      </c>
      <c r="C491">
        <v>292.89999999999998</v>
      </c>
    </row>
    <row r="492" spans="1:3" x14ac:dyDescent="0.25">
      <c r="A492" s="1">
        <v>36308</v>
      </c>
      <c r="B492" s="1">
        <f t="shared" si="26"/>
        <v>36281</v>
      </c>
      <c r="C492">
        <v>300.10000000000002</v>
      </c>
    </row>
    <row r="493" spans="1:3" x14ac:dyDescent="0.25">
      <c r="A493" s="1">
        <v>36315</v>
      </c>
      <c r="B493" s="1">
        <f t="shared" si="26"/>
        <v>36312</v>
      </c>
      <c r="C493">
        <v>305.5</v>
      </c>
    </row>
    <row r="494" spans="1:3" x14ac:dyDescent="0.25">
      <c r="A494" s="1">
        <v>36322</v>
      </c>
      <c r="B494" s="1">
        <f t="shared" si="26"/>
        <v>36312</v>
      </c>
      <c r="C494">
        <v>327.2</v>
      </c>
    </row>
    <row r="495" spans="1:3" x14ac:dyDescent="0.25">
      <c r="A495" s="1">
        <v>36329</v>
      </c>
      <c r="B495" s="1">
        <f t="shared" si="26"/>
        <v>36312</v>
      </c>
      <c r="C495">
        <v>301.60000000000002</v>
      </c>
    </row>
    <row r="496" spans="1:3" x14ac:dyDescent="0.25">
      <c r="A496" s="1">
        <v>36336</v>
      </c>
      <c r="B496" s="1">
        <f t="shared" si="26"/>
        <v>36312</v>
      </c>
      <c r="C496">
        <v>304.10000000000002</v>
      </c>
    </row>
    <row r="497" spans="1:3" x14ac:dyDescent="0.25">
      <c r="A497" s="1">
        <v>36343</v>
      </c>
      <c r="B497" s="1">
        <f t="shared" si="26"/>
        <v>36342</v>
      </c>
      <c r="C497">
        <v>317.89999999999998</v>
      </c>
    </row>
    <row r="498" spans="1:3" x14ac:dyDescent="0.25">
      <c r="A498" s="1">
        <v>36350</v>
      </c>
      <c r="B498" s="1">
        <f t="shared" si="26"/>
        <v>36342</v>
      </c>
      <c r="C498">
        <v>274.10000000000002</v>
      </c>
    </row>
    <row r="499" spans="1:3" x14ac:dyDescent="0.25">
      <c r="A499" s="1">
        <v>36357</v>
      </c>
      <c r="B499" s="1">
        <f t="shared" si="26"/>
        <v>36342</v>
      </c>
      <c r="C499">
        <v>276.3</v>
      </c>
    </row>
    <row r="500" spans="1:3" x14ac:dyDescent="0.25">
      <c r="A500" s="1">
        <v>36364</v>
      </c>
      <c r="B500" s="1">
        <f t="shared" si="26"/>
        <v>36342</v>
      </c>
      <c r="C500">
        <v>267.60000000000002</v>
      </c>
    </row>
    <row r="501" spans="1:3" x14ac:dyDescent="0.25">
      <c r="A501" s="1">
        <v>36371</v>
      </c>
      <c r="B501" s="1">
        <f t="shared" si="26"/>
        <v>36342</v>
      </c>
      <c r="C501">
        <v>293.39999999999998</v>
      </c>
    </row>
    <row r="502" spans="1:3" x14ac:dyDescent="0.25">
      <c r="A502" s="1">
        <v>36378</v>
      </c>
      <c r="B502" s="1">
        <f t="shared" si="26"/>
        <v>36373</v>
      </c>
      <c r="C502">
        <v>277.5</v>
      </c>
    </row>
    <row r="503" spans="1:3" x14ac:dyDescent="0.25">
      <c r="A503" s="1">
        <v>36385</v>
      </c>
      <c r="B503" s="1">
        <f t="shared" si="26"/>
        <v>36373</v>
      </c>
      <c r="C503">
        <v>271.8</v>
      </c>
    </row>
    <row r="504" spans="1:3" x14ac:dyDescent="0.25">
      <c r="A504" s="1">
        <v>36392</v>
      </c>
      <c r="B504" s="1">
        <f t="shared" si="26"/>
        <v>36373</v>
      </c>
      <c r="C504">
        <v>271</v>
      </c>
    </row>
    <row r="505" spans="1:3" x14ac:dyDescent="0.25">
      <c r="A505" s="1">
        <v>36399</v>
      </c>
      <c r="B505" s="1">
        <f t="shared" si="26"/>
        <v>36373</v>
      </c>
      <c r="C505">
        <v>289.5</v>
      </c>
    </row>
    <row r="506" spans="1:3" x14ac:dyDescent="0.25">
      <c r="A506" s="1">
        <v>36406</v>
      </c>
      <c r="B506" s="1">
        <f t="shared" si="26"/>
        <v>36404</v>
      </c>
      <c r="C506">
        <v>254.1</v>
      </c>
    </row>
    <row r="507" spans="1:3" x14ac:dyDescent="0.25">
      <c r="A507" s="1">
        <v>36413</v>
      </c>
      <c r="B507" s="1">
        <f t="shared" si="26"/>
        <v>36404</v>
      </c>
      <c r="C507">
        <v>278.7</v>
      </c>
    </row>
    <row r="508" spans="1:3" x14ac:dyDescent="0.25">
      <c r="A508" s="1">
        <v>36420</v>
      </c>
      <c r="B508" s="1">
        <f t="shared" si="26"/>
        <v>36404</v>
      </c>
      <c r="C508">
        <v>266.39999999999998</v>
      </c>
    </row>
    <row r="509" spans="1:3" x14ac:dyDescent="0.25">
      <c r="A509" s="1">
        <v>36427</v>
      </c>
      <c r="B509" s="1">
        <f t="shared" si="26"/>
        <v>36404</v>
      </c>
      <c r="C509">
        <v>260.2</v>
      </c>
    </row>
    <row r="510" spans="1:3" x14ac:dyDescent="0.25">
      <c r="A510" s="1">
        <v>36434</v>
      </c>
      <c r="B510" s="1">
        <f t="shared" si="26"/>
        <v>36434</v>
      </c>
      <c r="C510">
        <v>288.8</v>
      </c>
    </row>
    <row r="511" spans="1:3" x14ac:dyDescent="0.25">
      <c r="A511" s="1">
        <v>36441</v>
      </c>
      <c r="B511" s="1">
        <f t="shared" si="26"/>
        <v>36434</v>
      </c>
      <c r="C511">
        <v>262.7</v>
      </c>
    </row>
    <row r="512" spans="1:3" x14ac:dyDescent="0.25">
      <c r="A512" s="1">
        <v>36448</v>
      </c>
      <c r="B512" s="1">
        <f t="shared" si="26"/>
        <v>36434</v>
      </c>
      <c r="C512">
        <v>277.3</v>
      </c>
    </row>
    <row r="513" spans="1:3" x14ac:dyDescent="0.25">
      <c r="A513" s="1">
        <v>36455</v>
      </c>
      <c r="B513" s="1">
        <f t="shared" si="26"/>
        <v>36434</v>
      </c>
      <c r="C513">
        <v>255.4</v>
      </c>
    </row>
    <row r="514" spans="1:3" x14ac:dyDescent="0.25">
      <c r="A514" s="1">
        <v>36462</v>
      </c>
      <c r="B514" s="1">
        <f t="shared" si="26"/>
        <v>36434</v>
      </c>
      <c r="C514">
        <v>277.7</v>
      </c>
    </row>
    <row r="515" spans="1:3" x14ac:dyDescent="0.25">
      <c r="A515" s="1">
        <v>36469</v>
      </c>
      <c r="B515" s="1">
        <f t="shared" ref="B515:B578" si="27">A515-DAY(A515)+1</f>
        <v>36465</v>
      </c>
      <c r="C515">
        <v>268.8</v>
      </c>
    </row>
    <row r="516" spans="1:3" x14ac:dyDescent="0.25">
      <c r="A516" s="1">
        <v>36476</v>
      </c>
      <c r="B516" s="1">
        <f t="shared" si="27"/>
        <v>36465</v>
      </c>
      <c r="C516">
        <v>298.5</v>
      </c>
    </row>
    <row r="517" spans="1:3" x14ac:dyDescent="0.25">
      <c r="A517" s="1">
        <v>36483</v>
      </c>
      <c r="B517" s="1">
        <f t="shared" si="27"/>
        <v>36465</v>
      </c>
      <c r="C517">
        <v>315.7</v>
      </c>
    </row>
    <row r="518" spans="1:3" x14ac:dyDescent="0.25">
      <c r="A518" s="1">
        <v>36490</v>
      </c>
      <c r="B518" s="1">
        <f t="shared" si="27"/>
        <v>36465</v>
      </c>
      <c r="C518">
        <v>298.89999999999998</v>
      </c>
    </row>
    <row r="519" spans="1:3" x14ac:dyDescent="0.25">
      <c r="A519" s="1">
        <v>36497</v>
      </c>
      <c r="B519" s="1">
        <f t="shared" si="27"/>
        <v>36495</v>
      </c>
      <c r="C519">
        <v>287.89999999999998</v>
      </c>
    </row>
    <row r="520" spans="1:3" x14ac:dyDescent="0.25">
      <c r="A520" s="1">
        <v>36504</v>
      </c>
      <c r="B520" s="1">
        <f t="shared" si="27"/>
        <v>36495</v>
      </c>
      <c r="C520">
        <v>285.8</v>
      </c>
    </row>
    <row r="521" spans="1:3" x14ac:dyDescent="0.25">
      <c r="A521" s="1">
        <v>36511</v>
      </c>
      <c r="B521" s="1">
        <f t="shared" si="27"/>
        <v>36495</v>
      </c>
      <c r="C521">
        <v>284.3</v>
      </c>
    </row>
    <row r="522" spans="1:3" x14ac:dyDescent="0.25">
      <c r="A522" s="1">
        <v>36518</v>
      </c>
      <c r="B522" s="1">
        <f t="shared" si="27"/>
        <v>36495</v>
      </c>
      <c r="C522">
        <v>253.3</v>
      </c>
    </row>
    <row r="523" spans="1:3" x14ac:dyDescent="0.25">
      <c r="A523" s="1">
        <v>36525</v>
      </c>
      <c r="B523" s="1">
        <f t="shared" si="27"/>
        <v>36495</v>
      </c>
      <c r="C523">
        <v>238</v>
      </c>
    </row>
    <row r="524" spans="1:3" x14ac:dyDescent="0.25">
      <c r="A524" s="1">
        <v>36532</v>
      </c>
      <c r="B524" s="1">
        <f t="shared" si="27"/>
        <v>36526</v>
      </c>
      <c r="C524">
        <v>254.6</v>
      </c>
    </row>
    <row r="525" spans="1:3" x14ac:dyDescent="0.25">
      <c r="A525" s="1">
        <v>36539</v>
      </c>
      <c r="B525" s="1">
        <f t="shared" si="27"/>
        <v>36526</v>
      </c>
      <c r="C525">
        <v>292</v>
      </c>
    </row>
    <row r="526" spans="1:3" x14ac:dyDescent="0.25">
      <c r="A526" s="1">
        <v>36546</v>
      </c>
      <c r="B526" s="1">
        <f t="shared" si="27"/>
        <v>36526</v>
      </c>
      <c r="C526">
        <v>286.10000000000002</v>
      </c>
    </row>
    <row r="527" spans="1:3" x14ac:dyDescent="0.25">
      <c r="A527" s="1">
        <v>36553</v>
      </c>
      <c r="B527" s="1">
        <f t="shared" si="27"/>
        <v>36526</v>
      </c>
      <c r="C527">
        <v>292.60000000000002</v>
      </c>
    </row>
    <row r="528" spans="1:3" x14ac:dyDescent="0.25">
      <c r="A528" s="1">
        <v>36560</v>
      </c>
      <c r="B528" s="1">
        <f t="shared" si="27"/>
        <v>36557</v>
      </c>
      <c r="C528">
        <v>307.10000000000002</v>
      </c>
    </row>
    <row r="529" spans="1:3" x14ac:dyDescent="0.25">
      <c r="A529" s="1">
        <v>36567</v>
      </c>
      <c r="B529" s="1">
        <f t="shared" si="27"/>
        <v>36557</v>
      </c>
      <c r="C529">
        <v>270.8</v>
      </c>
    </row>
    <row r="530" spans="1:3" x14ac:dyDescent="0.25">
      <c r="A530" s="1">
        <v>36574</v>
      </c>
      <c r="B530" s="1">
        <f t="shared" si="27"/>
        <v>36557</v>
      </c>
      <c r="C530">
        <v>262.39999999999998</v>
      </c>
    </row>
    <row r="531" spans="1:3" x14ac:dyDescent="0.25">
      <c r="A531" s="1">
        <v>36581</v>
      </c>
      <c r="B531" s="1">
        <f t="shared" si="27"/>
        <v>36557</v>
      </c>
      <c r="C531">
        <v>278.39999999999998</v>
      </c>
    </row>
    <row r="532" spans="1:3" x14ac:dyDescent="0.25">
      <c r="A532" s="1">
        <v>36588</v>
      </c>
      <c r="B532" s="1">
        <f t="shared" si="27"/>
        <v>36586</v>
      </c>
      <c r="C532">
        <v>291.7</v>
      </c>
    </row>
    <row r="533" spans="1:3" x14ac:dyDescent="0.25">
      <c r="A533" s="1">
        <v>36595</v>
      </c>
      <c r="B533" s="1">
        <f t="shared" si="27"/>
        <v>36586</v>
      </c>
      <c r="C533">
        <v>290</v>
      </c>
    </row>
    <row r="534" spans="1:3" x14ac:dyDescent="0.25">
      <c r="A534" s="1">
        <v>36602</v>
      </c>
      <c r="B534" s="1">
        <f t="shared" si="27"/>
        <v>36586</v>
      </c>
      <c r="C534">
        <v>293.5</v>
      </c>
    </row>
    <row r="535" spans="1:3" x14ac:dyDescent="0.25">
      <c r="A535" s="1">
        <v>36609</v>
      </c>
      <c r="B535" s="1">
        <f t="shared" si="27"/>
        <v>36586</v>
      </c>
      <c r="C535">
        <v>312.2</v>
      </c>
    </row>
    <row r="536" spans="1:3" x14ac:dyDescent="0.25">
      <c r="A536" s="1">
        <v>36616</v>
      </c>
      <c r="B536" s="1">
        <f t="shared" si="27"/>
        <v>36586</v>
      </c>
      <c r="C536">
        <v>293.5</v>
      </c>
    </row>
    <row r="537" spans="1:3" x14ac:dyDescent="0.25">
      <c r="A537" s="1">
        <v>36623</v>
      </c>
      <c r="B537" s="1">
        <f t="shared" si="27"/>
        <v>36617</v>
      </c>
      <c r="C537">
        <v>316.60000000000002</v>
      </c>
    </row>
    <row r="538" spans="1:3" x14ac:dyDescent="0.25">
      <c r="A538" s="1">
        <v>36630</v>
      </c>
      <c r="B538" s="1">
        <f t="shared" si="27"/>
        <v>36617</v>
      </c>
      <c r="C538">
        <v>300.8</v>
      </c>
    </row>
    <row r="539" spans="1:3" x14ac:dyDescent="0.25">
      <c r="A539" s="1">
        <v>36637</v>
      </c>
      <c r="B539" s="1">
        <f t="shared" si="27"/>
        <v>36617</v>
      </c>
      <c r="C539">
        <v>302.8</v>
      </c>
    </row>
    <row r="540" spans="1:3" x14ac:dyDescent="0.25">
      <c r="A540" s="1">
        <v>36644</v>
      </c>
      <c r="B540" s="1">
        <f t="shared" si="27"/>
        <v>36617</v>
      </c>
      <c r="C540">
        <v>299.39999999999998</v>
      </c>
    </row>
    <row r="541" spans="1:3" x14ac:dyDescent="0.25">
      <c r="A541" s="1">
        <v>36651</v>
      </c>
      <c r="B541" s="1">
        <f t="shared" si="27"/>
        <v>36647</v>
      </c>
      <c r="C541">
        <v>322.39999999999998</v>
      </c>
    </row>
    <row r="542" spans="1:3" x14ac:dyDescent="0.25">
      <c r="A542" s="1">
        <v>36658</v>
      </c>
      <c r="B542" s="1">
        <f t="shared" si="27"/>
        <v>36647</v>
      </c>
      <c r="C542">
        <v>296.60000000000002</v>
      </c>
    </row>
    <row r="543" spans="1:3" x14ac:dyDescent="0.25">
      <c r="A543" s="1">
        <v>36665</v>
      </c>
      <c r="B543" s="1">
        <f t="shared" si="27"/>
        <v>36647</v>
      </c>
      <c r="C543">
        <v>309.60000000000002</v>
      </c>
    </row>
    <row r="544" spans="1:3" x14ac:dyDescent="0.25">
      <c r="A544" s="1">
        <v>36672</v>
      </c>
      <c r="B544" s="1">
        <f t="shared" si="27"/>
        <v>36647</v>
      </c>
      <c r="C544">
        <v>286.5</v>
      </c>
    </row>
    <row r="545" spans="1:3" x14ac:dyDescent="0.25">
      <c r="A545" s="1">
        <v>36679</v>
      </c>
      <c r="B545" s="1">
        <f t="shared" si="27"/>
        <v>36678</v>
      </c>
      <c r="C545">
        <v>335</v>
      </c>
    </row>
    <row r="546" spans="1:3" x14ac:dyDescent="0.25">
      <c r="A546" s="1">
        <v>36686</v>
      </c>
      <c r="B546" s="1">
        <f t="shared" si="27"/>
        <v>36678</v>
      </c>
      <c r="C546">
        <v>309.5</v>
      </c>
    </row>
    <row r="547" spans="1:3" x14ac:dyDescent="0.25">
      <c r="A547" s="1">
        <v>36693</v>
      </c>
      <c r="B547" s="1">
        <f t="shared" si="27"/>
        <v>36678</v>
      </c>
      <c r="C547">
        <v>305.7</v>
      </c>
    </row>
    <row r="548" spans="1:3" x14ac:dyDescent="0.25">
      <c r="A548" s="1">
        <v>36700</v>
      </c>
      <c r="B548" s="1">
        <f t="shared" si="27"/>
        <v>36678</v>
      </c>
      <c r="C548">
        <v>305.8</v>
      </c>
    </row>
    <row r="549" spans="1:3" x14ac:dyDescent="0.25">
      <c r="A549" s="1">
        <v>36707</v>
      </c>
      <c r="B549" s="1">
        <f t="shared" si="27"/>
        <v>36678</v>
      </c>
      <c r="C549">
        <v>318.10000000000002</v>
      </c>
    </row>
    <row r="550" spans="1:3" x14ac:dyDescent="0.25">
      <c r="A550" s="1">
        <v>36714</v>
      </c>
      <c r="B550" s="1">
        <f t="shared" si="27"/>
        <v>36708</v>
      </c>
      <c r="C550">
        <v>298</v>
      </c>
    </row>
    <row r="551" spans="1:3" x14ac:dyDescent="0.25">
      <c r="A551" s="1">
        <v>36721</v>
      </c>
      <c r="B551" s="1">
        <f t="shared" si="27"/>
        <v>36708</v>
      </c>
      <c r="C551">
        <v>331.2</v>
      </c>
    </row>
    <row r="552" spans="1:3" x14ac:dyDescent="0.25">
      <c r="A552" s="1">
        <v>36728</v>
      </c>
      <c r="B552" s="1">
        <f t="shared" si="27"/>
        <v>36708</v>
      </c>
      <c r="C552">
        <v>313.10000000000002</v>
      </c>
    </row>
    <row r="553" spans="1:3" x14ac:dyDescent="0.25">
      <c r="A553" s="1">
        <v>36735</v>
      </c>
      <c r="B553" s="1">
        <f t="shared" si="27"/>
        <v>36708</v>
      </c>
      <c r="C553">
        <v>306.60000000000002</v>
      </c>
    </row>
    <row r="554" spans="1:3" x14ac:dyDescent="0.25">
      <c r="A554" s="1">
        <v>36742</v>
      </c>
      <c r="B554" s="1">
        <f t="shared" si="27"/>
        <v>36739</v>
      </c>
      <c r="C554">
        <v>327.39999999999998</v>
      </c>
    </row>
    <row r="555" spans="1:3" x14ac:dyDescent="0.25">
      <c r="A555" s="1">
        <v>36749</v>
      </c>
      <c r="B555" s="1">
        <f t="shared" si="27"/>
        <v>36739</v>
      </c>
      <c r="C555">
        <v>313.3</v>
      </c>
    </row>
    <row r="556" spans="1:3" x14ac:dyDescent="0.25">
      <c r="A556" s="1">
        <v>36756</v>
      </c>
      <c r="B556" s="1">
        <f t="shared" si="27"/>
        <v>36739</v>
      </c>
      <c r="C556">
        <v>294.39999999999998</v>
      </c>
    </row>
    <row r="557" spans="1:3" x14ac:dyDescent="0.25">
      <c r="A557" s="1">
        <v>36763</v>
      </c>
      <c r="B557" s="1">
        <f t="shared" si="27"/>
        <v>36739</v>
      </c>
      <c r="C557">
        <v>298.60000000000002</v>
      </c>
    </row>
    <row r="558" spans="1:3" x14ac:dyDescent="0.25">
      <c r="A558" s="1">
        <v>36770</v>
      </c>
      <c r="B558" s="1">
        <f t="shared" si="27"/>
        <v>36770</v>
      </c>
      <c r="C558">
        <v>307.39999999999998</v>
      </c>
    </row>
    <row r="559" spans="1:3" x14ac:dyDescent="0.25">
      <c r="A559" s="1">
        <v>36777</v>
      </c>
      <c r="B559" s="1">
        <f t="shared" si="27"/>
        <v>36770</v>
      </c>
      <c r="C559">
        <v>324.39999999999998</v>
      </c>
    </row>
    <row r="560" spans="1:3" x14ac:dyDescent="0.25">
      <c r="A560" s="1">
        <v>36784</v>
      </c>
      <c r="B560" s="1">
        <f t="shared" si="27"/>
        <v>36770</v>
      </c>
      <c r="C560">
        <v>318.8</v>
      </c>
    </row>
    <row r="561" spans="1:3" x14ac:dyDescent="0.25">
      <c r="A561" s="1">
        <v>36791</v>
      </c>
      <c r="B561" s="1">
        <f t="shared" si="27"/>
        <v>36770</v>
      </c>
      <c r="C561">
        <v>307.89999999999998</v>
      </c>
    </row>
    <row r="562" spans="1:3" x14ac:dyDescent="0.25">
      <c r="A562" s="1">
        <v>36798</v>
      </c>
      <c r="B562" s="1">
        <f t="shared" si="27"/>
        <v>36770</v>
      </c>
      <c r="C562">
        <v>320.39999999999998</v>
      </c>
    </row>
    <row r="563" spans="1:3" x14ac:dyDescent="0.25">
      <c r="A563" s="1">
        <v>36805</v>
      </c>
      <c r="B563" s="1">
        <f t="shared" si="27"/>
        <v>36800</v>
      </c>
      <c r="C563">
        <v>302.8</v>
      </c>
    </row>
    <row r="564" spans="1:3" x14ac:dyDescent="0.25">
      <c r="A564" s="1">
        <v>36812</v>
      </c>
      <c r="B564" s="1">
        <f t="shared" si="27"/>
        <v>36800</v>
      </c>
      <c r="C564">
        <v>311.10000000000002</v>
      </c>
    </row>
    <row r="565" spans="1:3" x14ac:dyDescent="0.25">
      <c r="A565" s="1">
        <v>36819</v>
      </c>
      <c r="B565" s="1">
        <f t="shared" si="27"/>
        <v>36800</v>
      </c>
      <c r="C565">
        <v>298.7</v>
      </c>
    </row>
    <row r="566" spans="1:3" x14ac:dyDescent="0.25">
      <c r="A566" s="1">
        <v>36826</v>
      </c>
      <c r="B566" s="1">
        <f t="shared" si="27"/>
        <v>36800</v>
      </c>
      <c r="C566">
        <v>304.60000000000002</v>
      </c>
    </row>
    <row r="567" spans="1:3" x14ac:dyDescent="0.25">
      <c r="A567" s="1">
        <v>36833</v>
      </c>
      <c r="B567" s="1">
        <f t="shared" si="27"/>
        <v>36831</v>
      </c>
      <c r="C567">
        <v>310.5</v>
      </c>
    </row>
    <row r="568" spans="1:3" x14ac:dyDescent="0.25">
      <c r="A568" s="1">
        <v>36840</v>
      </c>
      <c r="B568" s="1">
        <f t="shared" si="27"/>
        <v>36831</v>
      </c>
      <c r="C568">
        <v>327.10000000000002</v>
      </c>
    </row>
    <row r="569" spans="1:3" x14ac:dyDescent="0.25">
      <c r="A569" s="1">
        <v>36847</v>
      </c>
      <c r="B569" s="1">
        <f t="shared" si="27"/>
        <v>36831</v>
      </c>
      <c r="C569">
        <v>307</v>
      </c>
    </row>
    <row r="570" spans="1:3" x14ac:dyDescent="0.25">
      <c r="A570" s="1">
        <v>36854</v>
      </c>
      <c r="B570" s="1">
        <f t="shared" si="27"/>
        <v>36831</v>
      </c>
      <c r="C570">
        <v>307</v>
      </c>
    </row>
    <row r="571" spans="1:3" x14ac:dyDescent="0.25">
      <c r="A571" s="1">
        <v>36861</v>
      </c>
      <c r="B571" s="1">
        <f t="shared" si="27"/>
        <v>36861</v>
      </c>
      <c r="C571">
        <v>333.8</v>
      </c>
    </row>
    <row r="572" spans="1:3" x14ac:dyDescent="0.25">
      <c r="A572" s="1">
        <v>36868</v>
      </c>
      <c r="B572" s="1">
        <f t="shared" si="27"/>
        <v>36861</v>
      </c>
      <c r="C572">
        <v>344</v>
      </c>
    </row>
    <row r="573" spans="1:3" x14ac:dyDescent="0.25">
      <c r="A573" s="1">
        <v>36875</v>
      </c>
      <c r="B573" s="1">
        <f t="shared" si="27"/>
        <v>36861</v>
      </c>
      <c r="C573">
        <v>302.2</v>
      </c>
    </row>
    <row r="574" spans="1:3" x14ac:dyDescent="0.25">
      <c r="A574" s="1">
        <v>36882</v>
      </c>
      <c r="B574" s="1">
        <f t="shared" si="27"/>
        <v>36861</v>
      </c>
      <c r="C574">
        <v>278.2</v>
      </c>
    </row>
    <row r="575" spans="1:3" x14ac:dyDescent="0.25">
      <c r="A575" s="1">
        <v>36889</v>
      </c>
      <c r="B575" s="1">
        <f t="shared" si="27"/>
        <v>36861</v>
      </c>
      <c r="C575">
        <v>218.7</v>
      </c>
    </row>
    <row r="576" spans="1:3" x14ac:dyDescent="0.25">
      <c r="A576" s="1">
        <v>36896</v>
      </c>
      <c r="B576" s="1">
        <f t="shared" si="27"/>
        <v>36892</v>
      </c>
      <c r="C576">
        <v>292.8</v>
      </c>
    </row>
    <row r="577" spans="1:3" x14ac:dyDescent="0.25">
      <c r="A577" s="1">
        <v>36903</v>
      </c>
      <c r="B577" s="1">
        <f t="shared" si="27"/>
        <v>36892</v>
      </c>
      <c r="C577">
        <v>332.9</v>
      </c>
    </row>
    <row r="578" spans="1:3" x14ac:dyDescent="0.25">
      <c r="A578" s="1">
        <v>36910</v>
      </c>
      <c r="B578" s="1">
        <f t="shared" si="27"/>
        <v>36892</v>
      </c>
      <c r="C578">
        <v>332.6</v>
      </c>
    </row>
    <row r="579" spans="1:3" x14ac:dyDescent="0.25">
      <c r="A579" s="1">
        <v>36917</v>
      </c>
      <c r="B579" s="1">
        <f t="shared" ref="B579:B642" si="28">A579-DAY(A579)+1</f>
        <v>36892</v>
      </c>
      <c r="C579">
        <v>298.10000000000002</v>
      </c>
    </row>
    <row r="580" spans="1:3" x14ac:dyDescent="0.25">
      <c r="A580" s="1">
        <v>36924</v>
      </c>
      <c r="B580" s="1">
        <f t="shared" si="28"/>
        <v>36923</v>
      </c>
      <c r="C580">
        <v>311.5</v>
      </c>
    </row>
    <row r="581" spans="1:3" x14ac:dyDescent="0.25">
      <c r="A581" s="1">
        <v>36931</v>
      </c>
      <c r="B581" s="1">
        <f t="shared" si="28"/>
        <v>36923</v>
      </c>
      <c r="C581">
        <v>277.60000000000002</v>
      </c>
    </row>
    <row r="582" spans="1:3" x14ac:dyDescent="0.25">
      <c r="A582" s="1">
        <v>36938</v>
      </c>
      <c r="B582" s="1">
        <f t="shared" si="28"/>
        <v>36923</v>
      </c>
      <c r="C582">
        <v>274.3</v>
      </c>
    </row>
    <row r="583" spans="1:3" x14ac:dyDescent="0.25">
      <c r="A583" s="1">
        <v>36945</v>
      </c>
      <c r="B583" s="1">
        <f t="shared" si="28"/>
        <v>36923</v>
      </c>
      <c r="C583">
        <v>291.39999999999998</v>
      </c>
    </row>
    <row r="584" spans="1:3" x14ac:dyDescent="0.25">
      <c r="A584" s="1">
        <v>36952</v>
      </c>
      <c r="B584" s="1">
        <f t="shared" si="28"/>
        <v>36951</v>
      </c>
      <c r="C584">
        <v>321.89999999999998</v>
      </c>
    </row>
    <row r="585" spans="1:3" x14ac:dyDescent="0.25">
      <c r="A585" s="1">
        <v>36959</v>
      </c>
      <c r="B585" s="1">
        <f t="shared" si="28"/>
        <v>36951</v>
      </c>
      <c r="C585">
        <v>289.89999999999998</v>
      </c>
    </row>
    <row r="586" spans="1:3" x14ac:dyDescent="0.25">
      <c r="A586" s="1">
        <v>36966</v>
      </c>
      <c r="B586" s="1">
        <f t="shared" si="28"/>
        <v>36951</v>
      </c>
      <c r="C586">
        <v>299.8</v>
      </c>
    </row>
    <row r="587" spans="1:3" x14ac:dyDescent="0.25">
      <c r="A587" s="1">
        <v>36973</v>
      </c>
      <c r="B587" s="1">
        <f t="shared" si="28"/>
        <v>36951</v>
      </c>
      <c r="C587">
        <v>291.60000000000002</v>
      </c>
    </row>
    <row r="588" spans="1:3" x14ac:dyDescent="0.25">
      <c r="A588" s="1">
        <v>36980</v>
      </c>
      <c r="B588" s="1">
        <f t="shared" si="28"/>
        <v>36951</v>
      </c>
      <c r="C588">
        <v>294</v>
      </c>
    </row>
    <row r="589" spans="1:3" x14ac:dyDescent="0.25">
      <c r="A589" s="1">
        <v>36987</v>
      </c>
      <c r="B589" s="1">
        <f t="shared" si="28"/>
        <v>36982</v>
      </c>
      <c r="C589">
        <v>310.60000000000002</v>
      </c>
    </row>
    <row r="590" spans="1:3" x14ac:dyDescent="0.25">
      <c r="A590" s="1">
        <v>36994</v>
      </c>
      <c r="B590" s="1">
        <f t="shared" si="28"/>
        <v>36982</v>
      </c>
      <c r="C590">
        <v>295.89999999999998</v>
      </c>
    </row>
    <row r="591" spans="1:3" x14ac:dyDescent="0.25">
      <c r="A591" s="1">
        <v>37001</v>
      </c>
      <c r="B591" s="1">
        <f t="shared" si="28"/>
        <v>36982</v>
      </c>
      <c r="C591">
        <v>290.5</v>
      </c>
    </row>
    <row r="592" spans="1:3" x14ac:dyDescent="0.25">
      <c r="A592" s="1">
        <v>37008</v>
      </c>
      <c r="B592" s="1">
        <f t="shared" si="28"/>
        <v>36982</v>
      </c>
      <c r="C592">
        <v>309.8</v>
      </c>
    </row>
    <row r="593" spans="1:3" x14ac:dyDescent="0.25">
      <c r="A593" s="1">
        <v>37015</v>
      </c>
      <c r="B593" s="1">
        <f t="shared" si="28"/>
        <v>37012</v>
      </c>
      <c r="C593">
        <v>316.3</v>
      </c>
    </row>
    <row r="594" spans="1:3" x14ac:dyDescent="0.25">
      <c r="A594" s="1">
        <v>37022</v>
      </c>
      <c r="B594" s="1">
        <f t="shared" si="28"/>
        <v>37012</v>
      </c>
      <c r="C594">
        <v>321.89999999999998</v>
      </c>
    </row>
    <row r="595" spans="1:3" x14ac:dyDescent="0.25">
      <c r="A595" s="1">
        <v>37029</v>
      </c>
      <c r="B595" s="1">
        <f t="shared" si="28"/>
        <v>37012</v>
      </c>
      <c r="C595">
        <v>291.2</v>
      </c>
    </row>
    <row r="596" spans="1:3" x14ac:dyDescent="0.25">
      <c r="A596" s="1">
        <v>37036</v>
      </c>
      <c r="B596" s="1">
        <f t="shared" si="28"/>
        <v>37012</v>
      </c>
      <c r="C596">
        <v>302.2</v>
      </c>
    </row>
    <row r="597" spans="1:3" x14ac:dyDescent="0.25">
      <c r="A597" s="1">
        <v>37043</v>
      </c>
      <c r="B597" s="1">
        <f t="shared" si="28"/>
        <v>37043</v>
      </c>
      <c r="C597">
        <v>344.1</v>
      </c>
    </row>
    <row r="598" spans="1:3" x14ac:dyDescent="0.25">
      <c r="A598" s="1">
        <v>37050</v>
      </c>
      <c r="B598" s="1">
        <f t="shared" si="28"/>
        <v>37043</v>
      </c>
      <c r="C598">
        <v>342.9</v>
      </c>
    </row>
    <row r="599" spans="1:3" x14ac:dyDescent="0.25">
      <c r="A599" s="1">
        <v>37057</v>
      </c>
      <c r="B599" s="1">
        <f t="shared" si="28"/>
        <v>37043</v>
      </c>
      <c r="C599">
        <v>324.2</v>
      </c>
    </row>
    <row r="600" spans="1:3" x14ac:dyDescent="0.25">
      <c r="A600" s="1">
        <v>37064</v>
      </c>
      <c r="B600" s="1">
        <f t="shared" si="28"/>
        <v>37043</v>
      </c>
      <c r="C600">
        <v>307.89999999999998</v>
      </c>
    </row>
    <row r="601" spans="1:3" x14ac:dyDescent="0.25">
      <c r="A601" s="1">
        <v>37071</v>
      </c>
      <c r="B601" s="1">
        <f t="shared" si="28"/>
        <v>37043</v>
      </c>
      <c r="C601">
        <v>308.3</v>
      </c>
    </row>
    <row r="602" spans="1:3" x14ac:dyDescent="0.25">
      <c r="A602" s="1">
        <v>37078</v>
      </c>
      <c r="B602" s="1">
        <f t="shared" si="28"/>
        <v>37073</v>
      </c>
      <c r="C602">
        <v>300.39999999999998</v>
      </c>
    </row>
    <row r="603" spans="1:3" x14ac:dyDescent="0.25">
      <c r="A603" s="1">
        <v>37085</v>
      </c>
      <c r="B603" s="1">
        <f t="shared" si="28"/>
        <v>37073</v>
      </c>
      <c r="C603">
        <v>310.39999999999998</v>
      </c>
    </row>
    <row r="604" spans="1:3" x14ac:dyDescent="0.25">
      <c r="A604" s="1">
        <v>37092</v>
      </c>
      <c r="B604" s="1">
        <f t="shared" si="28"/>
        <v>37073</v>
      </c>
      <c r="C604">
        <v>324.89999999999998</v>
      </c>
    </row>
    <row r="605" spans="1:3" x14ac:dyDescent="0.25">
      <c r="A605" s="1">
        <v>37099</v>
      </c>
      <c r="B605" s="1">
        <f t="shared" si="28"/>
        <v>37073</v>
      </c>
      <c r="C605">
        <v>312</v>
      </c>
    </row>
    <row r="606" spans="1:3" x14ac:dyDescent="0.25">
      <c r="A606" s="1">
        <v>37106</v>
      </c>
      <c r="B606" s="1">
        <f t="shared" si="28"/>
        <v>37104</v>
      </c>
      <c r="C606">
        <v>318.2</v>
      </c>
    </row>
    <row r="607" spans="1:3" x14ac:dyDescent="0.25">
      <c r="A607" s="1">
        <v>37113</v>
      </c>
      <c r="B607" s="1">
        <f t="shared" si="28"/>
        <v>37104</v>
      </c>
      <c r="C607">
        <v>300.7</v>
      </c>
    </row>
    <row r="608" spans="1:3" x14ac:dyDescent="0.25">
      <c r="A608" s="1">
        <v>37120</v>
      </c>
      <c r="B608" s="1">
        <f t="shared" si="28"/>
        <v>37104</v>
      </c>
      <c r="C608">
        <v>293.2</v>
      </c>
    </row>
    <row r="609" spans="1:3" x14ac:dyDescent="0.25">
      <c r="A609" s="1">
        <v>37127</v>
      </c>
      <c r="B609" s="1">
        <f t="shared" si="28"/>
        <v>37104</v>
      </c>
      <c r="C609">
        <v>295</v>
      </c>
    </row>
    <row r="610" spans="1:3" x14ac:dyDescent="0.25">
      <c r="A610" s="1">
        <v>37134</v>
      </c>
      <c r="B610" s="1">
        <f t="shared" si="28"/>
        <v>37104</v>
      </c>
      <c r="C610">
        <v>317.39999999999998</v>
      </c>
    </row>
    <row r="611" spans="1:3" x14ac:dyDescent="0.25">
      <c r="A611" s="1">
        <v>37141</v>
      </c>
      <c r="B611" s="1">
        <f t="shared" si="28"/>
        <v>37135</v>
      </c>
      <c r="C611">
        <v>310.5</v>
      </c>
    </row>
    <row r="612" spans="1:3" x14ac:dyDescent="0.25">
      <c r="A612" s="1">
        <v>37148</v>
      </c>
      <c r="B612" s="1">
        <f t="shared" si="28"/>
        <v>37135</v>
      </c>
      <c r="C612">
        <v>282.39999999999998</v>
      </c>
    </row>
    <row r="613" spans="1:3" x14ac:dyDescent="0.25">
      <c r="A613" s="1">
        <v>37155</v>
      </c>
      <c r="B613" s="1">
        <f t="shared" si="28"/>
        <v>37135</v>
      </c>
      <c r="C613">
        <v>283.5</v>
      </c>
    </row>
    <row r="614" spans="1:3" x14ac:dyDescent="0.25">
      <c r="A614" s="1">
        <v>37162</v>
      </c>
      <c r="B614" s="1">
        <f t="shared" si="28"/>
        <v>37135</v>
      </c>
      <c r="C614">
        <v>308.8</v>
      </c>
    </row>
    <row r="615" spans="1:3" x14ac:dyDescent="0.25">
      <c r="A615" s="1">
        <v>37169</v>
      </c>
      <c r="B615" s="1">
        <f t="shared" si="28"/>
        <v>37165</v>
      </c>
      <c r="C615">
        <v>271.2</v>
      </c>
    </row>
    <row r="616" spans="1:3" x14ac:dyDescent="0.25">
      <c r="A616" s="1">
        <v>37176</v>
      </c>
      <c r="B616" s="1">
        <f t="shared" si="28"/>
        <v>37165</v>
      </c>
      <c r="C616">
        <v>286.89999999999998</v>
      </c>
    </row>
    <row r="617" spans="1:3" x14ac:dyDescent="0.25">
      <c r="A617" s="1">
        <v>37183</v>
      </c>
      <c r="B617" s="1">
        <f t="shared" si="28"/>
        <v>37165</v>
      </c>
      <c r="C617">
        <v>264.10000000000002</v>
      </c>
    </row>
    <row r="618" spans="1:3" x14ac:dyDescent="0.25">
      <c r="A618" s="1">
        <v>37190</v>
      </c>
      <c r="B618" s="1">
        <f t="shared" si="28"/>
        <v>37165</v>
      </c>
      <c r="C618">
        <v>265.89999999999998</v>
      </c>
    </row>
    <row r="619" spans="1:3" x14ac:dyDescent="0.25">
      <c r="A619" s="1">
        <v>37197</v>
      </c>
      <c r="B619" s="1">
        <f t="shared" si="28"/>
        <v>37196</v>
      </c>
      <c r="C619">
        <v>318.39999999999998</v>
      </c>
    </row>
    <row r="620" spans="1:3" x14ac:dyDescent="0.25">
      <c r="A620" s="1">
        <v>37204</v>
      </c>
      <c r="B620" s="1">
        <f t="shared" si="28"/>
        <v>37196</v>
      </c>
      <c r="C620">
        <v>285.39999999999998</v>
      </c>
    </row>
    <row r="621" spans="1:3" x14ac:dyDescent="0.25">
      <c r="A621" s="1">
        <v>37211</v>
      </c>
      <c r="B621" s="1">
        <f t="shared" si="28"/>
        <v>37196</v>
      </c>
      <c r="C621">
        <v>296</v>
      </c>
    </row>
    <row r="622" spans="1:3" x14ac:dyDescent="0.25">
      <c r="A622" s="1">
        <v>37218</v>
      </c>
      <c r="B622" s="1">
        <f t="shared" si="28"/>
        <v>37196</v>
      </c>
      <c r="C622">
        <v>324.3</v>
      </c>
    </row>
    <row r="623" spans="1:3" x14ac:dyDescent="0.25">
      <c r="A623" s="1">
        <v>37225</v>
      </c>
      <c r="B623" s="1">
        <f t="shared" si="28"/>
        <v>37196</v>
      </c>
      <c r="C623">
        <v>350.9</v>
      </c>
    </row>
    <row r="624" spans="1:3" x14ac:dyDescent="0.25">
      <c r="A624" s="1">
        <v>37232</v>
      </c>
      <c r="B624" s="1">
        <f t="shared" si="28"/>
        <v>37226</v>
      </c>
      <c r="C624">
        <v>342.7</v>
      </c>
    </row>
    <row r="625" spans="1:3" x14ac:dyDescent="0.25">
      <c r="A625" s="1">
        <v>37239</v>
      </c>
      <c r="B625" s="1">
        <f t="shared" si="28"/>
        <v>37226</v>
      </c>
      <c r="C625">
        <v>320.60000000000002</v>
      </c>
    </row>
    <row r="626" spans="1:3" x14ac:dyDescent="0.25">
      <c r="A626" s="1">
        <v>37246</v>
      </c>
      <c r="B626" s="1">
        <f t="shared" si="28"/>
        <v>37226</v>
      </c>
      <c r="C626">
        <v>302.89999999999998</v>
      </c>
    </row>
    <row r="627" spans="1:3" x14ac:dyDescent="0.25">
      <c r="A627" s="1">
        <v>37253</v>
      </c>
      <c r="B627" s="1">
        <f t="shared" si="28"/>
        <v>37226</v>
      </c>
      <c r="C627">
        <v>293.8</v>
      </c>
    </row>
    <row r="628" spans="1:3" x14ac:dyDescent="0.25">
      <c r="A628" s="1">
        <v>37260</v>
      </c>
      <c r="B628" s="1">
        <f t="shared" si="28"/>
        <v>37257</v>
      </c>
      <c r="C628">
        <v>375.9</v>
      </c>
    </row>
    <row r="629" spans="1:3" x14ac:dyDescent="0.25">
      <c r="A629" s="1">
        <v>37267</v>
      </c>
      <c r="B629" s="1">
        <f t="shared" si="28"/>
        <v>37257</v>
      </c>
      <c r="C629">
        <v>348.6</v>
      </c>
    </row>
    <row r="630" spans="1:3" x14ac:dyDescent="0.25">
      <c r="A630" s="1">
        <v>37274</v>
      </c>
      <c r="B630" s="1">
        <f t="shared" si="28"/>
        <v>37257</v>
      </c>
      <c r="C630">
        <v>371.8</v>
      </c>
    </row>
    <row r="631" spans="1:3" x14ac:dyDescent="0.25">
      <c r="A631" s="1">
        <v>37281</v>
      </c>
      <c r="B631" s="1">
        <f t="shared" si="28"/>
        <v>37257</v>
      </c>
      <c r="C631">
        <v>328.5</v>
      </c>
    </row>
    <row r="632" spans="1:3" x14ac:dyDescent="0.25">
      <c r="A632" s="1">
        <v>37288</v>
      </c>
      <c r="B632" s="1">
        <f t="shared" si="28"/>
        <v>37288</v>
      </c>
      <c r="C632">
        <v>340.9</v>
      </c>
    </row>
    <row r="633" spans="1:3" x14ac:dyDescent="0.25">
      <c r="A633" s="1">
        <v>37295</v>
      </c>
      <c r="B633" s="1">
        <f t="shared" si="28"/>
        <v>37288</v>
      </c>
      <c r="C633">
        <v>314.7</v>
      </c>
    </row>
    <row r="634" spans="1:3" x14ac:dyDescent="0.25">
      <c r="A634" s="1">
        <v>37302</v>
      </c>
      <c r="B634" s="1">
        <f t="shared" si="28"/>
        <v>37288</v>
      </c>
      <c r="C634">
        <v>290.2</v>
      </c>
    </row>
    <row r="635" spans="1:3" x14ac:dyDescent="0.25">
      <c r="A635" s="1">
        <v>37309</v>
      </c>
      <c r="B635" s="1">
        <f t="shared" si="28"/>
        <v>37288</v>
      </c>
      <c r="C635">
        <v>315.5</v>
      </c>
    </row>
    <row r="636" spans="1:3" x14ac:dyDescent="0.25">
      <c r="A636" s="1">
        <v>37316</v>
      </c>
      <c r="B636" s="1">
        <f t="shared" si="28"/>
        <v>37316</v>
      </c>
      <c r="C636">
        <v>335.4</v>
      </c>
    </row>
    <row r="637" spans="1:3" x14ac:dyDescent="0.25">
      <c r="A637" s="1">
        <v>37323</v>
      </c>
      <c r="B637" s="1">
        <f t="shared" si="28"/>
        <v>37316</v>
      </c>
      <c r="C637">
        <v>314.60000000000002</v>
      </c>
    </row>
    <row r="638" spans="1:3" x14ac:dyDescent="0.25">
      <c r="A638" s="1">
        <v>37330</v>
      </c>
      <c r="B638" s="1">
        <f t="shared" si="28"/>
        <v>37316</v>
      </c>
      <c r="C638">
        <v>310.89999999999998</v>
      </c>
    </row>
    <row r="639" spans="1:3" x14ac:dyDescent="0.25">
      <c r="A639" s="1">
        <v>37337</v>
      </c>
      <c r="B639" s="1">
        <f t="shared" si="28"/>
        <v>37316</v>
      </c>
      <c r="C639">
        <v>330.4</v>
      </c>
    </row>
    <row r="640" spans="1:3" x14ac:dyDescent="0.25">
      <c r="A640" s="1">
        <v>37344</v>
      </c>
      <c r="B640" s="1">
        <f t="shared" si="28"/>
        <v>37316</v>
      </c>
      <c r="C640">
        <v>349.9</v>
      </c>
    </row>
    <row r="641" spans="1:3" x14ac:dyDescent="0.25">
      <c r="A641" s="1">
        <v>37351</v>
      </c>
      <c r="B641" s="1">
        <f t="shared" si="28"/>
        <v>37347</v>
      </c>
      <c r="C641">
        <v>332.8</v>
      </c>
    </row>
    <row r="642" spans="1:3" x14ac:dyDescent="0.25">
      <c r="A642" s="1">
        <v>37358</v>
      </c>
      <c r="B642" s="1">
        <f t="shared" si="28"/>
        <v>37347</v>
      </c>
      <c r="C642">
        <v>337.3</v>
      </c>
    </row>
    <row r="643" spans="1:3" x14ac:dyDescent="0.25">
      <c r="A643" s="1">
        <v>37365</v>
      </c>
      <c r="B643" s="1">
        <f t="shared" ref="B643:B706" si="29">A643-DAY(A643)+1</f>
        <v>37347</v>
      </c>
      <c r="C643">
        <v>351.6</v>
      </c>
    </row>
    <row r="644" spans="1:3" x14ac:dyDescent="0.25">
      <c r="A644" s="1">
        <v>37372</v>
      </c>
      <c r="B644" s="1">
        <f t="shared" si="29"/>
        <v>37347</v>
      </c>
      <c r="C644">
        <v>368.4</v>
      </c>
    </row>
    <row r="645" spans="1:3" x14ac:dyDescent="0.25">
      <c r="A645" s="1">
        <v>37379</v>
      </c>
      <c r="B645" s="1">
        <f t="shared" si="29"/>
        <v>37377</v>
      </c>
      <c r="C645">
        <v>382.7</v>
      </c>
    </row>
    <row r="646" spans="1:3" x14ac:dyDescent="0.25">
      <c r="A646" s="1">
        <v>37386</v>
      </c>
      <c r="B646" s="1">
        <f t="shared" si="29"/>
        <v>37377</v>
      </c>
      <c r="C646">
        <v>356.5</v>
      </c>
    </row>
    <row r="647" spans="1:3" x14ac:dyDescent="0.25">
      <c r="A647" s="1">
        <v>37393</v>
      </c>
      <c r="B647" s="1">
        <f t="shared" si="29"/>
        <v>37377</v>
      </c>
      <c r="C647">
        <v>344.3</v>
      </c>
    </row>
    <row r="648" spans="1:3" x14ac:dyDescent="0.25">
      <c r="A648" s="1">
        <v>37400</v>
      </c>
      <c r="B648" s="1">
        <f t="shared" si="29"/>
        <v>37377</v>
      </c>
      <c r="C648">
        <v>348.3</v>
      </c>
    </row>
    <row r="649" spans="1:3" x14ac:dyDescent="0.25">
      <c r="A649" s="1">
        <v>37407</v>
      </c>
      <c r="B649" s="1">
        <f t="shared" si="29"/>
        <v>37377</v>
      </c>
      <c r="C649">
        <v>414</v>
      </c>
    </row>
    <row r="650" spans="1:3" x14ac:dyDescent="0.25">
      <c r="A650" s="1">
        <v>37414</v>
      </c>
      <c r="B650" s="1">
        <f t="shared" si="29"/>
        <v>37408</v>
      </c>
      <c r="C650">
        <v>359</v>
      </c>
    </row>
    <row r="651" spans="1:3" x14ac:dyDescent="0.25">
      <c r="A651" s="1">
        <v>37421</v>
      </c>
      <c r="B651" s="1">
        <f t="shared" si="29"/>
        <v>37408</v>
      </c>
      <c r="C651">
        <v>359.3</v>
      </c>
    </row>
    <row r="652" spans="1:3" x14ac:dyDescent="0.25">
      <c r="A652" s="1">
        <v>37428</v>
      </c>
      <c r="B652" s="1">
        <f t="shared" si="29"/>
        <v>37408</v>
      </c>
      <c r="C652">
        <v>396.5</v>
      </c>
    </row>
    <row r="653" spans="1:3" x14ac:dyDescent="0.25">
      <c r="A653" s="1">
        <v>37435</v>
      </c>
      <c r="B653" s="1">
        <f t="shared" si="29"/>
        <v>37408</v>
      </c>
      <c r="C653">
        <v>377.9</v>
      </c>
    </row>
    <row r="654" spans="1:3" x14ac:dyDescent="0.25">
      <c r="A654" s="1">
        <v>37442</v>
      </c>
      <c r="B654" s="1">
        <f t="shared" si="29"/>
        <v>37438</v>
      </c>
      <c r="C654">
        <v>408</v>
      </c>
    </row>
    <row r="655" spans="1:3" x14ac:dyDescent="0.25">
      <c r="A655" s="1">
        <v>37449</v>
      </c>
      <c r="B655" s="1">
        <f t="shared" si="29"/>
        <v>37438</v>
      </c>
      <c r="C655">
        <v>377.1</v>
      </c>
    </row>
    <row r="656" spans="1:3" x14ac:dyDescent="0.25">
      <c r="A656" s="1">
        <v>37456</v>
      </c>
      <c r="B656" s="1">
        <f t="shared" si="29"/>
        <v>37438</v>
      </c>
      <c r="C656">
        <v>351.4</v>
      </c>
    </row>
    <row r="657" spans="1:3" x14ac:dyDescent="0.25">
      <c r="A657" s="1">
        <v>37463</v>
      </c>
      <c r="B657" s="1">
        <f t="shared" si="29"/>
        <v>37438</v>
      </c>
      <c r="C657">
        <v>360.5</v>
      </c>
    </row>
    <row r="658" spans="1:3" x14ac:dyDescent="0.25">
      <c r="A658" s="1">
        <v>37470</v>
      </c>
      <c r="B658" s="1">
        <f t="shared" si="29"/>
        <v>37469</v>
      </c>
      <c r="C658">
        <v>374</v>
      </c>
    </row>
    <row r="659" spans="1:3" x14ac:dyDescent="0.25">
      <c r="A659" s="1">
        <v>37477</v>
      </c>
      <c r="B659" s="1">
        <f t="shared" si="29"/>
        <v>37469</v>
      </c>
      <c r="C659">
        <v>353</v>
      </c>
    </row>
    <row r="660" spans="1:3" x14ac:dyDescent="0.25">
      <c r="A660" s="1">
        <v>37484</v>
      </c>
      <c r="B660" s="1">
        <f t="shared" si="29"/>
        <v>37469</v>
      </c>
      <c r="C660">
        <v>371.6</v>
      </c>
    </row>
    <row r="661" spans="1:3" x14ac:dyDescent="0.25">
      <c r="A661" s="1">
        <v>37491</v>
      </c>
      <c r="B661" s="1">
        <f t="shared" si="29"/>
        <v>37469</v>
      </c>
      <c r="C661">
        <v>344.7</v>
      </c>
    </row>
    <row r="662" spans="1:3" x14ac:dyDescent="0.25">
      <c r="A662" s="1">
        <v>37498</v>
      </c>
      <c r="B662" s="1">
        <f t="shared" si="29"/>
        <v>37469</v>
      </c>
      <c r="C662">
        <v>359.7</v>
      </c>
    </row>
    <row r="663" spans="1:3" x14ac:dyDescent="0.25">
      <c r="A663" s="1">
        <v>37505</v>
      </c>
      <c r="B663" s="1">
        <f t="shared" si="29"/>
        <v>37500</v>
      </c>
      <c r="C663">
        <v>401.6</v>
      </c>
    </row>
    <row r="664" spans="1:3" x14ac:dyDescent="0.25">
      <c r="A664" s="1">
        <v>37512</v>
      </c>
      <c r="B664" s="1">
        <f t="shared" si="29"/>
        <v>37500</v>
      </c>
      <c r="C664">
        <v>357.4</v>
      </c>
    </row>
    <row r="665" spans="1:3" x14ac:dyDescent="0.25">
      <c r="A665" s="1">
        <v>37519</v>
      </c>
      <c r="B665" s="1">
        <f t="shared" si="29"/>
        <v>37500</v>
      </c>
      <c r="C665">
        <v>359.7</v>
      </c>
    </row>
    <row r="666" spans="1:3" x14ac:dyDescent="0.25">
      <c r="A666" s="1">
        <v>37526</v>
      </c>
      <c r="B666" s="1">
        <f t="shared" si="29"/>
        <v>37500</v>
      </c>
      <c r="C666">
        <v>359.4</v>
      </c>
    </row>
    <row r="667" spans="1:3" x14ac:dyDescent="0.25">
      <c r="A667" s="1">
        <v>37533</v>
      </c>
      <c r="B667" s="1">
        <f t="shared" si="29"/>
        <v>37530</v>
      </c>
      <c r="C667">
        <v>352.5</v>
      </c>
    </row>
    <row r="668" spans="1:3" x14ac:dyDescent="0.25">
      <c r="A668" s="1">
        <v>37540</v>
      </c>
      <c r="B668" s="1">
        <f t="shared" si="29"/>
        <v>37530</v>
      </c>
      <c r="C668">
        <v>341.9</v>
      </c>
    </row>
    <row r="669" spans="1:3" x14ac:dyDescent="0.25">
      <c r="A669" s="1">
        <v>37547</v>
      </c>
      <c r="B669" s="1">
        <f t="shared" si="29"/>
        <v>37530</v>
      </c>
      <c r="C669">
        <v>361.5</v>
      </c>
    </row>
    <row r="670" spans="1:3" x14ac:dyDescent="0.25">
      <c r="A670" s="1">
        <v>37554</v>
      </c>
      <c r="B670" s="1">
        <f t="shared" si="29"/>
        <v>37530</v>
      </c>
      <c r="C670">
        <v>338.6</v>
      </c>
    </row>
    <row r="671" spans="1:3" x14ac:dyDescent="0.25">
      <c r="A671" s="1">
        <v>37561</v>
      </c>
      <c r="B671" s="1">
        <f t="shared" si="29"/>
        <v>37561</v>
      </c>
      <c r="C671">
        <v>369.5</v>
      </c>
    </row>
    <row r="672" spans="1:3" x14ac:dyDescent="0.25">
      <c r="A672" s="1">
        <v>37568</v>
      </c>
      <c r="B672" s="1">
        <f t="shared" si="29"/>
        <v>37561</v>
      </c>
      <c r="C672">
        <v>333.3</v>
      </c>
    </row>
    <row r="673" spans="1:3" x14ac:dyDescent="0.25">
      <c r="A673" s="1">
        <v>37575</v>
      </c>
      <c r="B673" s="1">
        <f t="shared" si="29"/>
        <v>37561</v>
      </c>
      <c r="C673">
        <v>345</v>
      </c>
    </row>
    <row r="674" spans="1:3" x14ac:dyDescent="0.25">
      <c r="A674" s="1">
        <v>37582</v>
      </c>
      <c r="B674" s="1">
        <f t="shared" si="29"/>
        <v>37561</v>
      </c>
      <c r="C674">
        <v>350.2</v>
      </c>
    </row>
    <row r="675" spans="1:3" x14ac:dyDescent="0.25">
      <c r="A675" s="1">
        <v>37589</v>
      </c>
      <c r="B675" s="1">
        <f t="shared" si="29"/>
        <v>37561</v>
      </c>
      <c r="C675">
        <v>386.6</v>
      </c>
    </row>
    <row r="676" spans="1:3" x14ac:dyDescent="0.25">
      <c r="A676" s="1">
        <v>37596</v>
      </c>
      <c r="B676" s="1">
        <f t="shared" si="29"/>
        <v>37591</v>
      </c>
      <c r="C676">
        <v>358.8</v>
      </c>
    </row>
    <row r="677" spans="1:3" x14ac:dyDescent="0.25">
      <c r="A677" s="1">
        <v>37603</v>
      </c>
      <c r="B677" s="1">
        <f t="shared" si="29"/>
        <v>37591</v>
      </c>
      <c r="C677">
        <v>379.9</v>
      </c>
    </row>
    <row r="678" spans="1:3" x14ac:dyDescent="0.25">
      <c r="A678" s="1">
        <v>37610</v>
      </c>
      <c r="B678" s="1">
        <f t="shared" si="29"/>
        <v>37591</v>
      </c>
      <c r="C678">
        <v>359.4</v>
      </c>
    </row>
    <row r="679" spans="1:3" x14ac:dyDescent="0.25">
      <c r="A679" s="1">
        <v>37617</v>
      </c>
      <c r="B679" s="1">
        <f t="shared" si="29"/>
        <v>37591</v>
      </c>
      <c r="C679">
        <v>332.4</v>
      </c>
    </row>
    <row r="680" spans="1:3" x14ac:dyDescent="0.25">
      <c r="A680" s="1">
        <v>37624</v>
      </c>
      <c r="B680" s="1">
        <f t="shared" si="29"/>
        <v>37622</v>
      </c>
      <c r="C680">
        <v>376.2</v>
      </c>
    </row>
    <row r="681" spans="1:3" x14ac:dyDescent="0.25">
      <c r="A681" s="1">
        <v>37631</v>
      </c>
      <c r="B681" s="1">
        <f t="shared" si="29"/>
        <v>37622</v>
      </c>
      <c r="C681">
        <v>358</v>
      </c>
    </row>
    <row r="682" spans="1:3" x14ac:dyDescent="0.25">
      <c r="A682" s="1">
        <v>37638</v>
      </c>
      <c r="B682" s="1">
        <f t="shared" si="29"/>
        <v>37622</v>
      </c>
      <c r="C682">
        <v>355.3</v>
      </c>
    </row>
    <row r="683" spans="1:3" x14ac:dyDescent="0.25">
      <c r="A683" s="1">
        <v>37645</v>
      </c>
      <c r="B683" s="1">
        <f t="shared" si="29"/>
        <v>37622</v>
      </c>
      <c r="C683">
        <v>365.5</v>
      </c>
    </row>
    <row r="684" spans="1:3" x14ac:dyDescent="0.25">
      <c r="A684" s="1">
        <v>37652</v>
      </c>
      <c r="B684" s="1">
        <f t="shared" si="29"/>
        <v>37622</v>
      </c>
      <c r="C684">
        <v>371.1</v>
      </c>
    </row>
    <row r="685" spans="1:3" x14ac:dyDescent="0.25">
      <c r="A685" s="1">
        <v>37659</v>
      </c>
      <c r="B685" s="1">
        <f t="shared" si="29"/>
        <v>37653</v>
      </c>
      <c r="C685">
        <v>328.8</v>
      </c>
    </row>
    <row r="686" spans="1:3" x14ac:dyDescent="0.25">
      <c r="A686" s="1">
        <v>37666</v>
      </c>
      <c r="B686" s="1">
        <f t="shared" si="29"/>
        <v>37653</v>
      </c>
      <c r="C686">
        <v>334.1</v>
      </c>
    </row>
    <row r="687" spans="1:3" x14ac:dyDescent="0.25">
      <c r="A687" s="1">
        <v>37673</v>
      </c>
      <c r="B687" s="1">
        <f t="shared" si="29"/>
        <v>37653</v>
      </c>
      <c r="C687">
        <v>309</v>
      </c>
    </row>
    <row r="688" spans="1:3" x14ac:dyDescent="0.25">
      <c r="A688" s="1">
        <v>37680</v>
      </c>
      <c r="B688" s="1">
        <f t="shared" si="29"/>
        <v>37653</v>
      </c>
      <c r="C688">
        <v>345.9</v>
      </c>
    </row>
    <row r="689" spans="1:3" x14ac:dyDescent="0.25">
      <c r="A689" s="1">
        <v>37687</v>
      </c>
      <c r="B689" s="1">
        <f t="shared" si="29"/>
        <v>37681</v>
      </c>
      <c r="C689">
        <v>345</v>
      </c>
    </row>
    <row r="690" spans="1:3" x14ac:dyDescent="0.25">
      <c r="A690" s="1">
        <v>37694</v>
      </c>
      <c r="B690" s="1">
        <f t="shared" si="29"/>
        <v>37681</v>
      </c>
      <c r="C690">
        <v>347.3</v>
      </c>
    </row>
    <row r="691" spans="1:3" x14ac:dyDescent="0.25">
      <c r="A691" s="1">
        <v>37701</v>
      </c>
      <c r="B691" s="1">
        <f t="shared" si="29"/>
        <v>37681</v>
      </c>
      <c r="C691">
        <v>383.7</v>
      </c>
    </row>
    <row r="692" spans="1:3" x14ac:dyDescent="0.25">
      <c r="A692" s="1">
        <v>37708</v>
      </c>
      <c r="B692" s="1">
        <f t="shared" si="29"/>
        <v>37681</v>
      </c>
      <c r="C692">
        <v>364.7</v>
      </c>
    </row>
    <row r="693" spans="1:3" x14ac:dyDescent="0.25">
      <c r="A693" s="1">
        <v>37715</v>
      </c>
      <c r="B693" s="1">
        <f t="shared" si="29"/>
        <v>37712</v>
      </c>
      <c r="C693">
        <v>400.8</v>
      </c>
    </row>
    <row r="694" spans="1:3" x14ac:dyDescent="0.25">
      <c r="A694" s="1">
        <v>37722</v>
      </c>
      <c r="B694" s="1">
        <f t="shared" si="29"/>
        <v>37712</v>
      </c>
      <c r="C694">
        <v>376.1</v>
      </c>
    </row>
    <row r="695" spans="1:3" x14ac:dyDescent="0.25">
      <c r="A695" s="1">
        <v>37729</v>
      </c>
      <c r="B695" s="1">
        <f t="shared" si="29"/>
        <v>37712</v>
      </c>
      <c r="C695">
        <v>359.9</v>
      </c>
    </row>
    <row r="696" spans="1:3" x14ac:dyDescent="0.25">
      <c r="A696" s="1">
        <v>37736</v>
      </c>
      <c r="B696" s="1">
        <f t="shared" si="29"/>
        <v>37712</v>
      </c>
      <c r="C696">
        <v>356</v>
      </c>
    </row>
    <row r="697" spans="1:3" x14ac:dyDescent="0.25">
      <c r="A697" s="1">
        <v>37743</v>
      </c>
      <c r="B697" s="1">
        <f t="shared" si="29"/>
        <v>37742</v>
      </c>
      <c r="C697">
        <v>416</v>
      </c>
    </row>
    <row r="698" spans="1:3" x14ac:dyDescent="0.25">
      <c r="A698" s="1">
        <v>37750</v>
      </c>
      <c r="B698" s="1">
        <f t="shared" si="29"/>
        <v>37742</v>
      </c>
      <c r="C698">
        <v>415.2</v>
      </c>
    </row>
    <row r="699" spans="1:3" x14ac:dyDescent="0.25">
      <c r="A699" s="1">
        <v>37757</v>
      </c>
      <c r="B699" s="1">
        <f t="shared" si="29"/>
        <v>37742</v>
      </c>
      <c r="C699">
        <v>395.8</v>
      </c>
    </row>
    <row r="700" spans="1:3" x14ac:dyDescent="0.25">
      <c r="A700" s="1">
        <v>37764</v>
      </c>
      <c r="B700" s="1">
        <f t="shared" si="29"/>
        <v>37742</v>
      </c>
      <c r="C700">
        <v>395.7</v>
      </c>
    </row>
    <row r="701" spans="1:3" x14ac:dyDescent="0.25">
      <c r="A701" s="1">
        <v>37771</v>
      </c>
      <c r="B701" s="1">
        <f t="shared" si="29"/>
        <v>37742</v>
      </c>
      <c r="C701">
        <v>460.5</v>
      </c>
    </row>
    <row r="702" spans="1:3" x14ac:dyDescent="0.25">
      <c r="A702" s="1">
        <v>37778</v>
      </c>
      <c r="B702" s="1">
        <f t="shared" si="29"/>
        <v>37773</v>
      </c>
      <c r="C702">
        <v>418.9</v>
      </c>
    </row>
    <row r="703" spans="1:3" x14ac:dyDescent="0.25">
      <c r="A703" s="1">
        <v>37785</v>
      </c>
      <c r="B703" s="1">
        <f t="shared" si="29"/>
        <v>37773</v>
      </c>
      <c r="C703">
        <v>419.1</v>
      </c>
    </row>
    <row r="704" spans="1:3" x14ac:dyDescent="0.25">
      <c r="A704" s="1">
        <v>37792</v>
      </c>
      <c r="B704" s="1">
        <f t="shared" si="29"/>
        <v>37773</v>
      </c>
      <c r="C704">
        <v>411.2</v>
      </c>
    </row>
    <row r="705" spans="1:3" x14ac:dyDescent="0.25">
      <c r="A705" s="1">
        <v>37799</v>
      </c>
      <c r="B705" s="1">
        <f t="shared" si="29"/>
        <v>37773</v>
      </c>
      <c r="C705">
        <v>438.4</v>
      </c>
    </row>
    <row r="706" spans="1:3" x14ac:dyDescent="0.25">
      <c r="A706" s="1">
        <v>37806</v>
      </c>
      <c r="B706" s="1">
        <f t="shared" si="29"/>
        <v>37803</v>
      </c>
      <c r="C706">
        <v>414.1</v>
      </c>
    </row>
    <row r="707" spans="1:3" x14ac:dyDescent="0.25">
      <c r="A707" s="1">
        <v>37813</v>
      </c>
      <c r="B707" s="1">
        <f t="shared" ref="B707:B770" si="30">A707-DAY(A707)+1</f>
        <v>37803</v>
      </c>
      <c r="C707">
        <v>447.2</v>
      </c>
    </row>
    <row r="708" spans="1:3" x14ac:dyDescent="0.25">
      <c r="A708" s="1">
        <v>37820</v>
      </c>
      <c r="B708" s="1">
        <f t="shared" si="30"/>
        <v>37803</v>
      </c>
      <c r="C708">
        <v>442.4</v>
      </c>
    </row>
    <row r="709" spans="1:3" x14ac:dyDescent="0.25">
      <c r="A709" s="1">
        <v>37827</v>
      </c>
      <c r="B709" s="1">
        <f t="shared" si="30"/>
        <v>37803</v>
      </c>
      <c r="C709">
        <v>426.9</v>
      </c>
    </row>
    <row r="710" spans="1:3" x14ac:dyDescent="0.25">
      <c r="A710" s="1">
        <v>37834</v>
      </c>
      <c r="B710" s="1">
        <f t="shared" si="30"/>
        <v>37834</v>
      </c>
      <c r="C710">
        <v>456.4</v>
      </c>
    </row>
    <row r="711" spans="1:3" x14ac:dyDescent="0.25">
      <c r="A711" s="1">
        <v>37841</v>
      </c>
      <c r="B711" s="1">
        <f t="shared" si="30"/>
        <v>37834</v>
      </c>
      <c r="C711">
        <v>409.6</v>
      </c>
    </row>
    <row r="712" spans="1:3" x14ac:dyDescent="0.25">
      <c r="A712" s="1">
        <v>37848</v>
      </c>
      <c r="B712" s="1">
        <f t="shared" si="30"/>
        <v>37834</v>
      </c>
      <c r="C712">
        <v>389.5</v>
      </c>
    </row>
    <row r="713" spans="1:3" x14ac:dyDescent="0.25">
      <c r="A713" s="1">
        <v>37855</v>
      </c>
      <c r="B713" s="1">
        <f t="shared" si="30"/>
        <v>37834</v>
      </c>
      <c r="C713">
        <v>375.5</v>
      </c>
    </row>
    <row r="714" spans="1:3" x14ac:dyDescent="0.25">
      <c r="A714" s="1">
        <v>37862</v>
      </c>
      <c r="B714" s="1">
        <f t="shared" si="30"/>
        <v>37834</v>
      </c>
      <c r="C714">
        <v>396.1</v>
      </c>
    </row>
    <row r="715" spans="1:3" x14ac:dyDescent="0.25">
      <c r="A715" s="1">
        <v>37869</v>
      </c>
      <c r="B715" s="1">
        <f t="shared" si="30"/>
        <v>37865</v>
      </c>
      <c r="C715">
        <v>408.8</v>
      </c>
    </row>
    <row r="716" spans="1:3" x14ac:dyDescent="0.25">
      <c r="A716" s="1">
        <v>37876</v>
      </c>
      <c r="B716" s="1">
        <f t="shared" si="30"/>
        <v>37865</v>
      </c>
      <c r="C716">
        <v>432.4</v>
      </c>
    </row>
    <row r="717" spans="1:3" x14ac:dyDescent="0.25">
      <c r="A717" s="1">
        <v>37883</v>
      </c>
      <c r="B717" s="1">
        <f t="shared" si="30"/>
        <v>37865</v>
      </c>
      <c r="C717">
        <v>402.1</v>
      </c>
    </row>
    <row r="718" spans="1:3" x14ac:dyDescent="0.25">
      <c r="A718" s="1">
        <v>37890</v>
      </c>
      <c r="B718" s="1">
        <f t="shared" si="30"/>
        <v>37865</v>
      </c>
      <c r="C718">
        <v>397.8</v>
      </c>
    </row>
    <row r="719" spans="1:3" x14ac:dyDescent="0.25">
      <c r="A719" s="1">
        <v>37897</v>
      </c>
      <c r="B719" s="1">
        <f t="shared" si="30"/>
        <v>37895</v>
      </c>
      <c r="C719">
        <v>441.1</v>
      </c>
    </row>
    <row r="720" spans="1:3" x14ac:dyDescent="0.25">
      <c r="A720" s="1">
        <v>37904</v>
      </c>
      <c r="B720" s="1">
        <f t="shared" si="30"/>
        <v>37895</v>
      </c>
      <c r="C720">
        <v>359</v>
      </c>
    </row>
    <row r="721" spans="1:3" x14ac:dyDescent="0.25">
      <c r="A721" s="1">
        <v>37911</v>
      </c>
      <c r="B721" s="1">
        <f t="shared" si="30"/>
        <v>37895</v>
      </c>
      <c r="C721">
        <v>386.1</v>
      </c>
    </row>
    <row r="722" spans="1:3" x14ac:dyDescent="0.25">
      <c r="A722" s="1">
        <v>37918</v>
      </c>
      <c r="B722" s="1">
        <f t="shared" si="30"/>
        <v>37895</v>
      </c>
      <c r="C722">
        <v>363.9</v>
      </c>
    </row>
    <row r="723" spans="1:3" x14ac:dyDescent="0.25">
      <c r="A723" s="1">
        <v>37925</v>
      </c>
      <c r="B723" s="1">
        <f t="shared" si="30"/>
        <v>37895</v>
      </c>
      <c r="C723">
        <v>404.3</v>
      </c>
    </row>
    <row r="724" spans="1:3" x14ac:dyDescent="0.25">
      <c r="A724" s="1">
        <v>37932</v>
      </c>
      <c r="B724" s="1">
        <f t="shared" si="30"/>
        <v>37926</v>
      </c>
      <c r="C724">
        <v>375.4</v>
      </c>
    </row>
    <row r="725" spans="1:3" x14ac:dyDescent="0.25">
      <c r="A725" s="1">
        <v>37939</v>
      </c>
      <c r="B725" s="1">
        <f t="shared" si="30"/>
        <v>37926</v>
      </c>
      <c r="C725">
        <v>425.9</v>
      </c>
    </row>
    <row r="726" spans="1:3" x14ac:dyDescent="0.25">
      <c r="A726" s="1">
        <v>37946</v>
      </c>
      <c r="B726" s="1">
        <f t="shared" si="30"/>
        <v>37926</v>
      </c>
      <c r="C726">
        <v>459.9</v>
      </c>
    </row>
    <row r="727" spans="1:3" x14ac:dyDescent="0.25">
      <c r="A727" s="1">
        <v>37953</v>
      </c>
      <c r="B727" s="1">
        <f t="shared" si="30"/>
        <v>37926</v>
      </c>
      <c r="C727">
        <v>441.8</v>
      </c>
    </row>
    <row r="728" spans="1:3" x14ac:dyDescent="0.25">
      <c r="A728" s="1">
        <v>37960</v>
      </c>
      <c r="B728" s="1">
        <f t="shared" si="30"/>
        <v>37956</v>
      </c>
      <c r="C728">
        <v>399.8</v>
      </c>
    </row>
    <row r="729" spans="1:3" x14ac:dyDescent="0.25">
      <c r="A729" s="1">
        <v>37967</v>
      </c>
      <c r="B729" s="1">
        <f t="shared" si="30"/>
        <v>37956</v>
      </c>
      <c r="C729">
        <v>437.2</v>
      </c>
    </row>
    <row r="730" spans="1:3" x14ac:dyDescent="0.25">
      <c r="A730" s="1">
        <v>37974</v>
      </c>
      <c r="B730" s="1">
        <f t="shared" si="30"/>
        <v>37956</v>
      </c>
      <c r="C730">
        <v>411.6</v>
      </c>
    </row>
    <row r="731" spans="1:3" x14ac:dyDescent="0.25">
      <c r="A731" s="1">
        <v>37981</v>
      </c>
      <c r="B731" s="1">
        <f t="shared" si="30"/>
        <v>37956</v>
      </c>
      <c r="C731">
        <v>390.1</v>
      </c>
    </row>
    <row r="732" spans="1:3" x14ac:dyDescent="0.25">
      <c r="A732" s="1">
        <v>37988</v>
      </c>
      <c r="B732" s="1">
        <f t="shared" si="30"/>
        <v>37987</v>
      </c>
      <c r="C732">
        <v>401.3</v>
      </c>
    </row>
    <row r="733" spans="1:3" x14ac:dyDescent="0.25">
      <c r="A733" s="1">
        <v>37995</v>
      </c>
      <c r="B733" s="1">
        <f t="shared" si="30"/>
        <v>37987</v>
      </c>
      <c r="C733">
        <v>445.9</v>
      </c>
    </row>
    <row r="734" spans="1:3" x14ac:dyDescent="0.25">
      <c r="A734" s="1">
        <v>38002</v>
      </c>
      <c r="B734" s="1">
        <f t="shared" si="30"/>
        <v>37987</v>
      </c>
      <c r="C734">
        <v>501.6</v>
      </c>
    </row>
    <row r="735" spans="1:3" x14ac:dyDescent="0.25">
      <c r="A735" s="1">
        <v>38009</v>
      </c>
      <c r="B735" s="1">
        <f t="shared" si="30"/>
        <v>37987</v>
      </c>
      <c r="C735">
        <v>451.6</v>
      </c>
    </row>
    <row r="736" spans="1:3" x14ac:dyDescent="0.25">
      <c r="A736" s="1">
        <v>38016</v>
      </c>
      <c r="B736" s="1">
        <f t="shared" si="30"/>
        <v>37987</v>
      </c>
      <c r="C736">
        <v>444</v>
      </c>
    </row>
    <row r="737" spans="1:3" x14ac:dyDescent="0.25">
      <c r="A737" s="1">
        <v>38023</v>
      </c>
      <c r="B737" s="1">
        <f t="shared" si="30"/>
        <v>38018</v>
      </c>
      <c r="C737">
        <v>402.2</v>
      </c>
    </row>
    <row r="738" spans="1:3" x14ac:dyDescent="0.25">
      <c r="A738" s="1">
        <v>38030</v>
      </c>
      <c r="B738" s="1">
        <f t="shared" si="30"/>
        <v>38018</v>
      </c>
      <c r="C738">
        <v>413.9</v>
      </c>
    </row>
    <row r="739" spans="1:3" x14ac:dyDescent="0.25">
      <c r="A739" s="1">
        <v>38037</v>
      </c>
      <c r="B739" s="1">
        <f t="shared" si="30"/>
        <v>38018</v>
      </c>
      <c r="C739">
        <v>423.5</v>
      </c>
    </row>
    <row r="740" spans="1:3" x14ac:dyDescent="0.25">
      <c r="A740" s="1">
        <v>38044</v>
      </c>
      <c r="B740" s="1">
        <f t="shared" si="30"/>
        <v>38018</v>
      </c>
      <c r="C740">
        <v>422.6</v>
      </c>
    </row>
    <row r="741" spans="1:3" x14ac:dyDescent="0.25">
      <c r="A741" s="1">
        <v>38051</v>
      </c>
      <c r="B741" s="1">
        <f t="shared" si="30"/>
        <v>38047</v>
      </c>
      <c r="C741">
        <v>428.6</v>
      </c>
    </row>
    <row r="742" spans="1:3" x14ac:dyDescent="0.25">
      <c r="A742" s="1">
        <v>38058</v>
      </c>
      <c r="B742" s="1">
        <f t="shared" si="30"/>
        <v>38047</v>
      </c>
      <c r="C742">
        <v>452.4</v>
      </c>
    </row>
    <row r="743" spans="1:3" x14ac:dyDescent="0.25">
      <c r="A743" s="1">
        <v>38065</v>
      </c>
      <c r="B743" s="1">
        <f t="shared" si="30"/>
        <v>38047</v>
      </c>
      <c r="C743">
        <v>448.9</v>
      </c>
    </row>
    <row r="744" spans="1:3" x14ac:dyDescent="0.25">
      <c r="A744" s="1">
        <v>38072</v>
      </c>
      <c r="B744" s="1">
        <f t="shared" si="30"/>
        <v>38047</v>
      </c>
      <c r="C744">
        <v>443.8</v>
      </c>
    </row>
    <row r="745" spans="1:3" x14ac:dyDescent="0.25">
      <c r="A745" s="1">
        <v>38079</v>
      </c>
      <c r="B745" s="1">
        <f t="shared" si="30"/>
        <v>38078</v>
      </c>
      <c r="C745">
        <v>477.5</v>
      </c>
    </row>
    <row r="746" spans="1:3" x14ac:dyDescent="0.25">
      <c r="A746" s="1">
        <v>38086</v>
      </c>
      <c r="B746" s="1">
        <f t="shared" si="30"/>
        <v>38078</v>
      </c>
      <c r="C746">
        <v>432.2</v>
      </c>
    </row>
    <row r="747" spans="1:3" x14ac:dyDescent="0.25">
      <c r="A747" s="1">
        <v>38093</v>
      </c>
      <c r="B747" s="1">
        <f t="shared" si="30"/>
        <v>38078</v>
      </c>
      <c r="C747">
        <v>434.1</v>
      </c>
    </row>
    <row r="748" spans="1:3" x14ac:dyDescent="0.25">
      <c r="A748" s="1">
        <v>38100</v>
      </c>
      <c r="B748" s="1">
        <f t="shared" si="30"/>
        <v>38078</v>
      </c>
      <c r="C748">
        <v>463.5</v>
      </c>
    </row>
    <row r="749" spans="1:3" x14ac:dyDescent="0.25">
      <c r="A749" s="1">
        <v>38107</v>
      </c>
      <c r="B749" s="1">
        <f t="shared" si="30"/>
        <v>38078</v>
      </c>
      <c r="C749">
        <v>482.5</v>
      </c>
    </row>
    <row r="750" spans="1:3" x14ac:dyDescent="0.25">
      <c r="A750" s="1">
        <v>38114</v>
      </c>
      <c r="B750" s="1">
        <f t="shared" si="30"/>
        <v>38108</v>
      </c>
      <c r="C750">
        <v>494.3</v>
      </c>
    </row>
    <row r="751" spans="1:3" x14ac:dyDescent="0.25">
      <c r="A751" s="1">
        <v>38121</v>
      </c>
      <c r="B751" s="1">
        <f t="shared" si="30"/>
        <v>38108</v>
      </c>
      <c r="C751">
        <v>454.2</v>
      </c>
    </row>
    <row r="752" spans="1:3" x14ac:dyDescent="0.25">
      <c r="A752" s="1">
        <v>38128</v>
      </c>
      <c r="B752" s="1">
        <f t="shared" si="30"/>
        <v>38108</v>
      </c>
      <c r="C752">
        <v>449.8</v>
      </c>
    </row>
    <row r="753" spans="1:3" x14ac:dyDescent="0.25">
      <c r="A753" s="1">
        <v>38135</v>
      </c>
      <c r="B753" s="1">
        <f t="shared" si="30"/>
        <v>38108</v>
      </c>
      <c r="C753">
        <v>459.8</v>
      </c>
    </row>
    <row r="754" spans="1:3" x14ac:dyDescent="0.25">
      <c r="A754" s="1">
        <v>38142</v>
      </c>
      <c r="B754" s="1">
        <f t="shared" si="30"/>
        <v>38139</v>
      </c>
      <c r="C754">
        <v>432.2</v>
      </c>
    </row>
    <row r="755" spans="1:3" x14ac:dyDescent="0.25">
      <c r="A755" s="1">
        <v>38149</v>
      </c>
      <c r="B755" s="1">
        <f t="shared" si="30"/>
        <v>38139</v>
      </c>
      <c r="C755">
        <v>449.5</v>
      </c>
    </row>
    <row r="756" spans="1:3" x14ac:dyDescent="0.25">
      <c r="A756" s="1">
        <v>38156</v>
      </c>
      <c r="B756" s="1">
        <f t="shared" si="30"/>
        <v>38139</v>
      </c>
      <c r="C756">
        <v>454.5</v>
      </c>
    </row>
    <row r="757" spans="1:3" x14ac:dyDescent="0.25">
      <c r="A757" s="1">
        <v>38163</v>
      </c>
      <c r="B757" s="1">
        <f t="shared" si="30"/>
        <v>38139</v>
      </c>
      <c r="C757">
        <v>435.4</v>
      </c>
    </row>
    <row r="758" spans="1:3" x14ac:dyDescent="0.25">
      <c r="A758" s="1">
        <v>38170</v>
      </c>
      <c r="B758" s="1">
        <f t="shared" si="30"/>
        <v>38169</v>
      </c>
      <c r="C758">
        <v>500.9</v>
      </c>
    </row>
    <row r="759" spans="1:3" x14ac:dyDescent="0.25">
      <c r="A759" s="1">
        <v>38177</v>
      </c>
      <c r="B759" s="1">
        <f t="shared" si="30"/>
        <v>38169</v>
      </c>
      <c r="C759">
        <v>468.8</v>
      </c>
    </row>
    <row r="760" spans="1:3" x14ac:dyDescent="0.25">
      <c r="A760" s="1">
        <v>38184</v>
      </c>
      <c r="B760" s="1">
        <f t="shared" si="30"/>
        <v>38169</v>
      </c>
      <c r="C760">
        <v>440.3</v>
      </c>
    </row>
    <row r="761" spans="1:3" x14ac:dyDescent="0.25">
      <c r="A761" s="1">
        <v>38191</v>
      </c>
      <c r="B761" s="1">
        <f t="shared" si="30"/>
        <v>38169</v>
      </c>
      <c r="C761">
        <v>444.8</v>
      </c>
    </row>
    <row r="762" spans="1:3" x14ac:dyDescent="0.25">
      <c r="A762" s="1">
        <v>38198</v>
      </c>
      <c r="B762" s="1">
        <f t="shared" si="30"/>
        <v>38169</v>
      </c>
      <c r="C762">
        <v>452</v>
      </c>
    </row>
    <row r="763" spans="1:3" x14ac:dyDescent="0.25">
      <c r="A763" s="1">
        <v>38205</v>
      </c>
      <c r="B763" s="1">
        <f t="shared" si="30"/>
        <v>38200</v>
      </c>
      <c r="C763">
        <v>440</v>
      </c>
    </row>
    <row r="764" spans="1:3" x14ac:dyDescent="0.25">
      <c r="A764" s="1">
        <v>38212</v>
      </c>
      <c r="B764" s="1">
        <f t="shared" si="30"/>
        <v>38200</v>
      </c>
      <c r="C764">
        <v>467.1</v>
      </c>
    </row>
    <row r="765" spans="1:3" x14ac:dyDescent="0.25">
      <c r="A765" s="1">
        <v>38219</v>
      </c>
      <c r="B765" s="1">
        <f t="shared" si="30"/>
        <v>38200</v>
      </c>
      <c r="C765">
        <v>443.7</v>
      </c>
    </row>
    <row r="766" spans="1:3" x14ac:dyDescent="0.25">
      <c r="A766" s="1">
        <v>38226</v>
      </c>
      <c r="B766" s="1">
        <f t="shared" si="30"/>
        <v>38200</v>
      </c>
      <c r="C766">
        <v>443.1</v>
      </c>
    </row>
    <row r="767" spans="1:3" x14ac:dyDescent="0.25">
      <c r="A767" s="1">
        <v>38233</v>
      </c>
      <c r="B767" s="1">
        <f t="shared" si="30"/>
        <v>38231</v>
      </c>
      <c r="C767">
        <v>476</v>
      </c>
    </row>
    <row r="768" spans="1:3" x14ac:dyDescent="0.25">
      <c r="A768" s="1">
        <v>38240</v>
      </c>
      <c r="B768" s="1">
        <f t="shared" si="30"/>
        <v>38231</v>
      </c>
      <c r="C768">
        <v>455.7</v>
      </c>
    </row>
    <row r="769" spans="1:3" x14ac:dyDescent="0.25">
      <c r="A769" s="1">
        <v>38247</v>
      </c>
      <c r="B769" s="1">
        <f t="shared" si="30"/>
        <v>38231</v>
      </c>
      <c r="C769">
        <v>456.6</v>
      </c>
    </row>
    <row r="770" spans="1:3" x14ac:dyDescent="0.25">
      <c r="A770" s="1">
        <v>38254</v>
      </c>
      <c r="B770" s="1">
        <f t="shared" si="30"/>
        <v>38231</v>
      </c>
      <c r="C770">
        <v>469.1</v>
      </c>
    </row>
    <row r="771" spans="1:3" x14ac:dyDescent="0.25">
      <c r="A771" s="1">
        <v>38261</v>
      </c>
      <c r="B771" s="1">
        <f t="shared" ref="B771:B834" si="31">A771-DAY(A771)+1</f>
        <v>38261</v>
      </c>
      <c r="C771">
        <v>459</v>
      </c>
    </row>
    <row r="772" spans="1:3" x14ac:dyDescent="0.25">
      <c r="A772" s="1">
        <v>38268</v>
      </c>
      <c r="B772" s="1">
        <f t="shared" si="31"/>
        <v>38261</v>
      </c>
      <c r="C772">
        <v>436.3</v>
      </c>
    </row>
    <row r="773" spans="1:3" x14ac:dyDescent="0.25">
      <c r="A773" s="1">
        <v>38275</v>
      </c>
      <c r="B773" s="1">
        <f t="shared" si="31"/>
        <v>38261</v>
      </c>
      <c r="C773">
        <v>461.4</v>
      </c>
    </row>
    <row r="774" spans="1:3" x14ac:dyDescent="0.25">
      <c r="A774" s="1">
        <v>38282</v>
      </c>
      <c r="B774" s="1">
        <f t="shared" si="31"/>
        <v>38261</v>
      </c>
      <c r="C774">
        <v>440.9</v>
      </c>
    </row>
    <row r="775" spans="1:3" x14ac:dyDescent="0.25">
      <c r="A775" s="1">
        <v>38289</v>
      </c>
      <c r="B775" s="1">
        <f t="shared" si="31"/>
        <v>38261</v>
      </c>
      <c r="C775">
        <v>496.5</v>
      </c>
    </row>
    <row r="776" spans="1:3" x14ac:dyDescent="0.25">
      <c r="A776" s="1">
        <v>38296</v>
      </c>
      <c r="B776" s="1">
        <f t="shared" si="31"/>
        <v>38292</v>
      </c>
      <c r="C776">
        <v>483</v>
      </c>
    </row>
    <row r="777" spans="1:3" x14ac:dyDescent="0.25">
      <c r="A777" s="1">
        <v>38303</v>
      </c>
      <c r="B777" s="1">
        <f t="shared" si="31"/>
        <v>38292</v>
      </c>
      <c r="C777">
        <v>480.3</v>
      </c>
    </row>
    <row r="778" spans="1:3" x14ac:dyDescent="0.25">
      <c r="A778" s="1">
        <v>38310</v>
      </c>
      <c r="B778" s="1">
        <f t="shared" si="31"/>
        <v>38292</v>
      </c>
      <c r="C778">
        <v>463.3</v>
      </c>
    </row>
    <row r="779" spans="1:3" x14ac:dyDescent="0.25">
      <c r="A779" s="1">
        <v>38317</v>
      </c>
      <c r="B779" s="1">
        <f t="shared" si="31"/>
        <v>38292</v>
      </c>
      <c r="C779">
        <v>460.3</v>
      </c>
    </row>
    <row r="780" spans="1:3" x14ac:dyDescent="0.25">
      <c r="A780" s="1">
        <v>38324</v>
      </c>
      <c r="B780" s="1">
        <f t="shared" si="31"/>
        <v>38322</v>
      </c>
      <c r="C780">
        <v>490.9</v>
      </c>
    </row>
    <row r="781" spans="1:3" x14ac:dyDescent="0.25">
      <c r="A781" s="1">
        <v>38331</v>
      </c>
      <c r="B781" s="1">
        <f t="shared" si="31"/>
        <v>38322</v>
      </c>
      <c r="C781">
        <v>488.9</v>
      </c>
    </row>
    <row r="782" spans="1:3" x14ac:dyDescent="0.25">
      <c r="A782" s="1">
        <v>38338</v>
      </c>
      <c r="B782" s="1">
        <f t="shared" si="31"/>
        <v>38322</v>
      </c>
      <c r="C782">
        <v>471.1</v>
      </c>
    </row>
    <row r="783" spans="1:3" x14ac:dyDescent="0.25">
      <c r="A783" s="1">
        <v>38345</v>
      </c>
      <c r="B783" s="1">
        <f t="shared" si="31"/>
        <v>38322</v>
      </c>
      <c r="C783">
        <v>483.8</v>
      </c>
    </row>
    <row r="784" spans="1:3" x14ac:dyDescent="0.25">
      <c r="A784" s="1">
        <v>38352</v>
      </c>
      <c r="B784" s="1">
        <f t="shared" si="31"/>
        <v>38322</v>
      </c>
      <c r="C784">
        <v>417.3</v>
      </c>
    </row>
    <row r="785" spans="1:3" x14ac:dyDescent="0.25">
      <c r="A785" s="1">
        <v>38359</v>
      </c>
      <c r="B785" s="1">
        <f t="shared" si="31"/>
        <v>38353</v>
      </c>
      <c r="C785">
        <v>393.1</v>
      </c>
    </row>
    <row r="786" spans="1:3" x14ac:dyDescent="0.25">
      <c r="A786" s="1">
        <v>38366</v>
      </c>
      <c r="B786" s="1">
        <f t="shared" si="31"/>
        <v>38353</v>
      </c>
      <c r="C786">
        <v>448.1</v>
      </c>
    </row>
    <row r="787" spans="1:3" x14ac:dyDescent="0.25">
      <c r="A787" s="1">
        <v>38373</v>
      </c>
      <c r="B787" s="1">
        <f t="shared" si="31"/>
        <v>38353</v>
      </c>
      <c r="C787">
        <v>439</v>
      </c>
    </row>
    <row r="788" spans="1:3" x14ac:dyDescent="0.25">
      <c r="A788" s="1">
        <v>38380</v>
      </c>
      <c r="B788" s="1">
        <f t="shared" si="31"/>
        <v>38353</v>
      </c>
      <c r="C788">
        <v>440.3</v>
      </c>
    </row>
    <row r="789" spans="1:3" x14ac:dyDescent="0.25">
      <c r="A789" s="1">
        <v>38387</v>
      </c>
      <c r="B789" s="1">
        <f t="shared" si="31"/>
        <v>38384</v>
      </c>
      <c r="C789">
        <v>444.6</v>
      </c>
    </row>
    <row r="790" spans="1:3" x14ac:dyDescent="0.25">
      <c r="A790" s="1">
        <v>38394</v>
      </c>
      <c r="B790" s="1">
        <f t="shared" si="31"/>
        <v>38384</v>
      </c>
      <c r="C790">
        <v>423.3</v>
      </c>
    </row>
    <row r="791" spans="1:3" x14ac:dyDescent="0.25">
      <c r="A791" s="1">
        <v>38401</v>
      </c>
      <c r="B791" s="1">
        <f t="shared" si="31"/>
        <v>38384</v>
      </c>
      <c r="C791">
        <v>417.8</v>
      </c>
    </row>
    <row r="792" spans="1:3" x14ac:dyDescent="0.25">
      <c r="A792" s="1">
        <v>38408</v>
      </c>
      <c r="B792" s="1">
        <f t="shared" si="31"/>
        <v>38384</v>
      </c>
      <c r="C792">
        <v>440</v>
      </c>
    </row>
    <row r="793" spans="1:3" x14ac:dyDescent="0.25">
      <c r="A793" s="1">
        <v>38415</v>
      </c>
      <c r="B793" s="1">
        <f t="shared" si="31"/>
        <v>38412</v>
      </c>
      <c r="C793">
        <v>451.7</v>
      </c>
    </row>
    <row r="794" spans="1:3" x14ac:dyDescent="0.25">
      <c r="A794" s="1">
        <v>38422</v>
      </c>
      <c r="B794" s="1">
        <f t="shared" si="31"/>
        <v>38412</v>
      </c>
      <c r="C794">
        <v>462.8</v>
      </c>
    </row>
    <row r="795" spans="1:3" x14ac:dyDescent="0.25">
      <c r="A795" s="1">
        <v>38429</v>
      </c>
      <c r="B795" s="1">
        <f t="shared" si="31"/>
        <v>38412</v>
      </c>
      <c r="C795">
        <v>446.4</v>
      </c>
    </row>
    <row r="796" spans="1:3" x14ac:dyDescent="0.25">
      <c r="A796" s="1">
        <v>38436</v>
      </c>
      <c r="B796" s="1">
        <f t="shared" si="31"/>
        <v>38412</v>
      </c>
      <c r="C796">
        <v>470.9</v>
      </c>
    </row>
    <row r="797" spans="1:3" x14ac:dyDescent="0.25">
      <c r="A797" s="1">
        <v>38443</v>
      </c>
      <c r="B797" s="1">
        <f t="shared" si="31"/>
        <v>38443</v>
      </c>
      <c r="C797">
        <v>446</v>
      </c>
    </row>
    <row r="798" spans="1:3" x14ac:dyDescent="0.25">
      <c r="A798" s="1">
        <v>38450</v>
      </c>
      <c r="B798" s="1">
        <f t="shared" si="31"/>
        <v>38443</v>
      </c>
      <c r="C798">
        <v>474.5</v>
      </c>
    </row>
    <row r="799" spans="1:3" x14ac:dyDescent="0.25">
      <c r="A799" s="1">
        <v>38457</v>
      </c>
      <c r="B799" s="1">
        <f t="shared" si="31"/>
        <v>38443</v>
      </c>
      <c r="C799">
        <v>466.7</v>
      </c>
    </row>
    <row r="800" spans="1:3" x14ac:dyDescent="0.25">
      <c r="A800" s="1">
        <v>38464</v>
      </c>
      <c r="B800" s="1">
        <f t="shared" si="31"/>
        <v>38443</v>
      </c>
      <c r="C800">
        <v>482</v>
      </c>
    </row>
    <row r="801" spans="1:3" x14ac:dyDescent="0.25">
      <c r="A801" s="1">
        <v>38471</v>
      </c>
      <c r="B801" s="1">
        <f t="shared" si="31"/>
        <v>38443</v>
      </c>
      <c r="C801">
        <v>482.5</v>
      </c>
    </row>
    <row r="802" spans="1:3" x14ac:dyDescent="0.25">
      <c r="A802" s="1">
        <v>38478</v>
      </c>
      <c r="B802" s="1">
        <f t="shared" si="31"/>
        <v>38473</v>
      </c>
      <c r="C802">
        <v>526.20000000000005</v>
      </c>
    </row>
    <row r="803" spans="1:3" x14ac:dyDescent="0.25">
      <c r="A803" s="1">
        <v>38485</v>
      </c>
      <c r="B803" s="1">
        <f t="shared" si="31"/>
        <v>38473</v>
      </c>
      <c r="C803">
        <v>469.3</v>
      </c>
    </row>
    <row r="804" spans="1:3" x14ac:dyDescent="0.25">
      <c r="A804" s="1">
        <v>38492</v>
      </c>
      <c r="B804" s="1">
        <f t="shared" si="31"/>
        <v>38473</v>
      </c>
      <c r="C804">
        <v>482.3</v>
      </c>
    </row>
    <row r="805" spans="1:3" x14ac:dyDescent="0.25">
      <c r="A805" s="1">
        <v>38499</v>
      </c>
      <c r="B805" s="1">
        <f t="shared" si="31"/>
        <v>38473</v>
      </c>
      <c r="C805">
        <v>462.7</v>
      </c>
    </row>
    <row r="806" spans="1:3" x14ac:dyDescent="0.25">
      <c r="A806" s="1">
        <v>38506</v>
      </c>
      <c r="B806" s="1">
        <f t="shared" si="31"/>
        <v>38504</v>
      </c>
      <c r="C806">
        <v>479.3</v>
      </c>
    </row>
    <row r="807" spans="1:3" x14ac:dyDescent="0.25">
      <c r="A807" s="1">
        <v>38513</v>
      </c>
      <c r="B807" s="1">
        <f t="shared" si="31"/>
        <v>38504</v>
      </c>
      <c r="C807">
        <v>529.29999999999995</v>
      </c>
    </row>
    <row r="808" spans="1:3" x14ac:dyDescent="0.25">
      <c r="A808" s="1">
        <v>38520</v>
      </c>
      <c r="B808" s="1">
        <f t="shared" si="31"/>
        <v>38504</v>
      </c>
      <c r="C808">
        <v>479.4</v>
      </c>
    </row>
    <row r="809" spans="1:3" x14ac:dyDescent="0.25">
      <c r="A809" s="1">
        <v>38527</v>
      </c>
      <c r="B809" s="1">
        <f t="shared" si="31"/>
        <v>38504</v>
      </c>
      <c r="C809">
        <v>477.4</v>
      </c>
    </row>
    <row r="810" spans="1:3" x14ac:dyDescent="0.25">
      <c r="A810" s="1">
        <v>38534</v>
      </c>
      <c r="B810" s="1">
        <f t="shared" si="31"/>
        <v>38534</v>
      </c>
      <c r="C810">
        <v>520.79999999999995</v>
      </c>
    </row>
    <row r="811" spans="1:3" x14ac:dyDescent="0.25">
      <c r="A811" s="1">
        <v>38541</v>
      </c>
      <c r="B811" s="1">
        <f t="shared" si="31"/>
        <v>38534</v>
      </c>
      <c r="C811">
        <v>489</v>
      </c>
    </row>
    <row r="812" spans="1:3" x14ac:dyDescent="0.25">
      <c r="A812" s="1">
        <v>38548</v>
      </c>
      <c r="B812" s="1">
        <f t="shared" si="31"/>
        <v>38534</v>
      </c>
      <c r="C812">
        <v>488.7</v>
      </c>
    </row>
    <row r="813" spans="1:3" x14ac:dyDescent="0.25">
      <c r="A813" s="1">
        <v>38555</v>
      </c>
      <c r="B813" s="1">
        <f t="shared" si="31"/>
        <v>38534</v>
      </c>
      <c r="C813">
        <v>485.1</v>
      </c>
    </row>
    <row r="814" spans="1:3" x14ac:dyDescent="0.25">
      <c r="A814" s="1">
        <v>38562</v>
      </c>
      <c r="B814" s="1">
        <f t="shared" si="31"/>
        <v>38534</v>
      </c>
      <c r="C814">
        <v>494.5</v>
      </c>
    </row>
    <row r="815" spans="1:3" x14ac:dyDescent="0.25">
      <c r="A815" s="1">
        <v>38569</v>
      </c>
      <c r="B815" s="1">
        <f t="shared" si="31"/>
        <v>38565</v>
      </c>
      <c r="C815">
        <v>498.8</v>
      </c>
    </row>
    <row r="816" spans="1:3" x14ac:dyDescent="0.25">
      <c r="A816" s="1">
        <v>38576</v>
      </c>
      <c r="B816" s="1">
        <f t="shared" si="31"/>
        <v>38565</v>
      </c>
      <c r="C816">
        <v>499.3</v>
      </c>
    </row>
    <row r="817" spans="1:3" x14ac:dyDescent="0.25">
      <c r="A817" s="1">
        <v>38583</v>
      </c>
      <c r="B817" s="1">
        <f t="shared" si="31"/>
        <v>38565</v>
      </c>
      <c r="C817">
        <v>488.4</v>
      </c>
    </row>
    <row r="818" spans="1:3" x14ac:dyDescent="0.25">
      <c r="A818" s="1">
        <v>38590</v>
      </c>
      <c r="B818" s="1">
        <f t="shared" si="31"/>
        <v>38565</v>
      </c>
      <c r="C818">
        <v>470.6</v>
      </c>
    </row>
    <row r="819" spans="1:3" x14ac:dyDescent="0.25">
      <c r="A819" s="1">
        <v>38597</v>
      </c>
      <c r="B819" s="1">
        <f t="shared" si="31"/>
        <v>38596</v>
      </c>
      <c r="C819">
        <v>499.1</v>
      </c>
    </row>
    <row r="820" spans="1:3" x14ac:dyDescent="0.25">
      <c r="A820" s="1">
        <v>38604</v>
      </c>
      <c r="B820" s="1">
        <f t="shared" si="31"/>
        <v>38596</v>
      </c>
      <c r="C820">
        <v>513.4</v>
      </c>
    </row>
    <row r="821" spans="1:3" x14ac:dyDescent="0.25">
      <c r="A821" s="1">
        <v>38611</v>
      </c>
      <c r="B821" s="1">
        <f t="shared" si="31"/>
        <v>38596</v>
      </c>
      <c r="C821">
        <v>500.3</v>
      </c>
    </row>
    <row r="822" spans="1:3" x14ac:dyDescent="0.25">
      <c r="A822" s="1">
        <v>38618</v>
      </c>
      <c r="B822" s="1">
        <f t="shared" si="31"/>
        <v>38596</v>
      </c>
      <c r="C822">
        <v>483.1</v>
      </c>
    </row>
    <row r="823" spans="1:3" x14ac:dyDescent="0.25">
      <c r="A823" s="1">
        <v>38625</v>
      </c>
      <c r="B823" s="1">
        <f t="shared" si="31"/>
        <v>38596</v>
      </c>
      <c r="C823">
        <v>473.8</v>
      </c>
    </row>
    <row r="824" spans="1:3" x14ac:dyDescent="0.25">
      <c r="A824" s="1">
        <v>38632</v>
      </c>
      <c r="B824" s="1">
        <f t="shared" si="31"/>
        <v>38626</v>
      </c>
      <c r="C824">
        <v>469.5</v>
      </c>
    </row>
    <row r="825" spans="1:3" x14ac:dyDescent="0.25">
      <c r="A825" s="1">
        <v>38639</v>
      </c>
      <c r="B825" s="1">
        <f t="shared" si="31"/>
        <v>38626</v>
      </c>
      <c r="C825">
        <v>503.9</v>
      </c>
    </row>
    <row r="826" spans="1:3" x14ac:dyDescent="0.25">
      <c r="A826" s="1">
        <v>38646</v>
      </c>
      <c r="B826" s="1">
        <f t="shared" si="31"/>
        <v>38626</v>
      </c>
      <c r="C826">
        <v>466.4</v>
      </c>
    </row>
    <row r="827" spans="1:3" x14ac:dyDescent="0.25">
      <c r="A827" s="1">
        <v>38653</v>
      </c>
      <c r="B827" s="1">
        <f t="shared" si="31"/>
        <v>38626</v>
      </c>
      <c r="C827">
        <v>437.6</v>
      </c>
    </row>
    <row r="828" spans="1:3" x14ac:dyDescent="0.25">
      <c r="A828" s="1">
        <v>38660</v>
      </c>
      <c r="B828" s="1">
        <f t="shared" si="31"/>
        <v>38657</v>
      </c>
      <c r="C828">
        <v>465.7</v>
      </c>
    </row>
    <row r="829" spans="1:3" x14ac:dyDescent="0.25">
      <c r="A829" s="1">
        <v>38667</v>
      </c>
      <c r="B829" s="1">
        <f t="shared" si="31"/>
        <v>38657</v>
      </c>
      <c r="C829">
        <v>477.9</v>
      </c>
    </row>
    <row r="830" spans="1:3" x14ac:dyDescent="0.25">
      <c r="A830" s="1">
        <v>38674</v>
      </c>
      <c r="B830" s="1">
        <f t="shared" si="31"/>
        <v>38657</v>
      </c>
      <c r="C830">
        <v>472.3</v>
      </c>
    </row>
    <row r="831" spans="1:3" x14ac:dyDescent="0.25">
      <c r="A831" s="1">
        <v>38681</v>
      </c>
      <c r="B831" s="1">
        <f t="shared" si="31"/>
        <v>38657</v>
      </c>
      <c r="C831">
        <v>476.2</v>
      </c>
    </row>
    <row r="832" spans="1:3" x14ac:dyDescent="0.25">
      <c r="A832" s="1">
        <v>38688</v>
      </c>
      <c r="B832" s="1">
        <f t="shared" si="31"/>
        <v>38687</v>
      </c>
      <c r="C832">
        <v>495.1</v>
      </c>
    </row>
    <row r="833" spans="1:3" x14ac:dyDescent="0.25">
      <c r="A833" s="1">
        <v>38695</v>
      </c>
      <c r="B833" s="1">
        <f t="shared" si="31"/>
        <v>38687</v>
      </c>
      <c r="C833">
        <v>477.9</v>
      </c>
    </row>
    <row r="834" spans="1:3" x14ac:dyDescent="0.25">
      <c r="A834" s="1">
        <v>38702</v>
      </c>
      <c r="B834" s="1">
        <f t="shared" si="31"/>
        <v>38687</v>
      </c>
      <c r="C834">
        <v>453.1</v>
      </c>
    </row>
    <row r="835" spans="1:3" x14ac:dyDescent="0.25">
      <c r="A835" s="1">
        <v>38709</v>
      </c>
      <c r="B835" s="1">
        <f t="shared" ref="B835:B898" si="32">A835-DAY(A835)+1</f>
        <v>38687</v>
      </c>
      <c r="C835">
        <v>432.9</v>
      </c>
    </row>
    <row r="836" spans="1:3" x14ac:dyDescent="0.25">
      <c r="A836" s="1">
        <v>38716</v>
      </c>
      <c r="B836" s="1">
        <f t="shared" si="32"/>
        <v>38687</v>
      </c>
      <c r="C836">
        <v>418.3</v>
      </c>
    </row>
    <row r="837" spans="1:3" x14ac:dyDescent="0.25">
      <c r="A837" s="1">
        <v>38723</v>
      </c>
      <c r="B837" s="1">
        <f t="shared" si="32"/>
        <v>38718</v>
      </c>
      <c r="C837">
        <v>457.4</v>
      </c>
    </row>
    <row r="838" spans="1:3" x14ac:dyDescent="0.25">
      <c r="A838" s="1">
        <v>38730</v>
      </c>
      <c r="B838" s="1">
        <f t="shared" si="32"/>
        <v>38718</v>
      </c>
      <c r="C838">
        <v>443.9</v>
      </c>
    </row>
    <row r="839" spans="1:3" x14ac:dyDescent="0.25">
      <c r="A839" s="1">
        <v>38737</v>
      </c>
      <c r="B839" s="1">
        <f t="shared" si="32"/>
        <v>38718</v>
      </c>
      <c r="C839">
        <v>473.7</v>
      </c>
    </row>
    <row r="840" spans="1:3" x14ac:dyDescent="0.25">
      <c r="A840" s="1">
        <v>38744</v>
      </c>
      <c r="B840" s="1">
        <f t="shared" si="32"/>
        <v>38718</v>
      </c>
      <c r="C840">
        <v>435.7</v>
      </c>
    </row>
    <row r="841" spans="1:3" x14ac:dyDescent="0.25">
      <c r="A841" s="1">
        <v>38751</v>
      </c>
      <c r="B841" s="1">
        <f t="shared" si="32"/>
        <v>38749</v>
      </c>
      <c r="C841">
        <v>425.1</v>
      </c>
    </row>
    <row r="842" spans="1:3" x14ac:dyDescent="0.25">
      <c r="A842" s="1">
        <v>38758</v>
      </c>
      <c r="B842" s="1">
        <f t="shared" si="32"/>
        <v>38749</v>
      </c>
      <c r="C842">
        <v>391.7</v>
      </c>
    </row>
    <row r="843" spans="1:3" x14ac:dyDescent="0.25">
      <c r="A843" s="1">
        <v>38765</v>
      </c>
      <c r="B843" s="1">
        <f t="shared" si="32"/>
        <v>38749</v>
      </c>
      <c r="C843">
        <v>408.7</v>
      </c>
    </row>
    <row r="844" spans="1:3" x14ac:dyDescent="0.25">
      <c r="A844" s="1">
        <v>38772</v>
      </c>
      <c r="B844" s="1">
        <f t="shared" si="32"/>
        <v>38749</v>
      </c>
      <c r="C844">
        <v>400.8</v>
      </c>
    </row>
    <row r="845" spans="1:3" x14ac:dyDescent="0.25">
      <c r="A845" s="1">
        <v>38779</v>
      </c>
      <c r="B845" s="1">
        <f t="shared" si="32"/>
        <v>38777</v>
      </c>
      <c r="C845">
        <v>399</v>
      </c>
    </row>
    <row r="846" spans="1:3" x14ac:dyDescent="0.25">
      <c r="A846" s="1">
        <v>38786</v>
      </c>
      <c r="B846" s="1">
        <f t="shared" si="32"/>
        <v>38777</v>
      </c>
      <c r="C846">
        <v>403</v>
      </c>
    </row>
    <row r="847" spans="1:3" x14ac:dyDescent="0.25">
      <c r="A847" s="1">
        <v>38793</v>
      </c>
      <c r="B847" s="1">
        <f t="shared" si="32"/>
        <v>38777</v>
      </c>
      <c r="C847">
        <v>393.6</v>
      </c>
    </row>
    <row r="848" spans="1:3" x14ac:dyDescent="0.25">
      <c r="A848" s="1">
        <v>38800</v>
      </c>
      <c r="B848" s="1">
        <f t="shared" si="32"/>
        <v>38777</v>
      </c>
      <c r="C848">
        <v>404.1</v>
      </c>
    </row>
    <row r="849" spans="1:3" x14ac:dyDescent="0.25">
      <c r="A849" s="1">
        <v>38807</v>
      </c>
      <c r="B849" s="1">
        <f t="shared" si="32"/>
        <v>38777</v>
      </c>
      <c r="C849">
        <v>438.2</v>
      </c>
    </row>
    <row r="850" spans="1:3" x14ac:dyDescent="0.25">
      <c r="A850" s="1">
        <v>38814</v>
      </c>
      <c r="B850" s="1">
        <f t="shared" si="32"/>
        <v>38808</v>
      </c>
      <c r="C850">
        <v>417.7</v>
      </c>
    </row>
    <row r="851" spans="1:3" x14ac:dyDescent="0.25">
      <c r="A851" s="1">
        <v>38821</v>
      </c>
      <c r="B851" s="1">
        <f t="shared" si="32"/>
        <v>38808</v>
      </c>
      <c r="C851">
        <v>407.4</v>
      </c>
    </row>
    <row r="852" spans="1:3" x14ac:dyDescent="0.25">
      <c r="A852" s="1">
        <v>38828</v>
      </c>
      <c r="B852" s="1">
        <f t="shared" si="32"/>
        <v>38808</v>
      </c>
      <c r="C852">
        <v>389.4</v>
      </c>
    </row>
    <row r="853" spans="1:3" x14ac:dyDescent="0.25">
      <c r="A853" s="1">
        <v>38835</v>
      </c>
      <c r="B853" s="1">
        <f t="shared" si="32"/>
        <v>38808</v>
      </c>
      <c r="C853">
        <v>433.3</v>
      </c>
    </row>
    <row r="854" spans="1:3" x14ac:dyDescent="0.25">
      <c r="A854" s="1">
        <v>38842</v>
      </c>
      <c r="B854" s="1">
        <f t="shared" si="32"/>
        <v>38838</v>
      </c>
      <c r="C854">
        <v>416.5</v>
      </c>
    </row>
    <row r="855" spans="1:3" x14ac:dyDescent="0.25">
      <c r="A855" s="1">
        <v>38849</v>
      </c>
      <c r="B855" s="1">
        <f t="shared" si="32"/>
        <v>38838</v>
      </c>
      <c r="C855">
        <v>426.7</v>
      </c>
    </row>
    <row r="856" spans="1:3" x14ac:dyDescent="0.25">
      <c r="A856" s="1">
        <v>38856</v>
      </c>
      <c r="B856" s="1">
        <f t="shared" si="32"/>
        <v>38838</v>
      </c>
      <c r="C856">
        <v>396.4</v>
      </c>
    </row>
    <row r="857" spans="1:3" x14ac:dyDescent="0.25">
      <c r="A857" s="1">
        <v>38863</v>
      </c>
      <c r="B857" s="1">
        <f t="shared" si="32"/>
        <v>38838</v>
      </c>
      <c r="C857">
        <v>395.5</v>
      </c>
    </row>
    <row r="858" spans="1:3" x14ac:dyDescent="0.25">
      <c r="A858" s="1">
        <v>38870</v>
      </c>
      <c r="B858" s="1">
        <f t="shared" si="32"/>
        <v>38869</v>
      </c>
      <c r="C858">
        <v>395.6</v>
      </c>
    </row>
    <row r="859" spans="1:3" x14ac:dyDescent="0.25">
      <c r="A859" s="1">
        <v>38877</v>
      </c>
      <c r="B859" s="1">
        <f t="shared" si="32"/>
        <v>38869</v>
      </c>
      <c r="C859">
        <v>414.6</v>
      </c>
    </row>
    <row r="860" spans="1:3" x14ac:dyDescent="0.25">
      <c r="A860" s="1">
        <v>38884</v>
      </c>
      <c r="B860" s="1">
        <f t="shared" si="32"/>
        <v>38869</v>
      </c>
      <c r="C860">
        <v>414.8</v>
      </c>
    </row>
    <row r="861" spans="1:3" x14ac:dyDescent="0.25">
      <c r="A861" s="1">
        <v>38891</v>
      </c>
      <c r="B861" s="1">
        <f t="shared" si="32"/>
        <v>38869</v>
      </c>
      <c r="C861">
        <v>389</v>
      </c>
    </row>
    <row r="862" spans="1:3" x14ac:dyDescent="0.25">
      <c r="A862" s="1">
        <v>38898</v>
      </c>
      <c r="B862" s="1">
        <f t="shared" si="32"/>
        <v>38869</v>
      </c>
      <c r="C862">
        <v>414.2</v>
      </c>
    </row>
    <row r="863" spans="1:3" x14ac:dyDescent="0.25">
      <c r="A863" s="1">
        <v>38905</v>
      </c>
      <c r="B863" s="1">
        <f t="shared" si="32"/>
        <v>38899</v>
      </c>
      <c r="C863">
        <v>425</v>
      </c>
    </row>
    <row r="864" spans="1:3" x14ac:dyDescent="0.25">
      <c r="A864" s="1">
        <v>38912</v>
      </c>
      <c r="B864" s="1">
        <f t="shared" si="32"/>
        <v>38899</v>
      </c>
      <c r="C864">
        <v>398.5</v>
      </c>
    </row>
    <row r="865" spans="1:3" x14ac:dyDescent="0.25">
      <c r="A865" s="1">
        <v>38919</v>
      </c>
      <c r="B865" s="1">
        <f t="shared" si="32"/>
        <v>38899</v>
      </c>
      <c r="C865">
        <v>389</v>
      </c>
    </row>
    <row r="866" spans="1:3" x14ac:dyDescent="0.25">
      <c r="A866" s="1">
        <v>38926</v>
      </c>
      <c r="B866" s="1">
        <f t="shared" si="32"/>
        <v>38899</v>
      </c>
      <c r="C866">
        <v>376.2</v>
      </c>
    </row>
    <row r="867" spans="1:3" x14ac:dyDescent="0.25">
      <c r="A867" s="1">
        <v>38933</v>
      </c>
      <c r="B867" s="1">
        <f t="shared" si="32"/>
        <v>38930</v>
      </c>
      <c r="C867">
        <v>388.9</v>
      </c>
    </row>
    <row r="868" spans="1:3" x14ac:dyDescent="0.25">
      <c r="A868" s="1">
        <v>38940</v>
      </c>
      <c r="B868" s="1">
        <f t="shared" si="32"/>
        <v>38930</v>
      </c>
      <c r="C868">
        <v>385.9</v>
      </c>
    </row>
    <row r="869" spans="1:3" x14ac:dyDescent="0.25">
      <c r="A869" s="1">
        <v>38947</v>
      </c>
      <c r="B869" s="1">
        <f t="shared" si="32"/>
        <v>38930</v>
      </c>
      <c r="C869">
        <v>382.2</v>
      </c>
    </row>
    <row r="870" spans="1:3" x14ac:dyDescent="0.25">
      <c r="A870" s="1">
        <v>38954</v>
      </c>
      <c r="B870" s="1">
        <f t="shared" si="32"/>
        <v>38930</v>
      </c>
      <c r="C870">
        <v>375.9</v>
      </c>
    </row>
    <row r="871" spans="1:3" x14ac:dyDescent="0.25">
      <c r="A871" s="1">
        <v>38961</v>
      </c>
      <c r="B871" s="1">
        <f t="shared" si="32"/>
        <v>38961</v>
      </c>
      <c r="C871">
        <v>389.7</v>
      </c>
    </row>
    <row r="872" spans="1:3" x14ac:dyDescent="0.25">
      <c r="A872" s="1">
        <v>38968</v>
      </c>
      <c r="B872" s="1">
        <f t="shared" si="32"/>
        <v>38961</v>
      </c>
      <c r="C872">
        <v>410.2</v>
      </c>
    </row>
    <row r="873" spans="1:3" x14ac:dyDescent="0.25">
      <c r="A873" s="1">
        <v>38975</v>
      </c>
      <c r="B873" s="1">
        <f t="shared" si="32"/>
        <v>38961</v>
      </c>
      <c r="C873">
        <v>397.9</v>
      </c>
    </row>
    <row r="874" spans="1:3" x14ac:dyDescent="0.25">
      <c r="A874" s="1">
        <v>38982</v>
      </c>
      <c r="B874" s="1">
        <f t="shared" si="32"/>
        <v>38961</v>
      </c>
      <c r="C874">
        <v>375.9</v>
      </c>
    </row>
    <row r="875" spans="1:3" x14ac:dyDescent="0.25">
      <c r="A875" s="1">
        <v>38989</v>
      </c>
      <c r="B875" s="1">
        <f t="shared" si="32"/>
        <v>38961</v>
      </c>
      <c r="C875">
        <v>404.6</v>
      </c>
    </row>
    <row r="876" spans="1:3" x14ac:dyDescent="0.25">
      <c r="A876" s="1">
        <v>38996</v>
      </c>
      <c r="B876" s="1">
        <f t="shared" si="32"/>
        <v>38991</v>
      </c>
      <c r="C876">
        <v>383.3</v>
      </c>
    </row>
    <row r="877" spans="1:3" x14ac:dyDescent="0.25">
      <c r="A877" s="1">
        <v>39003</v>
      </c>
      <c r="B877" s="1">
        <f t="shared" si="32"/>
        <v>38991</v>
      </c>
      <c r="C877">
        <v>384.7</v>
      </c>
    </row>
    <row r="878" spans="1:3" x14ac:dyDescent="0.25">
      <c r="A878" s="1">
        <v>39010</v>
      </c>
      <c r="B878" s="1">
        <f t="shared" si="32"/>
        <v>38991</v>
      </c>
      <c r="C878">
        <v>382.4</v>
      </c>
    </row>
    <row r="879" spans="1:3" x14ac:dyDescent="0.25">
      <c r="A879" s="1">
        <v>39017</v>
      </c>
      <c r="B879" s="1">
        <f t="shared" si="32"/>
        <v>38991</v>
      </c>
      <c r="C879">
        <v>375.6</v>
      </c>
    </row>
    <row r="880" spans="1:3" x14ac:dyDescent="0.25">
      <c r="A880" s="1">
        <v>39024</v>
      </c>
      <c r="B880" s="1">
        <f t="shared" si="32"/>
        <v>39022</v>
      </c>
      <c r="C880">
        <v>402.2</v>
      </c>
    </row>
    <row r="881" spans="1:3" x14ac:dyDescent="0.25">
      <c r="A881" s="1">
        <v>39031</v>
      </c>
      <c r="B881" s="1">
        <f t="shared" si="32"/>
        <v>39022</v>
      </c>
      <c r="C881">
        <v>412.9</v>
      </c>
    </row>
    <row r="882" spans="1:3" x14ac:dyDescent="0.25">
      <c r="A882" s="1">
        <v>39038</v>
      </c>
      <c r="B882" s="1">
        <f t="shared" si="32"/>
        <v>39022</v>
      </c>
      <c r="C882">
        <v>401.4</v>
      </c>
    </row>
    <row r="883" spans="1:3" x14ac:dyDescent="0.25">
      <c r="A883" s="1">
        <v>39045</v>
      </c>
      <c r="B883" s="1">
        <f t="shared" si="32"/>
        <v>39022</v>
      </c>
      <c r="C883">
        <v>406.7</v>
      </c>
    </row>
    <row r="884" spans="1:3" x14ac:dyDescent="0.25">
      <c r="A884" s="1">
        <v>39052</v>
      </c>
      <c r="B884" s="1">
        <f t="shared" si="32"/>
        <v>39052</v>
      </c>
      <c r="C884">
        <v>426.6</v>
      </c>
    </row>
    <row r="885" spans="1:3" x14ac:dyDescent="0.25">
      <c r="A885" s="1">
        <v>39059</v>
      </c>
      <c r="B885" s="1">
        <f t="shared" si="32"/>
        <v>39052</v>
      </c>
      <c r="C885">
        <v>463.8</v>
      </c>
    </row>
    <row r="886" spans="1:3" x14ac:dyDescent="0.25">
      <c r="A886" s="1">
        <v>39066</v>
      </c>
      <c r="B886" s="1">
        <f t="shared" si="32"/>
        <v>39052</v>
      </c>
      <c r="C886">
        <v>436.5</v>
      </c>
    </row>
    <row r="887" spans="1:3" x14ac:dyDescent="0.25">
      <c r="A887" s="1">
        <v>39073</v>
      </c>
      <c r="B887" s="1">
        <f t="shared" si="32"/>
        <v>39052</v>
      </c>
      <c r="C887">
        <v>390.2</v>
      </c>
    </row>
    <row r="888" spans="1:3" x14ac:dyDescent="0.25">
      <c r="A888" s="1">
        <v>39080</v>
      </c>
      <c r="B888" s="1">
        <f t="shared" si="32"/>
        <v>39052</v>
      </c>
      <c r="C888">
        <v>406.9</v>
      </c>
    </row>
    <row r="889" spans="1:3" x14ac:dyDescent="0.25">
      <c r="A889" s="1">
        <v>39087</v>
      </c>
      <c r="B889" s="1">
        <f t="shared" si="32"/>
        <v>39083</v>
      </c>
      <c r="C889">
        <v>472.8</v>
      </c>
    </row>
    <row r="890" spans="1:3" x14ac:dyDescent="0.25">
      <c r="A890" s="1">
        <v>39094</v>
      </c>
      <c r="B890" s="1">
        <f t="shared" si="32"/>
        <v>39083</v>
      </c>
      <c r="C890">
        <v>439.7</v>
      </c>
    </row>
    <row r="891" spans="1:3" x14ac:dyDescent="0.25">
      <c r="A891" s="1">
        <v>39101</v>
      </c>
      <c r="B891" s="1">
        <f t="shared" si="32"/>
        <v>39083</v>
      </c>
      <c r="C891">
        <v>402.7</v>
      </c>
    </row>
    <row r="892" spans="1:3" x14ac:dyDescent="0.25">
      <c r="A892" s="1">
        <v>39108</v>
      </c>
      <c r="B892" s="1">
        <f t="shared" si="32"/>
        <v>39083</v>
      </c>
      <c r="C892">
        <v>408</v>
      </c>
    </row>
    <row r="893" spans="1:3" x14ac:dyDescent="0.25">
      <c r="A893" s="1">
        <v>39115</v>
      </c>
      <c r="B893" s="1">
        <f t="shared" si="32"/>
        <v>39114</v>
      </c>
      <c r="C893">
        <v>404.7</v>
      </c>
    </row>
    <row r="894" spans="1:3" x14ac:dyDescent="0.25">
      <c r="A894" s="1">
        <v>39122</v>
      </c>
      <c r="B894" s="1">
        <f t="shared" si="32"/>
        <v>39114</v>
      </c>
      <c r="C894">
        <v>400.7</v>
      </c>
    </row>
    <row r="895" spans="1:3" x14ac:dyDescent="0.25">
      <c r="A895" s="1">
        <v>39129</v>
      </c>
      <c r="B895" s="1">
        <f t="shared" si="32"/>
        <v>39114</v>
      </c>
      <c r="C895">
        <v>381.4</v>
      </c>
    </row>
    <row r="896" spans="1:3" x14ac:dyDescent="0.25">
      <c r="A896" s="1">
        <v>39136</v>
      </c>
      <c r="B896" s="1">
        <f t="shared" si="32"/>
        <v>39114</v>
      </c>
      <c r="C896">
        <v>401.3</v>
      </c>
    </row>
    <row r="897" spans="1:3" x14ac:dyDescent="0.25">
      <c r="A897" s="1">
        <v>39143</v>
      </c>
      <c r="B897" s="1">
        <f t="shared" si="32"/>
        <v>39142</v>
      </c>
      <c r="C897">
        <v>405.3</v>
      </c>
    </row>
    <row r="898" spans="1:3" x14ac:dyDescent="0.25">
      <c r="A898" s="1">
        <v>39150</v>
      </c>
      <c r="B898" s="1">
        <f t="shared" si="32"/>
        <v>39142</v>
      </c>
      <c r="C898">
        <v>414.3</v>
      </c>
    </row>
    <row r="899" spans="1:3" x14ac:dyDescent="0.25">
      <c r="A899" s="1">
        <v>39157</v>
      </c>
      <c r="B899" s="1">
        <f t="shared" ref="B899:B962" si="33">A899-DAY(A899)+1</f>
        <v>39142</v>
      </c>
      <c r="C899">
        <v>410.6</v>
      </c>
    </row>
    <row r="900" spans="1:3" x14ac:dyDescent="0.25">
      <c r="A900" s="1">
        <v>39164</v>
      </c>
      <c r="B900" s="1">
        <f t="shared" si="33"/>
        <v>39142</v>
      </c>
      <c r="C900">
        <v>411.1</v>
      </c>
    </row>
    <row r="901" spans="1:3" x14ac:dyDescent="0.25">
      <c r="A901" s="1">
        <v>39171</v>
      </c>
      <c r="B901" s="1">
        <f t="shared" si="33"/>
        <v>39142</v>
      </c>
      <c r="C901">
        <v>402.9</v>
      </c>
    </row>
    <row r="902" spans="1:3" x14ac:dyDescent="0.25">
      <c r="A902" s="1">
        <v>39178</v>
      </c>
      <c r="B902" s="1">
        <f t="shared" si="33"/>
        <v>39173</v>
      </c>
      <c r="C902">
        <v>413.8</v>
      </c>
    </row>
    <row r="903" spans="1:3" x14ac:dyDescent="0.25">
      <c r="A903" s="1">
        <v>39185</v>
      </c>
      <c r="B903" s="1">
        <f t="shared" si="33"/>
        <v>39173</v>
      </c>
      <c r="C903">
        <v>396.5</v>
      </c>
    </row>
    <row r="904" spans="1:3" x14ac:dyDescent="0.25">
      <c r="A904" s="1">
        <v>39192</v>
      </c>
      <c r="B904" s="1">
        <f t="shared" si="33"/>
        <v>39173</v>
      </c>
      <c r="C904">
        <v>411</v>
      </c>
    </row>
    <row r="905" spans="1:3" x14ac:dyDescent="0.25">
      <c r="A905" s="1">
        <v>39199</v>
      </c>
      <c r="B905" s="1">
        <f t="shared" si="33"/>
        <v>39173</v>
      </c>
      <c r="C905">
        <v>427.3</v>
      </c>
    </row>
    <row r="906" spans="1:3" x14ac:dyDescent="0.25">
      <c r="A906" s="1">
        <v>39206</v>
      </c>
      <c r="B906" s="1">
        <f t="shared" si="33"/>
        <v>39203</v>
      </c>
      <c r="C906">
        <v>438.3</v>
      </c>
    </row>
    <row r="907" spans="1:3" x14ac:dyDescent="0.25">
      <c r="A907" s="1">
        <v>39213</v>
      </c>
      <c r="B907" s="1">
        <f t="shared" si="33"/>
        <v>39203</v>
      </c>
      <c r="C907">
        <v>432.3</v>
      </c>
    </row>
    <row r="908" spans="1:3" x14ac:dyDescent="0.25">
      <c r="A908" s="1">
        <v>39220</v>
      </c>
      <c r="B908" s="1">
        <f t="shared" si="33"/>
        <v>39203</v>
      </c>
      <c r="C908">
        <v>438.1</v>
      </c>
    </row>
    <row r="909" spans="1:3" x14ac:dyDescent="0.25">
      <c r="A909" s="1">
        <v>39227</v>
      </c>
      <c r="B909" s="1">
        <f t="shared" si="33"/>
        <v>39203</v>
      </c>
      <c r="C909">
        <v>427</v>
      </c>
    </row>
    <row r="910" spans="1:3" x14ac:dyDescent="0.25">
      <c r="A910" s="1">
        <v>39234</v>
      </c>
      <c r="B910" s="1">
        <f t="shared" si="33"/>
        <v>39234</v>
      </c>
      <c r="C910">
        <v>433.6</v>
      </c>
    </row>
    <row r="911" spans="1:3" x14ac:dyDescent="0.25">
      <c r="A911" s="1">
        <v>39241</v>
      </c>
      <c r="B911" s="1">
        <f t="shared" si="33"/>
        <v>39234</v>
      </c>
      <c r="C911">
        <v>464.7</v>
      </c>
    </row>
    <row r="912" spans="1:3" x14ac:dyDescent="0.25">
      <c r="A912" s="1">
        <v>39248</v>
      </c>
      <c r="B912" s="1">
        <f t="shared" si="33"/>
        <v>39234</v>
      </c>
      <c r="C912">
        <v>450.9</v>
      </c>
    </row>
    <row r="913" spans="1:3" x14ac:dyDescent="0.25">
      <c r="A913" s="1">
        <v>39255</v>
      </c>
      <c r="B913" s="1">
        <f t="shared" si="33"/>
        <v>39234</v>
      </c>
      <c r="C913">
        <v>428.9</v>
      </c>
    </row>
    <row r="914" spans="1:3" x14ac:dyDescent="0.25">
      <c r="A914" s="1">
        <v>39262</v>
      </c>
      <c r="B914" s="1">
        <f t="shared" si="33"/>
        <v>39234</v>
      </c>
      <c r="C914">
        <v>437.3</v>
      </c>
    </row>
    <row r="915" spans="1:3" x14ac:dyDescent="0.25">
      <c r="A915" s="1">
        <v>39269</v>
      </c>
      <c r="B915" s="1">
        <f t="shared" si="33"/>
        <v>39264</v>
      </c>
      <c r="C915">
        <v>453.9</v>
      </c>
    </row>
    <row r="916" spans="1:3" x14ac:dyDescent="0.25">
      <c r="A916" s="1">
        <v>39276</v>
      </c>
      <c r="B916" s="1">
        <f t="shared" si="33"/>
        <v>39264</v>
      </c>
      <c r="C916">
        <v>446.5</v>
      </c>
    </row>
    <row r="917" spans="1:3" x14ac:dyDescent="0.25">
      <c r="A917" s="1">
        <v>39283</v>
      </c>
      <c r="B917" s="1">
        <f t="shared" si="33"/>
        <v>39264</v>
      </c>
      <c r="C917">
        <v>424.2</v>
      </c>
    </row>
    <row r="918" spans="1:3" x14ac:dyDescent="0.25">
      <c r="A918" s="1">
        <v>39290</v>
      </c>
      <c r="B918" s="1">
        <f t="shared" si="33"/>
        <v>39264</v>
      </c>
      <c r="C918">
        <v>416.6</v>
      </c>
    </row>
    <row r="919" spans="1:3" x14ac:dyDescent="0.25">
      <c r="A919" s="1">
        <v>39297</v>
      </c>
      <c r="B919" s="1">
        <f t="shared" si="33"/>
        <v>39295</v>
      </c>
      <c r="C919">
        <v>447.4</v>
      </c>
    </row>
    <row r="920" spans="1:3" x14ac:dyDescent="0.25">
      <c r="A920" s="1">
        <v>39304</v>
      </c>
      <c r="B920" s="1">
        <f t="shared" si="33"/>
        <v>39295</v>
      </c>
      <c r="C920">
        <v>464.9</v>
      </c>
    </row>
    <row r="921" spans="1:3" x14ac:dyDescent="0.25">
      <c r="A921" s="1">
        <v>39311</v>
      </c>
      <c r="B921" s="1">
        <f t="shared" si="33"/>
        <v>39295</v>
      </c>
      <c r="C921">
        <v>441.5</v>
      </c>
    </row>
    <row r="922" spans="1:3" x14ac:dyDescent="0.25">
      <c r="A922" s="1">
        <v>39318</v>
      </c>
      <c r="B922" s="1">
        <f t="shared" si="33"/>
        <v>39295</v>
      </c>
      <c r="C922">
        <v>424</v>
      </c>
    </row>
    <row r="923" spans="1:3" x14ac:dyDescent="0.25">
      <c r="A923" s="1">
        <v>39325</v>
      </c>
      <c r="B923" s="1">
        <f t="shared" si="33"/>
        <v>39295</v>
      </c>
      <c r="C923">
        <v>425.8</v>
      </c>
    </row>
    <row r="924" spans="1:3" x14ac:dyDescent="0.25">
      <c r="A924" s="1">
        <v>39332</v>
      </c>
      <c r="B924" s="1">
        <f t="shared" si="33"/>
        <v>39326</v>
      </c>
      <c r="C924">
        <v>448</v>
      </c>
    </row>
    <row r="925" spans="1:3" x14ac:dyDescent="0.25">
      <c r="A925" s="1">
        <v>39339</v>
      </c>
      <c r="B925" s="1">
        <f t="shared" si="33"/>
        <v>39326</v>
      </c>
      <c r="C925">
        <v>452</v>
      </c>
    </row>
    <row r="926" spans="1:3" x14ac:dyDescent="0.25">
      <c r="A926" s="1">
        <v>39346</v>
      </c>
      <c r="B926" s="1">
        <f t="shared" si="33"/>
        <v>39326</v>
      </c>
      <c r="C926">
        <v>418.8</v>
      </c>
    </row>
    <row r="927" spans="1:3" x14ac:dyDescent="0.25">
      <c r="A927" s="1">
        <v>39353</v>
      </c>
      <c r="B927" s="1">
        <f t="shared" si="33"/>
        <v>39326</v>
      </c>
      <c r="C927">
        <v>411.4</v>
      </c>
    </row>
    <row r="928" spans="1:3" x14ac:dyDescent="0.25">
      <c r="A928" s="1">
        <v>39360</v>
      </c>
      <c r="B928" s="1">
        <f t="shared" si="33"/>
        <v>39356</v>
      </c>
      <c r="C928">
        <v>420.2</v>
      </c>
    </row>
    <row r="929" spans="1:3" x14ac:dyDescent="0.25">
      <c r="A929" s="1">
        <v>39367</v>
      </c>
      <c r="B929" s="1">
        <f t="shared" si="33"/>
        <v>39356</v>
      </c>
      <c r="C929">
        <v>429.1</v>
      </c>
    </row>
    <row r="930" spans="1:3" x14ac:dyDescent="0.25">
      <c r="A930" s="1">
        <v>39374</v>
      </c>
      <c r="B930" s="1">
        <f t="shared" si="33"/>
        <v>39356</v>
      </c>
      <c r="C930">
        <v>415.9</v>
      </c>
    </row>
    <row r="931" spans="1:3" x14ac:dyDescent="0.25">
      <c r="A931" s="1">
        <v>39381</v>
      </c>
      <c r="B931" s="1">
        <f t="shared" si="33"/>
        <v>39356</v>
      </c>
      <c r="C931">
        <v>412.9</v>
      </c>
    </row>
    <row r="932" spans="1:3" x14ac:dyDescent="0.25">
      <c r="A932" s="1">
        <v>39388</v>
      </c>
      <c r="B932" s="1">
        <f t="shared" si="33"/>
        <v>39387</v>
      </c>
      <c r="C932">
        <v>412.7</v>
      </c>
    </row>
    <row r="933" spans="1:3" x14ac:dyDescent="0.25">
      <c r="A933" s="1">
        <v>39395</v>
      </c>
      <c r="B933" s="1">
        <f t="shared" si="33"/>
        <v>39387</v>
      </c>
      <c r="C933">
        <v>432.6</v>
      </c>
    </row>
    <row r="934" spans="1:3" x14ac:dyDescent="0.25">
      <c r="A934" s="1">
        <v>39402</v>
      </c>
      <c r="B934" s="1">
        <f t="shared" si="33"/>
        <v>39387</v>
      </c>
      <c r="C934">
        <v>424.1</v>
      </c>
    </row>
    <row r="935" spans="1:3" x14ac:dyDescent="0.25">
      <c r="A935" s="1">
        <v>39409</v>
      </c>
      <c r="B935" s="1">
        <f t="shared" si="33"/>
        <v>39387</v>
      </c>
      <c r="C935">
        <v>403.2</v>
      </c>
    </row>
    <row r="936" spans="1:3" x14ac:dyDescent="0.25">
      <c r="A936" s="1">
        <v>39416</v>
      </c>
      <c r="B936" s="1">
        <f t="shared" si="33"/>
        <v>39387</v>
      </c>
      <c r="C936">
        <v>464.3</v>
      </c>
    </row>
    <row r="937" spans="1:3" x14ac:dyDescent="0.25">
      <c r="A937" s="1">
        <v>39423</v>
      </c>
      <c r="B937" s="1">
        <f t="shared" si="33"/>
        <v>39417</v>
      </c>
      <c r="C937">
        <v>472</v>
      </c>
    </row>
    <row r="938" spans="1:3" x14ac:dyDescent="0.25">
      <c r="A938" s="1">
        <v>39430</v>
      </c>
      <c r="B938" s="1">
        <f t="shared" si="33"/>
        <v>39417</v>
      </c>
      <c r="C938">
        <v>422.2</v>
      </c>
    </row>
    <row r="939" spans="1:3" x14ac:dyDescent="0.25">
      <c r="A939" s="1">
        <v>39437</v>
      </c>
      <c r="B939" s="1">
        <f t="shared" si="33"/>
        <v>39417</v>
      </c>
      <c r="C939">
        <v>394.5</v>
      </c>
    </row>
    <row r="940" spans="1:3" x14ac:dyDescent="0.25">
      <c r="A940" s="1">
        <v>39444</v>
      </c>
      <c r="B940" s="1">
        <f t="shared" si="33"/>
        <v>39417</v>
      </c>
      <c r="C940">
        <v>360.8</v>
      </c>
    </row>
    <row r="941" spans="1:3" x14ac:dyDescent="0.25">
      <c r="A941" s="1">
        <v>39451</v>
      </c>
      <c r="B941" s="1">
        <f t="shared" si="33"/>
        <v>39448</v>
      </c>
      <c r="C941">
        <v>414</v>
      </c>
    </row>
    <row r="942" spans="1:3" x14ac:dyDescent="0.25">
      <c r="A942" s="1">
        <v>39458</v>
      </c>
      <c r="B942" s="1">
        <f t="shared" si="33"/>
        <v>39448</v>
      </c>
      <c r="C942">
        <v>461.2</v>
      </c>
    </row>
    <row r="943" spans="1:3" x14ac:dyDescent="0.25">
      <c r="A943" s="1">
        <v>39465</v>
      </c>
      <c r="B943" s="1">
        <f t="shared" si="33"/>
        <v>39448</v>
      </c>
      <c r="C943">
        <v>439.9</v>
      </c>
    </row>
    <row r="944" spans="1:3" x14ac:dyDescent="0.25">
      <c r="A944" s="1">
        <v>39472</v>
      </c>
      <c r="B944" s="1">
        <f t="shared" si="33"/>
        <v>39448</v>
      </c>
      <c r="C944">
        <v>362</v>
      </c>
    </row>
    <row r="945" spans="1:3" x14ac:dyDescent="0.25">
      <c r="A945" s="1">
        <v>39479</v>
      </c>
      <c r="B945" s="1">
        <f t="shared" si="33"/>
        <v>39479</v>
      </c>
      <c r="C945">
        <v>405.3</v>
      </c>
    </row>
    <row r="946" spans="1:3" x14ac:dyDescent="0.25">
      <c r="A946" s="1">
        <v>39486</v>
      </c>
      <c r="B946" s="1">
        <f t="shared" si="33"/>
        <v>39479</v>
      </c>
      <c r="C946">
        <v>403.9</v>
      </c>
    </row>
    <row r="947" spans="1:3" x14ac:dyDescent="0.25">
      <c r="A947" s="1">
        <v>39493</v>
      </c>
      <c r="B947" s="1">
        <f t="shared" si="33"/>
        <v>39479</v>
      </c>
      <c r="C947">
        <v>357.6</v>
      </c>
    </row>
    <row r="948" spans="1:3" x14ac:dyDescent="0.25">
      <c r="A948" s="1">
        <v>39500</v>
      </c>
      <c r="B948" s="1">
        <f t="shared" si="33"/>
        <v>39479</v>
      </c>
      <c r="C948">
        <v>358.2</v>
      </c>
    </row>
    <row r="949" spans="1:3" x14ac:dyDescent="0.25">
      <c r="A949" s="1">
        <v>39507</v>
      </c>
      <c r="B949" s="1">
        <f t="shared" si="33"/>
        <v>39479</v>
      </c>
      <c r="C949">
        <v>363.1</v>
      </c>
    </row>
    <row r="950" spans="1:3" x14ac:dyDescent="0.25">
      <c r="A950" s="1">
        <v>39514</v>
      </c>
      <c r="B950" s="1">
        <f t="shared" si="33"/>
        <v>39508</v>
      </c>
      <c r="C950">
        <v>368.8</v>
      </c>
    </row>
    <row r="951" spans="1:3" x14ac:dyDescent="0.25">
      <c r="A951" s="1">
        <v>39521</v>
      </c>
      <c r="B951" s="1">
        <f t="shared" si="33"/>
        <v>39508</v>
      </c>
      <c r="C951">
        <v>365</v>
      </c>
    </row>
    <row r="952" spans="1:3" x14ac:dyDescent="0.25">
      <c r="A952" s="1">
        <v>39528</v>
      </c>
      <c r="B952" s="1">
        <f t="shared" si="33"/>
        <v>39508</v>
      </c>
      <c r="C952">
        <v>403.7</v>
      </c>
    </row>
    <row r="953" spans="1:3" x14ac:dyDescent="0.25">
      <c r="A953" s="1">
        <v>39535</v>
      </c>
      <c r="B953" s="1">
        <f t="shared" si="33"/>
        <v>39508</v>
      </c>
      <c r="C953">
        <v>356</v>
      </c>
    </row>
    <row r="954" spans="1:3" x14ac:dyDescent="0.25">
      <c r="A954" s="1">
        <v>39542</v>
      </c>
      <c r="B954" s="1">
        <f t="shared" si="33"/>
        <v>39539</v>
      </c>
      <c r="C954">
        <v>384.7</v>
      </c>
    </row>
    <row r="955" spans="1:3" x14ac:dyDescent="0.25">
      <c r="A955" s="1">
        <v>39549</v>
      </c>
      <c r="B955" s="1">
        <f t="shared" si="33"/>
        <v>39539</v>
      </c>
      <c r="C955">
        <v>381.6</v>
      </c>
    </row>
    <row r="956" spans="1:3" x14ac:dyDescent="0.25">
      <c r="A956" s="1">
        <v>39556</v>
      </c>
      <c r="B956" s="1">
        <f t="shared" si="33"/>
        <v>39539</v>
      </c>
      <c r="C956">
        <v>357.3</v>
      </c>
    </row>
    <row r="957" spans="1:3" x14ac:dyDescent="0.25">
      <c r="A957" s="1">
        <v>39563</v>
      </c>
      <c r="B957" s="1">
        <f t="shared" si="33"/>
        <v>39539</v>
      </c>
      <c r="C957">
        <v>340.1</v>
      </c>
    </row>
    <row r="958" spans="1:3" x14ac:dyDescent="0.25">
      <c r="A958" s="1">
        <v>39570</v>
      </c>
      <c r="B958" s="1">
        <f t="shared" si="33"/>
        <v>39569</v>
      </c>
      <c r="C958">
        <v>381.3</v>
      </c>
    </row>
    <row r="959" spans="1:3" x14ac:dyDescent="0.25">
      <c r="A959" s="1">
        <v>39577</v>
      </c>
      <c r="B959" s="1">
        <f t="shared" si="33"/>
        <v>39569</v>
      </c>
      <c r="C959">
        <v>378.5</v>
      </c>
    </row>
    <row r="960" spans="1:3" x14ac:dyDescent="0.25">
      <c r="A960" s="1">
        <v>39584</v>
      </c>
      <c r="B960" s="1">
        <f t="shared" si="33"/>
        <v>39569</v>
      </c>
      <c r="C960">
        <v>352.5</v>
      </c>
    </row>
    <row r="961" spans="1:3" x14ac:dyDescent="0.25">
      <c r="A961" s="1">
        <v>39591</v>
      </c>
      <c r="B961" s="1">
        <f t="shared" si="33"/>
        <v>39569</v>
      </c>
      <c r="C961">
        <v>352.7</v>
      </c>
    </row>
    <row r="962" spans="1:3" x14ac:dyDescent="0.25">
      <c r="A962" s="1">
        <v>39598</v>
      </c>
      <c r="B962" s="1">
        <f t="shared" si="33"/>
        <v>39569</v>
      </c>
      <c r="C962">
        <v>333.6</v>
      </c>
    </row>
    <row r="963" spans="1:3" x14ac:dyDescent="0.25">
      <c r="A963" s="1">
        <v>39605</v>
      </c>
      <c r="B963" s="1">
        <f t="shared" ref="B963:B1026" si="34">A963-DAY(A963)+1</f>
        <v>39600</v>
      </c>
      <c r="C963">
        <v>376.2</v>
      </c>
    </row>
    <row r="964" spans="1:3" x14ac:dyDescent="0.25">
      <c r="A964" s="1">
        <v>39612</v>
      </c>
      <c r="B964" s="1">
        <f t="shared" si="34"/>
        <v>39600</v>
      </c>
      <c r="C964">
        <v>360.2</v>
      </c>
    </row>
    <row r="965" spans="1:3" x14ac:dyDescent="0.25">
      <c r="A965" s="1">
        <v>39619</v>
      </c>
      <c r="B965" s="1">
        <f t="shared" si="34"/>
        <v>39600</v>
      </c>
      <c r="C965">
        <v>333.4</v>
      </c>
    </row>
    <row r="966" spans="1:3" x14ac:dyDescent="0.25">
      <c r="A966" s="1">
        <v>39626</v>
      </c>
      <c r="B966" s="1">
        <f t="shared" si="34"/>
        <v>39600</v>
      </c>
      <c r="C966">
        <v>342.8</v>
      </c>
    </row>
    <row r="967" spans="1:3" x14ac:dyDescent="0.25">
      <c r="A967" s="1">
        <v>39633</v>
      </c>
      <c r="B967" s="1">
        <f t="shared" si="34"/>
        <v>39630</v>
      </c>
      <c r="C967">
        <v>365.8</v>
      </c>
    </row>
    <row r="968" spans="1:3" x14ac:dyDescent="0.25">
      <c r="A968" s="1">
        <v>39640</v>
      </c>
      <c r="B968" s="1">
        <f t="shared" si="34"/>
        <v>39630</v>
      </c>
      <c r="C968">
        <v>359.7</v>
      </c>
    </row>
    <row r="969" spans="1:3" x14ac:dyDescent="0.25">
      <c r="A969" s="1">
        <v>39647</v>
      </c>
      <c r="B969" s="1">
        <f t="shared" si="34"/>
        <v>39630</v>
      </c>
      <c r="C969">
        <v>335.6</v>
      </c>
    </row>
    <row r="970" spans="1:3" x14ac:dyDescent="0.25">
      <c r="A970" s="1">
        <v>39654</v>
      </c>
      <c r="B970" s="1">
        <f t="shared" si="34"/>
        <v>39630</v>
      </c>
      <c r="C970">
        <v>309.5</v>
      </c>
    </row>
    <row r="971" spans="1:3" x14ac:dyDescent="0.25">
      <c r="A971" s="1">
        <v>39661</v>
      </c>
      <c r="B971" s="1">
        <f t="shared" si="34"/>
        <v>39661</v>
      </c>
      <c r="C971">
        <v>315.2</v>
      </c>
    </row>
    <row r="972" spans="1:3" x14ac:dyDescent="0.25">
      <c r="A972" s="1">
        <v>39668</v>
      </c>
      <c r="B972" s="1">
        <f t="shared" si="34"/>
        <v>39661</v>
      </c>
      <c r="C972">
        <v>315.2</v>
      </c>
    </row>
    <row r="973" spans="1:3" x14ac:dyDescent="0.25">
      <c r="A973" s="1">
        <v>39675</v>
      </c>
      <c r="B973" s="1">
        <f t="shared" si="34"/>
        <v>39661</v>
      </c>
      <c r="C973">
        <v>314</v>
      </c>
    </row>
    <row r="974" spans="1:3" x14ac:dyDescent="0.25">
      <c r="A974" s="1">
        <v>39682</v>
      </c>
      <c r="B974" s="1">
        <f t="shared" si="34"/>
        <v>39661</v>
      </c>
      <c r="C974">
        <v>315.89999999999998</v>
      </c>
    </row>
    <row r="975" spans="1:3" x14ac:dyDescent="0.25">
      <c r="A975" s="1">
        <v>39689</v>
      </c>
      <c r="B975" s="1">
        <f t="shared" si="34"/>
        <v>39661</v>
      </c>
      <c r="C975">
        <v>349</v>
      </c>
    </row>
    <row r="976" spans="1:3" x14ac:dyDescent="0.25">
      <c r="A976" s="1">
        <v>39696</v>
      </c>
      <c r="B976" s="1">
        <f t="shared" si="34"/>
        <v>39692</v>
      </c>
      <c r="C976">
        <v>371.5</v>
      </c>
    </row>
    <row r="977" spans="1:3" x14ac:dyDescent="0.25">
      <c r="A977" s="1">
        <v>39703</v>
      </c>
      <c r="B977" s="1">
        <f t="shared" si="34"/>
        <v>39692</v>
      </c>
      <c r="C977">
        <v>380.4</v>
      </c>
    </row>
    <row r="978" spans="1:3" x14ac:dyDescent="0.25">
      <c r="A978" s="1">
        <v>39710</v>
      </c>
      <c r="B978" s="1">
        <f t="shared" si="34"/>
        <v>39692</v>
      </c>
      <c r="C978">
        <v>342.2</v>
      </c>
    </row>
    <row r="979" spans="1:3" x14ac:dyDescent="0.25">
      <c r="A979" s="1">
        <v>39717</v>
      </c>
      <c r="B979" s="1">
        <f t="shared" si="34"/>
        <v>39692</v>
      </c>
      <c r="C979">
        <v>304.8</v>
      </c>
    </row>
    <row r="980" spans="1:3" x14ac:dyDescent="0.25">
      <c r="A980" s="1">
        <v>39724</v>
      </c>
      <c r="B980" s="1">
        <f t="shared" si="34"/>
        <v>39722</v>
      </c>
      <c r="C980">
        <v>314.5</v>
      </c>
    </row>
    <row r="981" spans="1:3" x14ac:dyDescent="0.25">
      <c r="A981" s="1">
        <v>39731</v>
      </c>
      <c r="B981" s="1">
        <f t="shared" si="34"/>
        <v>39722</v>
      </c>
      <c r="C981">
        <v>313.5</v>
      </c>
    </row>
    <row r="982" spans="1:3" x14ac:dyDescent="0.25">
      <c r="A982" s="1">
        <v>39738</v>
      </c>
      <c r="B982" s="1">
        <f t="shared" si="34"/>
        <v>39722</v>
      </c>
      <c r="C982">
        <v>279.3</v>
      </c>
    </row>
    <row r="983" spans="1:3" x14ac:dyDescent="0.25">
      <c r="A983" s="1">
        <v>39745</v>
      </c>
      <c r="B983" s="1">
        <f t="shared" si="34"/>
        <v>39722</v>
      </c>
      <c r="C983">
        <v>303.10000000000002</v>
      </c>
    </row>
    <row r="984" spans="1:3" x14ac:dyDescent="0.25">
      <c r="A984" s="1">
        <v>39752</v>
      </c>
      <c r="B984" s="1">
        <f t="shared" si="34"/>
        <v>39722</v>
      </c>
      <c r="C984">
        <v>260.89999999999998</v>
      </c>
    </row>
    <row r="985" spans="1:3" x14ac:dyDescent="0.25">
      <c r="A985" s="1">
        <v>39759</v>
      </c>
      <c r="B985" s="1">
        <f t="shared" si="34"/>
        <v>39753</v>
      </c>
      <c r="C985">
        <v>284.39999999999998</v>
      </c>
    </row>
    <row r="986" spans="1:3" x14ac:dyDescent="0.25">
      <c r="A986" s="1">
        <v>39766</v>
      </c>
      <c r="B986" s="1">
        <f t="shared" si="34"/>
        <v>39753</v>
      </c>
      <c r="C986">
        <v>248.5</v>
      </c>
    </row>
    <row r="987" spans="1:3" x14ac:dyDescent="0.25">
      <c r="A987" s="1">
        <v>39773</v>
      </c>
      <c r="B987" s="1">
        <f t="shared" si="34"/>
        <v>39753</v>
      </c>
      <c r="C987">
        <v>261.60000000000002</v>
      </c>
    </row>
    <row r="988" spans="1:3" x14ac:dyDescent="0.25">
      <c r="A988" s="1">
        <v>39780</v>
      </c>
      <c r="B988" s="1">
        <f t="shared" si="34"/>
        <v>39753</v>
      </c>
      <c r="C988">
        <v>361.1</v>
      </c>
    </row>
    <row r="989" spans="1:3" x14ac:dyDescent="0.25">
      <c r="A989" s="1">
        <v>39787</v>
      </c>
      <c r="B989" s="1">
        <f t="shared" si="34"/>
        <v>39783</v>
      </c>
      <c r="C989">
        <v>299.60000000000002</v>
      </c>
    </row>
    <row r="990" spans="1:3" x14ac:dyDescent="0.25">
      <c r="A990" s="1">
        <v>39794</v>
      </c>
      <c r="B990" s="1">
        <f t="shared" si="34"/>
        <v>39783</v>
      </c>
      <c r="C990">
        <v>286.10000000000002</v>
      </c>
    </row>
    <row r="991" spans="1:3" x14ac:dyDescent="0.25">
      <c r="A991" s="1">
        <v>39801</v>
      </c>
      <c r="B991" s="1">
        <f t="shared" si="34"/>
        <v>39783</v>
      </c>
      <c r="C991">
        <v>316.5</v>
      </c>
    </row>
    <row r="992" spans="1:3" x14ac:dyDescent="0.25">
      <c r="A992" s="1">
        <v>39808</v>
      </c>
      <c r="B992" s="1">
        <f t="shared" si="34"/>
        <v>39783</v>
      </c>
      <c r="C992">
        <v>320.89999999999998</v>
      </c>
    </row>
    <row r="993" spans="1:3" x14ac:dyDescent="0.25">
      <c r="A993" s="1">
        <v>39815</v>
      </c>
      <c r="B993" s="1">
        <f t="shared" si="34"/>
        <v>39814</v>
      </c>
      <c r="C993">
        <v>344.2</v>
      </c>
    </row>
    <row r="994" spans="1:3" x14ac:dyDescent="0.25">
      <c r="A994" s="1">
        <v>39822</v>
      </c>
      <c r="B994" s="1">
        <f t="shared" si="34"/>
        <v>39814</v>
      </c>
      <c r="C994">
        <v>295.8</v>
      </c>
    </row>
    <row r="995" spans="1:3" x14ac:dyDescent="0.25">
      <c r="A995" s="1">
        <v>39829</v>
      </c>
      <c r="B995" s="1">
        <f t="shared" si="34"/>
        <v>39814</v>
      </c>
      <c r="C995">
        <v>303.10000000000002</v>
      </c>
    </row>
    <row r="996" spans="1:3" x14ac:dyDescent="0.25">
      <c r="A996" s="1">
        <v>39836</v>
      </c>
      <c r="B996" s="1">
        <f t="shared" si="34"/>
        <v>39814</v>
      </c>
      <c r="C996">
        <v>294.3</v>
      </c>
    </row>
    <row r="997" spans="1:3" x14ac:dyDescent="0.25">
      <c r="A997" s="1">
        <v>39843</v>
      </c>
      <c r="B997" s="1">
        <f t="shared" si="34"/>
        <v>39814</v>
      </c>
      <c r="C997">
        <v>261.39999999999998</v>
      </c>
    </row>
    <row r="998" spans="1:3" x14ac:dyDescent="0.25">
      <c r="A998" s="1">
        <v>39850</v>
      </c>
      <c r="B998" s="1">
        <f t="shared" si="34"/>
        <v>39845</v>
      </c>
      <c r="C998">
        <v>235.9</v>
      </c>
    </row>
    <row r="999" spans="1:3" x14ac:dyDescent="0.25">
      <c r="A999" s="1">
        <v>39857</v>
      </c>
      <c r="B999" s="1">
        <f t="shared" si="34"/>
        <v>39845</v>
      </c>
      <c r="C999">
        <v>257.3</v>
      </c>
    </row>
    <row r="1000" spans="1:3" x14ac:dyDescent="0.25">
      <c r="A1000" s="1">
        <v>39864</v>
      </c>
      <c r="B1000" s="1">
        <f t="shared" si="34"/>
        <v>39845</v>
      </c>
      <c r="C1000">
        <v>250.5</v>
      </c>
    </row>
    <row r="1001" spans="1:3" x14ac:dyDescent="0.25">
      <c r="A1001" s="1">
        <v>39871</v>
      </c>
      <c r="B1001" s="1">
        <f t="shared" si="34"/>
        <v>39845</v>
      </c>
      <c r="C1001">
        <v>236.4</v>
      </c>
    </row>
    <row r="1002" spans="1:3" x14ac:dyDescent="0.25">
      <c r="A1002" s="1">
        <v>39878</v>
      </c>
      <c r="B1002" s="1">
        <f t="shared" si="34"/>
        <v>39873</v>
      </c>
      <c r="C1002">
        <v>253.3</v>
      </c>
    </row>
    <row r="1003" spans="1:3" x14ac:dyDescent="0.25">
      <c r="A1003" s="1">
        <v>39885</v>
      </c>
      <c r="B1003" s="1">
        <f t="shared" si="34"/>
        <v>39873</v>
      </c>
      <c r="C1003">
        <v>257.10000000000002</v>
      </c>
    </row>
    <row r="1004" spans="1:3" x14ac:dyDescent="0.25">
      <c r="A1004" s="1">
        <v>39892</v>
      </c>
      <c r="B1004" s="1">
        <f t="shared" si="34"/>
        <v>39873</v>
      </c>
      <c r="C1004">
        <v>267.8</v>
      </c>
    </row>
    <row r="1005" spans="1:3" x14ac:dyDescent="0.25">
      <c r="A1005" s="1">
        <v>39899</v>
      </c>
      <c r="B1005" s="1">
        <f t="shared" si="34"/>
        <v>39873</v>
      </c>
      <c r="C1005">
        <v>268</v>
      </c>
    </row>
    <row r="1006" spans="1:3" x14ac:dyDescent="0.25">
      <c r="A1006" s="1">
        <v>39906</v>
      </c>
      <c r="B1006" s="1">
        <f t="shared" si="34"/>
        <v>39904</v>
      </c>
      <c r="C1006">
        <v>297.7</v>
      </c>
    </row>
    <row r="1007" spans="1:3" x14ac:dyDescent="0.25">
      <c r="A1007" s="1">
        <v>39913</v>
      </c>
      <c r="B1007" s="1">
        <f t="shared" si="34"/>
        <v>39904</v>
      </c>
      <c r="C1007">
        <v>264.10000000000002</v>
      </c>
    </row>
    <row r="1008" spans="1:3" x14ac:dyDescent="0.25">
      <c r="A1008" s="1">
        <v>39920</v>
      </c>
      <c r="B1008" s="1">
        <f t="shared" si="34"/>
        <v>39904</v>
      </c>
      <c r="C1008">
        <v>253</v>
      </c>
    </row>
    <row r="1009" spans="1:3" x14ac:dyDescent="0.25">
      <c r="A1009" s="1">
        <v>39927</v>
      </c>
      <c r="B1009" s="1">
        <f t="shared" si="34"/>
        <v>39904</v>
      </c>
      <c r="C1009">
        <v>251.6</v>
      </c>
    </row>
    <row r="1010" spans="1:3" x14ac:dyDescent="0.25">
      <c r="A1010" s="1">
        <v>39934</v>
      </c>
      <c r="B1010" s="1">
        <f t="shared" si="34"/>
        <v>39934</v>
      </c>
      <c r="C1010">
        <v>264.3</v>
      </c>
    </row>
    <row r="1011" spans="1:3" x14ac:dyDescent="0.25">
      <c r="A1011" s="1">
        <v>39941</v>
      </c>
      <c r="B1011" s="1">
        <f t="shared" si="34"/>
        <v>39934</v>
      </c>
      <c r="C1011">
        <v>265.7</v>
      </c>
    </row>
    <row r="1012" spans="1:3" x14ac:dyDescent="0.25">
      <c r="A1012" s="1">
        <v>39948</v>
      </c>
      <c r="B1012" s="1">
        <f t="shared" si="34"/>
        <v>39934</v>
      </c>
      <c r="C1012">
        <v>254</v>
      </c>
    </row>
    <row r="1013" spans="1:3" x14ac:dyDescent="0.25">
      <c r="A1013" s="1">
        <v>39955</v>
      </c>
      <c r="B1013" s="1">
        <f t="shared" si="34"/>
        <v>39934</v>
      </c>
      <c r="C1013">
        <v>256.60000000000002</v>
      </c>
    </row>
    <row r="1014" spans="1:3" x14ac:dyDescent="0.25">
      <c r="A1014" s="1">
        <v>39962</v>
      </c>
      <c r="B1014" s="1">
        <f t="shared" si="34"/>
        <v>39934</v>
      </c>
      <c r="C1014">
        <v>267.7</v>
      </c>
    </row>
    <row r="1015" spans="1:3" x14ac:dyDescent="0.25">
      <c r="A1015" s="1">
        <v>39969</v>
      </c>
      <c r="B1015" s="1">
        <f t="shared" si="34"/>
        <v>39965</v>
      </c>
      <c r="C1015">
        <v>270.7</v>
      </c>
    </row>
    <row r="1016" spans="1:3" x14ac:dyDescent="0.25">
      <c r="A1016" s="1">
        <v>39976</v>
      </c>
      <c r="B1016" s="1">
        <f t="shared" si="34"/>
        <v>39965</v>
      </c>
      <c r="C1016">
        <v>261.2</v>
      </c>
    </row>
    <row r="1017" spans="1:3" x14ac:dyDescent="0.25">
      <c r="A1017" s="1">
        <v>39983</v>
      </c>
      <c r="B1017" s="1">
        <f t="shared" si="34"/>
        <v>39965</v>
      </c>
      <c r="C1017">
        <v>280.3</v>
      </c>
    </row>
    <row r="1018" spans="1:3" x14ac:dyDescent="0.25">
      <c r="A1018" s="1">
        <v>39990</v>
      </c>
      <c r="B1018" s="1">
        <f t="shared" si="34"/>
        <v>39965</v>
      </c>
      <c r="C1018">
        <v>267.7</v>
      </c>
    </row>
    <row r="1019" spans="1:3" x14ac:dyDescent="0.25">
      <c r="A1019" s="1">
        <v>39997</v>
      </c>
      <c r="B1019" s="1">
        <f t="shared" si="34"/>
        <v>39995</v>
      </c>
      <c r="C1019">
        <v>285.60000000000002</v>
      </c>
    </row>
    <row r="1020" spans="1:3" x14ac:dyDescent="0.25">
      <c r="A1020" s="1">
        <v>40004</v>
      </c>
      <c r="B1020" s="1">
        <f t="shared" si="34"/>
        <v>39995</v>
      </c>
      <c r="C1020">
        <v>258.8</v>
      </c>
    </row>
    <row r="1021" spans="1:3" x14ac:dyDescent="0.25">
      <c r="A1021" s="1">
        <v>40011</v>
      </c>
      <c r="B1021" s="1">
        <f t="shared" si="34"/>
        <v>39995</v>
      </c>
      <c r="C1021">
        <v>262.10000000000002</v>
      </c>
    </row>
    <row r="1022" spans="1:3" x14ac:dyDescent="0.25">
      <c r="A1022" s="1">
        <v>40018</v>
      </c>
      <c r="B1022" s="1">
        <f t="shared" si="34"/>
        <v>39995</v>
      </c>
      <c r="C1022">
        <v>262</v>
      </c>
    </row>
    <row r="1023" spans="1:3" x14ac:dyDescent="0.25">
      <c r="A1023" s="1">
        <v>40025</v>
      </c>
      <c r="B1023" s="1">
        <f t="shared" si="34"/>
        <v>39995</v>
      </c>
      <c r="C1023">
        <v>264.39999999999998</v>
      </c>
    </row>
    <row r="1024" spans="1:3" x14ac:dyDescent="0.25">
      <c r="A1024" s="1">
        <v>40032</v>
      </c>
      <c r="B1024" s="1">
        <f t="shared" si="34"/>
        <v>40026</v>
      </c>
      <c r="C1024">
        <v>267.2</v>
      </c>
    </row>
    <row r="1025" spans="1:3" x14ac:dyDescent="0.25">
      <c r="A1025" s="1">
        <v>40039</v>
      </c>
      <c r="B1025" s="1">
        <f t="shared" si="34"/>
        <v>40026</v>
      </c>
      <c r="C1025">
        <v>277.7</v>
      </c>
    </row>
    <row r="1026" spans="1:3" x14ac:dyDescent="0.25">
      <c r="A1026" s="1">
        <v>40046</v>
      </c>
      <c r="B1026" s="1">
        <f t="shared" si="34"/>
        <v>40026</v>
      </c>
      <c r="C1026">
        <v>280.39999999999998</v>
      </c>
    </row>
    <row r="1027" spans="1:3" x14ac:dyDescent="0.25">
      <c r="A1027" s="1">
        <v>40053</v>
      </c>
      <c r="B1027" s="1">
        <f t="shared" ref="B1027:B1090" si="35">A1027-DAY(A1027)+1</f>
        <v>40026</v>
      </c>
      <c r="C1027">
        <v>277.60000000000002</v>
      </c>
    </row>
    <row r="1028" spans="1:3" x14ac:dyDescent="0.25">
      <c r="A1028" s="1">
        <v>40060</v>
      </c>
      <c r="B1028" s="1">
        <f t="shared" si="35"/>
        <v>40057</v>
      </c>
      <c r="C1028">
        <v>304.10000000000002</v>
      </c>
    </row>
    <row r="1029" spans="1:3" x14ac:dyDescent="0.25">
      <c r="A1029" s="1">
        <v>40067</v>
      </c>
      <c r="B1029" s="1">
        <f t="shared" si="35"/>
        <v>40057</v>
      </c>
      <c r="C1029">
        <v>272.89999999999998</v>
      </c>
    </row>
    <row r="1030" spans="1:3" x14ac:dyDescent="0.25">
      <c r="A1030" s="1">
        <v>40074</v>
      </c>
      <c r="B1030" s="1">
        <f t="shared" si="35"/>
        <v>40057</v>
      </c>
      <c r="C1030">
        <v>288.3</v>
      </c>
    </row>
    <row r="1031" spans="1:3" x14ac:dyDescent="0.25">
      <c r="A1031" s="1">
        <v>40081</v>
      </c>
      <c r="B1031" s="1">
        <f t="shared" si="35"/>
        <v>40057</v>
      </c>
      <c r="C1031">
        <v>270.39999999999998</v>
      </c>
    </row>
    <row r="1032" spans="1:3" x14ac:dyDescent="0.25">
      <c r="A1032" s="1">
        <v>40088</v>
      </c>
      <c r="B1032" s="1">
        <f t="shared" si="35"/>
        <v>40087</v>
      </c>
      <c r="C1032">
        <v>306.10000000000002</v>
      </c>
    </row>
    <row r="1033" spans="1:3" x14ac:dyDescent="0.25">
      <c r="A1033" s="1">
        <v>40095</v>
      </c>
      <c r="B1033" s="1">
        <f t="shared" si="35"/>
        <v>40087</v>
      </c>
      <c r="C1033">
        <v>290.89999999999998</v>
      </c>
    </row>
    <row r="1034" spans="1:3" x14ac:dyDescent="0.25">
      <c r="A1034" s="1">
        <v>40102</v>
      </c>
      <c r="B1034" s="1">
        <f t="shared" si="35"/>
        <v>40087</v>
      </c>
      <c r="C1034">
        <v>268.8</v>
      </c>
    </row>
    <row r="1035" spans="1:3" x14ac:dyDescent="0.25">
      <c r="A1035" s="1">
        <v>40109</v>
      </c>
      <c r="B1035" s="1">
        <f t="shared" si="35"/>
        <v>40087</v>
      </c>
      <c r="C1035">
        <v>254.9</v>
      </c>
    </row>
    <row r="1036" spans="1:3" x14ac:dyDescent="0.25">
      <c r="A1036" s="1">
        <v>40116</v>
      </c>
      <c r="B1036" s="1">
        <f t="shared" si="35"/>
        <v>40087</v>
      </c>
      <c r="C1036">
        <v>250.3</v>
      </c>
    </row>
    <row r="1037" spans="1:3" x14ac:dyDescent="0.25">
      <c r="A1037" s="1">
        <v>40123</v>
      </c>
      <c r="B1037" s="1">
        <f t="shared" si="35"/>
        <v>40118</v>
      </c>
      <c r="C1037">
        <v>220.9</v>
      </c>
    </row>
    <row r="1038" spans="1:3" x14ac:dyDescent="0.25">
      <c r="A1038" s="1">
        <v>40130</v>
      </c>
      <c r="B1038" s="1">
        <f t="shared" si="35"/>
        <v>40118</v>
      </c>
      <c r="C1038">
        <v>203.6</v>
      </c>
    </row>
    <row r="1039" spans="1:3" x14ac:dyDescent="0.25">
      <c r="A1039" s="1">
        <v>40137</v>
      </c>
      <c r="B1039" s="1">
        <f t="shared" si="35"/>
        <v>40118</v>
      </c>
      <c r="C1039">
        <v>223.1</v>
      </c>
    </row>
    <row r="1040" spans="1:3" x14ac:dyDescent="0.25">
      <c r="A1040" s="1">
        <v>40144</v>
      </c>
      <c r="B1040" s="1">
        <f t="shared" si="35"/>
        <v>40118</v>
      </c>
      <c r="C1040">
        <v>232.3</v>
      </c>
    </row>
    <row r="1041" spans="1:3" x14ac:dyDescent="0.25">
      <c r="A1041" s="1">
        <v>40151</v>
      </c>
      <c r="B1041" s="1">
        <f t="shared" si="35"/>
        <v>40148</v>
      </c>
      <c r="C1041">
        <v>241.5</v>
      </c>
    </row>
    <row r="1042" spans="1:3" x14ac:dyDescent="0.25">
      <c r="A1042" s="1">
        <v>40158</v>
      </c>
      <c r="B1042" s="1">
        <f t="shared" si="35"/>
        <v>40148</v>
      </c>
      <c r="C1042">
        <v>241.2</v>
      </c>
    </row>
    <row r="1043" spans="1:3" x14ac:dyDescent="0.25">
      <c r="A1043" s="1">
        <v>40165</v>
      </c>
      <c r="B1043" s="1">
        <f t="shared" si="35"/>
        <v>40148</v>
      </c>
      <c r="C1043">
        <v>213.3</v>
      </c>
    </row>
    <row r="1044" spans="1:3" x14ac:dyDescent="0.25">
      <c r="A1044" s="1">
        <v>40172</v>
      </c>
      <c r="B1044" s="1">
        <f t="shared" si="35"/>
        <v>40148</v>
      </c>
      <c r="C1044">
        <v>204.7</v>
      </c>
    </row>
    <row r="1045" spans="1:3" x14ac:dyDescent="0.25">
      <c r="A1045" s="1">
        <v>40179</v>
      </c>
      <c r="B1045" s="1">
        <f t="shared" si="35"/>
        <v>40179</v>
      </c>
      <c r="C1045">
        <v>212.1</v>
      </c>
    </row>
    <row r="1046" spans="1:3" x14ac:dyDescent="0.25">
      <c r="A1046" s="1">
        <v>40186</v>
      </c>
      <c r="B1046" s="1">
        <f t="shared" si="35"/>
        <v>40179</v>
      </c>
      <c r="C1046">
        <v>213.7</v>
      </c>
    </row>
    <row r="1047" spans="1:3" x14ac:dyDescent="0.25">
      <c r="A1047" s="1">
        <v>40193</v>
      </c>
      <c r="B1047" s="1">
        <f t="shared" si="35"/>
        <v>40179</v>
      </c>
      <c r="C1047">
        <v>223</v>
      </c>
    </row>
    <row r="1048" spans="1:3" x14ac:dyDescent="0.25">
      <c r="A1048" s="1">
        <v>40200</v>
      </c>
      <c r="B1048" s="1">
        <f t="shared" si="35"/>
        <v>40179</v>
      </c>
      <c r="C1048">
        <v>215.6</v>
      </c>
    </row>
    <row r="1049" spans="1:3" x14ac:dyDescent="0.25">
      <c r="A1049" s="1">
        <v>40207</v>
      </c>
      <c r="B1049" s="1">
        <f t="shared" si="35"/>
        <v>40179</v>
      </c>
      <c r="C1049">
        <v>237.8</v>
      </c>
    </row>
    <row r="1050" spans="1:3" x14ac:dyDescent="0.25">
      <c r="A1050" s="1">
        <v>40214</v>
      </c>
      <c r="B1050" s="1">
        <f t="shared" si="35"/>
        <v>40210</v>
      </c>
      <c r="C1050">
        <v>221.2</v>
      </c>
    </row>
    <row r="1051" spans="1:3" x14ac:dyDescent="0.25">
      <c r="A1051" s="1">
        <v>40221</v>
      </c>
      <c r="B1051" s="1">
        <f t="shared" si="35"/>
        <v>40210</v>
      </c>
      <c r="C1051">
        <v>212.3</v>
      </c>
    </row>
    <row r="1052" spans="1:3" x14ac:dyDescent="0.25">
      <c r="A1052" s="1">
        <v>40228</v>
      </c>
      <c r="B1052" s="1">
        <f t="shared" si="35"/>
        <v>40210</v>
      </c>
      <c r="C1052">
        <v>196.8</v>
      </c>
    </row>
    <row r="1053" spans="1:3" x14ac:dyDescent="0.25">
      <c r="A1053" s="1">
        <v>40235</v>
      </c>
      <c r="B1053" s="1">
        <f t="shared" si="35"/>
        <v>40210</v>
      </c>
      <c r="C1053">
        <v>214.5</v>
      </c>
    </row>
    <row r="1054" spans="1:3" x14ac:dyDescent="0.25">
      <c r="A1054" s="1">
        <v>40242</v>
      </c>
      <c r="B1054" s="1">
        <f t="shared" si="35"/>
        <v>40238</v>
      </c>
      <c r="C1054">
        <v>226.8</v>
      </c>
    </row>
    <row r="1055" spans="1:3" x14ac:dyDescent="0.25">
      <c r="A1055" s="1">
        <v>40249</v>
      </c>
      <c r="B1055" s="1">
        <f t="shared" si="35"/>
        <v>40238</v>
      </c>
      <c r="C1055">
        <v>221.5</v>
      </c>
    </row>
    <row r="1056" spans="1:3" x14ac:dyDescent="0.25">
      <c r="A1056" s="1">
        <v>40256</v>
      </c>
      <c r="B1056" s="1">
        <f t="shared" si="35"/>
        <v>40238</v>
      </c>
      <c r="C1056">
        <v>227.5</v>
      </c>
    </row>
    <row r="1057" spans="1:3" x14ac:dyDescent="0.25">
      <c r="A1057" s="1">
        <v>40263</v>
      </c>
      <c r="B1057" s="1">
        <f t="shared" si="35"/>
        <v>40238</v>
      </c>
      <c r="C1057">
        <v>243</v>
      </c>
    </row>
    <row r="1058" spans="1:3" x14ac:dyDescent="0.25">
      <c r="A1058" s="1">
        <v>40270</v>
      </c>
      <c r="B1058" s="1">
        <f t="shared" si="35"/>
        <v>40269</v>
      </c>
      <c r="C1058">
        <v>243.6</v>
      </c>
    </row>
    <row r="1059" spans="1:3" x14ac:dyDescent="0.25">
      <c r="A1059" s="1">
        <v>40277</v>
      </c>
      <c r="B1059" s="1">
        <f t="shared" si="35"/>
        <v>40269</v>
      </c>
      <c r="C1059">
        <v>218</v>
      </c>
    </row>
    <row r="1060" spans="1:3" x14ac:dyDescent="0.25">
      <c r="A1060" s="1">
        <v>40284</v>
      </c>
      <c r="B1060" s="1">
        <f t="shared" si="35"/>
        <v>40269</v>
      </c>
      <c r="C1060">
        <v>240.1</v>
      </c>
    </row>
    <row r="1061" spans="1:3" x14ac:dyDescent="0.25">
      <c r="A1061" s="1">
        <v>40291</v>
      </c>
      <c r="B1061" s="1">
        <f t="shared" si="35"/>
        <v>40269</v>
      </c>
      <c r="C1061">
        <v>257.89999999999998</v>
      </c>
    </row>
    <row r="1062" spans="1:3" x14ac:dyDescent="0.25">
      <c r="A1062" s="1">
        <v>40298</v>
      </c>
      <c r="B1062" s="1">
        <f t="shared" si="35"/>
        <v>40269</v>
      </c>
      <c r="C1062">
        <v>291.3</v>
      </c>
    </row>
    <row r="1063" spans="1:3" x14ac:dyDescent="0.25">
      <c r="A1063" s="1">
        <v>40305</v>
      </c>
      <c r="B1063" s="1">
        <f t="shared" si="35"/>
        <v>40299</v>
      </c>
      <c r="C1063">
        <v>263.60000000000002</v>
      </c>
    </row>
    <row r="1064" spans="1:3" x14ac:dyDescent="0.25">
      <c r="A1064" s="1">
        <v>40312</v>
      </c>
      <c r="B1064" s="1">
        <f t="shared" si="35"/>
        <v>40299</v>
      </c>
      <c r="C1064">
        <v>192.1</v>
      </c>
    </row>
    <row r="1065" spans="1:3" x14ac:dyDescent="0.25">
      <c r="A1065" s="1">
        <v>40319</v>
      </c>
      <c r="B1065" s="1">
        <f t="shared" si="35"/>
        <v>40299</v>
      </c>
      <c r="C1065">
        <v>185.7</v>
      </c>
    </row>
    <row r="1066" spans="1:3" x14ac:dyDescent="0.25">
      <c r="A1066" s="1">
        <v>40326</v>
      </c>
      <c r="B1066" s="1">
        <f t="shared" si="35"/>
        <v>40299</v>
      </c>
      <c r="C1066">
        <v>178</v>
      </c>
    </row>
    <row r="1067" spans="1:3" x14ac:dyDescent="0.25">
      <c r="A1067" s="1">
        <v>40333</v>
      </c>
      <c r="B1067" s="1">
        <f t="shared" si="35"/>
        <v>40330</v>
      </c>
      <c r="C1067">
        <v>167.8</v>
      </c>
    </row>
    <row r="1068" spans="1:3" x14ac:dyDescent="0.25">
      <c r="A1068" s="1">
        <v>40340</v>
      </c>
      <c r="B1068" s="1">
        <f t="shared" si="35"/>
        <v>40330</v>
      </c>
      <c r="C1068">
        <v>180</v>
      </c>
    </row>
    <row r="1069" spans="1:3" x14ac:dyDescent="0.25">
      <c r="A1069" s="1">
        <v>40347</v>
      </c>
      <c r="B1069" s="1">
        <f t="shared" si="35"/>
        <v>40330</v>
      </c>
      <c r="C1069">
        <v>177.9</v>
      </c>
    </row>
    <row r="1070" spans="1:3" x14ac:dyDescent="0.25">
      <c r="A1070" s="1">
        <v>40354</v>
      </c>
      <c r="B1070" s="1">
        <f t="shared" si="35"/>
        <v>40330</v>
      </c>
      <c r="C1070">
        <v>172.1</v>
      </c>
    </row>
    <row r="1071" spans="1:3" x14ac:dyDescent="0.25">
      <c r="A1071" s="1">
        <v>40361</v>
      </c>
      <c r="B1071" s="1">
        <f t="shared" si="35"/>
        <v>40360</v>
      </c>
      <c r="C1071">
        <v>168.6</v>
      </c>
    </row>
    <row r="1072" spans="1:3" x14ac:dyDescent="0.25">
      <c r="A1072" s="1">
        <v>40368</v>
      </c>
      <c r="B1072" s="1">
        <f t="shared" si="35"/>
        <v>40360</v>
      </c>
      <c r="C1072">
        <v>163.30000000000001</v>
      </c>
    </row>
    <row r="1073" spans="1:3" x14ac:dyDescent="0.25">
      <c r="A1073" s="1">
        <v>40375</v>
      </c>
      <c r="B1073" s="1">
        <f t="shared" si="35"/>
        <v>40360</v>
      </c>
      <c r="C1073">
        <v>168.9</v>
      </c>
    </row>
    <row r="1074" spans="1:3" x14ac:dyDescent="0.25">
      <c r="A1074" s="1">
        <v>40382</v>
      </c>
      <c r="B1074" s="1">
        <f t="shared" si="35"/>
        <v>40360</v>
      </c>
      <c r="C1074">
        <v>172.3</v>
      </c>
    </row>
    <row r="1075" spans="1:3" x14ac:dyDescent="0.25">
      <c r="A1075" s="1">
        <v>40389</v>
      </c>
      <c r="B1075" s="1">
        <f t="shared" si="35"/>
        <v>40360</v>
      </c>
      <c r="C1075">
        <v>174.9</v>
      </c>
    </row>
    <row r="1076" spans="1:3" x14ac:dyDescent="0.25">
      <c r="A1076" s="1">
        <v>40396</v>
      </c>
      <c r="B1076" s="1">
        <f t="shared" si="35"/>
        <v>40391</v>
      </c>
      <c r="C1076">
        <v>175.4</v>
      </c>
    </row>
    <row r="1077" spans="1:3" x14ac:dyDescent="0.25">
      <c r="A1077" s="1">
        <v>40403</v>
      </c>
      <c r="B1077" s="1">
        <f t="shared" si="35"/>
        <v>40391</v>
      </c>
      <c r="C1077">
        <v>169.4</v>
      </c>
    </row>
    <row r="1078" spans="1:3" x14ac:dyDescent="0.25">
      <c r="A1078" s="1">
        <v>40410</v>
      </c>
      <c r="B1078" s="1">
        <f t="shared" si="35"/>
        <v>40391</v>
      </c>
      <c r="C1078">
        <v>170.5</v>
      </c>
    </row>
    <row r="1079" spans="1:3" x14ac:dyDescent="0.25">
      <c r="A1079" s="1">
        <v>40417</v>
      </c>
      <c r="B1079" s="1">
        <f t="shared" si="35"/>
        <v>40391</v>
      </c>
      <c r="C1079">
        <v>173.6</v>
      </c>
    </row>
    <row r="1080" spans="1:3" x14ac:dyDescent="0.25">
      <c r="A1080" s="1">
        <v>40424</v>
      </c>
      <c r="B1080" s="1">
        <f t="shared" si="35"/>
        <v>40422</v>
      </c>
      <c r="C1080">
        <v>184.5</v>
      </c>
    </row>
    <row r="1081" spans="1:3" x14ac:dyDescent="0.25">
      <c r="A1081" s="1">
        <v>40431</v>
      </c>
      <c r="B1081" s="1">
        <f t="shared" si="35"/>
        <v>40422</v>
      </c>
      <c r="C1081">
        <v>183.7</v>
      </c>
    </row>
    <row r="1082" spans="1:3" x14ac:dyDescent="0.25">
      <c r="A1082" s="1">
        <v>40438</v>
      </c>
      <c r="B1082" s="1">
        <f t="shared" si="35"/>
        <v>40422</v>
      </c>
      <c r="C1082">
        <v>177.6</v>
      </c>
    </row>
    <row r="1083" spans="1:3" x14ac:dyDescent="0.25">
      <c r="A1083" s="1">
        <v>40445</v>
      </c>
      <c r="B1083" s="1">
        <f t="shared" si="35"/>
        <v>40422</v>
      </c>
      <c r="C1083">
        <v>181.8</v>
      </c>
    </row>
    <row r="1084" spans="1:3" x14ac:dyDescent="0.25">
      <c r="A1084" s="1">
        <v>40452</v>
      </c>
      <c r="B1084" s="1">
        <f t="shared" si="35"/>
        <v>40452</v>
      </c>
      <c r="C1084">
        <v>198.7</v>
      </c>
    </row>
    <row r="1085" spans="1:3" x14ac:dyDescent="0.25">
      <c r="A1085" s="1">
        <v>40459</v>
      </c>
      <c r="B1085" s="1">
        <f t="shared" si="35"/>
        <v>40452</v>
      </c>
      <c r="C1085">
        <v>181.8</v>
      </c>
    </row>
    <row r="1086" spans="1:3" x14ac:dyDescent="0.25">
      <c r="A1086" s="1">
        <v>40466</v>
      </c>
      <c r="B1086" s="1">
        <f t="shared" si="35"/>
        <v>40452</v>
      </c>
      <c r="C1086">
        <v>169.7</v>
      </c>
    </row>
    <row r="1087" spans="1:3" x14ac:dyDescent="0.25">
      <c r="A1087" s="1">
        <v>40473</v>
      </c>
      <c r="B1087" s="1">
        <f t="shared" si="35"/>
        <v>40452</v>
      </c>
      <c r="C1087">
        <v>176.4</v>
      </c>
    </row>
    <row r="1088" spans="1:3" x14ac:dyDescent="0.25">
      <c r="A1088" s="1">
        <v>40480</v>
      </c>
      <c r="B1088" s="1">
        <f t="shared" si="35"/>
        <v>40452</v>
      </c>
      <c r="C1088">
        <v>178.9</v>
      </c>
    </row>
    <row r="1089" spans="1:3" x14ac:dyDescent="0.25">
      <c r="A1089" s="1">
        <v>40487</v>
      </c>
      <c r="B1089" s="1">
        <f t="shared" si="35"/>
        <v>40483</v>
      </c>
      <c r="C1089">
        <v>188.7</v>
      </c>
    </row>
    <row r="1090" spans="1:3" x14ac:dyDescent="0.25">
      <c r="A1090" s="1">
        <v>40494</v>
      </c>
      <c r="B1090" s="1">
        <f t="shared" si="35"/>
        <v>40483</v>
      </c>
      <c r="C1090">
        <v>179.2</v>
      </c>
    </row>
    <row r="1091" spans="1:3" x14ac:dyDescent="0.25">
      <c r="A1091" s="1">
        <v>40501</v>
      </c>
      <c r="B1091" s="1">
        <f t="shared" ref="B1091:B1154" si="36">A1091-DAY(A1091)+1</f>
        <v>40483</v>
      </c>
      <c r="C1091">
        <v>205</v>
      </c>
    </row>
    <row r="1092" spans="1:3" x14ac:dyDescent="0.25">
      <c r="A1092" s="1">
        <v>40508</v>
      </c>
      <c r="B1092" s="1">
        <f t="shared" si="36"/>
        <v>40483</v>
      </c>
      <c r="C1092">
        <v>207.2</v>
      </c>
    </row>
    <row r="1093" spans="1:3" x14ac:dyDescent="0.25">
      <c r="A1093" s="1">
        <v>40515</v>
      </c>
      <c r="B1093" s="1">
        <f t="shared" si="36"/>
        <v>40513</v>
      </c>
      <c r="C1093">
        <v>210.9</v>
      </c>
    </row>
    <row r="1094" spans="1:3" x14ac:dyDescent="0.25">
      <c r="A1094" s="1">
        <v>40522</v>
      </c>
      <c r="B1094" s="1">
        <f t="shared" si="36"/>
        <v>40513</v>
      </c>
      <c r="C1094">
        <v>200.3</v>
      </c>
    </row>
    <row r="1095" spans="1:3" x14ac:dyDescent="0.25">
      <c r="A1095" s="1">
        <v>40529</v>
      </c>
      <c r="B1095" s="1">
        <f t="shared" si="36"/>
        <v>40513</v>
      </c>
      <c r="C1095">
        <v>195.3</v>
      </c>
    </row>
    <row r="1096" spans="1:3" x14ac:dyDescent="0.25">
      <c r="A1096" s="1">
        <v>40536</v>
      </c>
      <c r="B1096" s="1">
        <f t="shared" si="36"/>
        <v>40513</v>
      </c>
      <c r="C1096">
        <v>201.4</v>
      </c>
    </row>
    <row r="1097" spans="1:3" x14ac:dyDescent="0.25">
      <c r="A1097" s="1">
        <v>40543</v>
      </c>
      <c r="B1097" s="1">
        <f t="shared" si="36"/>
        <v>40513</v>
      </c>
      <c r="C1097">
        <v>199.8</v>
      </c>
    </row>
    <row r="1098" spans="1:3" x14ac:dyDescent="0.25">
      <c r="A1098" s="1">
        <v>40550</v>
      </c>
      <c r="B1098" s="1">
        <f t="shared" si="36"/>
        <v>40544</v>
      </c>
      <c r="C1098">
        <v>192.4</v>
      </c>
    </row>
    <row r="1099" spans="1:3" x14ac:dyDescent="0.25">
      <c r="A1099" s="1">
        <v>40557</v>
      </c>
      <c r="B1099" s="1">
        <f t="shared" si="36"/>
        <v>40544</v>
      </c>
      <c r="C1099">
        <v>188.8</v>
      </c>
    </row>
    <row r="1100" spans="1:3" x14ac:dyDescent="0.25">
      <c r="A1100" s="1">
        <v>40564</v>
      </c>
      <c r="B1100" s="1">
        <f t="shared" si="36"/>
        <v>40544</v>
      </c>
      <c r="C1100">
        <v>172.3</v>
      </c>
    </row>
    <row r="1101" spans="1:3" x14ac:dyDescent="0.25">
      <c r="A1101" s="1">
        <v>40571</v>
      </c>
      <c r="B1101" s="1">
        <f t="shared" si="36"/>
        <v>40544</v>
      </c>
      <c r="C1101">
        <v>188.7</v>
      </c>
    </row>
    <row r="1102" spans="1:3" x14ac:dyDescent="0.25">
      <c r="A1102" s="1">
        <v>40578</v>
      </c>
      <c r="B1102" s="1">
        <f t="shared" si="36"/>
        <v>40575</v>
      </c>
      <c r="C1102">
        <v>186.1</v>
      </c>
    </row>
    <row r="1103" spans="1:3" x14ac:dyDescent="0.25">
      <c r="A1103" s="1">
        <v>40585</v>
      </c>
      <c r="B1103" s="1">
        <f t="shared" si="36"/>
        <v>40575</v>
      </c>
      <c r="C1103">
        <v>175.1</v>
      </c>
    </row>
    <row r="1104" spans="1:3" x14ac:dyDescent="0.25">
      <c r="A1104" s="1">
        <v>40592</v>
      </c>
      <c r="B1104" s="1">
        <f t="shared" si="36"/>
        <v>40575</v>
      </c>
      <c r="C1104">
        <v>184.1</v>
      </c>
    </row>
    <row r="1105" spans="1:3" x14ac:dyDescent="0.25">
      <c r="A1105" s="1">
        <v>40599</v>
      </c>
      <c r="B1105" s="1">
        <f t="shared" si="36"/>
        <v>40575</v>
      </c>
      <c r="C1105">
        <v>172.8</v>
      </c>
    </row>
    <row r="1106" spans="1:3" x14ac:dyDescent="0.25">
      <c r="A1106" s="1">
        <v>40606</v>
      </c>
      <c r="B1106" s="1">
        <f t="shared" si="36"/>
        <v>40603</v>
      </c>
      <c r="C1106">
        <v>194.4</v>
      </c>
    </row>
    <row r="1107" spans="1:3" x14ac:dyDescent="0.25">
      <c r="A1107" s="1">
        <v>40613</v>
      </c>
      <c r="B1107" s="1">
        <f t="shared" si="36"/>
        <v>40603</v>
      </c>
      <c r="C1107">
        <v>186.6</v>
      </c>
    </row>
    <row r="1108" spans="1:3" x14ac:dyDescent="0.25">
      <c r="A1108" s="1">
        <v>40620</v>
      </c>
      <c r="B1108" s="1">
        <f t="shared" si="36"/>
        <v>40603</v>
      </c>
      <c r="C1108">
        <v>191.7</v>
      </c>
    </row>
    <row r="1109" spans="1:3" x14ac:dyDescent="0.25">
      <c r="A1109" s="1">
        <v>40627</v>
      </c>
      <c r="B1109" s="1">
        <f t="shared" si="36"/>
        <v>40603</v>
      </c>
      <c r="C1109">
        <v>188.5</v>
      </c>
    </row>
    <row r="1110" spans="1:3" x14ac:dyDescent="0.25">
      <c r="A1110" s="1">
        <v>40634</v>
      </c>
      <c r="B1110" s="1">
        <f t="shared" si="36"/>
        <v>40634</v>
      </c>
      <c r="C1110">
        <v>201.2</v>
      </c>
    </row>
    <row r="1111" spans="1:3" x14ac:dyDescent="0.25">
      <c r="A1111" s="1">
        <v>40641</v>
      </c>
      <c r="B1111" s="1">
        <f t="shared" si="36"/>
        <v>40634</v>
      </c>
      <c r="C1111">
        <v>191.7</v>
      </c>
    </row>
    <row r="1112" spans="1:3" x14ac:dyDescent="0.25">
      <c r="A1112" s="1">
        <v>40648</v>
      </c>
      <c r="B1112" s="1">
        <f t="shared" si="36"/>
        <v>40634</v>
      </c>
      <c r="C1112">
        <v>210.8</v>
      </c>
    </row>
    <row r="1113" spans="1:3" x14ac:dyDescent="0.25">
      <c r="A1113" s="1">
        <v>40655</v>
      </c>
      <c r="B1113" s="1">
        <f t="shared" si="36"/>
        <v>40634</v>
      </c>
      <c r="C1113">
        <v>182.1</v>
      </c>
    </row>
    <row r="1114" spans="1:3" x14ac:dyDescent="0.25">
      <c r="A1114" s="1">
        <v>40662</v>
      </c>
      <c r="B1114" s="1">
        <f t="shared" si="36"/>
        <v>40634</v>
      </c>
      <c r="C1114">
        <v>182.7</v>
      </c>
    </row>
    <row r="1115" spans="1:3" x14ac:dyDescent="0.25">
      <c r="A1115" s="1">
        <v>40669</v>
      </c>
      <c r="B1115" s="1">
        <f t="shared" si="36"/>
        <v>40664</v>
      </c>
      <c r="C1115">
        <v>194.9</v>
      </c>
    </row>
    <row r="1116" spans="1:3" x14ac:dyDescent="0.25">
      <c r="A1116" s="1">
        <v>40676</v>
      </c>
      <c r="B1116" s="1">
        <f t="shared" si="36"/>
        <v>40664</v>
      </c>
      <c r="C1116">
        <v>188.6</v>
      </c>
    </row>
    <row r="1117" spans="1:3" x14ac:dyDescent="0.25">
      <c r="A1117" s="1">
        <v>40683</v>
      </c>
      <c r="B1117" s="1">
        <f t="shared" si="36"/>
        <v>40664</v>
      </c>
      <c r="C1117">
        <v>191.4</v>
      </c>
    </row>
    <row r="1118" spans="1:3" x14ac:dyDescent="0.25">
      <c r="A1118" s="1">
        <v>40690</v>
      </c>
      <c r="B1118" s="1">
        <f t="shared" si="36"/>
        <v>40664</v>
      </c>
      <c r="C1118">
        <v>191.4</v>
      </c>
    </row>
    <row r="1119" spans="1:3" x14ac:dyDescent="0.25">
      <c r="A1119" s="1">
        <v>40697</v>
      </c>
      <c r="B1119" s="1">
        <f t="shared" si="36"/>
        <v>40695</v>
      </c>
      <c r="C1119">
        <v>182.9</v>
      </c>
    </row>
    <row r="1120" spans="1:3" x14ac:dyDescent="0.25">
      <c r="A1120" s="1">
        <v>40704</v>
      </c>
      <c r="B1120" s="1">
        <f t="shared" si="36"/>
        <v>40695</v>
      </c>
      <c r="C1120">
        <v>191.1</v>
      </c>
    </row>
    <row r="1121" spans="1:3" x14ac:dyDescent="0.25">
      <c r="A1121" s="1">
        <v>40711</v>
      </c>
      <c r="B1121" s="1">
        <f t="shared" si="36"/>
        <v>40695</v>
      </c>
      <c r="C1121">
        <v>185.8</v>
      </c>
    </row>
    <row r="1122" spans="1:3" x14ac:dyDescent="0.25">
      <c r="A1122" s="1">
        <v>40718</v>
      </c>
      <c r="B1122" s="1">
        <f t="shared" si="36"/>
        <v>40695</v>
      </c>
      <c r="C1122">
        <v>180.3</v>
      </c>
    </row>
    <row r="1123" spans="1:3" x14ac:dyDescent="0.25">
      <c r="A1123" s="1">
        <v>40725</v>
      </c>
      <c r="B1123" s="1">
        <f t="shared" si="36"/>
        <v>40725</v>
      </c>
      <c r="C1123">
        <v>188.9</v>
      </c>
    </row>
    <row r="1124" spans="1:3" x14ac:dyDescent="0.25">
      <c r="A1124" s="1">
        <v>40732</v>
      </c>
      <c r="B1124" s="1">
        <f t="shared" si="36"/>
        <v>40725</v>
      </c>
      <c r="C1124">
        <v>183.9</v>
      </c>
    </row>
    <row r="1125" spans="1:3" x14ac:dyDescent="0.25">
      <c r="A1125" s="1">
        <v>40739</v>
      </c>
      <c r="B1125" s="1">
        <f t="shared" si="36"/>
        <v>40725</v>
      </c>
      <c r="C1125">
        <v>183.7</v>
      </c>
    </row>
    <row r="1126" spans="1:3" x14ac:dyDescent="0.25">
      <c r="A1126" s="1">
        <v>40746</v>
      </c>
      <c r="B1126" s="1">
        <f t="shared" si="36"/>
        <v>40725</v>
      </c>
      <c r="C1126">
        <v>176.7</v>
      </c>
    </row>
    <row r="1127" spans="1:3" x14ac:dyDescent="0.25">
      <c r="A1127" s="1">
        <v>40753</v>
      </c>
      <c r="B1127" s="1">
        <f t="shared" si="36"/>
        <v>40725</v>
      </c>
      <c r="C1127">
        <v>185.8</v>
      </c>
    </row>
    <row r="1128" spans="1:3" x14ac:dyDescent="0.25">
      <c r="A1128" s="1">
        <v>40760</v>
      </c>
      <c r="B1128" s="1">
        <f t="shared" si="36"/>
        <v>40756</v>
      </c>
      <c r="C1128">
        <v>184.2</v>
      </c>
    </row>
    <row r="1129" spans="1:3" x14ac:dyDescent="0.25">
      <c r="A1129" s="1">
        <v>40767</v>
      </c>
      <c r="B1129" s="1">
        <f t="shared" si="36"/>
        <v>40756</v>
      </c>
      <c r="C1129">
        <v>167.5</v>
      </c>
    </row>
    <row r="1130" spans="1:3" x14ac:dyDescent="0.25">
      <c r="A1130" s="1">
        <v>40774</v>
      </c>
      <c r="B1130" s="1">
        <f t="shared" si="36"/>
        <v>40756</v>
      </c>
      <c r="C1130">
        <v>157.9</v>
      </c>
    </row>
    <row r="1131" spans="1:3" x14ac:dyDescent="0.25">
      <c r="A1131" s="1">
        <v>40781</v>
      </c>
      <c r="B1131" s="1">
        <f t="shared" si="36"/>
        <v>40756</v>
      </c>
      <c r="C1131">
        <v>159.30000000000001</v>
      </c>
    </row>
    <row r="1132" spans="1:3" x14ac:dyDescent="0.25">
      <c r="A1132" s="1">
        <v>40788</v>
      </c>
      <c r="B1132" s="1">
        <f t="shared" si="36"/>
        <v>40787</v>
      </c>
      <c r="C1132">
        <v>159.6</v>
      </c>
    </row>
    <row r="1133" spans="1:3" x14ac:dyDescent="0.25">
      <c r="A1133" s="1">
        <v>40795</v>
      </c>
      <c r="B1133" s="1">
        <f t="shared" si="36"/>
        <v>40787</v>
      </c>
      <c r="C1133">
        <v>170.8</v>
      </c>
    </row>
    <row r="1134" spans="1:3" x14ac:dyDescent="0.25">
      <c r="A1134" s="1">
        <v>40802</v>
      </c>
      <c r="B1134" s="1">
        <f t="shared" si="36"/>
        <v>40787</v>
      </c>
      <c r="C1134">
        <v>172.17</v>
      </c>
    </row>
    <row r="1135" spans="1:3" x14ac:dyDescent="0.25">
      <c r="A1135" s="1">
        <v>40809</v>
      </c>
      <c r="B1135" s="1">
        <f t="shared" si="36"/>
        <v>40787</v>
      </c>
      <c r="C1135">
        <v>176.61</v>
      </c>
    </row>
    <row r="1136" spans="1:3" x14ac:dyDescent="0.25">
      <c r="A1136" s="1">
        <v>40816</v>
      </c>
      <c r="B1136" s="1">
        <f t="shared" si="36"/>
        <v>40787</v>
      </c>
      <c r="C1136">
        <v>175.2</v>
      </c>
    </row>
    <row r="1137" spans="1:3" x14ac:dyDescent="0.25">
      <c r="A1137" s="1">
        <v>40823</v>
      </c>
      <c r="B1137" s="1">
        <f t="shared" si="36"/>
        <v>40817</v>
      </c>
      <c r="C1137">
        <v>177.06</v>
      </c>
    </row>
    <row r="1138" spans="1:3" x14ac:dyDescent="0.25">
      <c r="A1138" s="1">
        <v>40830</v>
      </c>
      <c r="B1138" s="1">
        <f t="shared" si="36"/>
        <v>40817</v>
      </c>
      <c r="C1138">
        <v>161.44</v>
      </c>
    </row>
    <row r="1139" spans="1:3" x14ac:dyDescent="0.25">
      <c r="A1139" s="1">
        <v>40837</v>
      </c>
      <c r="B1139" s="1">
        <f t="shared" si="36"/>
        <v>40817</v>
      </c>
      <c r="C1139">
        <v>171.72</v>
      </c>
    </row>
    <row r="1140" spans="1:3" x14ac:dyDescent="0.25">
      <c r="A1140" s="1">
        <v>40844</v>
      </c>
      <c r="B1140" s="1">
        <f t="shared" si="36"/>
        <v>40817</v>
      </c>
      <c r="C1140">
        <v>174.78</v>
      </c>
    </row>
    <row r="1141" spans="1:3" x14ac:dyDescent="0.25">
      <c r="A1141" s="1">
        <v>40851</v>
      </c>
      <c r="B1141" s="1">
        <f t="shared" si="36"/>
        <v>40848</v>
      </c>
      <c r="C1141">
        <v>183.12</v>
      </c>
    </row>
    <row r="1142" spans="1:3" x14ac:dyDescent="0.25">
      <c r="A1142" s="1">
        <v>40858</v>
      </c>
      <c r="B1142" s="1">
        <f t="shared" si="36"/>
        <v>40848</v>
      </c>
      <c r="C1142">
        <v>178.95</v>
      </c>
    </row>
    <row r="1143" spans="1:3" x14ac:dyDescent="0.25">
      <c r="A1143" s="1">
        <v>40865</v>
      </c>
      <c r="B1143" s="1">
        <f t="shared" si="36"/>
        <v>40848</v>
      </c>
      <c r="C1143">
        <v>193.57</v>
      </c>
    </row>
    <row r="1144" spans="1:3" x14ac:dyDescent="0.25">
      <c r="A1144" s="1">
        <v>40872</v>
      </c>
      <c r="B1144" s="1">
        <f t="shared" si="36"/>
        <v>40848</v>
      </c>
      <c r="C1144">
        <v>192.07</v>
      </c>
    </row>
    <row r="1145" spans="1:3" x14ac:dyDescent="0.25">
      <c r="A1145" s="1">
        <v>40879</v>
      </c>
      <c r="B1145" s="1">
        <f t="shared" si="36"/>
        <v>40878</v>
      </c>
      <c r="C1145">
        <v>208.04</v>
      </c>
    </row>
    <row r="1146" spans="1:3" x14ac:dyDescent="0.25">
      <c r="A1146" s="1">
        <v>40886</v>
      </c>
      <c r="B1146" s="1">
        <f t="shared" si="36"/>
        <v>40878</v>
      </c>
      <c r="C1146">
        <v>190.92</v>
      </c>
    </row>
    <row r="1147" spans="1:3" x14ac:dyDescent="0.25">
      <c r="A1147" s="1">
        <v>40893</v>
      </c>
      <c r="B1147" s="1">
        <f t="shared" si="36"/>
        <v>40878</v>
      </c>
      <c r="C1147">
        <v>181.6</v>
      </c>
    </row>
    <row r="1148" spans="1:3" x14ac:dyDescent="0.25">
      <c r="A1148" s="1">
        <v>40900</v>
      </c>
      <c r="B1148" s="1">
        <f t="shared" si="36"/>
        <v>40878</v>
      </c>
      <c r="C1148">
        <v>181.38</v>
      </c>
    </row>
    <row r="1149" spans="1:3" x14ac:dyDescent="0.25">
      <c r="A1149" s="1">
        <v>40907</v>
      </c>
      <c r="B1149" s="1">
        <f t="shared" si="36"/>
        <v>40878</v>
      </c>
      <c r="C1149">
        <v>163.89</v>
      </c>
    </row>
    <row r="1150" spans="1:3" x14ac:dyDescent="0.25">
      <c r="A1150" s="1">
        <v>40914</v>
      </c>
      <c r="B1150" s="1">
        <f t="shared" si="36"/>
        <v>40909</v>
      </c>
      <c r="C1150">
        <v>177.11</v>
      </c>
    </row>
    <row r="1151" spans="1:3" x14ac:dyDescent="0.25">
      <c r="A1151" s="1">
        <v>40921</v>
      </c>
      <c r="B1151" s="1">
        <f t="shared" si="36"/>
        <v>40909</v>
      </c>
      <c r="C1151">
        <v>195.38</v>
      </c>
    </row>
    <row r="1152" spans="1:3" x14ac:dyDescent="0.25">
      <c r="A1152" s="1">
        <v>40928</v>
      </c>
      <c r="B1152" s="1">
        <f t="shared" si="36"/>
        <v>40909</v>
      </c>
      <c r="C1152">
        <v>184.8</v>
      </c>
    </row>
    <row r="1153" spans="1:3" x14ac:dyDescent="0.25">
      <c r="A1153" s="1">
        <v>40935</v>
      </c>
      <c r="B1153" s="1">
        <f t="shared" si="36"/>
        <v>40909</v>
      </c>
      <c r="C1153">
        <v>181.7</v>
      </c>
    </row>
    <row r="1154" spans="1:3" x14ac:dyDescent="0.25">
      <c r="A1154" s="1">
        <v>40942</v>
      </c>
      <c r="B1154" s="1">
        <f t="shared" si="36"/>
        <v>40940</v>
      </c>
      <c r="C1154">
        <v>181.9</v>
      </c>
    </row>
    <row r="1155" spans="1:3" x14ac:dyDescent="0.25">
      <c r="A1155" s="1">
        <v>40949</v>
      </c>
      <c r="B1155" s="1">
        <f t="shared" ref="B1155:B1218" si="37">A1155-DAY(A1155)+1</f>
        <v>40940</v>
      </c>
      <c r="C1155">
        <v>166.6</v>
      </c>
    </row>
    <row r="1156" spans="1:3" x14ac:dyDescent="0.25">
      <c r="A1156" s="1">
        <v>40956</v>
      </c>
      <c r="B1156" s="1">
        <f t="shared" si="37"/>
        <v>40940</v>
      </c>
      <c r="C1156">
        <v>161.80000000000001</v>
      </c>
    </row>
    <row r="1157" spans="1:3" x14ac:dyDescent="0.25">
      <c r="A1157" s="1">
        <v>40963</v>
      </c>
      <c r="B1157" s="1">
        <f t="shared" si="37"/>
        <v>40940</v>
      </c>
      <c r="C1157">
        <v>175.1</v>
      </c>
    </row>
    <row r="1158" spans="1:3" x14ac:dyDescent="0.25">
      <c r="A1158" s="1">
        <v>40970</v>
      </c>
      <c r="B1158" s="1">
        <f t="shared" si="37"/>
        <v>40969</v>
      </c>
      <c r="C1158">
        <v>178.7</v>
      </c>
    </row>
    <row r="1159" spans="1:3" x14ac:dyDescent="0.25">
      <c r="A1159" s="1">
        <v>40977</v>
      </c>
      <c r="B1159" s="1">
        <f t="shared" si="37"/>
        <v>40969</v>
      </c>
      <c r="C1159">
        <v>186.5</v>
      </c>
    </row>
    <row r="1160" spans="1:3" x14ac:dyDescent="0.25">
      <c r="A1160" s="1">
        <v>40984</v>
      </c>
      <c r="B1160" s="1">
        <f t="shared" si="37"/>
        <v>40969</v>
      </c>
      <c r="C1160">
        <v>184.6</v>
      </c>
    </row>
    <row r="1161" spans="1:3" x14ac:dyDescent="0.25">
      <c r="A1161" s="1">
        <v>40991</v>
      </c>
      <c r="B1161" s="1">
        <f t="shared" si="37"/>
        <v>40969</v>
      </c>
      <c r="C1161">
        <v>190.6</v>
      </c>
    </row>
    <row r="1162" spans="1:3" x14ac:dyDescent="0.25">
      <c r="A1162" s="1">
        <v>40998</v>
      </c>
      <c r="B1162" s="1">
        <f t="shared" si="37"/>
        <v>40969</v>
      </c>
      <c r="C1162">
        <v>204.4</v>
      </c>
    </row>
    <row r="1163" spans="1:3" x14ac:dyDescent="0.25">
      <c r="A1163" s="1">
        <v>41005</v>
      </c>
      <c r="B1163" s="1">
        <f t="shared" si="37"/>
        <v>41000</v>
      </c>
      <c r="C1163">
        <v>203.3</v>
      </c>
    </row>
    <row r="1164" spans="1:3" x14ac:dyDescent="0.25">
      <c r="A1164" s="1">
        <v>41012</v>
      </c>
      <c r="B1164" s="1">
        <f t="shared" si="37"/>
        <v>41000</v>
      </c>
      <c r="C1164">
        <v>180.5</v>
      </c>
    </row>
    <row r="1165" spans="1:3" x14ac:dyDescent="0.25">
      <c r="A1165" s="1">
        <v>41019</v>
      </c>
      <c r="B1165" s="1">
        <f t="shared" si="37"/>
        <v>41000</v>
      </c>
      <c r="C1165">
        <v>185.4</v>
      </c>
    </row>
    <row r="1166" spans="1:3" x14ac:dyDescent="0.25">
      <c r="A1166" s="1">
        <v>41026</v>
      </c>
      <c r="B1166" s="1">
        <f t="shared" si="37"/>
        <v>41000</v>
      </c>
      <c r="C1166">
        <v>190.7</v>
      </c>
    </row>
    <row r="1167" spans="1:3" x14ac:dyDescent="0.25">
      <c r="A1167" s="1">
        <v>41033</v>
      </c>
      <c r="B1167" s="1">
        <f t="shared" si="37"/>
        <v>41030</v>
      </c>
      <c r="C1167">
        <v>197.1</v>
      </c>
    </row>
    <row r="1168" spans="1:3" x14ac:dyDescent="0.25">
      <c r="A1168" s="1">
        <v>41040</v>
      </c>
      <c r="B1168" s="1">
        <f t="shared" si="37"/>
        <v>41030</v>
      </c>
      <c r="C1168">
        <v>192.4</v>
      </c>
    </row>
    <row r="1169" spans="1:3" x14ac:dyDescent="0.25">
      <c r="A1169" s="1">
        <v>41047</v>
      </c>
      <c r="B1169" s="1">
        <f t="shared" si="37"/>
        <v>41030</v>
      </c>
      <c r="C1169">
        <v>186.7</v>
      </c>
    </row>
    <row r="1170" spans="1:3" x14ac:dyDescent="0.25">
      <c r="A1170" s="1">
        <v>41054</v>
      </c>
      <c r="B1170" s="1">
        <f t="shared" si="37"/>
        <v>41030</v>
      </c>
      <c r="C1170">
        <v>185.6</v>
      </c>
    </row>
    <row r="1171" spans="1:3" x14ac:dyDescent="0.25">
      <c r="A1171" s="1">
        <v>41061</v>
      </c>
      <c r="B1171" s="1">
        <f t="shared" si="37"/>
        <v>41061</v>
      </c>
      <c r="C1171">
        <v>182.2</v>
      </c>
    </row>
    <row r="1172" spans="1:3" x14ac:dyDescent="0.25">
      <c r="A1172" s="1">
        <v>41068</v>
      </c>
      <c r="B1172" s="1">
        <f t="shared" si="37"/>
        <v>41061</v>
      </c>
      <c r="C1172">
        <v>205.6</v>
      </c>
    </row>
    <row r="1173" spans="1:3" x14ac:dyDescent="0.25">
      <c r="A1173" s="1">
        <v>41075</v>
      </c>
      <c r="B1173" s="1">
        <f t="shared" si="37"/>
        <v>41061</v>
      </c>
      <c r="C1173">
        <v>188.1</v>
      </c>
    </row>
    <row r="1174" spans="1:3" x14ac:dyDescent="0.25">
      <c r="A1174" s="1">
        <v>41082</v>
      </c>
      <c r="B1174" s="1">
        <f t="shared" si="37"/>
        <v>41061</v>
      </c>
      <c r="C1174">
        <v>185.4</v>
      </c>
    </row>
    <row r="1175" spans="1:3" x14ac:dyDescent="0.25">
      <c r="A1175" s="1">
        <v>41089</v>
      </c>
      <c r="B1175" s="1">
        <f t="shared" si="37"/>
        <v>41061</v>
      </c>
      <c r="C1175">
        <v>186.5</v>
      </c>
    </row>
    <row r="1176" spans="1:3" x14ac:dyDescent="0.25">
      <c r="A1176" s="1">
        <v>41096</v>
      </c>
      <c r="B1176" s="1">
        <f t="shared" si="37"/>
        <v>41091</v>
      </c>
      <c r="C1176">
        <v>192.6</v>
      </c>
    </row>
    <row r="1177" spans="1:3" x14ac:dyDescent="0.25">
      <c r="A1177" s="1">
        <v>41103</v>
      </c>
      <c r="B1177" s="1">
        <f t="shared" si="37"/>
        <v>41091</v>
      </c>
      <c r="C1177">
        <v>192.4</v>
      </c>
    </row>
    <row r="1178" spans="1:3" x14ac:dyDescent="0.25">
      <c r="A1178" s="1">
        <v>41110</v>
      </c>
      <c r="B1178" s="1">
        <f t="shared" si="37"/>
        <v>41091</v>
      </c>
      <c r="C1178">
        <v>186.2</v>
      </c>
    </row>
    <row r="1179" spans="1:3" x14ac:dyDescent="0.25">
      <c r="A1179" s="1">
        <v>41117</v>
      </c>
      <c r="B1179" s="1">
        <f t="shared" si="37"/>
        <v>41091</v>
      </c>
      <c r="C1179">
        <v>182</v>
      </c>
    </row>
    <row r="1180" spans="1:3" x14ac:dyDescent="0.25">
      <c r="A1180" s="1">
        <v>41124</v>
      </c>
      <c r="B1180" s="1">
        <f t="shared" si="37"/>
        <v>41122</v>
      </c>
      <c r="C1180">
        <v>179.5</v>
      </c>
    </row>
    <row r="1181" spans="1:3" x14ac:dyDescent="0.25">
      <c r="A1181" s="1">
        <v>41131</v>
      </c>
      <c r="B1181" s="1">
        <f t="shared" si="37"/>
        <v>41122</v>
      </c>
      <c r="C1181">
        <v>175.9</v>
      </c>
    </row>
    <row r="1182" spans="1:3" x14ac:dyDescent="0.25">
      <c r="A1182" s="1">
        <v>41138</v>
      </c>
      <c r="B1182" s="1">
        <f t="shared" si="37"/>
        <v>41122</v>
      </c>
      <c r="C1182">
        <v>177.4</v>
      </c>
    </row>
    <row r="1183" spans="1:3" x14ac:dyDescent="0.25">
      <c r="A1183" s="1">
        <v>41145</v>
      </c>
      <c r="B1183" s="1">
        <f t="shared" si="37"/>
        <v>41122</v>
      </c>
      <c r="C1183">
        <v>179.9</v>
      </c>
    </row>
    <row r="1184" spans="1:3" x14ac:dyDescent="0.25">
      <c r="A1184" s="1">
        <v>41152</v>
      </c>
      <c r="B1184" s="1">
        <f t="shared" si="37"/>
        <v>41122</v>
      </c>
      <c r="C1184">
        <v>178.4</v>
      </c>
    </row>
    <row r="1185" spans="1:3" x14ac:dyDescent="0.25">
      <c r="A1185" s="1">
        <v>41159</v>
      </c>
      <c r="B1185" s="1">
        <f t="shared" si="37"/>
        <v>41153</v>
      </c>
      <c r="C1185">
        <v>193</v>
      </c>
    </row>
    <row r="1186" spans="1:3" x14ac:dyDescent="0.25">
      <c r="A1186" s="1">
        <v>41166</v>
      </c>
      <c r="B1186" s="1">
        <f t="shared" si="37"/>
        <v>41153</v>
      </c>
      <c r="C1186">
        <v>185.7</v>
      </c>
    </row>
    <row r="1187" spans="1:3" x14ac:dyDescent="0.25">
      <c r="A1187" s="1">
        <v>41173</v>
      </c>
      <c r="B1187" s="1">
        <f t="shared" si="37"/>
        <v>41153</v>
      </c>
      <c r="C1187">
        <v>187</v>
      </c>
    </row>
    <row r="1188" spans="1:3" x14ac:dyDescent="0.25">
      <c r="A1188" s="1">
        <v>41180</v>
      </c>
      <c r="B1188" s="1">
        <f t="shared" si="37"/>
        <v>41153</v>
      </c>
      <c r="C1188">
        <v>194.2</v>
      </c>
    </row>
    <row r="1189" spans="1:3" x14ac:dyDescent="0.25">
      <c r="A1189" s="1">
        <v>41187</v>
      </c>
      <c r="B1189" s="1">
        <f t="shared" si="37"/>
        <v>41183</v>
      </c>
      <c r="C1189">
        <v>199.2</v>
      </c>
    </row>
    <row r="1190" spans="1:3" x14ac:dyDescent="0.25">
      <c r="A1190" s="1">
        <v>41194</v>
      </c>
      <c r="B1190" s="1">
        <f t="shared" si="37"/>
        <v>41183</v>
      </c>
      <c r="C1190">
        <v>200.9</v>
      </c>
    </row>
    <row r="1191" spans="1:3" x14ac:dyDescent="0.25">
      <c r="A1191" s="1">
        <v>41201</v>
      </c>
      <c r="B1191" s="1">
        <f t="shared" si="37"/>
        <v>41183</v>
      </c>
      <c r="C1191">
        <v>184.2</v>
      </c>
    </row>
    <row r="1192" spans="1:3" x14ac:dyDescent="0.25">
      <c r="A1192" s="1">
        <v>41208</v>
      </c>
      <c r="B1192" s="1">
        <f t="shared" si="37"/>
        <v>41183</v>
      </c>
      <c r="C1192">
        <v>185.2</v>
      </c>
    </row>
    <row r="1193" spans="1:3" x14ac:dyDescent="0.25">
      <c r="A1193" s="1">
        <v>41215</v>
      </c>
      <c r="B1193" s="1">
        <f t="shared" si="37"/>
        <v>41214</v>
      </c>
      <c r="C1193">
        <v>176.4</v>
      </c>
    </row>
    <row r="1194" spans="1:3" x14ac:dyDescent="0.25">
      <c r="A1194" s="1">
        <v>41222</v>
      </c>
      <c r="B1194" s="1">
        <f t="shared" si="37"/>
        <v>41214</v>
      </c>
      <c r="C1194">
        <v>195.8</v>
      </c>
    </row>
    <row r="1195" spans="1:3" x14ac:dyDescent="0.25">
      <c r="A1195" s="1">
        <v>41229</v>
      </c>
      <c r="B1195" s="1">
        <f t="shared" si="37"/>
        <v>41214</v>
      </c>
      <c r="C1195">
        <v>201</v>
      </c>
    </row>
    <row r="1196" spans="1:3" x14ac:dyDescent="0.25">
      <c r="A1196" s="1">
        <v>41236</v>
      </c>
      <c r="B1196" s="1">
        <f t="shared" si="37"/>
        <v>41214</v>
      </c>
      <c r="C1196">
        <v>206.3</v>
      </c>
    </row>
    <row r="1197" spans="1:3" x14ac:dyDescent="0.25">
      <c r="A1197" s="1">
        <v>41243</v>
      </c>
      <c r="B1197" s="1">
        <f t="shared" si="37"/>
        <v>41214</v>
      </c>
      <c r="C1197">
        <v>206.5</v>
      </c>
    </row>
    <row r="1198" spans="1:3" x14ac:dyDescent="0.25">
      <c r="A1198" s="1">
        <v>41250</v>
      </c>
      <c r="B1198" s="1">
        <f t="shared" si="37"/>
        <v>41244</v>
      </c>
      <c r="C1198">
        <v>208</v>
      </c>
    </row>
    <row r="1199" spans="1:3" x14ac:dyDescent="0.25">
      <c r="A1199" s="1">
        <v>41257</v>
      </c>
      <c r="B1199" s="1">
        <f t="shared" si="37"/>
        <v>41244</v>
      </c>
      <c r="C1199">
        <v>198</v>
      </c>
    </row>
    <row r="1200" spans="1:3" x14ac:dyDescent="0.25">
      <c r="A1200" s="1">
        <v>41264</v>
      </c>
      <c r="B1200" s="1">
        <f t="shared" si="37"/>
        <v>41244</v>
      </c>
      <c r="C1200">
        <v>189.4</v>
      </c>
    </row>
    <row r="1201" spans="1:3" x14ac:dyDescent="0.25">
      <c r="A1201" s="1">
        <v>41271</v>
      </c>
      <c r="B1201" s="1">
        <f t="shared" si="37"/>
        <v>41244</v>
      </c>
      <c r="C1201">
        <v>169.5</v>
      </c>
    </row>
    <row r="1202" spans="1:3" x14ac:dyDescent="0.25">
      <c r="A1202" s="1">
        <v>41278</v>
      </c>
      <c r="B1202" s="1">
        <f t="shared" si="37"/>
        <v>41275</v>
      </c>
      <c r="C1202">
        <v>185.7</v>
      </c>
    </row>
    <row r="1203" spans="1:3" x14ac:dyDescent="0.25">
      <c r="A1203" s="1">
        <v>41285</v>
      </c>
      <c r="B1203" s="1">
        <f t="shared" si="37"/>
        <v>41275</v>
      </c>
      <c r="C1203">
        <v>209.6</v>
      </c>
    </row>
    <row r="1204" spans="1:3" x14ac:dyDescent="0.25">
      <c r="A1204" s="1">
        <v>41292</v>
      </c>
      <c r="B1204" s="1">
        <f t="shared" si="37"/>
        <v>41275</v>
      </c>
      <c r="C1204">
        <v>214.9</v>
      </c>
    </row>
    <row r="1205" spans="1:3" x14ac:dyDescent="0.25">
      <c r="A1205" s="1">
        <v>41299</v>
      </c>
      <c r="B1205" s="1">
        <f t="shared" si="37"/>
        <v>41275</v>
      </c>
      <c r="C1205">
        <v>211.1</v>
      </c>
    </row>
    <row r="1206" spans="1:3" x14ac:dyDescent="0.25">
      <c r="A1206" s="1">
        <v>41306</v>
      </c>
      <c r="B1206" s="1">
        <f t="shared" si="37"/>
        <v>41306</v>
      </c>
      <c r="C1206">
        <v>215.8</v>
      </c>
    </row>
    <row r="1207" spans="1:3" x14ac:dyDescent="0.25">
      <c r="A1207" s="1">
        <v>41313</v>
      </c>
      <c r="B1207" s="1">
        <f t="shared" si="37"/>
        <v>41306</v>
      </c>
      <c r="C1207">
        <v>195.4</v>
      </c>
    </row>
    <row r="1208" spans="1:3" x14ac:dyDescent="0.25">
      <c r="A1208" s="1">
        <v>41320</v>
      </c>
      <c r="B1208" s="1">
        <f t="shared" si="37"/>
        <v>41306</v>
      </c>
      <c r="C1208">
        <v>192.1</v>
      </c>
    </row>
    <row r="1209" spans="1:3" x14ac:dyDescent="0.25">
      <c r="A1209" s="1">
        <v>41327</v>
      </c>
      <c r="B1209" s="1">
        <f t="shared" si="37"/>
        <v>41306</v>
      </c>
      <c r="C1209">
        <v>182.2</v>
      </c>
    </row>
    <row r="1210" spans="1:3" x14ac:dyDescent="0.25">
      <c r="A1210" s="1">
        <v>41334</v>
      </c>
      <c r="B1210" s="1">
        <f t="shared" si="37"/>
        <v>41334</v>
      </c>
      <c r="C1210">
        <v>209.6</v>
      </c>
    </row>
    <row r="1211" spans="1:3" x14ac:dyDescent="0.25">
      <c r="A1211" s="1">
        <v>41341</v>
      </c>
      <c r="B1211" s="1">
        <f t="shared" si="37"/>
        <v>41334</v>
      </c>
      <c r="C1211">
        <v>204.3</v>
      </c>
    </row>
    <row r="1212" spans="1:3" x14ac:dyDescent="0.25">
      <c r="A1212" s="1">
        <v>41348</v>
      </c>
      <c r="B1212" s="1">
        <f t="shared" si="37"/>
        <v>41334</v>
      </c>
      <c r="C1212">
        <v>196.4</v>
      </c>
    </row>
    <row r="1213" spans="1:3" x14ac:dyDescent="0.25">
      <c r="A1213" s="1">
        <v>41355</v>
      </c>
      <c r="B1213" s="1">
        <f t="shared" si="37"/>
        <v>41334</v>
      </c>
      <c r="C1213">
        <v>209.5</v>
      </c>
    </row>
    <row r="1214" spans="1:3" x14ac:dyDescent="0.25">
      <c r="A1214" s="1">
        <v>41362</v>
      </c>
      <c r="B1214" s="1">
        <f t="shared" si="37"/>
        <v>41334</v>
      </c>
      <c r="C1214">
        <v>212.4</v>
      </c>
    </row>
    <row r="1215" spans="1:3" x14ac:dyDescent="0.25">
      <c r="A1215" s="1">
        <v>41369</v>
      </c>
      <c r="B1215" s="1">
        <f t="shared" si="37"/>
        <v>41365</v>
      </c>
      <c r="C1215">
        <v>209.7</v>
      </c>
    </row>
    <row r="1216" spans="1:3" x14ac:dyDescent="0.25">
      <c r="A1216" s="1">
        <v>41376</v>
      </c>
      <c r="B1216" s="1">
        <f t="shared" si="37"/>
        <v>41365</v>
      </c>
      <c r="C1216">
        <v>217.8</v>
      </c>
    </row>
    <row r="1217" spans="1:3" x14ac:dyDescent="0.25">
      <c r="A1217" s="1">
        <v>41383</v>
      </c>
      <c r="B1217" s="1">
        <f t="shared" si="37"/>
        <v>41365</v>
      </c>
      <c r="C1217">
        <v>218.5</v>
      </c>
    </row>
    <row r="1218" spans="1:3" x14ac:dyDescent="0.25">
      <c r="A1218" s="1">
        <v>41390</v>
      </c>
      <c r="B1218" s="1">
        <f t="shared" si="37"/>
        <v>41365</v>
      </c>
      <c r="C1218">
        <v>215.5</v>
      </c>
    </row>
    <row r="1219" spans="1:3" x14ac:dyDescent="0.25">
      <c r="A1219" s="1">
        <v>41397</v>
      </c>
      <c r="B1219" s="1">
        <f t="shared" ref="B1219:B1282" si="38">A1219-DAY(A1219)+1</f>
        <v>41395</v>
      </c>
      <c r="C1219">
        <v>220.6</v>
      </c>
    </row>
    <row r="1220" spans="1:3" x14ac:dyDescent="0.25">
      <c r="A1220" s="1">
        <v>41404</v>
      </c>
      <c r="B1220" s="1">
        <f t="shared" si="38"/>
        <v>41395</v>
      </c>
      <c r="C1220">
        <v>211.6</v>
      </c>
    </row>
    <row r="1221" spans="1:3" x14ac:dyDescent="0.25">
      <c r="A1221" s="1">
        <v>41411</v>
      </c>
      <c r="B1221" s="1">
        <f t="shared" si="38"/>
        <v>41395</v>
      </c>
      <c r="C1221">
        <v>205.3</v>
      </c>
    </row>
    <row r="1222" spans="1:3" x14ac:dyDescent="0.25">
      <c r="A1222" s="1">
        <v>41418</v>
      </c>
      <c r="B1222" s="1">
        <f t="shared" si="38"/>
        <v>41395</v>
      </c>
      <c r="C1222">
        <v>210.6</v>
      </c>
    </row>
    <row r="1223" spans="1:3" x14ac:dyDescent="0.25">
      <c r="A1223" s="1">
        <v>41425</v>
      </c>
      <c r="B1223" s="1">
        <f t="shared" si="38"/>
        <v>41395</v>
      </c>
      <c r="C1223">
        <v>207.3</v>
      </c>
    </row>
    <row r="1224" spans="1:3" x14ac:dyDescent="0.25">
      <c r="A1224" s="1">
        <v>41432</v>
      </c>
      <c r="B1224" s="1">
        <f t="shared" si="38"/>
        <v>41426</v>
      </c>
      <c r="C1224">
        <v>217</v>
      </c>
    </row>
    <row r="1225" spans="1:3" x14ac:dyDescent="0.25">
      <c r="A1225" s="1">
        <v>41439</v>
      </c>
      <c r="B1225" s="1">
        <f t="shared" si="38"/>
        <v>41426</v>
      </c>
      <c r="C1225">
        <v>210.4</v>
      </c>
    </row>
    <row r="1226" spans="1:3" x14ac:dyDescent="0.25">
      <c r="A1226" s="1">
        <v>41446</v>
      </c>
      <c r="B1226" s="1">
        <f t="shared" si="38"/>
        <v>41426</v>
      </c>
      <c r="C1226">
        <v>214.8</v>
      </c>
    </row>
    <row r="1227" spans="1:3" x14ac:dyDescent="0.25">
      <c r="A1227" s="1">
        <v>41453</v>
      </c>
      <c r="B1227" s="1">
        <f t="shared" si="38"/>
        <v>41426</v>
      </c>
      <c r="C1227">
        <v>208.2</v>
      </c>
    </row>
    <row r="1228" spans="1:3" x14ac:dyDescent="0.25">
      <c r="A1228" s="1">
        <v>41460</v>
      </c>
      <c r="B1228" s="1">
        <f t="shared" si="38"/>
        <v>41456</v>
      </c>
      <c r="C1228">
        <v>201.7</v>
      </c>
    </row>
    <row r="1229" spans="1:3" x14ac:dyDescent="0.25">
      <c r="A1229" s="1">
        <v>41467</v>
      </c>
      <c r="B1229" s="1">
        <f t="shared" si="38"/>
        <v>41456</v>
      </c>
      <c r="C1229">
        <v>202.7</v>
      </c>
    </row>
    <row r="1230" spans="1:3" x14ac:dyDescent="0.25">
      <c r="A1230" s="1">
        <v>41474</v>
      </c>
      <c r="B1230" s="1">
        <f t="shared" si="38"/>
        <v>41456</v>
      </c>
      <c r="C1230">
        <v>198.5</v>
      </c>
    </row>
    <row r="1231" spans="1:3" x14ac:dyDescent="0.25">
      <c r="A1231" s="1">
        <v>41481</v>
      </c>
      <c r="B1231" s="1">
        <f t="shared" si="38"/>
        <v>41456</v>
      </c>
      <c r="C1231">
        <v>191.7</v>
      </c>
    </row>
    <row r="1232" spans="1:3" x14ac:dyDescent="0.25">
      <c r="A1232" s="1">
        <v>41488</v>
      </c>
      <c r="B1232" s="1">
        <f t="shared" si="38"/>
        <v>41487</v>
      </c>
      <c r="C1232">
        <v>193.1</v>
      </c>
    </row>
    <row r="1233" spans="1:3" x14ac:dyDescent="0.25">
      <c r="A1233" s="1">
        <v>41495</v>
      </c>
      <c r="B1233" s="1">
        <f t="shared" si="38"/>
        <v>41487</v>
      </c>
      <c r="C1233">
        <v>182.7</v>
      </c>
    </row>
    <row r="1234" spans="1:3" x14ac:dyDescent="0.25">
      <c r="A1234" s="1">
        <v>41502</v>
      </c>
      <c r="B1234" s="1">
        <f t="shared" si="38"/>
        <v>41487</v>
      </c>
      <c r="C1234">
        <v>184.9</v>
      </c>
    </row>
    <row r="1235" spans="1:3" x14ac:dyDescent="0.25">
      <c r="A1235" s="1">
        <v>41509</v>
      </c>
      <c r="B1235" s="1">
        <f t="shared" si="38"/>
        <v>41487</v>
      </c>
      <c r="C1235">
        <v>189.4</v>
      </c>
    </row>
    <row r="1236" spans="1:3" x14ac:dyDescent="0.25">
      <c r="A1236" s="1">
        <v>41516</v>
      </c>
      <c r="B1236" s="1">
        <f t="shared" si="38"/>
        <v>41487</v>
      </c>
      <c r="C1236">
        <v>188.6</v>
      </c>
    </row>
    <row r="1237" spans="1:3" x14ac:dyDescent="0.25">
      <c r="A1237" s="1">
        <v>41523</v>
      </c>
      <c r="B1237" s="1">
        <f t="shared" si="38"/>
        <v>41518</v>
      </c>
      <c r="C1237">
        <v>183.6</v>
      </c>
    </row>
    <row r="1238" spans="1:3" x14ac:dyDescent="0.25">
      <c r="A1238" s="1">
        <v>41530</v>
      </c>
      <c r="B1238" s="1">
        <f t="shared" si="38"/>
        <v>41518</v>
      </c>
      <c r="C1238">
        <v>188.1</v>
      </c>
    </row>
    <row r="1239" spans="1:3" x14ac:dyDescent="0.25">
      <c r="A1239" s="1">
        <v>41537</v>
      </c>
      <c r="B1239" s="1">
        <f t="shared" si="38"/>
        <v>41518</v>
      </c>
      <c r="C1239">
        <v>200.6</v>
      </c>
    </row>
    <row r="1240" spans="1:3" x14ac:dyDescent="0.25">
      <c r="A1240" s="1">
        <v>41544</v>
      </c>
      <c r="B1240" s="1">
        <f t="shared" si="38"/>
        <v>41518</v>
      </c>
      <c r="C1240">
        <v>189.4</v>
      </c>
    </row>
    <row r="1241" spans="1:3" x14ac:dyDescent="0.25">
      <c r="A1241" s="1">
        <v>41551</v>
      </c>
      <c r="B1241" s="1">
        <f t="shared" si="38"/>
        <v>41548</v>
      </c>
      <c r="C1241">
        <v>188.1</v>
      </c>
    </row>
    <row r="1242" spans="1:3" x14ac:dyDescent="0.25">
      <c r="A1242" s="1">
        <v>41558</v>
      </c>
      <c r="B1242" s="1">
        <f t="shared" si="38"/>
        <v>41548</v>
      </c>
      <c r="C1242">
        <v>179</v>
      </c>
    </row>
    <row r="1243" spans="1:3" x14ac:dyDescent="0.25">
      <c r="A1243" s="1">
        <v>41565</v>
      </c>
      <c r="B1243" s="1">
        <f t="shared" si="38"/>
        <v>41548</v>
      </c>
      <c r="C1243">
        <v>180.3</v>
      </c>
    </row>
    <row r="1244" spans="1:3" x14ac:dyDescent="0.25">
      <c r="A1244" s="1">
        <v>41572</v>
      </c>
      <c r="B1244" s="1">
        <f t="shared" si="38"/>
        <v>41548</v>
      </c>
      <c r="C1244">
        <v>184.5</v>
      </c>
    </row>
    <row r="1245" spans="1:3" x14ac:dyDescent="0.25">
      <c r="A1245" s="1">
        <v>41579</v>
      </c>
      <c r="B1245" s="1">
        <f t="shared" si="38"/>
        <v>41579</v>
      </c>
      <c r="C1245">
        <v>183.2</v>
      </c>
    </row>
    <row r="1246" spans="1:3" x14ac:dyDescent="0.25">
      <c r="A1246" s="1">
        <v>41586</v>
      </c>
      <c r="B1246" s="1">
        <f t="shared" si="38"/>
        <v>41579</v>
      </c>
      <c r="C1246">
        <v>182.2</v>
      </c>
    </row>
    <row r="1247" spans="1:3" x14ac:dyDescent="0.25">
      <c r="A1247" s="1">
        <v>41593</v>
      </c>
      <c r="B1247" s="1">
        <f t="shared" si="38"/>
        <v>41579</v>
      </c>
      <c r="C1247">
        <v>192.8</v>
      </c>
    </row>
    <row r="1248" spans="1:3" x14ac:dyDescent="0.25">
      <c r="A1248" s="1">
        <v>41600</v>
      </c>
      <c r="B1248" s="1">
        <f t="shared" si="38"/>
        <v>41579</v>
      </c>
      <c r="C1248">
        <v>192.4</v>
      </c>
    </row>
    <row r="1249" spans="1:3" x14ac:dyDescent="0.25">
      <c r="A1249" s="1">
        <v>41607</v>
      </c>
      <c r="B1249" s="1">
        <f t="shared" si="38"/>
        <v>41579</v>
      </c>
      <c r="C1249">
        <v>184.5</v>
      </c>
    </row>
    <row r="1250" spans="1:3" x14ac:dyDescent="0.25">
      <c r="A1250" s="1">
        <v>41614</v>
      </c>
      <c r="B1250" s="1">
        <f t="shared" si="38"/>
        <v>41609</v>
      </c>
      <c r="C1250">
        <v>186.1</v>
      </c>
    </row>
    <row r="1251" spans="1:3" x14ac:dyDescent="0.25">
      <c r="A1251" s="1">
        <v>41621</v>
      </c>
      <c r="B1251" s="1">
        <f t="shared" si="38"/>
        <v>41609</v>
      </c>
      <c r="C1251">
        <v>174.7</v>
      </c>
    </row>
    <row r="1252" spans="1:3" x14ac:dyDescent="0.25">
      <c r="A1252" s="1">
        <v>41628</v>
      </c>
      <c r="B1252" s="1">
        <f t="shared" si="38"/>
        <v>41609</v>
      </c>
      <c r="C1252">
        <v>168.6</v>
      </c>
    </row>
    <row r="1253" spans="1:3" x14ac:dyDescent="0.25">
      <c r="A1253" s="1">
        <v>41635</v>
      </c>
      <c r="B1253" s="1">
        <f t="shared" si="38"/>
        <v>41609</v>
      </c>
      <c r="C1253">
        <v>172.7</v>
      </c>
    </row>
    <row r="1254" spans="1:3" x14ac:dyDescent="0.25">
      <c r="A1254" s="1">
        <v>41642</v>
      </c>
      <c r="B1254" s="1">
        <f t="shared" si="38"/>
        <v>41640</v>
      </c>
      <c r="C1254">
        <v>171.9</v>
      </c>
    </row>
    <row r="1255" spans="1:3" x14ac:dyDescent="0.25">
      <c r="A1255" s="1">
        <v>41649</v>
      </c>
      <c r="B1255" s="1">
        <f t="shared" si="38"/>
        <v>41640</v>
      </c>
      <c r="C1255">
        <v>191.7</v>
      </c>
    </row>
    <row r="1256" spans="1:3" x14ac:dyDescent="0.25">
      <c r="A1256" s="1">
        <v>41656</v>
      </c>
      <c r="B1256" s="1">
        <f t="shared" si="38"/>
        <v>41640</v>
      </c>
      <c r="C1256">
        <v>184.8</v>
      </c>
    </row>
    <row r="1257" spans="1:3" x14ac:dyDescent="0.25">
      <c r="A1257" s="1">
        <v>41663</v>
      </c>
      <c r="B1257" s="1">
        <f t="shared" si="38"/>
        <v>41640</v>
      </c>
      <c r="C1257">
        <v>187.6</v>
      </c>
    </row>
    <row r="1258" spans="1:3" x14ac:dyDescent="0.25">
      <c r="A1258" s="1">
        <v>41670</v>
      </c>
      <c r="B1258" s="1">
        <f t="shared" si="38"/>
        <v>41640</v>
      </c>
      <c r="C1258">
        <v>180.5</v>
      </c>
    </row>
    <row r="1259" spans="1:3" x14ac:dyDescent="0.25">
      <c r="A1259" s="1">
        <v>41677</v>
      </c>
      <c r="B1259" s="1">
        <f t="shared" si="38"/>
        <v>41671</v>
      </c>
      <c r="C1259">
        <v>171.5</v>
      </c>
    </row>
    <row r="1260" spans="1:3" x14ac:dyDescent="0.25">
      <c r="A1260" s="1">
        <v>41684</v>
      </c>
      <c r="B1260" s="1">
        <f t="shared" si="38"/>
        <v>41671</v>
      </c>
      <c r="C1260">
        <v>160.69999999999999</v>
      </c>
    </row>
    <row r="1261" spans="1:3" x14ac:dyDescent="0.25">
      <c r="A1261" s="1">
        <v>41691</v>
      </c>
      <c r="B1261" s="1">
        <f t="shared" si="38"/>
        <v>41671</v>
      </c>
      <c r="C1261">
        <v>155</v>
      </c>
    </row>
    <row r="1262" spans="1:3" x14ac:dyDescent="0.25">
      <c r="A1262" s="1">
        <v>41698</v>
      </c>
      <c r="B1262" s="1">
        <f t="shared" si="38"/>
        <v>41671</v>
      </c>
      <c r="C1262">
        <v>169.6</v>
      </c>
    </row>
    <row r="1263" spans="1:3" x14ac:dyDescent="0.25">
      <c r="A1263" s="1">
        <v>41705</v>
      </c>
      <c r="B1263" s="1">
        <f t="shared" si="38"/>
        <v>41699</v>
      </c>
      <c r="C1263">
        <v>168.8</v>
      </c>
    </row>
    <row r="1264" spans="1:3" x14ac:dyDescent="0.25">
      <c r="A1264" s="1">
        <v>41712</v>
      </c>
      <c r="B1264" s="1">
        <f t="shared" si="38"/>
        <v>41699</v>
      </c>
      <c r="C1264">
        <v>169.2</v>
      </c>
    </row>
    <row r="1265" spans="1:3" x14ac:dyDescent="0.25">
      <c r="A1265" s="1">
        <v>41719</v>
      </c>
      <c r="B1265" s="1">
        <f t="shared" si="38"/>
        <v>41699</v>
      </c>
      <c r="C1265">
        <v>174</v>
      </c>
    </row>
    <row r="1266" spans="1:3" x14ac:dyDescent="0.25">
      <c r="A1266" s="1">
        <v>41726</v>
      </c>
      <c r="B1266" s="1">
        <f t="shared" si="38"/>
        <v>41699</v>
      </c>
      <c r="C1266">
        <v>175.6</v>
      </c>
    </row>
    <row r="1267" spans="1:3" x14ac:dyDescent="0.25">
      <c r="A1267" s="1">
        <v>41733</v>
      </c>
      <c r="B1267" s="1">
        <f t="shared" si="38"/>
        <v>41730</v>
      </c>
      <c r="C1267">
        <v>180.3</v>
      </c>
    </row>
    <row r="1268" spans="1:3" x14ac:dyDescent="0.25">
      <c r="A1268" s="1">
        <v>41740</v>
      </c>
      <c r="B1268" s="1">
        <f t="shared" si="38"/>
        <v>41730</v>
      </c>
      <c r="C1268">
        <v>182.7</v>
      </c>
    </row>
    <row r="1269" spans="1:3" x14ac:dyDescent="0.25">
      <c r="A1269" s="1">
        <v>41747</v>
      </c>
      <c r="B1269" s="1">
        <f t="shared" si="38"/>
        <v>41730</v>
      </c>
      <c r="C1269">
        <v>178</v>
      </c>
    </row>
    <row r="1270" spans="1:3" x14ac:dyDescent="0.25">
      <c r="A1270" s="1">
        <v>41754</v>
      </c>
      <c r="B1270" s="1">
        <f t="shared" si="38"/>
        <v>41730</v>
      </c>
      <c r="C1270">
        <v>170.1</v>
      </c>
    </row>
    <row r="1271" spans="1:3" x14ac:dyDescent="0.25">
      <c r="A1271" s="1">
        <v>41761</v>
      </c>
      <c r="B1271" s="1">
        <f t="shared" si="38"/>
        <v>41760</v>
      </c>
      <c r="C1271">
        <v>185.2</v>
      </c>
    </row>
    <row r="1272" spans="1:3" x14ac:dyDescent="0.25">
      <c r="A1272" s="1">
        <v>41768</v>
      </c>
      <c r="B1272" s="1">
        <f t="shared" si="38"/>
        <v>41760</v>
      </c>
      <c r="C1272">
        <v>185.1</v>
      </c>
    </row>
    <row r="1273" spans="1:3" x14ac:dyDescent="0.25">
      <c r="A1273" s="1">
        <v>41775</v>
      </c>
      <c r="B1273" s="1">
        <f t="shared" si="38"/>
        <v>41760</v>
      </c>
      <c r="C1273">
        <v>180</v>
      </c>
    </row>
    <row r="1274" spans="1:3" x14ac:dyDescent="0.25">
      <c r="A1274" s="1">
        <v>41782</v>
      </c>
      <c r="B1274" s="1">
        <f t="shared" si="38"/>
        <v>41760</v>
      </c>
      <c r="C1274">
        <v>178.1</v>
      </c>
    </row>
    <row r="1275" spans="1:3" x14ac:dyDescent="0.25">
      <c r="A1275" s="1">
        <v>41789</v>
      </c>
      <c r="B1275" s="1">
        <f t="shared" si="38"/>
        <v>41760</v>
      </c>
      <c r="C1275">
        <v>171.6</v>
      </c>
    </row>
    <row r="1276" spans="1:3" x14ac:dyDescent="0.25">
      <c r="A1276" s="1">
        <v>41796</v>
      </c>
      <c r="B1276" s="1">
        <f t="shared" si="38"/>
        <v>41791</v>
      </c>
      <c r="C1276">
        <v>187.5</v>
      </c>
    </row>
    <row r="1277" spans="1:3" x14ac:dyDescent="0.25">
      <c r="A1277" s="1">
        <v>41803</v>
      </c>
      <c r="B1277" s="1">
        <f t="shared" si="38"/>
        <v>41791</v>
      </c>
      <c r="C1277">
        <v>178.6</v>
      </c>
    </row>
    <row r="1278" spans="1:3" x14ac:dyDescent="0.25">
      <c r="A1278" s="1">
        <v>41810</v>
      </c>
      <c r="B1278" s="1">
        <f t="shared" si="38"/>
        <v>41791</v>
      </c>
      <c r="C1278">
        <v>176.4</v>
      </c>
    </row>
    <row r="1279" spans="1:3" x14ac:dyDescent="0.25">
      <c r="A1279" s="1">
        <v>41817</v>
      </c>
      <c r="B1279" s="1">
        <f t="shared" si="38"/>
        <v>41791</v>
      </c>
      <c r="C1279">
        <v>175.2</v>
      </c>
    </row>
    <row r="1280" spans="1:3" x14ac:dyDescent="0.25">
      <c r="A1280" s="1">
        <v>41824</v>
      </c>
      <c r="B1280" s="1">
        <f t="shared" si="38"/>
        <v>41821</v>
      </c>
      <c r="C1280">
        <v>181.7</v>
      </c>
    </row>
    <row r="1281" spans="1:3" x14ac:dyDescent="0.25">
      <c r="A1281" s="1">
        <v>41831</v>
      </c>
      <c r="B1281" s="1">
        <f t="shared" si="38"/>
        <v>41821</v>
      </c>
      <c r="C1281">
        <v>167.8</v>
      </c>
    </row>
    <row r="1282" spans="1:3" x14ac:dyDescent="0.25">
      <c r="A1282" s="1">
        <v>41838</v>
      </c>
      <c r="B1282" s="1">
        <f t="shared" si="38"/>
        <v>41821</v>
      </c>
      <c r="C1282">
        <v>168.3</v>
      </c>
    </row>
    <row r="1283" spans="1:3" x14ac:dyDescent="0.25">
      <c r="A1283" s="1">
        <v>41845</v>
      </c>
      <c r="B1283" s="1">
        <f t="shared" ref="B1283:B1346" si="39">A1283-DAY(A1283)+1</f>
        <v>41821</v>
      </c>
      <c r="C1283">
        <v>168.7</v>
      </c>
    </row>
    <row r="1284" spans="1:3" x14ac:dyDescent="0.25">
      <c r="A1284" s="1">
        <v>41852</v>
      </c>
      <c r="B1284" s="1">
        <f t="shared" si="39"/>
        <v>41852</v>
      </c>
      <c r="C1284">
        <v>166.5</v>
      </c>
    </row>
    <row r="1285" spans="1:3" x14ac:dyDescent="0.25">
      <c r="A1285" s="1">
        <v>41859</v>
      </c>
      <c r="B1285" s="1">
        <f t="shared" si="39"/>
        <v>41852</v>
      </c>
      <c r="C1285">
        <v>164.8</v>
      </c>
    </row>
    <row r="1286" spans="1:3" x14ac:dyDescent="0.25">
      <c r="A1286" s="1">
        <v>41866</v>
      </c>
      <c r="B1286" s="1">
        <f t="shared" si="39"/>
        <v>41852</v>
      </c>
      <c r="C1286">
        <v>164.1</v>
      </c>
    </row>
    <row r="1287" spans="1:3" x14ac:dyDescent="0.25">
      <c r="A1287" s="1">
        <v>41873</v>
      </c>
      <c r="B1287" s="1">
        <f t="shared" si="39"/>
        <v>41852</v>
      </c>
      <c r="C1287">
        <v>168.4</v>
      </c>
    </row>
    <row r="1288" spans="1:3" x14ac:dyDescent="0.25">
      <c r="A1288" s="1">
        <v>41880</v>
      </c>
      <c r="B1288" s="1">
        <f t="shared" si="39"/>
        <v>41852</v>
      </c>
      <c r="C1288">
        <v>165.8</v>
      </c>
    </row>
    <row r="1289" spans="1:3" x14ac:dyDescent="0.25">
      <c r="A1289" s="1">
        <v>41887</v>
      </c>
      <c r="B1289" s="1">
        <f t="shared" si="39"/>
        <v>41883</v>
      </c>
      <c r="C1289">
        <v>161.5</v>
      </c>
    </row>
    <row r="1290" spans="1:3" x14ac:dyDescent="0.25">
      <c r="A1290" s="1">
        <v>41894</v>
      </c>
      <c r="B1290" s="1">
        <f t="shared" si="39"/>
        <v>41883</v>
      </c>
      <c r="C1290">
        <v>169.3</v>
      </c>
    </row>
    <row r="1291" spans="1:3" x14ac:dyDescent="0.25">
      <c r="A1291" s="1">
        <v>41901</v>
      </c>
      <c r="B1291" s="1">
        <f t="shared" si="39"/>
        <v>41883</v>
      </c>
      <c r="C1291">
        <v>168.8</v>
      </c>
    </row>
    <row r="1292" spans="1:3" x14ac:dyDescent="0.25">
      <c r="A1292" s="1">
        <v>41908</v>
      </c>
      <c r="B1292" s="1">
        <f t="shared" si="39"/>
        <v>41883</v>
      </c>
      <c r="C1292">
        <v>168.8</v>
      </c>
    </row>
    <row r="1293" spans="1:3" x14ac:dyDescent="0.25">
      <c r="A1293" s="1">
        <v>41915</v>
      </c>
      <c r="B1293" s="1">
        <f t="shared" si="39"/>
        <v>41913</v>
      </c>
      <c r="C1293">
        <v>172.9</v>
      </c>
    </row>
    <row r="1294" spans="1:3" x14ac:dyDescent="0.25">
      <c r="A1294" s="1">
        <v>41922</v>
      </c>
      <c r="B1294" s="1">
        <f t="shared" si="39"/>
        <v>41913</v>
      </c>
      <c r="C1294">
        <v>171.7</v>
      </c>
    </row>
    <row r="1295" spans="1:3" x14ac:dyDescent="0.25">
      <c r="A1295" s="1">
        <v>41929</v>
      </c>
      <c r="B1295" s="1">
        <f t="shared" si="39"/>
        <v>41913</v>
      </c>
      <c r="C1295">
        <v>163.4</v>
      </c>
    </row>
    <row r="1296" spans="1:3" x14ac:dyDescent="0.25">
      <c r="A1296" s="1">
        <v>41936</v>
      </c>
      <c r="B1296" s="1">
        <f t="shared" si="39"/>
        <v>41913</v>
      </c>
      <c r="C1296">
        <v>155.19999999999999</v>
      </c>
    </row>
    <row r="1297" spans="1:3" x14ac:dyDescent="0.25">
      <c r="A1297" s="1">
        <v>41943</v>
      </c>
      <c r="B1297" s="1">
        <f t="shared" si="39"/>
        <v>41913</v>
      </c>
      <c r="C1297">
        <v>159.19999999999999</v>
      </c>
    </row>
    <row r="1298" spans="1:3" x14ac:dyDescent="0.25">
      <c r="A1298" s="1">
        <v>41950</v>
      </c>
      <c r="B1298" s="1">
        <f t="shared" si="39"/>
        <v>41944</v>
      </c>
      <c r="C1298">
        <v>160.9</v>
      </c>
    </row>
    <row r="1299" spans="1:3" x14ac:dyDescent="0.25">
      <c r="A1299" s="1">
        <v>41957</v>
      </c>
      <c r="B1299" s="1">
        <f t="shared" si="39"/>
        <v>41944</v>
      </c>
      <c r="C1299">
        <v>179.8</v>
      </c>
    </row>
    <row r="1300" spans="1:3" x14ac:dyDescent="0.25">
      <c r="A1300" s="1">
        <v>41964</v>
      </c>
      <c r="B1300" s="1">
        <f t="shared" si="39"/>
        <v>41944</v>
      </c>
      <c r="C1300">
        <v>171.2</v>
      </c>
    </row>
    <row r="1301" spans="1:3" x14ac:dyDescent="0.25">
      <c r="A1301" s="1">
        <v>41971</v>
      </c>
      <c r="B1301" s="1">
        <f t="shared" si="39"/>
        <v>41944</v>
      </c>
      <c r="C1301">
        <v>175.5</v>
      </c>
    </row>
    <row r="1302" spans="1:3" x14ac:dyDescent="0.25">
      <c r="A1302" s="1">
        <v>41978</v>
      </c>
      <c r="B1302" s="1">
        <f t="shared" si="39"/>
        <v>41974</v>
      </c>
      <c r="C1302">
        <v>177.7</v>
      </c>
    </row>
    <row r="1303" spans="1:3" x14ac:dyDescent="0.25">
      <c r="A1303" s="1">
        <v>41985</v>
      </c>
      <c r="B1303" s="1">
        <f t="shared" si="39"/>
        <v>41974</v>
      </c>
      <c r="C1303">
        <v>165.5</v>
      </c>
    </row>
    <row r="1304" spans="1:3" x14ac:dyDescent="0.25">
      <c r="A1304" s="1">
        <v>41992</v>
      </c>
      <c r="B1304" s="1">
        <f t="shared" si="39"/>
        <v>41974</v>
      </c>
      <c r="C1304">
        <v>167.7</v>
      </c>
    </row>
    <row r="1305" spans="1:3" x14ac:dyDescent="0.25">
      <c r="A1305" s="1">
        <v>41999</v>
      </c>
      <c r="B1305" s="1">
        <f t="shared" si="39"/>
        <v>41974</v>
      </c>
      <c r="C1305">
        <v>152.4</v>
      </c>
    </row>
    <row r="1306" spans="1:3" x14ac:dyDescent="0.25">
      <c r="A1306" s="1">
        <v>42006</v>
      </c>
      <c r="B1306" s="1">
        <f t="shared" si="39"/>
        <v>42005</v>
      </c>
      <c r="C1306">
        <v>159.19999999999999</v>
      </c>
    </row>
    <row r="1307" spans="1:3" x14ac:dyDescent="0.25">
      <c r="A1307" s="1">
        <v>42013</v>
      </c>
      <c r="B1307" s="1">
        <f t="shared" si="39"/>
        <v>42005</v>
      </c>
      <c r="C1307">
        <v>192.9</v>
      </c>
    </row>
    <row r="1308" spans="1:3" x14ac:dyDescent="0.25">
      <c r="A1308" s="1">
        <v>42020</v>
      </c>
      <c r="B1308" s="1">
        <f t="shared" si="39"/>
        <v>42005</v>
      </c>
      <c r="C1308">
        <v>191.7</v>
      </c>
    </row>
    <row r="1309" spans="1:3" x14ac:dyDescent="0.25">
      <c r="A1309" s="1">
        <v>42027</v>
      </c>
      <c r="B1309" s="1">
        <f t="shared" si="39"/>
        <v>42005</v>
      </c>
      <c r="C1309">
        <v>191.6</v>
      </c>
    </row>
    <row r="1310" spans="1:3" x14ac:dyDescent="0.25">
      <c r="A1310" s="1">
        <v>42034</v>
      </c>
      <c r="B1310" s="1">
        <f t="shared" si="39"/>
        <v>42005</v>
      </c>
      <c r="C1310">
        <v>187.2</v>
      </c>
    </row>
    <row r="1311" spans="1:3" x14ac:dyDescent="0.25">
      <c r="A1311" s="1">
        <v>42041</v>
      </c>
      <c r="B1311" s="1">
        <f t="shared" si="39"/>
        <v>42036</v>
      </c>
      <c r="C1311">
        <v>175.1</v>
      </c>
    </row>
    <row r="1312" spans="1:3" x14ac:dyDescent="0.25">
      <c r="A1312" s="1">
        <v>42048</v>
      </c>
      <c r="B1312" s="1">
        <f t="shared" si="39"/>
        <v>42036</v>
      </c>
      <c r="C1312">
        <v>162.69999999999999</v>
      </c>
    </row>
    <row r="1313" spans="1:3" x14ac:dyDescent="0.25">
      <c r="A1313" s="1">
        <v>42055</v>
      </c>
      <c r="B1313" s="1">
        <f t="shared" si="39"/>
        <v>42036</v>
      </c>
      <c r="C1313">
        <v>170.2</v>
      </c>
    </row>
    <row r="1314" spans="1:3" x14ac:dyDescent="0.25">
      <c r="A1314" s="1">
        <v>42062</v>
      </c>
      <c r="B1314" s="1">
        <f t="shared" si="39"/>
        <v>42036</v>
      </c>
      <c r="C1314">
        <v>169.8</v>
      </c>
    </row>
    <row r="1315" spans="1:3" x14ac:dyDescent="0.25">
      <c r="A1315" s="1">
        <v>42069</v>
      </c>
      <c r="B1315" s="1">
        <f t="shared" si="39"/>
        <v>42064</v>
      </c>
      <c r="C1315">
        <v>173</v>
      </c>
    </row>
    <row r="1316" spans="1:3" x14ac:dyDescent="0.25">
      <c r="A1316" s="1">
        <v>42076</v>
      </c>
      <c r="B1316" s="1">
        <f t="shared" si="39"/>
        <v>42064</v>
      </c>
      <c r="C1316">
        <v>170.4</v>
      </c>
    </row>
    <row r="1317" spans="1:3" x14ac:dyDescent="0.25">
      <c r="A1317" s="1">
        <v>42083</v>
      </c>
      <c r="B1317" s="1">
        <f t="shared" si="39"/>
        <v>42064</v>
      </c>
      <c r="C1317">
        <v>178.7</v>
      </c>
    </row>
    <row r="1318" spans="1:3" x14ac:dyDescent="0.25">
      <c r="A1318" s="1">
        <v>42090</v>
      </c>
      <c r="B1318" s="1">
        <f t="shared" si="39"/>
        <v>42064</v>
      </c>
      <c r="C1318">
        <v>188.9</v>
      </c>
    </row>
    <row r="1319" spans="1:3" x14ac:dyDescent="0.25">
      <c r="A1319" s="1">
        <v>42097</v>
      </c>
      <c r="B1319" s="1">
        <f t="shared" si="39"/>
        <v>42095</v>
      </c>
      <c r="C1319">
        <v>201.8</v>
      </c>
    </row>
    <row r="1320" spans="1:3" x14ac:dyDescent="0.25">
      <c r="A1320" s="1">
        <v>42104</v>
      </c>
      <c r="B1320" s="1">
        <f t="shared" si="39"/>
        <v>42095</v>
      </c>
      <c r="C1320">
        <v>195.6</v>
      </c>
    </row>
    <row r="1321" spans="1:3" x14ac:dyDescent="0.25">
      <c r="A1321" s="1">
        <v>42111</v>
      </c>
      <c r="B1321" s="1">
        <f t="shared" si="39"/>
        <v>42095</v>
      </c>
      <c r="C1321">
        <v>205.4</v>
      </c>
    </row>
    <row r="1322" spans="1:3" x14ac:dyDescent="0.25">
      <c r="A1322" s="1">
        <v>42118</v>
      </c>
      <c r="B1322" s="1">
        <f t="shared" si="39"/>
        <v>42095</v>
      </c>
      <c r="C1322">
        <v>205.4</v>
      </c>
    </row>
    <row r="1323" spans="1:3" x14ac:dyDescent="0.25">
      <c r="A1323" s="1">
        <v>42125</v>
      </c>
      <c r="B1323" s="1">
        <f t="shared" si="39"/>
        <v>42125</v>
      </c>
      <c r="C1323">
        <v>207.1</v>
      </c>
    </row>
    <row r="1324" spans="1:3" x14ac:dyDescent="0.25">
      <c r="A1324" s="1">
        <v>42132</v>
      </c>
      <c r="B1324" s="1">
        <f t="shared" si="39"/>
        <v>42125</v>
      </c>
      <c r="C1324">
        <v>206.7</v>
      </c>
    </row>
    <row r="1325" spans="1:3" x14ac:dyDescent="0.25">
      <c r="A1325" s="1">
        <v>42139</v>
      </c>
      <c r="B1325" s="1">
        <f t="shared" si="39"/>
        <v>42125</v>
      </c>
      <c r="C1325">
        <v>199.1</v>
      </c>
    </row>
    <row r="1326" spans="1:3" x14ac:dyDescent="0.25">
      <c r="A1326" s="1">
        <v>42146</v>
      </c>
      <c r="B1326" s="1">
        <f t="shared" si="39"/>
        <v>42125</v>
      </c>
      <c r="C1326">
        <v>201.5</v>
      </c>
    </row>
    <row r="1327" spans="1:3" x14ac:dyDescent="0.25">
      <c r="A1327" s="1">
        <v>42153</v>
      </c>
      <c r="B1327" s="1">
        <f t="shared" si="39"/>
        <v>42125</v>
      </c>
      <c r="C1327">
        <v>195.4</v>
      </c>
    </row>
    <row r="1328" spans="1:3" x14ac:dyDescent="0.25">
      <c r="A1328" s="1">
        <v>42160</v>
      </c>
      <c r="B1328" s="1">
        <f t="shared" si="39"/>
        <v>42156</v>
      </c>
      <c r="C1328">
        <v>214.3</v>
      </c>
    </row>
    <row r="1329" spans="1:3" x14ac:dyDescent="0.25">
      <c r="A1329" s="1">
        <v>42167</v>
      </c>
      <c r="B1329" s="1">
        <f t="shared" si="39"/>
        <v>42156</v>
      </c>
      <c r="C1329">
        <v>205.4</v>
      </c>
    </row>
    <row r="1330" spans="1:3" x14ac:dyDescent="0.25">
      <c r="A1330" s="1">
        <v>42174</v>
      </c>
      <c r="B1330" s="1">
        <f t="shared" si="39"/>
        <v>42156</v>
      </c>
      <c r="C1330">
        <v>207.8</v>
      </c>
    </row>
    <row r="1331" spans="1:3" x14ac:dyDescent="0.25">
      <c r="A1331" s="1">
        <v>42181</v>
      </c>
      <c r="B1331" s="1">
        <f t="shared" si="39"/>
        <v>42156</v>
      </c>
      <c r="C1331">
        <v>199.2</v>
      </c>
    </row>
    <row r="1332" spans="1:3" x14ac:dyDescent="0.25">
      <c r="A1332" s="1">
        <v>42188</v>
      </c>
      <c r="B1332" s="1">
        <f t="shared" si="39"/>
        <v>42186</v>
      </c>
      <c r="C1332">
        <v>212.4</v>
      </c>
    </row>
    <row r="1333" spans="1:3" x14ac:dyDescent="0.25">
      <c r="A1333" s="1">
        <v>42195</v>
      </c>
      <c r="B1333" s="1">
        <f t="shared" si="39"/>
        <v>42186</v>
      </c>
      <c r="C1333">
        <v>196.4</v>
      </c>
    </row>
    <row r="1334" spans="1:3" x14ac:dyDescent="0.25">
      <c r="A1334" s="1">
        <v>42202</v>
      </c>
      <c r="B1334" s="1">
        <f t="shared" si="39"/>
        <v>42186</v>
      </c>
      <c r="C1334">
        <v>198.3</v>
      </c>
    </row>
    <row r="1335" spans="1:3" x14ac:dyDescent="0.25">
      <c r="A1335" s="1">
        <v>42209</v>
      </c>
      <c r="B1335" s="1">
        <f t="shared" si="39"/>
        <v>42186</v>
      </c>
      <c r="C1335">
        <v>198.1</v>
      </c>
    </row>
    <row r="1336" spans="1:3" x14ac:dyDescent="0.25">
      <c r="A1336" s="1">
        <v>42216</v>
      </c>
      <c r="B1336" s="1">
        <f t="shared" si="39"/>
        <v>42186</v>
      </c>
      <c r="C1336">
        <v>204.6</v>
      </c>
    </row>
    <row r="1337" spans="1:3" x14ac:dyDescent="0.25">
      <c r="A1337" s="1">
        <v>42223</v>
      </c>
      <c r="B1337" s="1">
        <f t="shared" si="39"/>
        <v>42217</v>
      </c>
      <c r="C1337">
        <v>197.4</v>
      </c>
    </row>
    <row r="1338" spans="1:3" x14ac:dyDescent="0.25">
      <c r="A1338" s="1">
        <v>42230</v>
      </c>
      <c r="B1338" s="1">
        <f t="shared" si="39"/>
        <v>42217</v>
      </c>
      <c r="C1338">
        <v>195.3</v>
      </c>
    </row>
    <row r="1339" spans="1:3" x14ac:dyDescent="0.25">
      <c r="A1339" s="1">
        <v>42237</v>
      </c>
      <c r="B1339" s="1">
        <f t="shared" si="39"/>
        <v>42217</v>
      </c>
      <c r="C1339">
        <v>198.7</v>
      </c>
    </row>
    <row r="1340" spans="1:3" x14ac:dyDescent="0.25">
      <c r="A1340" s="1">
        <v>42244</v>
      </c>
      <c r="B1340" s="1">
        <f t="shared" si="39"/>
        <v>42217</v>
      </c>
      <c r="C1340">
        <v>206.9</v>
      </c>
    </row>
    <row r="1341" spans="1:3" x14ac:dyDescent="0.25">
      <c r="A1341" s="1">
        <v>42251</v>
      </c>
      <c r="B1341" s="1">
        <f t="shared" si="39"/>
        <v>42248</v>
      </c>
      <c r="C1341">
        <v>205</v>
      </c>
    </row>
    <row r="1342" spans="1:3" x14ac:dyDescent="0.25">
      <c r="A1342" s="1">
        <v>42258</v>
      </c>
      <c r="B1342" s="1">
        <f t="shared" si="39"/>
        <v>42248</v>
      </c>
      <c r="C1342">
        <v>196.3</v>
      </c>
    </row>
    <row r="1343" spans="1:3" x14ac:dyDescent="0.25">
      <c r="A1343" s="1">
        <v>42265</v>
      </c>
      <c r="B1343" s="1">
        <f t="shared" si="39"/>
        <v>42248</v>
      </c>
      <c r="C1343">
        <v>214.2</v>
      </c>
    </row>
    <row r="1344" spans="1:3" x14ac:dyDescent="0.25">
      <c r="A1344" s="1">
        <v>42272</v>
      </c>
      <c r="B1344" s="1">
        <f t="shared" si="39"/>
        <v>42248</v>
      </c>
      <c r="C1344">
        <v>202.1</v>
      </c>
    </row>
    <row r="1345" spans="1:3" x14ac:dyDescent="0.25">
      <c r="A1345" s="1">
        <v>42279</v>
      </c>
      <c r="B1345" s="1">
        <f t="shared" si="39"/>
        <v>42278</v>
      </c>
      <c r="C1345">
        <v>257.39999999999998</v>
      </c>
    </row>
    <row r="1346" spans="1:3" x14ac:dyDescent="0.25">
      <c r="A1346" s="1">
        <v>42286</v>
      </c>
      <c r="B1346" s="1">
        <f t="shared" si="39"/>
        <v>42278</v>
      </c>
      <c r="C1346">
        <v>169.6</v>
      </c>
    </row>
    <row r="1347" spans="1:3" x14ac:dyDescent="0.25">
      <c r="A1347" s="1">
        <v>42293</v>
      </c>
      <c r="B1347" s="1">
        <f t="shared" ref="B1347:B1382" si="40">A1347-DAY(A1347)+1</f>
        <v>42278</v>
      </c>
      <c r="C1347">
        <v>197.4</v>
      </c>
    </row>
    <row r="1348" spans="1:3" x14ac:dyDescent="0.25">
      <c r="A1348" s="1">
        <v>42300</v>
      </c>
      <c r="B1348" s="1">
        <f t="shared" si="40"/>
        <v>42278</v>
      </c>
      <c r="C1348">
        <v>191.2</v>
      </c>
    </row>
    <row r="1349" spans="1:3" x14ac:dyDescent="0.25">
      <c r="A1349" s="1">
        <v>42307</v>
      </c>
      <c r="B1349" s="1">
        <f t="shared" si="40"/>
        <v>42278</v>
      </c>
      <c r="C1349">
        <v>190</v>
      </c>
    </row>
    <row r="1350" spans="1:3" x14ac:dyDescent="0.25">
      <c r="A1350" s="1">
        <v>42314</v>
      </c>
      <c r="B1350" s="1">
        <f t="shared" si="40"/>
        <v>42309</v>
      </c>
      <c r="C1350">
        <v>190.1</v>
      </c>
    </row>
    <row r="1351" spans="1:3" x14ac:dyDescent="0.25">
      <c r="A1351" s="1">
        <v>42321</v>
      </c>
      <c r="B1351" s="1">
        <f t="shared" si="40"/>
        <v>42309</v>
      </c>
      <c r="C1351">
        <v>212.8</v>
      </c>
    </row>
    <row r="1352" spans="1:3" x14ac:dyDescent="0.25">
      <c r="A1352" s="1">
        <v>42328</v>
      </c>
      <c r="B1352" s="1">
        <f t="shared" si="40"/>
        <v>42309</v>
      </c>
      <c r="C1352">
        <v>211.7</v>
      </c>
    </row>
    <row r="1353" spans="1:3" x14ac:dyDescent="0.25">
      <c r="A1353" s="1">
        <v>42335</v>
      </c>
      <c r="B1353" s="1">
        <f t="shared" si="40"/>
        <v>42309</v>
      </c>
      <c r="C1353">
        <v>228.1</v>
      </c>
    </row>
    <row r="1354" spans="1:3" x14ac:dyDescent="0.25">
      <c r="A1354" s="1">
        <v>42342</v>
      </c>
      <c r="B1354" s="1">
        <f t="shared" si="40"/>
        <v>42339</v>
      </c>
      <c r="C1354">
        <v>228.2</v>
      </c>
    </row>
    <row r="1355" spans="1:3" x14ac:dyDescent="0.25">
      <c r="A1355" s="1">
        <v>42349</v>
      </c>
      <c r="B1355" s="1">
        <f t="shared" si="40"/>
        <v>42339</v>
      </c>
      <c r="C1355">
        <v>221.7</v>
      </c>
    </row>
    <row r="1356" spans="1:3" x14ac:dyDescent="0.25">
      <c r="A1356" s="1">
        <v>42356</v>
      </c>
      <c r="B1356" s="1">
        <f t="shared" si="40"/>
        <v>42339</v>
      </c>
      <c r="C1356">
        <v>230.8</v>
      </c>
    </row>
    <row r="1357" spans="1:3" x14ac:dyDescent="0.25">
      <c r="A1357" s="1">
        <v>42363</v>
      </c>
      <c r="B1357" s="1">
        <f t="shared" si="40"/>
        <v>42339</v>
      </c>
      <c r="C1357">
        <v>220.8</v>
      </c>
    </row>
    <row r="1358" spans="1:3" x14ac:dyDescent="0.25">
      <c r="A1358" s="1">
        <v>42370</v>
      </c>
      <c r="B1358" s="1">
        <f t="shared" si="40"/>
        <v>42370</v>
      </c>
      <c r="C1358">
        <v>196.2</v>
      </c>
    </row>
    <row r="1359" spans="1:3" x14ac:dyDescent="0.25">
      <c r="A1359" s="1">
        <v>42377</v>
      </c>
      <c r="B1359" s="1">
        <f t="shared" si="40"/>
        <v>42370</v>
      </c>
      <c r="C1359">
        <v>231.1</v>
      </c>
    </row>
    <row r="1360" spans="1:3" x14ac:dyDescent="0.25">
      <c r="A1360" s="1">
        <v>42384</v>
      </c>
      <c r="B1360" s="1">
        <f t="shared" si="40"/>
        <v>42370</v>
      </c>
      <c r="C1360">
        <v>227.3</v>
      </c>
    </row>
    <row r="1361" spans="1:3" x14ac:dyDescent="0.25">
      <c r="A1361" s="1">
        <v>42391</v>
      </c>
      <c r="B1361" s="1">
        <f t="shared" si="40"/>
        <v>42370</v>
      </c>
      <c r="C1361">
        <v>237.8</v>
      </c>
    </row>
    <row r="1362" spans="1:3" x14ac:dyDescent="0.25">
      <c r="A1362" s="1">
        <v>42398</v>
      </c>
      <c r="B1362" s="1">
        <f t="shared" si="40"/>
        <v>42370</v>
      </c>
      <c r="C1362">
        <v>221.1</v>
      </c>
    </row>
    <row r="1363" spans="1:3" x14ac:dyDescent="0.25">
      <c r="A1363" s="1">
        <v>42405</v>
      </c>
      <c r="B1363" s="1">
        <f t="shared" si="40"/>
        <v>42401</v>
      </c>
      <c r="C1363">
        <v>221.6</v>
      </c>
    </row>
    <row r="1364" spans="1:3" x14ac:dyDescent="0.25">
      <c r="A1364" s="1">
        <v>42412</v>
      </c>
      <c r="B1364" s="1">
        <f t="shared" si="40"/>
        <v>42401</v>
      </c>
      <c r="C1364">
        <v>213.3</v>
      </c>
    </row>
    <row r="1365" spans="1:3" x14ac:dyDescent="0.25">
      <c r="A1365" s="1">
        <v>42419</v>
      </c>
      <c r="B1365" s="1">
        <f t="shared" si="40"/>
        <v>42401</v>
      </c>
      <c r="C1365">
        <v>217.9</v>
      </c>
    </row>
    <row r="1366" spans="1:3" x14ac:dyDescent="0.25">
      <c r="A1366" s="1">
        <v>42426</v>
      </c>
      <c r="B1366" s="1">
        <f t="shared" si="40"/>
        <v>42401</v>
      </c>
      <c r="C1366">
        <v>216.7</v>
      </c>
    </row>
    <row r="1367" spans="1:3" x14ac:dyDescent="0.25">
      <c r="A1367" s="1">
        <v>42433</v>
      </c>
      <c r="B1367" s="1">
        <f t="shared" si="40"/>
        <v>42430</v>
      </c>
      <c r="C1367">
        <v>225.7</v>
      </c>
    </row>
    <row r="1368" spans="1:3" x14ac:dyDescent="0.25">
      <c r="A1368" s="1">
        <v>42440</v>
      </c>
      <c r="B1368" s="1">
        <f t="shared" si="40"/>
        <v>42430</v>
      </c>
      <c r="C1368">
        <v>226.3</v>
      </c>
    </row>
    <row r="1369" spans="1:3" x14ac:dyDescent="0.25">
      <c r="A1369" s="1">
        <v>42447</v>
      </c>
      <c r="B1369" s="1">
        <f t="shared" si="40"/>
        <v>42430</v>
      </c>
      <c r="C1369">
        <v>224</v>
      </c>
    </row>
    <row r="1370" spans="1:3" x14ac:dyDescent="0.25">
      <c r="A1370" s="1">
        <v>42454</v>
      </c>
      <c r="B1370" s="1">
        <f t="shared" si="40"/>
        <v>42430</v>
      </c>
      <c r="C1370">
        <v>228.6</v>
      </c>
    </row>
    <row r="1371" spans="1:3" x14ac:dyDescent="0.25">
      <c r="A1371" s="1">
        <v>42461</v>
      </c>
      <c r="B1371" s="1">
        <f t="shared" si="40"/>
        <v>42461</v>
      </c>
      <c r="C1371">
        <v>223.1</v>
      </c>
    </row>
    <row r="1372" spans="1:3" x14ac:dyDescent="0.25">
      <c r="A1372" s="1">
        <v>42468</v>
      </c>
      <c r="B1372" s="1">
        <f t="shared" si="40"/>
        <v>42461</v>
      </c>
      <c r="C1372">
        <v>241.9</v>
      </c>
    </row>
    <row r="1373" spans="1:3" x14ac:dyDescent="0.25">
      <c r="A1373" s="1">
        <v>42475</v>
      </c>
      <c r="B1373" s="1">
        <f t="shared" si="40"/>
        <v>42461</v>
      </c>
      <c r="C1373">
        <v>240.8</v>
      </c>
    </row>
    <row r="1374" spans="1:3" x14ac:dyDescent="0.25">
      <c r="A1374" s="1">
        <v>42482</v>
      </c>
      <c r="B1374" s="1">
        <f t="shared" si="40"/>
        <v>42461</v>
      </c>
      <c r="C1374">
        <v>235</v>
      </c>
    </row>
    <row r="1375" spans="1:3" x14ac:dyDescent="0.25">
      <c r="A1375" s="1">
        <v>42489</v>
      </c>
      <c r="B1375" s="1">
        <f t="shared" si="40"/>
        <v>42461</v>
      </c>
      <c r="C1375">
        <v>234.7</v>
      </c>
    </row>
    <row r="1376" spans="1:3" x14ac:dyDescent="0.25">
      <c r="A1376" s="1">
        <v>42496</v>
      </c>
      <c r="B1376" s="1">
        <f t="shared" si="40"/>
        <v>42491</v>
      </c>
      <c r="C1376">
        <v>235.6</v>
      </c>
    </row>
    <row r="1377" spans="1:3" x14ac:dyDescent="0.25">
      <c r="A1377" s="1">
        <v>42503</v>
      </c>
      <c r="B1377" s="1">
        <f t="shared" si="40"/>
        <v>42491</v>
      </c>
      <c r="C1377">
        <v>224.1</v>
      </c>
    </row>
    <row r="1378" spans="1:3" x14ac:dyDescent="0.25">
      <c r="A1378" s="1">
        <v>42510</v>
      </c>
      <c r="B1378" s="1">
        <f t="shared" si="40"/>
        <v>42491</v>
      </c>
      <c r="C1378">
        <v>234.9</v>
      </c>
    </row>
    <row r="1379" spans="1:3" x14ac:dyDescent="0.25">
      <c r="A1379" s="1">
        <v>42517</v>
      </c>
      <c r="B1379" s="1">
        <f t="shared" si="40"/>
        <v>42491</v>
      </c>
      <c r="C1379">
        <v>223.8</v>
      </c>
    </row>
    <row r="1380" spans="1:3" x14ac:dyDescent="0.25">
      <c r="A1380" s="1">
        <v>42524</v>
      </c>
      <c r="B1380" s="1">
        <f t="shared" si="40"/>
        <v>42522</v>
      </c>
      <c r="C1380">
        <v>249.9</v>
      </c>
    </row>
    <row r="1381" spans="1:3" x14ac:dyDescent="0.25">
      <c r="A1381" s="1">
        <v>42531</v>
      </c>
      <c r="B1381" s="1">
        <f t="shared" si="40"/>
        <v>42522</v>
      </c>
      <c r="C1381">
        <v>237.6</v>
      </c>
    </row>
    <row r="1382" spans="1:3" x14ac:dyDescent="0.25">
      <c r="A1382" s="1">
        <v>42538</v>
      </c>
      <c r="B1382" s="1">
        <f t="shared" si="40"/>
        <v>42522</v>
      </c>
      <c r="C1382">
        <v>231.9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7" tint="0.79998168889431442"/>
  </sheetPr>
  <dimension ref="A1:D210"/>
  <sheetViews>
    <sheetView topLeftCell="A124" workbookViewId="0">
      <selection activeCell="C2" sqref="C2:C210"/>
    </sheetView>
  </sheetViews>
  <sheetFormatPr defaultRowHeight="15" x14ac:dyDescent="0.25"/>
  <cols>
    <col min="1" max="1" width="10.7109375" bestFit="1" customWidth="1"/>
    <col min="2" max="2" width="10.7109375" customWidth="1"/>
    <col min="3" max="3" width="25.5703125" bestFit="1" customWidth="1"/>
  </cols>
  <sheetData>
    <row r="1" spans="1:4" x14ac:dyDescent="0.25">
      <c r="C1" t="s">
        <v>22</v>
      </c>
      <c r="D1" t="s">
        <v>19</v>
      </c>
    </row>
    <row r="2" spans="1:4" x14ac:dyDescent="0.25">
      <c r="A2" s="1">
        <v>36191</v>
      </c>
      <c r="B2" s="1">
        <f>A2-DAY(A2)+1</f>
        <v>36161</v>
      </c>
      <c r="C2" s="8">
        <f>'[1]Housing Stock'!S5</f>
        <v>70097</v>
      </c>
      <c r="D2">
        <f>C2/$C$2</f>
        <v>1</v>
      </c>
    </row>
    <row r="3" spans="1:4" x14ac:dyDescent="0.25">
      <c r="A3" s="1">
        <v>36219</v>
      </c>
      <c r="B3" s="1">
        <f t="shared" ref="B3:B66" si="0">A3-DAY(A3)+1</f>
        <v>36192</v>
      </c>
      <c r="C3" s="8">
        <f>'[1]Housing Stock'!S6</f>
        <v>70193.083333333328</v>
      </c>
      <c r="D3">
        <f t="shared" ref="D3:D66" si="1">C3/$C$2</f>
        <v>1.0013707196218573</v>
      </c>
    </row>
    <row r="4" spans="1:4" x14ac:dyDescent="0.25">
      <c r="A4" s="1">
        <v>36250</v>
      </c>
      <c r="B4" s="1">
        <f t="shared" si="0"/>
        <v>36220</v>
      </c>
      <c r="C4" s="8">
        <f>'[1]Housing Stock'!S7</f>
        <v>70289.166666666672</v>
      </c>
      <c r="D4">
        <f t="shared" si="1"/>
        <v>1.0027414392437148</v>
      </c>
    </row>
    <row r="5" spans="1:4" x14ac:dyDescent="0.25">
      <c r="A5" s="1">
        <v>36280</v>
      </c>
      <c r="B5" s="1">
        <f t="shared" si="0"/>
        <v>36251</v>
      </c>
      <c r="C5" s="8">
        <f>'[1]Housing Stock'!S8</f>
        <v>70385.25</v>
      </c>
      <c r="D5">
        <f t="shared" si="1"/>
        <v>1.0041121588655719</v>
      </c>
    </row>
    <row r="6" spans="1:4" x14ac:dyDescent="0.25">
      <c r="A6" s="1">
        <v>36311</v>
      </c>
      <c r="B6" s="1">
        <f t="shared" si="0"/>
        <v>36281</v>
      </c>
      <c r="C6" s="8">
        <f>'[1]Housing Stock'!S9</f>
        <v>70481.333333333328</v>
      </c>
      <c r="D6">
        <f t="shared" si="1"/>
        <v>1.0054828784874292</v>
      </c>
    </row>
    <row r="7" spans="1:4" x14ac:dyDescent="0.25">
      <c r="A7" s="1">
        <v>36341</v>
      </c>
      <c r="B7" s="1">
        <f t="shared" si="0"/>
        <v>36312</v>
      </c>
      <c r="C7" s="8">
        <f>'[1]Housing Stock'!S10</f>
        <v>70577.416666666672</v>
      </c>
      <c r="D7">
        <f t="shared" si="1"/>
        <v>1.0068535981092868</v>
      </c>
    </row>
    <row r="8" spans="1:4" x14ac:dyDescent="0.25">
      <c r="A8" s="1">
        <v>36372</v>
      </c>
      <c r="B8" s="1">
        <f t="shared" si="0"/>
        <v>36342</v>
      </c>
      <c r="C8" s="8">
        <f>'[1]Housing Stock'!S11</f>
        <v>70673.5</v>
      </c>
      <c r="D8">
        <f t="shared" si="1"/>
        <v>1.0082243177311441</v>
      </c>
    </row>
    <row r="9" spans="1:4" x14ac:dyDescent="0.25">
      <c r="A9" s="1">
        <v>36403</v>
      </c>
      <c r="B9" s="1">
        <f t="shared" si="0"/>
        <v>36373</v>
      </c>
      <c r="C9" s="8">
        <f>'[1]Housing Stock'!S12</f>
        <v>70769.583333333328</v>
      </c>
      <c r="D9">
        <f t="shared" si="1"/>
        <v>1.0095950373530012</v>
      </c>
    </row>
    <row r="10" spans="1:4" x14ac:dyDescent="0.25">
      <c r="A10" s="1">
        <v>36433</v>
      </c>
      <c r="B10" s="1">
        <f t="shared" si="0"/>
        <v>36404</v>
      </c>
      <c r="C10" s="8">
        <f>'[1]Housing Stock'!S13</f>
        <v>70865.666666666672</v>
      </c>
      <c r="D10">
        <f t="shared" si="1"/>
        <v>1.0109657569748587</v>
      </c>
    </row>
    <row r="11" spans="1:4" x14ac:dyDescent="0.25">
      <c r="A11" s="1">
        <v>36464</v>
      </c>
      <c r="B11" s="1">
        <f t="shared" si="0"/>
        <v>36434</v>
      </c>
      <c r="C11" s="8">
        <f>'[1]Housing Stock'!S14</f>
        <v>70961.75</v>
      </c>
      <c r="D11">
        <f t="shared" si="1"/>
        <v>1.012336476596716</v>
      </c>
    </row>
    <row r="12" spans="1:4" x14ac:dyDescent="0.25">
      <c r="A12" s="1">
        <v>36494</v>
      </c>
      <c r="B12" s="1">
        <f t="shared" si="0"/>
        <v>36465</v>
      </c>
      <c r="C12" s="8">
        <f>'[1]Housing Stock'!S15</f>
        <v>71057.833333333328</v>
      </c>
      <c r="D12">
        <f t="shared" si="1"/>
        <v>1.0137071962185733</v>
      </c>
    </row>
    <row r="13" spans="1:4" x14ac:dyDescent="0.25">
      <c r="A13" s="1">
        <v>36525</v>
      </c>
      <c r="B13" s="1">
        <f t="shared" si="0"/>
        <v>36495</v>
      </c>
      <c r="C13" s="8">
        <f>'[1]Housing Stock'!S16</f>
        <v>71153.916666666672</v>
      </c>
      <c r="D13">
        <f t="shared" si="1"/>
        <v>1.0150779158404306</v>
      </c>
    </row>
    <row r="14" spans="1:4" x14ac:dyDescent="0.25">
      <c r="A14" s="1">
        <v>36556</v>
      </c>
      <c r="B14" s="1">
        <f t="shared" si="0"/>
        <v>36526</v>
      </c>
      <c r="C14" s="8">
        <f>'[1]Housing Stock'!S17</f>
        <v>71250</v>
      </c>
      <c r="D14">
        <f t="shared" si="1"/>
        <v>1.0164486354622879</v>
      </c>
    </row>
    <row r="15" spans="1:4" x14ac:dyDescent="0.25">
      <c r="A15" s="1">
        <v>36585</v>
      </c>
      <c r="B15" s="1">
        <f t="shared" si="0"/>
        <v>36557</v>
      </c>
      <c r="C15" s="8">
        <f>'[1]Housing Stock'!S18</f>
        <v>71361.916666666672</v>
      </c>
      <c r="D15">
        <f t="shared" si="1"/>
        <v>1.0180452325586926</v>
      </c>
    </row>
    <row r="16" spans="1:4" x14ac:dyDescent="0.25">
      <c r="A16" s="1">
        <v>36616</v>
      </c>
      <c r="B16" s="1">
        <f t="shared" si="0"/>
        <v>36586</v>
      </c>
      <c r="C16" s="8">
        <f>'[1]Housing Stock'!S19</f>
        <v>71473.833333333328</v>
      </c>
      <c r="D16">
        <f t="shared" si="1"/>
        <v>1.0196418296550969</v>
      </c>
    </row>
    <row r="17" spans="1:4" x14ac:dyDescent="0.25">
      <c r="A17" s="1">
        <v>36646</v>
      </c>
      <c r="B17" s="1">
        <f t="shared" si="0"/>
        <v>36617</v>
      </c>
      <c r="C17" s="8">
        <f>'[1]Housing Stock'!S20</f>
        <v>71585.75</v>
      </c>
      <c r="D17">
        <f t="shared" si="1"/>
        <v>1.0212384267515016</v>
      </c>
    </row>
    <row r="18" spans="1:4" x14ac:dyDescent="0.25">
      <c r="A18" s="1">
        <v>36677</v>
      </c>
      <c r="B18" s="1">
        <f t="shared" si="0"/>
        <v>36647</v>
      </c>
      <c r="C18" s="8">
        <f>'[1]Housing Stock'!S21</f>
        <v>71697.666666666672</v>
      </c>
      <c r="D18">
        <f t="shared" si="1"/>
        <v>1.022835023847906</v>
      </c>
    </row>
    <row r="19" spans="1:4" x14ac:dyDescent="0.25">
      <c r="A19" s="1">
        <v>36707</v>
      </c>
      <c r="B19" s="1">
        <f t="shared" si="0"/>
        <v>36678</v>
      </c>
      <c r="C19" s="8">
        <f>'[1]Housing Stock'!S22</f>
        <v>71809.583333333328</v>
      </c>
      <c r="D19">
        <f t="shared" si="1"/>
        <v>1.0244316209443105</v>
      </c>
    </row>
    <row r="20" spans="1:4" x14ac:dyDescent="0.25">
      <c r="A20" s="1">
        <v>36738</v>
      </c>
      <c r="B20" s="1">
        <f t="shared" si="0"/>
        <v>36708</v>
      </c>
      <c r="C20" s="8">
        <f>'[1]Housing Stock'!S23</f>
        <v>71921.5</v>
      </c>
      <c r="D20">
        <f t="shared" si="1"/>
        <v>1.026028218040715</v>
      </c>
    </row>
    <row r="21" spans="1:4" x14ac:dyDescent="0.25">
      <c r="A21" s="1">
        <v>36769</v>
      </c>
      <c r="B21" s="1">
        <f t="shared" si="0"/>
        <v>36739</v>
      </c>
      <c r="C21" s="8">
        <f>'[1]Housing Stock'!S24</f>
        <v>72033.416666666672</v>
      </c>
      <c r="D21">
        <f t="shared" si="1"/>
        <v>1.0276248151371197</v>
      </c>
    </row>
    <row r="22" spans="1:4" x14ac:dyDescent="0.25">
      <c r="A22" s="1">
        <v>36799</v>
      </c>
      <c r="B22" s="1">
        <f t="shared" si="0"/>
        <v>36770</v>
      </c>
      <c r="C22" s="8">
        <f>'[1]Housing Stock'!S25</f>
        <v>72145.333333333328</v>
      </c>
      <c r="D22">
        <f t="shared" si="1"/>
        <v>1.0292214122335239</v>
      </c>
    </row>
    <row r="23" spans="1:4" x14ac:dyDescent="0.25">
      <c r="A23" s="1">
        <v>36830</v>
      </c>
      <c r="B23" s="1">
        <f t="shared" si="0"/>
        <v>36800</v>
      </c>
      <c r="C23" s="8">
        <f>'[1]Housing Stock'!S26</f>
        <v>72257.25</v>
      </c>
      <c r="D23">
        <f t="shared" si="1"/>
        <v>1.0308180093299286</v>
      </c>
    </row>
    <row r="24" spans="1:4" x14ac:dyDescent="0.25">
      <c r="A24" s="1">
        <v>36860</v>
      </c>
      <c r="B24" s="1">
        <f t="shared" si="0"/>
        <v>36831</v>
      </c>
      <c r="C24" s="8">
        <f>'[1]Housing Stock'!S27</f>
        <v>72369.166666666672</v>
      </c>
      <c r="D24">
        <f t="shared" si="1"/>
        <v>1.0324146064263331</v>
      </c>
    </row>
    <row r="25" spans="1:4" x14ac:dyDescent="0.25">
      <c r="A25" s="1">
        <v>36891</v>
      </c>
      <c r="B25" s="1">
        <f t="shared" si="0"/>
        <v>36861</v>
      </c>
      <c r="C25" s="8">
        <f>'[1]Housing Stock'!S28</f>
        <v>72481.083333333328</v>
      </c>
      <c r="D25">
        <f t="shared" si="1"/>
        <v>1.0340112035227376</v>
      </c>
    </row>
    <row r="26" spans="1:4" x14ac:dyDescent="0.25">
      <c r="A26" s="1">
        <v>36922</v>
      </c>
      <c r="B26" s="1">
        <f t="shared" si="0"/>
        <v>36892</v>
      </c>
      <c r="C26" s="8">
        <f>'[1]Housing Stock'!S29</f>
        <v>72593</v>
      </c>
      <c r="D26">
        <f t="shared" si="1"/>
        <v>1.035607800619142</v>
      </c>
    </row>
    <row r="27" spans="1:4" x14ac:dyDescent="0.25">
      <c r="A27" s="1">
        <v>36950</v>
      </c>
      <c r="B27" s="1">
        <f t="shared" si="0"/>
        <v>36923</v>
      </c>
      <c r="C27" s="8">
        <f>'[1]Housing Stock'!S30</f>
        <v>72686.333333333328</v>
      </c>
      <c r="D27">
        <f t="shared" si="1"/>
        <v>1.036939288890157</v>
      </c>
    </row>
    <row r="28" spans="1:4" x14ac:dyDescent="0.25">
      <c r="A28" s="1">
        <v>36981</v>
      </c>
      <c r="B28" s="1">
        <f t="shared" si="0"/>
        <v>36951</v>
      </c>
      <c r="C28" s="8">
        <f>'[1]Housing Stock'!S31</f>
        <v>72779.666666666672</v>
      </c>
      <c r="D28">
        <f t="shared" si="1"/>
        <v>1.0382707771611719</v>
      </c>
    </row>
    <row r="29" spans="1:4" x14ac:dyDescent="0.25">
      <c r="A29" s="1">
        <v>37011</v>
      </c>
      <c r="B29" s="1">
        <f t="shared" si="0"/>
        <v>36982</v>
      </c>
      <c r="C29" s="8">
        <f>'[1]Housing Stock'!S32</f>
        <v>72873</v>
      </c>
      <c r="D29">
        <f t="shared" si="1"/>
        <v>1.0396022654321868</v>
      </c>
    </row>
    <row r="30" spans="1:4" x14ac:dyDescent="0.25">
      <c r="A30" s="1">
        <v>37042</v>
      </c>
      <c r="B30" s="1">
        <f t="shared" si="0"/>
        <v>37012</v>
      </c>
      <c r="C30" s="8">
        <f>'[1]Housing Stock'!S33</f>
        <v>72966.333333333328</v>
      </c>
      <c r="D30">
        <f t="shared" si="1"/>
        <v>1.0409337537032017</v>
      </c>
    </row>
    <row r="31" spans="1:4" x14ac:dyDescent="0.25">
      <c r="A31" s="1">
        <v>37072</v>
      </c>
      <c r="B31" s="1">
        <f t="shared" si="0"/>
        <v>37043</v>
      </c>
      <c r="C31" s="8">
        <f>'[1]Housing Stock'!S34</f>
        <v>73059.666666666672</v>
      </c>
      <c r="D31">
        <f t="shared" si="1"/>
        <v>1.0422652419742167</v>
      </c>
    </row>
    <row r="32" spans="1:4" x14ac:dyDescent="0.25">
      <c r="A32" s="1">
        <v>37103</v>
      </c>
      <c r="B32" s="1">
        <f t="shared" si="0"/>
        <v>37073</v>
      </c>
      <c r="C32" s="8">
        <f>'[1]Housing Stock'!S35</f>
        <v>73153</v>
      </c>
      <c r="D32">
        <f t="shared" si="1"/>
        <v>1.0435967302452316</v>
      </c>
    </row>
    <row r="33" spans="1:4" x14ac:dyDescent="0.25">
      <c r="A33" s="1">
        <v>37134</v>
      </c>
      <c r="B33" s="1">
        <f t="shared" si="0"/>
        <v>37104</v>
      </c>
      <c r="C33" s="8">
        <f>'[1]Housing Stock'!S36</f>
        <v>73246.333333333328</v>
      </c>
      <c r="D33">
        <f t="shared" si="1"/>
        <v>1.0449282185162465</v>
      </c>
    </row>
    <row r="34" spans="1:4" x14ac:dyDescent="0.25">
      <c r="A34" s="1">
        <v>37164</v>
      </c>
      <c r="B34" s="1">
        <f t="shared" si="0"/>
        <v>37135</v>
      </c>
      <c r="C34" s="8">
        <f>'[1]Housing Stock'!S37</f>
        <v>73339.666666666672</v>
      </c>
      <c r="D34">
        <f t="shared" si="1"/>
        <v>1.0462597067872614</v>
      </c>
    </row>
    <row r="35" spans="1:4" x14ac:dyDescent="0.25">
      <c r="A35" s="1">
        <v>37195</v>
      </c>
      <c r="B35" s="1">
        <f t="shared" si="0"/>
        <v>37165</v>
      </c>
      <c r="C35" s="8">
        <f>'[1]Housing Stock'!S38</f>
        <v>73433</v>
      </c>
      <c r="D35">
        <f t="shared" si="1"/>
        <v>1.0475911950582764</v>
      </c>
    </row>
    <row r="36" spans="1:4" x14ac:dyDescent="0.25">
      <c r="A36" s="1">
        <v>37225</v>
      </c>
      <c r="B36" s="1">
        <f t="shared" si="0"/>
        <v>37196</v>
      </c>
      <c r="C36" s="8">
        <f>'[1]Housing Stock'!S39</f>
        <v>73526.333333333328</v>
      </c>
      <c r="D36">
        <f t="shared" si="1"/>
        <v>1.0489226833292913</v>
      </c>
    </row>
    <row r="37" spans="1:4" x14ac:dyDescent="0.25">
      <c r="A37" s="1">
        <v>37256</v>
      </c>
      <c r="B37" s="1">
        <f t="shared" si="0"/>
        <v>37226</v>
      </c>
      <c r="C37" s="8">
        <f>'[1]Housing Stock'!S40</f>
        <v>73619.666666666672</v>
      </c>
      <c r="D37">
        <f t="shared" si="1"/>
        <v>1.0502541716003062</v>
      </c>
    </row>
    <row r="38" spans="1:4" x14ac:dyDescent="0.25">
      <c r="A38" s="1">
        <v>37287</v>
      </c>
      <c r="B38" s="1">
        <f t="shared" si="0"/>
        <v>37257</v>
      </c>
      <c r="C38" s="8">
        <f>'[1]Housing Stock'!S41</f>
        <v>73713</v>
      </c>
      <c r="D38">
        <f t="shared" si="1"/>
        <v>1.0515856598713211</v>
      </c>
    </row>
    <row r="39" spans="1:4" x14ac:dyDescent="0.25">
      <c r="A39" s="1">
        <v>37315</v>
      </c>
      <c r="B39" s="1">
        <f t="shared" si="0"/>
        <v>37288</v>
      </c>
      <c r="C39" s="8">
        <f>'[1]Housing Stock'!S42</f>
        <v>73510.083333333328</v>
      </c>
      <c r="D39">
        <f t="shared" si="1"/>
        <v>1.0486908617106769</v>
      </c>
    </row>
    <row r="40" spans="1:4" x14ac:dyDescent="0.25">
      <c r="A40" s="1">
        <v>37346</v>
      </c>
      <c r="B40" s="1">
        <f t="shared" si="0"/>
        <v>37316</v>
      </c>
      <c r="C40" s="8">
        <f>'[1]Housing Stock'!S43</f>
        <v>73307.166666666672</v>
      </c>
      <c r="D40">
        <f t="shared" si="1"/>
        <v>1.0457960635500332</v>
      </c>
    </row>
    <row r="41" spans="1:4" x14ac:dyDescent="0.25">
      <c r="A41" s="1">
        <v>37376</v>
      </c>
      <c r="B41" s="1">
        <f t="shared" si="0"/>
        <v>37347</v>
      </c>
      <c r="C41" s="8">
        <f>'[1]Housing Stock'!S44</f>
        <v>73104.25</v>
      </c>
      <c r="D41">
        <f t="shared" si="1"/>
        <v>1.042901265389389</v>
      </c>
    </row>
    <row r="42" spans="1:4" x14ac:dyDescent="0.25">
      <c r="A42" s="1">
        <v>37407</v>
      </c>
      <c r="B42" s="1">
        <f t="shared" si="0"/>
        <v>37377</v>
      </c>
      <c r="C42" s="8">
        <f>'[1]Housing Stock'!S45</f>
        <v>72901.333333333328</v>
      </c>
      <c r="D42">
        <f t="shared" si="1"/>
        <v>1.0400064672287448</v>
      </c>
    </row>
    <row r="43" spans="1:4" x14ac:dyDescent="0.25">
      <c r="A43" s="1">
        <v>37437</v>
      </c>
      <c r="B43" s="1">
        <f t="shared" si="0"/>
        <v>37408</v>
      </c>
      <c r="C43" s="8">
        <f>'[1]Housing Stock'!S46</f>
        <v>72698.416666666672</v>
      </c>
      <c r="D43">
        <f t="shared" si="1"/>
        <v>1.037111669068101</v>
      </c>
    </row>
    <row r="44" spans="1:4" x14ac:dyDescent="0.25">
      <c r="A44" s="1">
        <v>37468</v>
      </c>
      <c r="B44" s="1">
        <f t="shared" si="0"/>
        <v>37438</v>
      </c>
      <c r="C44" s="8">
        <f>'[1]Housing Stock'!S47</f>
        <v>72495.5</v>
      </c>
      <c r="D44">
        <f t="shared" si="1"/>
        <v>1.0342168709074568</v>
      </c>
    </row>
    <row r="45" spans="1:4" x14ac:dyDescent="0.25">
      <c r="A45" s="1">
        <v>37499</v>
      </c>
      <c r="B45" s="1">
        <f t="shared" si="0"/>
        <v>37469</v>
      </c>
      <c r="C45" s="8">
        <f>'[1]Housing Stock'!S48</f>
        <v>72292.583333333328</v>
      </c>
      <c r="D45">
        <f t="shared" si="1"/>
        <v>1.0313220727468126</v>
      </c>
    </row>
    <row r="46" spans="1:4" x14ac:dyDescent="0.25">
      <c r="A46" s="1">
        <v>37529</v>
      </c>
      <c r="B46" s="1">
        <f t="shared" si="0"/>
        <v>37500</v>
      </c>
      <c r="C46" s="8">
        <f>'[1]Housing Stock'!S49</f>
        <v>72089.666666666672</v>
      </c>
      <c r="D46">
        <f t="shared" si="1"/>
        <v>1.0284272745861687</v>
      </c>
    </row>
    <row r="47" spans="1:4" x14ac:dyDescent="0.25">
      <c r="A47" s="1">
        <v>37560</v>
      </c>
      <c r="B47" s="1">
        <f t="shared" si="0"/>
        <v>37530</v>
      </c>
      <c r="C47" s="8">
        <f>'[1]Housing Stock'!S50</f>
        <v>71886.75</v>
      </c>
      <c r="D47">
        <f t="shared" si="1"/>
        <v>1.0255324764255247</v>
      </c>
    </row>
    <row r="48" spans="1:4" x14ac:dyDescent="0.25">
      <c r="A48" s="1">
        <v>37590</v>
      </c>
      <c r="B48" s="1">
        <f t="shared" si="0"/>
        <v>37561</v>
      </c>
      <c r="C48" s="8">
        <f>'[1]Housing Stock'!S51</f>
        <v>71683.833333333328</v>
      </c>
      <c r="D48">
        <f t="shared" si="1"/>
        <v>1.0226376782648805</v>
      </c>
    </row>
    <row r="49" spans="1:4" x14ac:dyDescent="0.25">
      <c r="A49" s="1">
        <v>37621</v>
      </c>
      <c r="B49" s="1">
        <f t="shared" si="0"/>
        <v>37591</v>
      </c>
      <c r="C49" s="8">
        <f>'[1]Housing Stock'!S52</f>
        <v>71480.916666666672</v>
      </c>
      <c r="D49">
        <f t="shared" si="1"/>
        <v>1.0197428801042365</v>
      </c>
    </row>
    <row r="50" spans="1:4" x14ac:dyDescent="0.25">
      <c r="A50" s="1">
        <v>37652</v>
      </c>
      <c r="B50" s="1">
        <f t="shared" si="0"/>
        <v>37622</v>
      </c>
      <c r="C50" s="8">
        <f>'[1]Housing Stock'!S53</f>
        <v>71278</v>
      </c>
      <c r="D50">
        <f t="shared" si="1"/>
        <v>1.0168480819435926</v>
      </c>
    </row>
    <row r="51" spans="1:4" x14ac:dyDescent="0.25">
      <c r="A51" s="1">
        <v>37680</v>
      </c>
      <c r="B51" s="1">
        <f t="shared" si="0"/>
        <v>37653</v>
      </c>
      <c r="C51" s="8">
        <f>'[1]Housing Stock'!S54</f>
        <v>71342.666666666672</v>
      </c>
      <c r="D51">
        <f t="shared" si="1"/>
        <v>1.0177706131027957</v>
      </c>
    </row>
    <row r="52" spans="1:4" x14ac:dyDescent="0.25">
      <c r="A52" s="1">
        <v>37711</v>
      </c>
      <c r="B52" s="1">
        <f t="shared" si="0"/>
        <v>37681</v>
      </c>
      <c r="C52" s="8">
        <f>'[1]Housing Stock'!S55</f>
        <v>71407.333333333328</v>
      </c>
      <c r="D52">
        <f t="shared" si="1"/>
        <v>1.0186931442619989</v>
      </c>
    </row>
    <row r="53" spans="1:4" x14ac:dyDescent="0.25">
      <c r="A53" s="1">
        <v>37741</v>
      </c>
      <c r="B53" s="1">
        <f t="shared" si="0"/>
        <v>37712</v>
      </c>
      <c r="C53" s="8">
        <f>'[1]Housing Stock'!S56</f>
        <v>71472</v>
      </c>
      <c r="D53">
        <f t="shared" si="1"/>
        <v>1.019615675421202</v>
      </c>
    </row>
    <row r="54" spans="1:4" x14ac:dyDescent="0.25">
      <c r="A54" s="1">
        <v>37772</v>
      </c>
      <c r="B54" s="1">
        <f t="shared" si="0"/>
        <v>37742</v>
      </c>
      <c r="C54" s="8">
        <f>'[1]Housing Stock'!S57</f>
        <v>71536.666666666672</v>
      </c>
      <c r="D54">
        <f t="shared" si="1"/>
        <v>1.0205382065804054</v>
      </c>
    </row>
    <row r="55" spans="1:4" x14ac:dyDescent="0.25">
      <c r="A55" s="1">
        <v>37802</v>
      </c>
      <c r="B55" s="1">
        <f t="shared" si="0"/>
        <v>37773</v>
      </c>
      <c r="C55" s="8">
        <f>'[1]Housing Stock'!S58</f>
        <v>71601.333333333328</v>
      </c>
      <c r="D55">
        <f t="shared" si="1"/>
        <v>1.0214607377396083</v>
      </c>
    </row>
    <row r="56" spans="1:4" x14ac:dyDescent="0.25">
      <c r="A56" s="1">
        <v>37833</v>
      </c>
      <c r="B56" s="1">
        <f t="shared" si="0"/>
        <v>37803</v>
      </c>
      <c r="C56" s="8">
        <f>'[1]Housing Stock'!S59</f>
        <v>71666</v>
      </c>
      <c r="D56">
        <f t="shared" si="1"/>
        <v>1.0223832688988117</v>
      </c>
    </row>
    <row r="57" spans="1:4" x14ac:dyDescent="0.25">
      <c r="A57" s="1">
        <v>37864</v>
      </c>
      <c r="B57" s="1">
        <f t="shared" si="0"/>
        <v>37834</v>
      </c>
      <c r="C57" s="8">
        <f>'[1]Housing Stock'!S60</f>
        <v>71730.666666666672</v>
      </c>
      <c r="D57">
        <f t="shared" si="1"/>
        <v>1.0233058000580149</v>
      </c>
    </row>
    <row r="58" spans="1:4" x14ac:dyDescent="0.25">
      <c r="A58" s="1">
        <v>37894</v>
      </c>
      <c r="B58" s="1">
        <f t="shared" si="0"/>
        <v>37865</v>
      </c>
      <c r="C58" s="8">
        <f>'[1]Housing Stock'!S61</f>
        <v>71795.333333333328</v>
      </c>
      <c r="D58">
        <f t="shared" si="1"/>
        <v>1.024228331217218</v>
      </c>
    </row>
    <row r="59" spans="1:4" x14ac:dyDescent="0.25">
      <c r="A59" s="1">
        <v>37925</v>
      </c>
      <c r="B59" s="1">
        <f t="shared" si="0"/>
        <v>37895</v>
      </c>
      <c r="C59" s="8">
        <f>'[1]Housing Stock'!S62</f>
        <v>71860</v>
      </c>
      <c r="D59">
        <f t="shared" si="1"/>
        <v>1.0251508623764212</v>
      </c>
    </row>
    <row r="60" spans="1:4" x14ac:dyDescent="0.25">
      <c r="A60" s="1">
        <v>37955</v>
      </c>
      <c r="B60" s="1">
        <f t="shared" si="0"/>
        <v>37926</v>
      </c>
      <c r="C60" s="8">
        <f>'[1]Housing Stock'!S63</f>
        <v>71924.666666666672</v>
      </c>
      <c r="D60">
        <f t="shared" si="1"/>
        <v>1.0260733935356245</v>
      </c>
    </row>
    <row r="61" spans="1:4" x14ac:dyDescent="0.25">
      <c r="A61" s="1">
        <v>37986</v>
      </c>
      <c r="B61" s="1">
        <f t="shared" si="0"/>
        <v>37956</v>
      </c>
      <c r="C61" s="8">
        <f>'[1]Housing Stock'!S64</f>
        <v>71989.333333333328</v>
      </c>
      <c r="D61">
        <f t="shared" si="1"/>
        <v>1.0269959246948275</v>
      </c>
    </row>
    <row r="62" spans="1:4" x14ac:dyDescent="0.25">
      <c r="A62" s="1">
        <v>38017</v>
      </c>
      <c r="B62" s="1">
        <f t="shared" si="0"/>
        <v>37987</v>
      </c>
      <c r="C62" s="8">
        <f>'[1]Housing Stock'!S65</f>
        <v>72054</v>
      </c>
      <c r="D62">
        <f t="shared" si="1"/>
        <v>1.0279184558540309</v>
      </c>
    </row>
    <row r="63" spans="1:4" x14ac:dyDescent="0.25">
      <c r="A63" s="1">
        <v>38046</v>
      </c>
      <c r="B63" s="1">
        <f t="shared" si="0"/>
        <v>38018</v>
      </c>
      <c r="C63" s="8">
        <f>'[1]Housing Stock'!S66</f>
        <v>72180.75</v>
      </c>
      <c r="D63">
        <f t="shared" si="1"/>
        <v>1.0297266644792216</v>
      </c>
    </row>
    <row r="64" spans="1:4" x14ac:dyDescent="0.25">
      <c r="A64" s="1">
        <v>38077</v>
      </c>
      <c r="B64" s="1">
        <f t="shared" si="0"/>
        <v>38047</v>
      </c>
      <c r="C64" s="8">
        <f>'[1]Housing Stock'!S67</f>
        <v>72307.5</v>
      </c>
      <c r="D64">
        <f t="shared" si="1"/>
        <v>1.0315348731044125</v>
      </c>
    </row>
    <row r="65" spans="1:4" x14ac:dyDescent="0.25">
      <c r="A65" s="1">
        <v>38107</v>
      </c>
      <c r="B65" s="1">
        <f t="shared" si="0"/>
        <v>38078</v>
      </c>
      <c r="C65" s="8">
        <f>'[1]Housing Stock'!S68</f>
        <v>72434.25</v>
      </c>
      <c r="D65">
        <f t="shared" si="1"/>
        <v>1.0333430817296032</v>
      </c>
    </row>
    <row r="66" spans="1:4" x14ac:dyDescent="0.25">
      <c r="A66" s="1">
        <v>38138</v>
      </c>
      <c r="B66" s="1">
        <f t="shared" si="0"/>
        <v>38108</v>
      </c>
      <c r="C66" s="8">
        <f>'[1]Housing Stock'!S69</f>
        <v>72561</v>
      </c>
      <c r="D66">
        <f t="shared" si="1"/>
        <v>1.0351512903547941</v>
      </c>
    </row>
    <row r="67" spans="1:4" x14ac:dyDescent="0.25">
      <c r="A67" s="1">
        <v>38168</v>
      </c>
      <c r="B67" s="1">
        <f t="shared" ref="B67:B130" si="2">A67-DAY(A67)+1</f>
        <v>38139</v>
      </c>
      <c r="C67" s="8">
        <f>'[1]Housing Stock'!S70</f>
        <v>72687.75</v>
      </c>
      <c r="D67">
        <f t="shared" ref="D67:D130" si="3">C67/$C$2</f>
        <v>1.0369594989799849</v>
      </c>
    </row>
    <row r="68" spans="1:4" x14ac:dyDescent="0.25">
      <c r="A68" s="1">
        <v>38199</v>
      </c>
      <c r="B68" s="1">
        <f t="shared" si="2"/>
        <v>38169</v>
      </c>
      <c r="C68" s="8">
        <f>'[1]Housing Stock'!S71</f>
        <v>72814.5</v>
      </c>
      <c r="D68">
        <f t="shared" si="3"/>
        <v>1.0387677076051758</v>
      </c>
    </row>
    <row r="69" spans="1:4" x14ac:dyDescent="0.25">
      <c r="A69" s="1">
        <v>38230</v>
      </c>
      <c r="B69" s="1">
        <f t="shared" si="2"/>
        <v>38200</v>
      </c>
      <c r="C69" s="8">
        <f>'[1]Housing Stock'!S72</f>
        <v>72941.25</v>
      </c>
      <c r="D69">
        <f t="shared" si="3"/>
        <v>1.0405759162303665</v>
      </c>
    </row>
    <row r="70" spans="1:4" x14ac:dyDescent="0.25">
      <c r="A70" s="1">
        <v>38260</v>
      </c>
      <c r="B70" s="1">
        <f t="shared" si="2"/>
        <v>38231</v>
      </c>
      <c r="C70" s="8">
        <f>'[1]Housing Stock'!S73</f>
        <v>73068</v>
      </c>
      <c r="D70">
        <f t="shared" si="3"/>
        <v>1.0423841248555572</v>
      </c>
    </row>
    <row r="71" spans="1:4" x14ac:dyDescent="0.25">
      <c r="A71" s="1">
        <v>38291</v>
      </c>
      <c r="B71" s="1">
        <f t="shared" si="2"/>
        <v>38261</v>
      </c>
      <c r="C71" s="8">
        <f>'[1]Housing Stock'!S74</f>
        <v>73194.75</v>
      </c>
      <c r="D71">
        <f t="shared" si="3"/>
        <v>1.0441923334807481</v>
      </c>
    </row>
    <row r="72" spans="1:4" x14ac:dyDescent="0.25">
      <c r="A72" s="1">
        <v>38321</v>
      </c>
      <c r="B72" s="1">
        <f t="shared" si="2"/>
        <v>38292</v>
      </c>
      <c r="C72" s="8">
        <f>'[1]Housing Stock'!S75</f>
        <v>73321.5</v>
      </c>
      <c r="D72">
        <f t="shared" si="3"/>
        <v>1.0460005421059388</v>
      </c>
    </row>
    <row r="73" spans="1:4" x14ac:dyDescent="0.25">
      <c r="A73" s="1">
        <v>38352</v>
      </c>
      <c r="B73" s="1">
        <f t="shared" si="2"/>
        <v>38322</v>
      </c>
      <c r="C73" s="8">
        <f>'[1]Housing Stock'!S76</f>
        <v>73448.25</v>
      </c>
      <c r="D73">
        <f t="shared" si="3"/>
        <v>1.0478087507311298</v>
      </c>
    </row>
    <row r="74" spans="1:4" x14ac:dyDescent="0.25">
      <c r="A74" s="1">
        <v>38383</v>
      </c>
      <c r="B74" s="1">
        <f t="shared" si="2"/>
        <v>38353</v>
      </c>
      <c r="C74" s="8">
        <f>'[1]Housing Stock'!S77</f>
        <v>73575</v>
      </c>
      <c r="D74">
        <f t="shared" si="3"/>
        <v>1.0496169593563205</v>
      </c>
    </row>
    <row r="75" spans="1:4" x14ac:dyDescent="0.25">
      <c r="A75" s="1">
        <v>38411</v>
      </c>
      <c r="B75" s="1">
        <f t="shared" si="2"/>
        <v>38384</v>
      </c>
      <c r="C75" s="8">
        <f>'[1]Housing Stock'!S78</f>
        <v>73656.5</v>
      </c>
      <c r="D75">
        <f t="shared" si="3"/>
        <v>1.0507796339358317</v>
      </c>
    </row>
    <row r="76" spans="1:4" x14ac:dyDescent="0.25">
      <c r="A76" s="1">
        <v>38442</v>
      </c>
      <c r="B76" s="1">
        <f t="shared" si="2"/>
        <v>38412</v>
      </c>
      <c r="C76" s="8">
        <f>'[1]Housing Stock'!S79</f>
        <v>73738</v>
      </c>
      <c r="D76">
        <f t="shared" si="3"/>
        <v>1.051942308515343</v>
      </c>
    </row>
    <row r="77" spans="1:4" x14ac:dyDescent="0.25">
      <c r="A77" s="1">
        <v>38472</v>
      </c>
      <c r="B77" s="1">
        <f t="shared" si="2"/>
        <v>38443</v>
      </c>
      <c r="C77" s="8">
        <f>'[1]Housing Stock'!S80</f>
        <v>73819.5</v>
      </c>
      <c r="D77">
        <f t="shared" si="3"/>
        <v>1.0531049830948542</v>
      </c>
    </row>
    <row r="78" spans="1:4" x14ac:dyDescent="0.25">
      <c r="A78" s="1">
        <v>38503</v>
      </c>
      <c r="B78" s="1">
        <f t="shared" si="2"/>
        <v>38473</v>
      </c>
      <c r="C78" s="8">
        <f>'[1]Housing Stock'!S81</f>
        <v>73901</v>
      </c>
      <c r="D78">
        <f t="shared" si="3"/>
        <v>1.0542676576743655</v>
      </c>
    </row>
    <row r="79" spans="1:4" x14ac:dyDescent="0.25">
      <c r="A79" s="1">
        <v>38533</v>
      </c>
      <c r="B79" s="1">
        <f t="shared" si="2"/>
        <v>38504</v>
      </c>
      <c r="C79" s="8">
        <f>'[1]Housing Stock'!S82</f>
        <v>73982.5</v>
      </c>
      <c r="D79">
        <f t="shared" si="3"/>
        <v>1.0554303322538767</v>
      </c>
    </row>
    <row r="80" spans="1:4" x14ac:dyDescent="0.25">
      <c r="A80" s="1">
        <v>38564</v>
      </c>
      <c r="B80" s="1">
        <f t="shared" si="2"/>
        <v>38534</v>
      </c>
      <c r="C80" s="8">
        <f>'[1]Housing Stock'!S83</f>
        <v>74064</v>
      </c>
      <c r="D80">
        <f t="shared" si="3"/>
        <v>1.056593006833388</v>
      </c>
    </row>
    <row r="81" spans="1:4" x14ac:dyDescent="0.25">
      <c r="A81" s="1">
        <v>38595</v>
      </c>
      <c r="B81" s="1">
        <f t="shared" si="2"/>
        <v>38565</v>
      </c>
      <c r="C81" s="8">
        <f>'[1]Housing Stock'!S84</f>
        <v>74145.5</v>
      </c>
      <c r="D81">
        <f t="shared" si="3"/>
        <v>1.0577556814128992</v>
      </c>
    </row>
    <row r="82" spans="1:4" x14ac:dyDescent="0.25">
      <c r="A82" s="1">
        <v>38625</v>
      </c>
      <c r="B82" s="1">
        <f t="shared" si="2"/>
        <v>38596</v>
      </c>
      <c r="C82" s="8">
        <f>'[1]Housing Stock'!S85</f>
        <v>74227</v>
      </c>
      <c r="D82">
        <f t="shared" si="3"/>
        <v>1.0589183559924105</v>
      </c>
    </row>
    <row r="83" spans="1:4" x14ac:dyDescent="0.25">
      <c r="A83" s="1">
        <v>38656</v>
      </c>
      <c r="B83" s="1">
        <f t="shared" si="2"/>
        <v>38626</v>
      </c>
      <c r="C83" s="8">
        <f>'[1]Housing Stock'!S86</f>
        <v>74308.5</v>
      </c>
      <c r="D83">
        <f t="shared" si="3"/>
        <v>1.0600810305719217</v>
      </c>
    </row>
    <row r="84" spans="1:4" x14ac:dyDescent="0.25">
      <c r="A84" s="1">
        <v>38686</v>
      </c>
      <c r="B84" s="1">
        <f t="shared" si="2"/>
        <v>38657</v>
      </c>
      <c r="C84" s="8">
        <f>'[1]Housing Stock'!S87</f>
        <v>74390</v>
      </c>
      <c r="D84">
        <f t="shared" si="3"/>
        <v>1.061243705151433</v>
      </c>
    </row>
    <row r="85" spans="1:4" x14ac:dyDescent="0.25">
      <c r="A85" s="1">
        <v>38717</v>
      </c>
      <c r="B85" s="1">
        <f t="shared" si="2"/>
        <v>38687</v>
      </c>
      <c r="C85" s="8">
        <f>'[1]Housing Stock'!S88</f>
        <v>74471.5</v>
      </c>
      <c r="D85">
        <f t="shared" si="3"/>
        <v>1.0624063797309442</v>
      </c>
    </row>
    <row r="86" spans="1:4" x14ac:dyDescent="0.25">
      <c r="A86" s="1">
        <v>38748</v>
      </c>
      <c r="B86" s="1">
        <f t="shared" si="2"/>
        <v>38718</v>
      </c>
      <c r="C86" s="8">
        <f>'[1]Housing Stock'!S89</f>
        <v>74553</v>
      </c>
      <c r="D86">
        <f t="shared" si="3"/>
        <v>1.0635690543104555</v>
      </c>
    </row>
    <row r="87" spans="1:4" x14ac:dyDescent="0.25">
      <c r="A87" s="1">
        <v>38776</v>
      </c>
      <c r="B87" s="1">
        <f t="shared" si="2"/>
        <v>38749</v>
      </c>
      <c r="C87" s="8">
        <f>'[1]Housing Stock'!S90</f>
        <v>74621.916666666672</v>
      </c>
      <c r="D87">
        <f t="shared" si="3"/>
        <v>1.0645522157391425</v>
      </c>
    </row>
    <row r="88" spans="1:4" x14ac:dyDescent="0.25">
      <c r="A88" s="1">
        <v>38807</v>
      </c>
      <c r="B88" s="1">
        <f t="shared" si="2"/>
        <v>38777</v>
      </c>
      <c r="C88" s="8">
        <f>'[1]Housing Stock'!S91</f>
        <v>74690.833333333328</v>
      </c>
      <c r="D88">
        <f t="shared" si="3"/>
        <v>1.0655353771678293</v>
      </c>
    </row>
    <row r="89" spans="1:4" x14ac:dyDescent="0.25">
      <c r="A89" s="1">
        <v>38837</v>
      </c>
      <c r="B89" s="1">
        <f t="shared" si="2"/>
        <v>38808</v>
      </c>
      <c r="C89" s="8">
        <f>'[1]Housing Stock'!S92</f>
        <v>74759.75</v>
      </c>
      <c r="D89">
        <f t="shared" si="3"/>
        <v>1.0665185385965164</v>
      </c>
    </row>
    <row r="90" spans="1:4" x14ac:dyDescent="0.25">
      <c r="A90" s="1">
        <v>38868</v>
      </c>
      <c r="B90" s="1">
        <f t="shared" si="2"/>
        <v>38838</v>
      </c>
      <c r="C90" s="8">
        <f>'[1]Housing Stock'!S93</f>
        <v>74828.666666666672</v>
      </c>
      <c r="D90">
        <f t="shared" si="3"/>
        <v>1.0675017000252032</v>
      </c>
    </row>
    <row r="91" spans="1:4" x14ac:dyDescent="0.25">
      <c r="A91" s="1">
        <v>38898</v>
      </c>
      <c r="B91" s="1">
        <f t="shared" si="2"/>
        <v>38869</v>
      </c>
      <c r="C91" s="8">
        <f>'[1]Housing Stock'!S94</f>
        <v>74897.583333333328</v>
      </c>
      <c r="D91">
        <f t="shared" si="3"/>
        <v>1.06848486145389</v>
      </c>
    </row>
    <row r="92" spans="1:4" x14ac:dyDescent="0.25">
      <c r="A92" s="1">
        <v>38929</v>
      </c>
      <c r="B92" s="1">
        <f t="shared" si="2"/>
        <v>38899</v>
      </c>
      <c r="C92" s="8">
        <f>'[1]Housing Stock'!S95</f>
        <v>74966.5</v>
      </c>
      <c r="D92">
        <f t="shared" si="3"/>
        <v>1.069468022882577</v>
      </c>
    </row>
    <row r="93" spans="1:4" x14ac:dyDescent="0.25">
      <c r="A93" s="1">
        <v>38960</v>
      </c>
      <c r="B93" s="1">
        <f t="shared" si="2"/>
        <v>38930</v>
      </c>
      <c r="C93" s="8">
        <f>'[1]Housing Stock'!S96</f>
        <v>75035.416666666672</v>
      </c>
      <c r="D93">
        <f t="shared" si="3"/>
        <v>1.0704511843112641</v>
      </c>
    </row>
    <row r="94" spans="1:4" x14ac:dyDescent="0.25">
      <c r="A94" s="1">
        <v>38990</v>
      </c>
      <c r="B94" s="1">
        <f t="shared" si="2"/>
        <v>38961</v>
      </c>
      <c r="C94" s="8">
        <f>'[1]Housing Stock'!S97</f>
        <v>75104.333333333328</v>
      </c>
      <c r="D94">
        <f t="shared" si="3"/>
        <v>1.0714343457399507</v>
      </c>
    </row>
    <row r="95" spans="1:4" x14ac:dyDescent="0.25">
      <c r="A95" s="1">
        <v>39021</v>
      </c>
      <c r="B95" s="1">
        <f t="shared" si="2"/>
        <v>38991</v>
      </c>
      <c r="C95" s="8">
        <f>'[1]Housing Stock'!S98</f>
        <v>75173.25</v>
      </c>
      <c r="D95">
        <f t="shared" si="3"/>
        <v>1.0724175071686377</v>
      </c>
    </row>
    <row r="96" spans="1:4" x14ac:dyDescent="0.25">
      <c r="A96" s="1">
        <v>39051</v>
      </c>
      <c r="B96" s="1">
        <f t="shared" si="2"/>
        <v>39022</v>
      </c>
      <c r="C96" s="8">
        <f>'[1]Housing Stock'!S99</f>
        <v>75242.166666666672</v>
      </c>
      <c r="D96">
        <f t="shared" si="3"/>
        <v>1.0734006685973247</v>
      </c>
    </row>
    <row r="97" spans="1:4" x14ac:dyDescent="0.25">
      <c r="A97" s="1">
        <v>39082</v>
      </c>
      <c r="B97" s="1">
        <f t="shared" si="2"/>
        <v>39052</v>
      </c>
      <c r="C97" s="8">
        <f>'[1]Housing Stock'!S100</f>
        <v>75311.083333333328</v>
      </c>
      <c r="D97">
        <f t="shared" si="3"/>
        <v>1.0743838300260116</v>
      </c>
    </row>
    <row r="98" spans="1:4" x14ac:dyDescent="0.25">
      <c r="A98" s="1">
        <v>39113</v>
      </c>
      <c r="B98" s="1">
        <f t="shared" si="2"/>
        <v>39083</v>
      </c>
      <c r="C98" s="8">
        <f>'[1]Housing Stock'!S101</f>
        <v>75380</v>
      </c>
      <c r="D98">
        <f t="shared" si="3"/>
        <v>1.0753669914546984</v>
      </c>
    </row>
    <row r="99" spans="1:4" x14ac:dyDescent="0.25">
      <c r="A99" s="1">
        <v>39141</v>
      </c>
      <c r="B99" s="1">
        <f t="shared" si="2"/>
        <v>39114</v>
      </c>
      <c r="C99" s="8">
        <f>'[1]Housing Stock'!S102</f>
        <v>75361.583333333328</v>
      </c>
      <c r="D99">
        <f t="shared" si="3"/>
        <v>1.0751042602869356</v>
      </c>
    </row>
    <row r="100" spans="1:4" x14ac:dyDescent="0.25">
      <c r="A100" s="1">
        <v>39172</v>
      </c>
      <c r="B100" s="1">
        <f t="shared" si="2"/>
        <v>39142</v>
      </c>
      <c r="C100" s="8">
        <f>'[1]Housing Stock'!S103</f>
        <v>75343.166666666672</v>
      </c>
      <c r="D100">
        <f t="shared" si="3"/>
        <v>1.0748415291191731</v>
      </c>
    </row>
    <row r="101" spans="1:4" x14ac:dyDescent="0.25">
      <c r="A101" s="1">
        <v>39202</v>
      </c>
      <c r="B101" s="1">
        <f t="shared" si="2"/>
        <v>39173</v>
      </c>
      <c r="C101" s="8">
        <f>'[1]Housing Stock'!S104</f>
        <v>75324.75</v>
      </c>
      <c r="D101">
        <f t="shared" si="3"/>
        <v>1.0745787979514101</v>
      </c>
    </row>
    <row r="102" spans="1:4" x14ac:dyDescent="0.25">
      <c r="A102" s="1">
        <v>39233</v>
      </c>
      <c r="B102" s="1">
        <f t="shared" si="2"/>
        <v>39203</v>
      </c>
      <c r="C102" s="8">
        <f>'[1]Housing Stock'!S105</f>
        <v>75306.333333333328</v>
      </c>
      <c r="D102">
        <f t="shared" si="3"/>
        <v>1.0743160667836473</v>
      </c>
    </row>
    <row r="103" spans="1:4" x14ac:dyDescent="0.25">
      <c r="A103" s="1">
        <v>39263</v>
      </c>
      <c r="B103" s="1">
        <f t="shared" si="2"/>
        <v>39234</v>
      </c>
      <c r="C103" s="8">
        <f>'[1]Housing Stock'!S106</f>
        <v>75287.916666666672</v>
      </c>
      <c r="D103">
        <f t="shared" si="3"/>
        <v>1.0740533356158848</v>
      </c>
    </row>
    <row r="104" spans="1:4" x14ac:dyDescent="0.25">
      <c r="A104" s="1">
        <v>39294</v>
      </c>
      <c r="B104" s="1">
        <f t="shared" si="2"/>
        <v>39264</v>
      </c>
      <c r="C104" s="8">
        <f>'[1]Housing Stock'!S107</f>
        <v>75269.5</v>
      </c>
      <c r="D104">
        <f t="shared" si="3"/>
        <v>1.0737906044481218</v>
      </c>
    </row>
    <row r="105" spans="1:4" x14ac:dyDescent="0.25">
      <c r="A105" s="1">
        <v>39325</v>
      </c>
      <c r="B105" s="1">
        <f t="shared" si="2"/>
        <v>39295</v>
      </c>
      <c r="C105" s="8">
        <f>'[1]Housing Stock'!S108</f>
        <v>75251.083333333328</v>
      </c>
      <c r="D105">
        <f t="shared" si="3"/>
        <v>1.073527873280359</v>
      </c>
    </row>
    <row r="106" spans="1:4" x14ac:dyDescent="0.25">
      <c r="A106" s="1">
        <v>39355</v>
      </c>
      <c r="B106" s="1">
        <f t="shared" si="2"/>
        <v>39326</v>
      </c>
      <c r="C106" s="8">
        <f>'[1]Housing Stock'!S109</f>
        <v>75232.666666666672</v>
      </c>
      <c r="D106">
        <f t="shared" si="3"/>
        <v>1.0732651421125965</v>
      </c>
    </row>
    <row r="107" spans="1:4" x14ac:dyDescent="0.25">
      <c r="A107" s="1">
        <v>39386</v>
      </c>
      <c r="B107" s="1">
        <f t="shared" si="2"/>
        <v>39356</v>
      </c>
      <c r="C107" s="8">
        <f>'[1]Housing Stock'!S110</f>
        <v>75214.25</v>
      </c>
      <c r="D107">
        <f t="shared" si="3"/>
        <v>1.0730024109448335</v>
      </c>
    </row>
    <row r="108" spans="1:4" x14ac:dyDescent="0.25">
      <c r="A108" s="1">
        <v>39416</v>
      </c>
      <c r="B108" s="1">
        <f t="shared" si="2"/>
        <v>39387</v>
      </c>
      <c r="C108" s="8">
        <f>'[1]Housing Stock'!S111</f>
        <v>75195.833333333328</v>
      </c>
      <c r="D108">
        <f t="shared" si="3"/>
        <v>1.0727396797770707</v>
      </c>
    </row>
    <row r="109" spans="1:4" x14ac:dyDescent="0.25">
      <c r="A109" s="1">
        <v>39447</v>
      </c>
      <c r="B109" s="1">
        <f t="shared" si="2"/>
        <v>39417</v>
      </c>
      <c r="C109" s="8">
        <f>'[1]Housing Stock'!S112</f>
        <v>75177.416666666672</v>
      </c>
      <c r="D109">
        <f t="shared" si="3"/>
        <v>1.0724769486093082</v>
      </c>
    </row>
    <row r="110" spans="1:4" x14ac:dyDescent="0.25">
      <c r="A110" s="1">
        <v>39478</v>
      </c>
      <c r="B110" s="1">
        <f t="shared" si="2"/>
        <v>39448</v>
      </c>
      <c r="C110" s="8">
        <f>'[1]Housing Stock'!S113</f>
        <v>75159</v>
      </c>
      <c r="D110">
        <f t="shared" si="3"/>
        <v>1.0722142174415452</v>
      </c>
    </row>
    <row r="111" spans="1:4" x14ac:dyDescent="0.25">
      <c r="A111" s="1">
        <v>39507</v>
      </c>
      <c r="B111" s="1">
        <f t="shared" si="2"/>
        <v>39479</v>
      </c>
      <c r="C111" s="8">
        <f>'[1]Housing Stock'!S114</f>
        <v>75192.916666666672</v>
      </c>
      <c r="D111">
        <f t="shared" si="3"/>
        <v>1.0726980707686016</v>
      </c>
    </row>
    <row r="112" spans="1:4" x14ac:dyDescent="0.25">
      <c r="A112" s="1">
        <v>39538</v>
      </c>
      <c r="B112" s="1">
        <f t="shared" si="2"/>
        <v>39508</v>
      </c>
      <c r="C112" s="8">
        <f>'[1]Housing Stock'!S115</f>
        <v>75226.833333333328</v>
      </c>
      <c r="D112">
        <f t="shared" si="3"/>
        <v>1.0731819240956579</v>
      </c>
    </row>
    <row r="113" spans="1:4" x14ac:dyDescent="0.25">
      <c r="A113" s="1">
        <v>39568</v>
      </c>
      <c r="B113" s="1">
        <f t="shared" si="2"/>
        <v>39539</v>
      </c>
      <c r="C113" s="8">
        <f>'[1]Housing Stock'!S116</f>
        <v>75260.75</v>
      </c>
      <c r="D113">
        <f t="shared" si="3"/>
        <v>1.0736657774227143</v>
      </c>
    </row>
    <row r="114" spans="1:4" x14ac:dyDescent="0.25">
      <c r="A114" s="1">
        <v>39599</v>
      </c>
      <c r="B114" s="1">
        <f t="shared" si="2"/>
        <v>39569</v>
      </c>
      <c r="C114" s="8">
        <f>'[1]Housing Stock'!S117</f>
        <v>75294.666666666672</v>
      </c>
      <c r="D114">
        <f t="shared" si="3"/>
        <v>1.0741496307497707</v>
      </c>
    </row>
    <row r="115" spans="1:4" x14ac:dyDescent="0.25">
      <c r="A115" s="1">
        <v>39629</v>
      </c>
      <c r="B115" s="1">
        <f t="shared" si="2"/>
        <v>39600</v>
      </c>
      <c r="C115" s="8">
        <f>'[1]Housing Stock'!S118</f>
        <v>75328.583333333328</v>
      </c>
      <c r="D115">
        <f t="shared" si="3"/>
        <v>1.0746334840768268</v>
      </c>
    </row>
    <row r="116" spans="1:4" x14ac:dyDescent="0.25">
      <c r="A116" s="1">
        <v>39660</v>
      </c>
      <c r="B116" s="1">
        <f t="shared" si="2"/>
        <v>39630</v>
      </c>
      <c r="C116" s="8">
        <f>'[1]Housing Stock'!S119</f>
        <v>75362.5</v>
      </c>
      <c r="D116">
        <f t="shared" si="3"/>
        <v>1.0751173374038832</v>
      </c>
    </row>
    <row r="117" spans="1:4" x14ac:dyDescent="0.25">
      <c r="A117" s="1">
        <v>39691</v>
      </c>
      <c r="B117" s="1">
        <f t="shared" si="2"/>
        <v>39661</v>
      </c>
      <c r="C117" s="8">
        <f>'[1]Housing Stock'!S120</f>
        <v>75396.416666666672</v>
      </c>
      <c r="D117">
        <f t="shared" si="3"/>
        <v>1.0756011907309395</v>
      </c>
    </row>
    <row r="118" spans="1:4" x14ac:dyDescent="0.25">
      <c r="A118" s="1">
        <v>39721</v>
      </c>
      <c r="B118" s="1">
        <f t="shared" si="2"/>
        <v>39692</v>
      </c>
      <c r="C118" s="8">
        <f>'[1]Housing Stock'!S121</f>
        <v>75430.333333333328</v>
      </c>
      <c r="D118">
        <f t="shared" si="3"/>
        <v>1.0760850440579957</v>
      </c>
    </row>
    <row r="119" spans="1:4" x14ac:dyDescent="0.25">
      <c r="A119" s="1">
        <v>39752</v>
      </c>
      <c r="B119" s="1">
        <f t="shared" si="2"/>
        <v>39722</v>
      </c>
      <c r="C119" s="8">
        <f>'[1]Housing Stock'!S122</f>
        <v>75464.25</v>
      </c>
      <c r="D119">
        <f t="shared" si="3"/>
        <v>1.0765688973850522</v>
      </c>
    </row>
    <row r="120" spans="1:4" x14ac:dyDescent="0.25">
      <c r="A120" s="1">
        <v>39782</v>
      </c>
      <c r="B120" s="1">
        <f t="shared" si="2"/>
        <v>39753</v>
      </c>
      <c r="C120" s="8">
        <f>'[1]Housing Stock'!S123</f>
        <v>75498.166666666672</v>
      </c>
      <c r="D120">
        <f t="shared" si="3"/>
        <v>1.0770527507121086</v>
      </c>
    </row>
    <row r="121" spans="1:4" x14ac:dyDescent="0.25">
      <c r="A121" s="1">
        <v>39813</v>
      </c>
      <c r="B121" s="1">
        <f t="shared" si="2"/>
        <v>39783</v>
      </c>
      <c r="C121" s="8">
        <f>'[1]Housing Stock'!S124</f>
        <v>75532.083333333328</v>
      </c>
      <c r="D121">
        <f t="shared" si="3"/>
        <v>1.0775366040391647</v>
      </c>
    </row>
    <row r="122" spans="1:4" x14ac:dyDescent="0.25">
      <c r="A122" s="1">
        <v>39844</v>
      </c>
      <c r="B122" s="1">
        <f t="shared" si="2"/>
        <v>39814</v>
      </c>
      <c r="C122" s="8">
        <f>'[1]Housing Stock'!S125</f>
        <v>75566</v>
      </c>
      <c r="D122">
        <f t="shared" si="3"/>
        <v>1.0780204573662211</v>
      </c>
    </row>
    <row r="123" spans="1:4" x14ac:dyDescent="0.25">
      <c r="A123" s="1">
        <v>39872</v>
      </c>
      <c r="B123" s="1">
        <f t="shared" si="2"/>
        <v>39845</v>
      </c>
      <c r="C123" s="8">
        <f>'[1]Housing Stock'!S126</f>
        <v>75520</v>
      </c>
      <c r="D123">
        <f t="shared" si="3"/>
        <v>1.0773642238612209</v>
      </c>
    </row>
    <row r="124" spans="1:4" x14ac:dyDescent="0.25">
      <c r="A124" s="1">
        <v>39903</v>
      </c>
      <c r="B124" s="1">
        <f t="shared" si="2"/>
        <v>39873</v>
      </c>
      <c r="C124" s="8">
        <f>'[1]Housing Stock'!S127</f>
        <v>75474</v>
      </c>
      <c r="D124">
        <f t="shared" si="3"/>
        <v>1.0767079903562207</v>
      </c>
    </row>
    <row r="125" spans="1:4" x14ac:dyDescent="0.25">
      <c r="A125" s="1">
        <v>39933</v>
      </c>
      <c r="B125" s="1">
        <f t="shared" si="2"/>
        <v>39904</v>
      </c>
      <c r="C125" s="8">
        <f>'[1]Housing Stock'!S128</f>
        <v>75428</v>
      </c>
      <c r="D125">
        <f t="shared" si="3"/>
        <v>1.0760517568512205</v>
      </c>
    </row>
    <row r="126" spans="1:4" x14ac:dyDescent="0.25">
      <c r="A126" s="1">
        <v>39964</v>
      </c>
      <c r="B126" s="1">
        <f t="shared" si="2"/>
        <v>39934</v>
      </c>
      <c r="C126" s="8">
        <f>'[1]Housing Stock'!S129</f>
        <v>75382</v>
      </c>
      <c r="D126">
        <f t="shared" si="3"/>
        <v>1.0753955233462202</v>
      </c>
    </row>
    <row r="127" spans="1:4" x14ac:dyDescent="0.25">
      <c r="A127" s="1">
        <v>39994</v>
      </c>
      <c r="B127" s="1">
        <f t="shared" si="2"/>
        <v>39965</v>
      </c>
      <c r="C127" s="8">
        <f>'[1]Housing Stock'!S130</f>
        <v>75336</v>
      </c>
      <c r="D127">
        <f t="shared" si="3"/>
        <v>1.07473928984122</v>
      </c>
    </row>
    <row r="128" spans="1:4" x14ac:dyDescent="0.25">
      <c r="A128" s="1">
        <v>40025</v>
      </c>
      <c r="B128" s="1">
        <f t="shared" si="2"/>
        <v>39995</v>
      </c>
      <c r="C128" s="8">
        <f>'[1]Housing Stock'!S131</f>
        <v>75290</v>
      </c>
      <c r="D128">
        <f t="shared" si="3"/>
        <v>1.0740830563362198</v>
      </c>
    </row>
    <row r="129" spans="1:4" x14ac:dyDescent="0.25">
      <c r="A129" s="1">
        <v>40056</v>
      </c>
      <c r="B129" s="1">
        <f t="shared" si="2"/>
        <v>40026</v>
      </c>
      <c r="C129" s="8">
        <f>'[1]Housing Stock'!S132</f>
        <v>75244</v>
      </c>
      <c r="D129">
        <f t="shared" si="3"/>
        <v>1.0734268228312196</v>
      </c>
    </row>
    <row r="130" spans="1:4" x14ac:dyDescent="0.25">
      <c r="A130" s="1">
        <v>40086</v>
      </c>
      <c r="B130" s="1">
        <f t="shared" si="2"/>
        <v>40057</v>
      </c>
      <c r="C130" s="8">
        <f>'[1]Housing Stock'!S133</f>
        <v>75198</v>
      </c>
      <c r="D130">
        <f t="shared" si="3"/>
        <v>1.0727705893262194</v>
      </c>
    </row>
    <row r="131" spans="1:4" x14ac:dyDescent="0.25">
      <c r="A131" s="1">
        <v>40117</v>
      </c>
      <c r="B131" s="1">
        <f t="shared" ref="B131:B194" si="4">A131-DAY(A131)+1</f>
        <v>40087</v>
      </c>
      <c r="C131" s="8">
        <f>'[1]Housing Stock'!S134</f>
        <v>75152</v>
      </c>
      <c r="D131">
        <f t="shared" ref="D131:D194" si="5">C131/$C$2</f>
        <v>1.0721143558212192</v>
      </c>
    </row>
    <row r="132" spans="1:4" x14ac:dyDescent="0.25">
      <c r="A132" s="1">
        <v>40147</v>
      </c>
      <c r="B132" s="1">
        <f t="shared" si="4"/>
        <v>40118</v>
      </c>
      <c r="C132" s="8">
        <f>'[1]Housing Stock'!S135</f>
        <v>75106</v>
      </c>
      <c r="D132">
        <f t="shared" si="5"/>
        <v>1.071458122316219</v>
      </c>
    </row>
    <row r="133" spans="1:4" x14ac:dyDescent="0.25">
      <c r="A133" s="1">
        <v>40178</v>
      </c>
      <c r="B133" s="1">
        <f t="shared" si="4"/>
        <v>40148</v>
      </c>
      <c r="C133" s="8">
        <f>'[1]Housing Stock'!S136</f>
        <v>75060</v>
      </c>
      <c r="D133">
        <f t="shared" si="5"/>
        <v>1.0708018888112187</v>
      </c>
    </row>
    <row r="134" spans="1:4" x14ac:dyDescent="0.25">
      <c r="A134" s="1">
        <v>40209</v>
      </c>
      <c r="B134" s="1">
        <f t="shared" si="4"/>
        <v>40179</v>
      </c>
      <c r="C134" s="8">
        <f>'[1]Housing Stock'!S137</f>
        <v>75014</v>
      </c>
      <c r="D134">
        <f t="shared" si="5"/>
        <v>1.0701456553062185</v>
      </c>
    </row>
    <row r="135" spans="1:4" x14ac:dyDescent="0.25">
      <c r="A135" s="1">
        <v>40237</v>
      </c>
      <c r="B135" s="1">
        <f t="shared" si="4"/>
        <v>40210</v>
      </c>
      <c r="C135" s="8">
        <f>'[1]Housing Stock'!S138</f>
        <v>74995.416666666672</v>
      </c>
      <c r="D135">
        <f t="shared" si="5"/>
        <v>1.069880546480829</v>
      </c>
    </row>
    <row r="136" spans="1:4" x14ac:dyDescent="0.25">
      <c r="A136" s="1">
        <v>40268</v>
      </c>
      <c r="B136" s="1">
        <f t="shared" si="4"/>
        <v>40238</v>
      </c>
      <c r="C136" s="8">
        <f>'[1]Housing Stock'!S139</f>
        <v>74976.833333333328</v>
      </c>
      <c r="D136">
        <f t="shared" si="5"/>
        <v>1.0696154376554392</v>
      </c>
    </row>
    <row r="137" spans="1:4" x14ac:dyDescent="0.25">
      <c r="A137" s="1">
        <v>40298</v>
      </c>
      <c r="B137" s="1">
        <f t="shared" si="4"/>
        <v>40269</v>
      </c>
      <c r="C137" s="8">
        <f>'[1]Housing Stock'!S140</f>
        <v>74958.25</v>
      </c>
      <c r="D137">
        <f t="shared" si="5"/>
        <v>1.0693503288300499</v>
      </c>
    </row>
    <row r="138" spans="1:4" x14ac:dyDescent="0.25">
      <c r="A138" s="1">
        <v>40329</v>
      </c>
      <c r="B138" s="1">
        <f t="shared" si="4"/>
        <v>40299</v>
      </c>
      <c r="C138" s="8">
        <f>'[1]Housing Stock'!S141</f>
        <v>74939.666666666672</v>
      </c>
      <c r="D138">
        <f t="shared" si="5"/>
        <v>1.0690852200046603</v>
      </c>
    </row>
    <row r="139" spans="1:4" x14ac:dyDescent="0.25">
      <c r="A139" s="1">
        <v>40359</v>
      </c>
      <c r="B139" s="1">
        <f t="shared" si="4"/>
        <v>40330</v>
      </c>
      <c r="C139" s="8">
        <f>'[1]Housing Stock'!S142</f>
        <v>74921.083333333328</v>
      </c>
      <c r="D139">
        <f t="shared" si="5"/>
        <v>1.0688201111792706</v>
      </c>
    </row>
    <row r="140" spans="1:4" x14ac:dyDescent="0.25">
      <c r="A140" s="1">
        <v>40390</v>
      </c>
      <c r="B140" s="1">
        <f t="shared" si="4"/>
        <v>40360</v>
      </c>
      <c r="C140" s="8">
        <f>'[1]Housing Stock'!S143</f>
        <v>74902.5</v>
      </c>
      <c r="D140">
        <f t="shared" si="5"/>
        <v>1.068555002353881</v>
      </c>
    </row>
    <row r="141" spans="1:4" x14ac:dyDescent="0.25">
      <c r="A141" s="1">
        <v>40421</v>
      </c>
      <c r="B141" s="1">
        <f t="shared" si="4"/>
        <v>40391</v>
      </c>
      <c r="C141" s="8">
        <f>'[1]Housing Stock'!S144</f>
        <v>74883.916666666672</v>
      </c>
      <c r="D141">
        <f t="shared" si="5"/>
        <v>1.0682898935284915</v>
      </c>
    </row>
    <row r="142" spans="1:4" x14ac:dyDescent="0.25">
      <c r="A142" s="1">
        <v>40451</v>
      </c>
      <c r="B142" s="1">
        <f t="shared" si="4"/>
        <v>40422</v>
      </c>
      <c r="C142" s="8">
        <f>'[1]Housing Stock'!S145</f>
        <v>74865.333333333328</v>
      </c>
      <c r="D142">
        <f t="shared" si="5"/>
        <v>1.0680247847031019</v>
      </c>
    </row>
    <row r="143" spans="1:4" x14ac:dyDescent="0.25">
      <c r="A143" s="1">
        <v>40482</v>
      </c>
      <c r="B143" s="1">
        <f t="shared" si="4"/>
        <v>40452</v>
      </c>
      <c r="C143" s="8">
        <f>'[1]Housing Stock'!S146</f>
        <v>74846.75</v>
      </c>
      <c r="D143">
        <f t="shared" si="5"/>
        <v>1.0677596758777124</v>
      </c>
    </row>
    <row r="144" spans="1:4" x14ac:dyDescent="0.25">
      <c r="A144" s="1">
        <v>40512</v>
      </c>
      <c r="B144" s="1">
        <f t="shared" si="4"/>
        <v>40483</v>
      </c>
      <c r="C144" s="8">
        <f>'[1]Housing Stock'!S147</f>
        <v>74828.166666666672</v>
      </c>
      <c r="D144">
        <f t="shared" si="5"/>
        <v>1.0674945670523228</v>
      </c>
    </row>
    <row r="145" spans="1:4" x14ac:dyDescent="0.25">
      <c r="A145" s="1">
        <v>40543</v>
      </c>
      <c r="B145" s="1">
        <f t="shared" si="4"/>
        <v>40513</v>
      </c>
      <c r="C145" s="8">
        <f>'[1]Housing Stock'!S148</f>
        <v>74809.583333333328</v>
      </c>
      <c r="D145">
        <f t="shared" si="5"/>
        <v>1.067229458226933</v>
      </c>
    </row>
    <row r="146" spans="1:4" x14ac:dyDescent="0.25">
      <c r="A146" s="1">
        <v>40574</v>
      </c>
      <c r="B146" s="1">
        <f t="shared" si="4"/>
        <v>40544</v>
      </c>
      <c r="C146" s="8">
        <f>'[1]Housing Stock'!S149</f>
        <v>74791</v>
      </c>
      <c r="D146">
        <f t="shared" si="5"/>
        <v>1.0669643494015435</v>
      </c>
    </row>
    <row r="147" spans="1:4" x14ac:dyDescent="0.25">
      <c r="A147" s="1">
        <v>40602</v>
      </c>
      <c r="B147" s="1">
        <f t="shared" si="4"/>
        <v>40575</v>
      </c>
      <c r="C147" s="8">
        <f>'[1]Housing Stock'!S150</f>
        <v>74816</v>
      </c>
      <c r="D147">
        <f t="shared" si="5"/>
        <v>1.0673209980455654</v>
      </c>
    </row>
    <row r="148" spans="1:4" x14ac:dyDescent="0.25">
      <c r="A148" s="1">
        <v>40633</v>
      </c>
      <c r="B148" s="1">
        <f t="shared" si="4"/>
        <v>40603</v>
      </c>
      <c r="C148" s="8">
        <f>'[1]Housing Stock'!S151</f>
        <v>74841</v>
      </c>
      <c r="D148">
        <f t="shared" si="5"/>
        <v>1.0676776466895872</v>
      </c>
    </row>
    <row r="149" spans="1:4" x14ac:dyDescent="0.25">
      <c r="A149" s="1">
        <v>40663</v>
      </c>
      <c r="B149" s="1">
        <f t="shared" si="4"/>
        <v>40634</v>
      </c>
      <c r="C149" s="8">
        <f>'[1]Housing Stock'!S152</f>
        <v>74866</v>
      </c>
      <c r="D149">
        <f t="shared" si="5"/>
        <v>1.0680342953336091</v>
      </c>
    </row>
    <row r="150" spans="1:4" x14ac:dyDescent="0.25">
      <c r="A150" s="1">
        <v>40694</v>
      </c>
      <c r="B150" s="1">
        <f t="shared" si="4"/>
        <v>40664</v>
      </c>
      <c r="C150" s="8">
        <f>'[1]Housing Stock'!S153</f>
        <v>74891</v>
      </c>
      <c r="D150">
        <f t="shared" si="5"/>
        <v>1.0683909439776309</v>
      </c>
    </row>
    <row r="151" spans="1:4" x14ac:dyDescent="0.25">
      <c r="A151" s="1">
        <v>40724</v>
      </c>
      <c r="B151" s="1">
        <f t="shared" si="4"/>
        <v>40695</v>
      </c>
      <c r="C151" s="8">
        <f>'[1]Housing Stock'!S154</f>
        <v>74916</v>
      </c>
      <c r="D151">
        <f t="shared" si="5"/>
        <v>1.0687475926216528</v>
      </c>
    </row>
    <row r="152" spans="1:4" x14ac:dyDescent="0.25">
      <c r="A152" s="1">
        <v>40755</v>
      </c>
      <c r="B152" s="1">
        <f t="shared" si="4"/>
        <v>40725</v>
      </c>
      <c r="C152" s="8">
        <f>'[1]Housing Stock'!S155</f>
        <v>74941</v>
      </c>
      <c r="D152">
        <f t="shared" si="5"/>
        <v>1.0691042412656746</v>
      </c>
    </row>
    <row r="153" spans="1:4" x14ac:dyDescent="0.25">
      <c r="A153" s="1">
        <v>40786</v>
      </c>
      <c r="B153" s="1">
        <f t="shared" si="4"/>
        <v>40756</v>
      </c>
      <c r="C153" s="8">
        <f>'[1]Housing Stock'!S156</f>
        <v>74966</v>
      </c>
      <c r="D153">
        <f t="shared" si="5"/>
        <v>1.0694608899096965</v>
      </c>
    </row>
    <row r="154" spans="1:4" x14ac:dyDescent="0.25">
      <c r="A154" s="1">
        <v>40816</v>
      </c>
      <c r="B154" s="1">
        <f t="shared" si="4"/>
        <v>40787</v>
      </c>
      <c r="C154" s="8">
        <f>'[1]Housing Stock'!S157</f>
        <v>74991</v>
      </c>
      <c r="D154">
        <f t="shared" si="5"/>
        <v>1.0698175385537185</v>
      </c>
    </row>
    <row r="155" spans="1:4" x14ac:dyDescent="0.25">
      <c r="A155" s="1">
        <v>40847</v>
      </c>
      <c r="B155" s="1">
        <f t="shared" si="4"/>
        <v>40817</v>
      </c>
      <c r="C155" s="8">
        <f>'[1]Housing Stock'!S158</f>
        <v>75016</v>
      </c>
      <c r="D155">
        <f t="shared" si="5"/>
        <v>1.0701741871977404</v>
      </c>
    </row>
    <row r="156" spans="1:4" x14ac:dyDescent="0.25">
      <c r="A156" s="1">
        <v>40877</v>
      </c>
      <c r="B156" s="1">
        <f t="shared" si="4"/>
        <v>40848</v>
      </c>
      <c r="C156" s="8">
        <f>'[1]Housing Stock'!S159</f>
        <v>75041</v>
      </c>
      <c r="D156">
        <f t="shared" si="5"/>
        <v>1.0705308358417622</v>
      </c>
    </row>
    <row r="157" spans="1:4" x14ac:dyDescent="0.25">
      <c r="A157" s="1">
        <v>40908</v>
      </c>
      <c r="B157" s="1">
        <f t="shared" si="4"/>
        <v>40878</v>
      </c>
      <c r="C157" s="8">
        <f>'[1]Housing Stock'!S160</f>
        <v>75066</v>
      </c>
      <c r="D157">
        <f t="shared" si="5"/>
        <v>1.0708874844857841</v>
      </c>
    </row>
    <row r="158" spans="1:4" x14ac:dyDescent="0.25">
      <c r="A158" s="1">
        <v>40939</v>
      </c>
      <c r="B158" s="1">
        <f t="shared" si="4"/>
        <v>40909</v>
      </c>
      <c r="C158" s="8">
        <f>'[1]Housing Stock'!S161</f>
        <v>75091</v>
      </c>
      <c r="D158">
        <f t="shared" si="5"/>
        <v>1.0712441331298059</v>
      </c>
    </row>
    <row r="159" spans="1:4" x14ac:dyDescent="0.25">
      <c r="A159" s="1">
        <v>40968</v>
      </c>
      <c r="B159" s="1">
        <f t="shared" si="4"/>
        <v>40940</v>
      </c>
      <c r="C159" s="8">
        <f>'[1]Housing Stock'!S162</f>
        <v>75055.75</v>
      </c>
      <c r="D159">
        <f t="shared" si="5"/>
        <v>1.0707412585417351</v>
      </c>
    </row>
    <row r="160" spans="1:4" x14ac:dyDescent="0.25">
      <c r="A160" s="1">
        <v>40999</v>
      </c>
      <c r="B160" s="1">
        <f t="shared" si="4"/>
        <v>40969</v>
      </c>
      <c r="C160" s="8">
        <f>'[1]Housing Stock'!S163</f>
        <v>75020.5</v>
      </c>
      <c r="D160">
        <f t="shared" si="5"/>
        <v>1.0702383839536642</v>
      </c>
    </row>
    <row r="161" spans="1:4" x14ac:dyDescent="0.25">
      <c r="A161" s="1">
        <v>41029</v>
      </c>
      <c r="B161" s="1">
        <f t="shared" si="4"/>
        <v>41000</v>
      </c>
      <c r="C161" s="8">
        <f>'[1]Housing Stock'!S164</f>
        <v>74985.25</v>
      </c>
      <c r="D161">
        <f t="shared" si="5"/>
        <v>1.0697355093655934</v>
      </c>
    </row>
    <row r="162" spans="1:4" x14ac:dyDescent="0.25">
      <c r="A162" s="1">
        <v>41060</v>
      </c>
      <c r="B162" s="1">
        <f t="shared" si="4"/>
        <v>41030</v>
      </c>
      <c r="C162" s="8">
        <f>'[1]Housing Stock'!S165</f>
        <v>74950</v>
      </c>
      <c r="D162">
        <f t="shared" si="5"/>
        <v>1.0692326347775225</v>
      </c>
    </row>
    <row r="163" spans="1:4" x14ac:dyDescent="0.25">
      <c r="A163" s="1">
        <v>41090</v>
      </c>
      <c r="B163" s="1">
        <f t="shared" si="4"/>
        <v>41061</v>
      </c>
      <c r="C163" s="8">
        <f>'[1]Housing Stock'!S166</f>
        <v>74914.75</v>
      </c>
      <c r="D163">
        <f t="shared" si="5"/>
        <v>1.0687297601894516</v>
      </c>
    </row>
    <row r="164" spans="1:4" x14ac:dyDescent="0.25">
      <c r="A164" s="1">
        <v>41121</v>
      </c>
      <c r="B164" s="1">
        <f t="shared" si="4"/>
        <v>41091</v>
      </c>
      <c r="C164" s="8">
        <f>'[1]Housing Stock'!S167</f>
        <v>74879.5</v>
      </c>
      <c r="D164">
        <f t="shared" si="5"/>
        <v>1.068226885601381</v>
      </c>
    </row>
    <row r="165" spans="1:4" x14ac:dyDescent="0.25">
      <c r="A165" s="1">
        <v>41152</v>
      </c>
      <c r="B165" s="1">
        <f t="shared" si="4"/>
        <v>41122</v>
      </c>
      <c r="C165" s="8">
        <f>'[1]Housing Stock'!S168</f>
        <v>74844.25</v>
      </c>
      <c r="D165">
        <f t="shared" si="5"/>
        <v>1.0677240110133102</v>
      </c>
    </row>
    <row r="166" spans="1:4" x14ac:dyDescent="0.25">
      <c r="A166" s="1">
        <v>41182</v>
      </c>
      <c r="B166" s="1">
        <f t="shared" si="4"/>
        <v>41153</v>
      </c>
      <c r="C166" s="8">
        <f>'[1]Housing Stock'!S169</f>
        <v>74809</v>
      </c>
      <c r="D166">
        <f t="shared" si="5"/>
        <v>1.0672211364252393</v>
      </c>
    </row>
    <row r="167" spans="1:4" x14ac:dyDescent="0.25">
      <c r="A167" s="1">
        <v>41213</v>
      </c>
      <c r="B167" s="1">
        <f t="shared" si="4"/>
        <v>41183</v>
      </c>
      <c r="C167" s="8">
        <f>'[1]Housing Stock'!S170</f>
        <v>74773.75</v>
      </c>
      <c r="D167">
        <f t="shared" si="5"/>
        <v>1.0667182618371684</v>
      </c>
    </row>
    <row r="168" spans="1:4" x14ac:dyDescent="0.25">
      <c r="A168" s="1">
        <v>41243</v>
      </c>
      <c r="B168" s="1">
        <f t="shared" si="4"/>
        <v>41214</v>
      </c>
      <c r="C168" s="8">
        <f>'[1]Housing Stock'!S171</f>
        <v>74738.5</v>
      </c>
      <c r="D168">
        <f t="shared" si="5"/>
        <v>1.0662153872490976</v>
      </c>
    </row>
    <row r="169" spans="1:4" x14ac:dyDescent="0.25">
      <c r="A169" s="1">
        <v>41274</v>
      </c>
      <c r="B169" s="1">
        <f t="shared" si="4"/>
        <v>41244</v>
      </c>
      <c r="C169" s="8">
        <f>'[1]Housing Stock'!S172</f>
        <v>74703.25</v>
      </c>
      <c r="D169">
        <f t="shared" si="5"/>
        <v>1.065712512661027</v>
      </c>
    </row>
    <row r="170" spans="1:4" x14ac:dyDescent="0.25">
      <c r="A170" s="1">
        <v>41305</v>
      </c>
      <c r="B170" s="1">
        <f t="shared" si="4"/>
        <v>41275</v>
      </c>
      <c r="C170" s="8">
        <f>'[1]Housing Stock'!S173</f>
        <v>74668</v>
      </c>
      <c r="D170">
        <f t="shared" si="5"/>
        <v>1.0652096380729561</v>
      </c>
    </row>
    <row r="171" spans="1:4" x14ac:dyDescent="0.25">
      <c r="A171" s="1">
        <v>41333</v>
      </c>
      <c r="B171" s="1">
        <f t="shared" si="4"/>
        <v>41306</v>
      </c>
      <c r="C171" s="8">
        <f>'[1]Housing Stock'!S174</f>
        <v>74647.916666666672</v>
      </c>
      <c r="D171">
        <f t="shared" si="5"/>
        <v>1.0649231303289253</v>
      </c>
    </row>
    <row r="172" spans="1:4" x14ac:dyDescent="0.25">
      <c r="A172" s="1">
        <v>41364</v>
      </c>
      <c r="B172" s="1">
        <f t="shared" si="4"/>
        <v>41334</v>
      </c>
      <c r="C172" s="8">
        <f>'[1]Housing Stock'!S175</f>
        <v>74627.833333333328</v>
      </c>
      <c r="D172">
        <f t="shared" si="5"/>
        <v>1.0646366225848942</v>
      </c>
    </row>
    <row r="173" spans="1:4" x14ac:dyDescent="0.25">
      <c r="A173" s="1">
        <v>41394</v>
      </c>
      <c r="B173" s="1">
        <f t="shared" si="4"/>
        <v>41365</v>
      </c>
      <c r="C173" s="8">
        <f>'[1]Housing Stock'!S176</f>
        <v>74607.75</v>
      </c>
      <c r="D173">
        <f t="shared" si="5"/>
        <v>1.0643501148408634</v>
      </c>
    </row>
    <row r="174" spans="1:4" x14ac:dyDescent="0.25">
      <c r="A174" s="1">
        <v>41425</v>
      </c>
      <c r="B174" s="1">
        <f t="shared" si="4"/>
        <v>41395</v>
      </c>
      <c r="C174" s="8">
        <f>'[1]Housing Stock'!S177</f>
        <v>74587.666666666672</v>
      </c>
      <c r="D174">
        <f t="shared" si="5"/>
        <v>1.0640636070968326</v>
      </c>
    </row>
    <row r="175" spans="1:4" x14ac:dyDescent="0.25">
      <c r="A175" s="1">
        <v>41455</v>
      </c>
      <c r="B175" s="1">
        <f t="shared" si="4"/>
        <v>41426</v>
      </c>
      <c r="C175" s="8">
        <f>'[1]Housing Stock'!S178</f>
        <v>74567.583333333328</v>
      </c>
      <c r="D175">
        <f t="shared" si="5"/>
        <v>1.0637770993528015</v>
      </c>
    </row>
    <row r="176" spans="1:4" x14ac:dyDescent="0.25">
      <c r="A176" s="1">
        <v>41486</v>
      </c>
      <c r="B176" s="1">
        <f t="shared" si="4"/>
        <v>41456</v>
      </c>
      <c r="C176" s="8">
        <f>'[1]Housing Stock'!S179</f>
        <v>74547.5</v>
      </c>
      <c r="D176">
        <f t="shared" si="5"/>
        <v>1.0634905916087707</v>
      </c>
    </row>
    <row r="177" spans="1:4" x14ac:dyDescent="0.25">
      <c r="A177" s="1">
        <v>41517</v>
      </c>
      <c r="B177" s="1">
        <f t="shared" si="4"/>
        <v>41487</v>
      </c>
      <c r="C177" s="8">
        <f>'[1]Housing Stock'!S180</f>
        <v>74527.416666666672</v>
      </c>
      <c r="D177">
        <f t="shared" si="5"/>
        <v>1.0632040838647399</v>
      </c>
    </row>
    <row r="178" spans="1:4" x14ac:dyDescent="0.25">
      <c r="A178" s="1">
        <v>41547</v>
      </c>
      <c r="B178" s="1">
        <f t="shared" si="4"/>
        <v>41518</v>
      </c>
      <c r="C178" s="8">
        <f>'[1]Housing Stock'!S181</f>
        <v>74507.333333333328</v>
      </c>
      <c r="D178">
        <f t="shared" si="5"/>
        <v>1.0629175761207088</v>
      </c>
    </row>
    <row r="179" spans="1:4" x14ac:dyDescent="0.25">
      <c r="A179" s="1">
        <v>41578</v>
      </c>
      <c r="B179" s="1">
        <f t="shared" si="4"/>
        <v>41548</v>
      </c>
      <c r="C179" s="8">
        <f>'[1]Housing Stock'!S182</f>
        <v>74487.25</v>
      </c>
      <c r="D179">
        <f t="shared" si="5"/>
        <v>1.062631068376678</v>
      </c>
    </row>
    <row r="180" spans="1:4" x14ac:dyDescent="0.25">
      <c r="A180" s="1">
        <v>41608</v>
      </c>
      <c r="B180" s="1">
        <f t="shared" si="4"/>
        <v>41579</v>
      </c>
      <c r="C180" s="8">
        <f>'[1]Housing Stock'!S183</f>
        <v>74467.166666666672</v>
      </c>
      <c r="D180">
        <f t="shared" si="5"/>
        <v>1.0623445606326472</v>
      </c>
    </row>
    <row r="181" spans="1:4" x14ac:dyDescent="0.25">
      <c r="A181" s="1">
        <v>41639</v>
      </c>
      <c r="B181" s="1">
        <f t="shared" si="4"/>
        <v>41609</v>
      </c>
      <c r="C181" s="8">
        <f>'[1]Housing Stock'!S184</f>
        <v>74447.083333333328</v>
      </c>
      <c r="D181">
        <f t="shared" si="5"/>
        <v>1.0620580528886161</v>
      </c>
    </row>
    <row r="182" spans="1:4" x14ac:dyDescent="0.25">
      <c r="A182" s="1">
        <v>41670</v>
      </c>
      <c r="B182" s="1">
        <f t="shared" si="4"/>
        <v>41640</v>
      </c>
      <c r="C182" s="8">
        <f>'[1]Housing Stock'!S185</f>
        <v>74427</v>
      </c>
      <c r="D182">
        <f t="shared" si="5"/>
        <v>1.0617715451445853</v>
      </c>
    </row>
    <row r="183" spans="1:4" x14ac:dyDescent="0.25">
      <c r="A183" s="1">
        <v>41698</v>
      </c>
      <c r="B183" s="1">
        <f t="shared" si="4"/>
        <v>41671</v>
      </c>
      <c r="C183" s="8">
        <f>'[1]Housing Stock'!S186</f>
        <v>74450.25</v>
      </c>
      <c r="D183">
        <f t="shared" si="5"/>
        <v>1.0621032283835257</v>
      </c>
    </row>
    <row r="184" spans="1:4" x14ac:dyDescent="0.25">
      <c r="A184" s="1">
        <v>41729</v>
      </c>
      <c r="B184" s="1">
        <f t="shared" si="4"/>
        <v>41699</v>
      </c>
      <c r="C184" s="8">
        <f>'[1]Housing Stock'!S187</f>
        <v>74473.5</v>
      </c>
      <c r="D184">
        <f t="shared" si="5"/>
        <v>1.0624349116224661</v>
      </c>
    </row>
    <row r="185" spans="1:4" x14ac:dyDescent="0.25">
      <c r="A185" s="1">
        <v>41759</v>
      </c>
      <c r="B185" s="1">
        <f t="shared" si="4"/>
        <v>41730</v>
      </c>
      <c r="C185" s="8">
        <f>'[1]Housing Stock'!S188</f>
        <v>74496.75</v>
      </c>
      <c r="D185">
        <f t="shared" si="5"/>
        <v>1.0627665948614062</v>
      </c>
    </row>
    <row r="186" spans="1:4" x14ac:dyDescent="0.25">
      <c r="A186" s="1">
        <v>41790</v>
      </c>
      <c r="B186" s="1">
        <f t="shared" si="4"/>
        <v>41760</v>
      </c>
      <c r="C186" s="8">
        <f>'[1]Housing Stock'!S189</f>
        <v>74520</v>
      </c>
      <c r="D186">
        <f t="shared" si="5"/>
        <v>1.0630982781003466</v>
      </c>
    </row>
    <row r="187" spans="1:4" x14ac:dyDescent="0.25">
      <c r="A187" s="1">
        <v>41820</v>
      </c>
      <c r="B187" s="1">
        <f t="shared" si="4"/>
        <v>41791</v>
      </c>
      <c r="C187" s="8">
        <f>'[1]Housing Stock'!S190</f>
        <v>74543.25</v>
      </c>
      <c r="D187">
        <f t="shared" si="5"/>
        <v>1.063429961339287</v>
      </c>
    </row>
    <row r="188" spans="1:4" x14ac:dyDescent="0.25">
      <c r="A188" s="1">
        <v>41851</v>
      </c>
      <c r="B188" s="1">
        <f t="shared" si="4"/>
        <v>41821</v>
      </c>
      <c r="C188" s="8">
        <f>'[1]Housing Stock'!S191</f>
        <v>74566.5</v>
      </c>
      <c r="D188">
        <f t="shared" si="5"/>
        <v>1.0637616445782274</v>
      </c>
    </row>
    <row r="189" spans="1:4" x14ac:dyDescent="0.25">
      <c r="A189" s="1">
        <v>41882</v>
      </c>
      <c r="B189" s="1">
        <f t="shared" si="4"/>
        <v>41852</v>
      </c>
      <c r="C189" s="8">
        <f>'[1]Housing Stock'!S192</f>
        <v>74589.75</v>
      </c>
      <c r="D189">
        <f t="shared" si="5"/>
        <v>1.0640933278171676</v>
      </c>
    </row>
    <row r="190" spans="1:4" x14ac:dyDescent="0.25">
      <c r="A190" s="1">
        <v>41912</v>
      </c>
      <c r="B190" s="1">
        <f t="shared" si="4"/>
        <v>41883</v>
      </c>
      <c r="C190" s="8">
        <f>'[1]Housing Stock'!S193</f>
        <v>74613</v>
      </c>
      <c r="D190">
        <f t="shared" si="5"/>
        <v>1.064425011056108</v>
      </c>
    </row>
    <row r="191" spans="1:4" x14ac:dyDescent="0.25">
      <c r="A191" s="1">
        <v>41943</v>
      </c>
      <c r="B191" s="1">
        <f t="shared" si="4"/>
        <v>41913</v>
      </c>
      <c r="C191" s="8">
        <f>'[1]Housing Stock'!S194</f>
        <v>74636.25</v>
      </c>
      <c r="D191">
        <f t="shared" si="5"/>
        <v>1.0647566942950484</v>
      </c>
    </row>
    <row r="192" spans="1:4" x14ac:dyDescent="0.25">
      <c r="A192" s="1">
        <v>41973</v>
      </c>
      <c r="B192" s="1">
        <f t="shared" si="4"/>
        <v>41944</v>
      </c>
      <c r="C192" s="8">
        <f>'[1]Housing Stock'!S195</f>
        <v>74659.5</v>
      </c>
      <c r="D192">
        <f t="shared" si="5"/>
        <v>1.0650883775339886</v>
      </c>
    </row>
    <row r="193" spans="1:4" x14ac:dyDescent="0.25">
      <c r="A193" s="1">
        <v>42004</v>
      </c>
      <c r="B193" s="1">
        <f t="shared" si="4"/>
        <v>41974</v>
      </c>
      <c r="C193" s="8">
        <f>'[1]Housing Stock'!S196</f>
        <v>74682.75</v>
      </c>
      <c r="D193">
        <f t="shared" si="5"/>
        <v>1.0654200607729289</v>
      </c>
    </row>
    <row r="194" spans="1:4" x14ac:dyDescent="0.25">
      <c r="A194" s="1">
        <v>42035</v>
      </c>
      <c r="B194" s="1">
        <f t="shared" si="4"/>
        <v>42005</v>
      </c>
      <c r="C194" s="8">
        <f>'[1]Housing Stock'!S197</f>
        <v>74706</v>
      </c>
      <c r="D194">
        <f t="shared" si="5"/>
        <v>1.0657517440118693</v>
      </c>
    </row>
    <row r="195" spans="1:4" x14ac:dyDescent="0.25">
      <c r="A195" s="1">
        <v>42063</v>
      </c>
      <c r="B195" s="1">
        <f t="shared" ref="B195:B210" si="6">A195-DAY(A195)+1</f>
        <v>42036</v>
      </c>
      <c r="C195" s="8">
        <f>'[1]Housing Stock'!S198</f>
        <v>74706</v>
      </c>
      <c r="D195">
        <f t="shared" ref="D195:D210" si="7">C195/$C$2</f>
        <v>1.0657517440118693</v>
      </c>
    </row>
    <row r="196" spans="1:4" x14ac:dyDescent="0.25">
      <c r="A196" s="1">
        <v>42094</v>
      </c>
      <c r="B196" s="1">
        <f t="shared" si="6"/>
        <v>42064</v>
      </c>
      <c r="C196" s="8">
        <f>'[1]Housing Stock'!S199</f>
        <v>74706</v>
      </c>
      <c r="D196">
        <f t="shared" si="7"/>
        <v>1.0657517440118693</v>
      </c>
    </row>
    <row r="197" spans="1:4" x14ac:dyDescent="0.25">
      <c r="A197" s="1">
        <v>42124</v>
      </c>
      <c r="B197" s="1">
        <f t="shared" si="6"/>
        <v>42095</v>
      </c>
      <c r="C197" s="8">
        <f>'[1]Housing Stock'!S200</f>
        <v>74706</v>
      </c>
      <c r="D197">
        <f t="shared" si="7"/>
        <v>1.0657517440118693</v>
      </c>
    </row>
    <row r="198" spans="1:4" x14ac:dyDescent="0.25">
      <c r="A198" s="1">
        <v>42155</v>
      </c>
      <c r="B198" s="1">
        <f t="shared" si="6"/>
        <v>42125</v>
      </c>
      <c r="C198" s="8">
        <f>'[1]Housing Stock'!S201</f>
        <v>74706</v>
      </c>
      <c r="D198">
        <f t="shared" si="7"/>
        <v>1.0657517440118693</v>
      </c>
    </row>
    <row r="199" spans="1:4" x14ac:dyDescent="0.25">
      <c r="A199" s="1">
        <v>42185</v>
      </c>
      <c r="B199" s="1">
        <f t="shared" si="6"/>
        <v>42156</v>
      </c>
      <c r="C199" s="8">
        <f>'[1]Housing Stock'!S202</f>
        <v>74706</v>
      </c>
      <c r="D199">
        <f t="shared" si="7"/>
        <v>1.0657517440118693</v>
      </c>
    </row>
    <row r="200" spans="1:4" x14ac:dyDescent="0.25">
      <c r="A200" s="1">
        <v>42216</v>
      </c>
      <c r="B200" s="1">
        <f t="shared" si="6"/>
        <v>42186</v>
      </c>
      <c r="C200" s="8">
        <f>'[1]Housing Stock'!S203</f>
        <v>74706</v>
      </c>
      <c r="D200">
        <f t="shared" si="7"/>
        <v>1.0657517440118693</v>
      </c>
    </row>
    <row r="201" spans="1:4" x14ac:dyDescent="0.25">
      <c r="A201" s="1">
        <v>42247</v>
      </c>
      <c r="B201" s="1">
        <f t="shared" si="6"/>
        <v>42217</v>
      </c>
      <c r="C201" s="8">
        <f>'[1]Housing Stock'!S204</f>
        <v>74706</v>
      </c>
      <c r="D201">
        <f t="shared" si="7"/>
        <v>1.0657517440118693</v>
      </c>
    </row>
    <row r="202" spans="1:4" x14ac:dyDescent="0.25">
      <c r="A202" s="1">
        <v>42277</v>
      </c>
      <c r="B202" s="1">
        <f t="shared" si="6"/>
        <v>42248</v>
      </c>
      <c r="C202" s="8">
        <f>'[1]Housing Stock'!S205</f>
        <v>74706</v>
      </c>
      <c r="D202">
        <f t="shared" si="7"/>
        <v>1.0657517440118693</v>
      </c>
    </row>
    <row r="203" spans="1:4" x14ac:dyDescent="0.25">
      <c r="A203" s="1">
        <v>42308</v>
      </c>
      <c r="B203" s="1">
        <f t="shared" si="6"/>
        <v>42278</v>
      </c>
      <c r="C203" s="8">
        <f>'[1]Housing Stock'!S206</f>
        <v>74706</v>
      </c>
      <c r="D203">
        <f t="shared" si="7"/>
        <v>1.0657517440118693</v>
      </c>
    </row>
    <row r="204" spans="1:4" x14ac:dyDescent="0.25">
      <c r="A204" s="1">
        <v>42338</v>
      </c>
      <c r="B204" s="1">
        <f t="shared" si="6"/>
        <v>42309</v>
      </c>
      <c r="C204" s="8">
        <f>'[1]Housing Stock'!S207</f>
        <v>74706</v>
      </c>
      <c r="D204">
        <f t="shared" si="7"/>
        <v>1.0657517440118693</v>
      </c>
    </row>
    <row r="205" spans="1:4" x14ac:dyDescent="0.25">
      <c r="A205" s="1">
        <v>42369</v>
      </c>
      <c r="B205" s="1">
        <f t="shared" si="6"/>
        <v>42339</v>
      </c>
      <c r="C205" s="8">
        <f>'[1]Housing Stock'!S208</f>
        <v>74706</v>
      </c>
      <c r="D205">
        <f t="shared" si="7"/>
        <v>1.0657517440118693</v>
      </c>
    </row>
    <row r="206" spans="1:4" x14ac:dyDescent="0.25">
      <c r="A206" s="1">
        <v>42400</v>
      </c>
      <c r="B206" s="1">
        <f t="shared" si="6"/>
        <v>42370</v>
      </c>
      <c r="C206" s="8">
        <v>74706</v>
      </c>
      <c r="D206">
        <f t="shared" si="7"/>
        <v>1.0657517440118693</v>
      </c>
    </row>
    <row r="207" spans="1:4" x14ac:dyDescent="0.25">
      <c r="A207" s="1">
        <v>42429</v>
      </c>
      <c r="B207" s="1">
        <f t="shared" si="6"/>
        <v>42401</v>
      </c>
      <c r="C207" s="8">
        <v>74706</v>
      </c>
      <c r="D207">
        <f t="shared" si="7"/>
        <v>1.0657517440118693</v>
      </c>
    </row>
    <row r="208" spans="1:4" x14ac:dyDescent="0.25">
      <c r="A208" s="1">
        <v>42460</v>
      </c>
      <c r="B208" s="1">
        <f t="shared" si="6"/>
        <v>42430</v>
      </c>
      <c r="C208" s="8">
        <v>74706</v>
      </c>
      <c r="D208">
        <f t="shared" si="7"/>
        <v>1.0657517440118693</v>
      </c>
    </row>
    <row r="209" spans="1:4" x14ac:dyDescent="0.25">
      <c r="A209" s="1">
        <v>42490</v>
      </c>
      <c r="B209" s="1">
        <f t="shared" si="6"/>
        <v>42461</v>
      </c>
      <c r="C209" s="8">
        <v>74706</v>
      </c>
      <c r="D209">
        <f t="shared" si="7"/>
        <v>1.0657517440118693</v>
      </c>
    </row>
    <row r="210" spans="1:4" x14ac:dyDescent="0.25">
      <c r="A210" s="1">
        <v>42521</v>
      </c>
      <c r="B210" s="1">
        <f t="shared" si="6"/>
        <v>42491</v>
      </c>
      <c r="C210" s="8">
        <v>74706</v>
      </c>
      <c r="D210">
        <f t="shared" si="7"/>
        <v>1.0657517440118693</v>
      </c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theme="3" tint="0.79998168889431442"/>
  </sheetPr>
  <dimension ref="A1:F154"/>
  <sheetViews>
    <sheetView topLeftCell="A94" workbookViewId="0">
      <selection sqref="A1:B154"/>
    </sheetView>
  </sheetViews>
  <sheetFormatPr defaultRowHeight="15" x14ac:dyDescent="0.25"/>
  <cols>
    <col min="1" max="1" width="11" customWidth="1"/>
    <col min="2" max="2" width="10" style="7" customWidth="1"/>
  </cols>
  <sheetData>
    <row r="1" spans="1:6" x14ac:dyDescent="0.25">
      <c r="B1" s="6" t="s">
        <v>3</v>
      </c>
      <c r="C1" t="s">
        <v>32</v>
      </c>
      <c r="D1" t="s">
        <v>29</v>
      </c>
      <c r="E1" t="s">
        <v>30</v>
      </c>
      <c r="F1" t="s">
        <v>31</v>
      </c>
    </row>
    <row r="2" spans="1:6" x14ac:dyDescent="0.25">
      <c r="A2" s="1">
        <v>37742</v>
      </c>
      <c r="B2" s="6">
        <v>3.1505553453999857E-2</v>
      </c>
      <c r="C2" s="7">
        <f>AVERAGE($B$2:B2)</f>
        <v>3.1505553453999857E-2</v>
      </c>
      <c r="D2" s="7">
        <f>AVERAGE($B$2:B2)</f>
        <v>3.1505553453999857E-2</v>
      </c>
      <c r="E2" s="7">
        <f>AVERAGE($B$2:B2)</f>
        <v>3.1505553453999857E-2</v>
      </c>
      <c r="F2" s="7">
        <f>AVERAGE($B$2:B2)</f>
        <v>3.1505553453999857E-2</v>
      </c>
    </row>
    <row r="3" spans="1:6" x14ac:dyDescent="0.25">
      <c r="A3" s="1">
        <v>37773</v>
      </c>
      <c r="B3" s="6">
        <v>2.941113568576784E-2</v>
      </c>
      <c r="C3" s="7">
        <f>AVERAGE($B$2:B3)</f>
        <v>3.0458344569883847E-2</v>
      </c>
      <c r="D3" s="7">
        <f>AVERAGE($B$2:B3)</f>
        <v>3.0458344569883847E-2</v>
      </c>
      <c r="E3" s="7">
        <f>AVERAGE($B$2:B3)</f>
        <v>3.0458344569883847E-2</v>
      </c>
      <c r="F3" s="7">
        <f>AVERAGE($B$2:B3)</f>
        <v>3.0458344569883847E-2</v>
      </c>
    </row>
    <row r="4" spans="1:6" x14ac:dyDescent="0.25">
      <c r="A4" s="1">
        <v>37803</v>
      </c>
      <c r="B4" s="6">
        <v>3.1692185122533308E-2</v>
      </c>
      <c r="C4" s="7">
        <f>AVERAGE($B$2:B4)</f>
        <v>3.0869624754100333E-2</v>
      </c>
      <c r="D4" s="7">
        <f>AVERAGE($B$2:B4)</f>
        <v>3.0869624754100333E-2</v>
      </c>
      <c r="E4" s="7">
        <f>AVERAGE($B$2:B4)</f>
        <v>3.0869624754100333E-2</v>
      </c>
      <c r="F4" s="7">
        <f>AVERAGE($B$2:B4)</f>
        <v>3.0869624754100333E-2</v>
      </c>
    </row>
    <row r="5" spans="1:6" x14ac:dyDescent="0.25">
      <c r="A5" s="1">
        <v>37834</v>
      </c>
      <c r="B5" s="6">
        <v>3.1405847846093869E-2</v>
      </c>
      <c r="C5" s="7">
        <f>AVERAGE($B$2:B5)</f>
        <v>3.1003680527098718E-2</v>
      </c>
      <c r="D5" s="7">
        <f>AVERAGE($B$2:B5)</f>
        <v>3.1003680527098718E-2</v>
      </c>
      <c r="E5" s="7">
        <f>AVERAGE($B$2:B5)</f>
        <v>3.1003680527098718E-2</v>
      </c>
      <c r="F5" s="7">
        <f>AVERAGE($B$2:B5)</f>
        <v>3.1003680527098718E-2</v>
      </c>
    </row>
    <row r="6" spans="1:6" x14ac:dyDescent="0.25">
      <c r="A6" s="1">
        <v>37865</v>
      </c>
      <c r="B6" s="6">
        <v>2.484674310474241E-2</v>
      </c>
      <c r="C6" s="7">
        <f>AVERAGE($B$2:B6)</f>
        <v>2.9772293042627455E-2</v>
      </c>
      <c r="D6" s="7">
        <f>AVERAGE($B$2:B6)</f>
        <v>2.9772293042627455E-2</v>
      </c>
      <c r="E6" s="7">
        <f>AVERAGE($B$2:B6)</f>
        <v>2.9772293042627455E-2</v>
      </c>
      <c r="F6" s="7">
        <f>AVERAGE($B$2:B6)</f>
        <v>2.9772293042627455E-2</v>
      </c>
    </row>
    <row r="7" spans="1:6" x14ac:dyDescent="0.25">
      <c r="A7" s="1">
        <v>37895</v>
      </c>
      <c r="B7" s="6">
        <v>2.2551663314892036E-2</v>
      </c>
      <c r="C7" s="7">
        <f>AVERAGE($B$2:B7)</f>
        <v>2.8568854754671552E-2</v>
      </c>
      <c r="D7" s="7">
        <f>AVERAGE($B$2:B7)</f>
        <v>2.8568854754671552E-2</v>
      </c>
      <c r="E7" s="7">
        <f>AVERAGE($B$2:B7)</f>
        <v>2.8568854754671552E-2</v>
      </c>
      <c r="F7" s="7">
        <f>AVERAGE($B$2:B7)</f>
        <v>2.8568854754671552E-2</v>
      </c>
    </row>
    <row r="8" spans="1:6" x14ac:dyDescent="0.25">
      <c r="A8" s="1">
        <v>37926</v>
      </c>
      <c r="B8" s="6">
        <v>3.0090776365059635E-2</v>
      </c>
      <c r="C8" s="7">
        <f>AVERAGE($B$2:B8)</f>
        <v>2.8786272127584136E-2</v>
      </c>
      <c r="D8" s="7">
        <f>AVERAGE($B$2:B8)</f>
        <v>2.8786272127584136E-2</v>
      </c>
      <c r="E8" s="7">
        <f>AVERAGE($B$2:B8)</f>
        <v>2.8786272127584136E-2</v>
      </c>
      <c r="F8" s="7">
        <f t="shared" ref="F8:F24" si="0">AVERAGE(B3:B8)</f>
        <v>2.8333058573181514E-2</v>
      </c>
    </row>
    <row r="9" spans="1:6" x14ac:dyDescent="0.25">
      <c r="A9" s="1">
        <v>37956</v>
      </c>
      <c r="B9" s="6">
        <v>3.1031237139204783E-2</v>
      </c>
      <c r="C9" s="7">
        <f>AVERAGE($B$2:B9)</f>
        <v>2.9066892754036715E-2</v>
      </c>
      <c r="D9" s="7">
        <f>AVERAGE($B$2:B9)</f>
        <v>2.9066892754036715E-2</v>
      </c>
      <c r="E9" s="7">
        <f>AVERAGE($B$2:B9)</f>
        <v>2.9066892754036715E-2</v>
      </c>
      <c r="F9" s="7">
        <f t="shared" si="0"/>
        <v>2.8603075482087671E-2</v>
      </c>
    </row>
    <row r="10" spans="1:6" x14ac:dyDescent="0.25">
      <c r="A10" s="1">
        <v>37987</v>
      </c>
      <c r="B10" s="6">
        <v>5.1273918922529832E-2</v>
      </c>
      <c r="C10" s="7">
        <f>AVERAGE($B$2:B10)</f>
        <v>3.1534340106091505E-2</v>
      </c>
      <c r="D10" s="7">
        <f>AVERAGE($B$2:B10)</f>
        <v>3.1534340106091505E-2</v>
      </c>
      <c r="E10" s="7">
        <f>AVERAGE($B$2:B10)</f>
        <v>3.1534340106091505E-2</v>
      </c>
      <c r="F10" s="7">
        <f t="shared" si="0"/>
        <v>3.1866697782087096E-2</v>
      </c>
    </row>
    <row r="11" spans="1:6" x14ac:dyDescent="0.25">
      <c r="A11" s="1">
        <v>38018</v>
      </c>
      <c r="B11" s="6">
        <v>5.0524334606170077E-2</v>
      </c>
      <c r="C11" s="7">
        <f>AVERAGE($B$2:B11)</f>
        <v>3.343333955609936E-2</v>
      </c>
      <c r="D11" s="7">
        <f>AVERAGE($B$2:B11)</f>
        <v>3.343333955609936E-2</v>
      </c>
      <c r="E11" s="7">
        <f>AVERAGE($B$2:B11)</f>
        <v>3.343333955609936E-2</v>
      </c>
      <c r="F11" s="7">
        <f t="shared" si="0"/>
        <v>3.5053112242099789E-2</v>
      </c>
    </row>
    <row r="12" spans="1:6" x14ac:dyDescent="0.25">
      <c r="A12" s="1">
        <v>38047</v>
      </c>
      <c r="B12" s="6">
        <v>5.1459234907319074E-2</v>
      </c>
      <c r="C12" s="7">
        <f>AVERAGE($B$2:B12)</f>
        <v>3.5072057315301157E-2</v>
      </c>
      <c r="D12" s="7">
        <f>AVERAGE($B$2:B12)</f>
        <v>3.5072057315301157E-2</v>
      </c>
      <c r="E12" s="7">
        <f>AVERAGE($B$2:B12)</f>
        <v>3.5072057315301157E-2</v>
      </c>
      <c r="F12" s="7">
        <f t="shared" si="0"/>
        <v>3.9488527542529239E-2</v>
      </c>
    </row>
    <row r="13" spans="1:6" x14ac:dyDescent="0.25">
      <c r="A13" s="1">
        <v>38078</v>
      </c>
      <c r="B13" s="6">
        <v>5.3398071458674534E-2</v>
      </c>
      <c r="C13" s="7">
        <f>AVERAGE($B$2:B13)</f>
        <v>3.6599225160582269E-2</v>
      </c>
      <c r="D13" s="7">
        <f>AVERAGE($B$2:B13)</f>
        <v>3.6599225160582269E-2</v>
      </c>
      <c r="E13" s="7">
        <f>AVERAGE($B$2:B13)</f>
        <v>3.6599225160582269E-2</v>
      </c>
      <c r="F13" s="7">
        <f t="shared" si="0"/>
        <v>4.4629595566492986E-2</v>
      </c>
    </row>
    <row r="14" spans="1:6" x14ac:dyDescent="0.25">
      <c r="A14" s="1">
        <v>38108</v>
      </c>
      <c r="B14" s="6">
        <v>5.5833945054499429E-2</v>
      </c>
      <c r="C14" s="7">
        <f>AVERAGE($B$2:B14)</f>
        <v>3.8078818998575896E-2</v>
      </c>
      <c r="D14" s="7">
        <f>AVERAGE($B$2:B14)</f>
        <v>3.8078818998575896E-2</v>
      </c>
      <c r="E14" s="7">
        <f t="shared" ref="E14:E24" si="1">AVERAGE(B3:B14)</f>
        <v>3.8626591127290562E-2</v>
      </c>
      <c r="F14" s="7">
        <f t="shared" si="0"/>
        <v>4.892012368139962E-2</v>
      </c>
    </row>
    <row r="15" spans="1:6" x14ac:dyDescent="0.25">
      <c r="A15" s="1">
        <v>38139</v>
      </c>
      <c r="B15" s="6">
        <v>4.6486909157875608E-2</v>
      </c>
      <c r="C15" s="7">
        <f>AVERAGE($B$2:B15)</f>
        <v>3.8679396867097302E-2</v>
      </c>
      <c r="D15" s="7">
        <f>AVERAGE($B$2:B15)</f>
        <v>3.8679396867097302E-2</v>
      </c>
      <c r="E15" s="7">
        <f t="shared" si="1"/>
        <v>4.0049572249966213E-2</v>
      </c>
      <c r="F15" s="7">
        <f t="shared" si="0"/>
        <v>5.1496069017844766E-2</v>
      </c>
    </row>
    <row r="16" spans="1:6" x14ac:dyDescent="0.25">
      <c r="A16" s="1">
        <v>38169</v>
      </c>
      <c r="B16" s="6">
        <v>4.3236855419818074E-2</v>
      </c>
      <c r="C16" s="7">
        <f>AVERAGE($B$2:B16)</f>
        <v>3.8983227437278681E-2</v>
      </c>
      <c r="D16" s="7">
        <f>AVERAGE($B$2:B16)</f>
        <v>3.8983227437278681E-2</v>
      </c>
      <c r="E16" s="7">
        <f t="shared" si="1"/>
        <v>4.1011628108073288E-2</v>
      </c>
      <c r="F16" s="7">
        <f t="shared" si="0"/>
        <v>5.0156558434059466E-2</v>
      </c>
    </row>
    <row r="17" spans="1:6" x14ac:dyDescent="0.25">
      <c r="A17" s="1">
        <v>38200</v>
      </c>
      <c r="B17" s="6">
        <v>5.064994480301778E-2</v>
      </c>
      <c r="C17" s="7">
        <f>AVERAGE($B$2:B17)</f>
        <v>3.9712397272637374E-2</v>
      </c>
      <c r="D17" s="7">
        <f>AVERAGE($B$2:B17)</f>
        <v>3.9712397272637374E-2</v>
      </c>
      <c r="E17" s="7">
        <f t="shared" si="1"/>
        <v>4.261530285448361E-2</v>
      </c>
      <c r="F17" s="7">
        <f t="shared" si="0"/>
        <v>5.0177493466867416E-2</v>
      </c>
    </row>
    <row r="18" spans="1:6" x14ac:dyDescent="0.25">
      <c r="A18" s="1">
        <v>38231</v>
      </c>
      <c r="B18" s="6">
        <v>5.5267950396253408E-2</v>
      </c>
      <c r="C18" s="7">
        <f>AVERAGE($B$2:B18)</f>
        <v>4.0627429809320673E-2</v>
      </c>
      <c r="D18" s="7">
        <f>AVERAGE($B$2:B18)</f>
        <v>4.0627429809320673E-2</v>
      </c>
      <c r="E18" s="7">
        <f t="shared" si="1"/>
        <v>4.5150403462109523E-2</v>
      </c>
      <c r="F18" s="7">
        <f t="shared" si="0"/>
        <v>5.0812279381689807E-2</v>
      </c>
    </row>
    <row r="19" spans="1:6" x14ac:dyDescent="0.25">
      <c r="A19" s="1">
        <v>38261</v>
      </c>
      <c r="B19" s="6">
        <v>5.3382000663502641E-2</v>
      </c>
      <c r="C19" s="7">
        <f>AVERAGE($B$2:B19)</f>
        <v>4.133601707899745E-2</v>
      </c>
      <c r="D19" s="7">
        <f>AVERAGE($B$2:B19)</f>
        <v>4.133601707899745E-2</v>
      </c>
      <c r="E19" s="7">
        <f t="shared" si="1"/>
        <v>4.7719598241160406E-2</v>
      </c>
      <c r="F19" s="7">
        <f t="shared" si="0"/>
        <v>5.080960091582782E-2</v>
      </c>
    </row>
    <row r="20" spans="1:6" x14ac:dyDescent="0.25">
      <c r="A20" s="1">
        <v>38292</v>
      </c>
      <c r="B20" s="6">
        <v>5.4919324593134249E-2</v>
      </c>
      <c r="C20" s="7">
        <f>AVERAGE($B$2:B20)</f>
        <v>4.2050928000794116E-2</v>
      </c>
      <c r="D20" s="7">
        <f t="shared" ref="D20:D24" si="2">AVERAGE(B3:B20)</f>
        <v>4.2636782142282691E-2</v>
      </c>
      <c r="E20" s="7">
        <f t="shared" si="1"/>
        <v>4.9788643926833291E-2</v>
      </c>
      <c r="F20" s="7">
        <f t="shared" si="0"/>
        <v>5.0657164172266962E-2</v>
      </c>
    </row>
    <row r="21" spans="1:6" x14ac:dyDescent="0.25">
      <c r="A21" s="1">
        <v>38322</v>
      </c>
      <c r="B21" s="6">
        <v>5.2246834494736979E-2</v>
      </c>
      <c r="C21" s="7">
        <f>AVERAGE($B$2:B21)</f>
        <v>4.2560723325491261E-2</v>
      </c>
      <c r="D21" s="7">
        <f t="shared" si="2"/>
        <v>4.3905432076114317E-2</v>
      </c>
      <c r="E21" s="7">
        <f t="shared" si="1"/>
        <v>5.1556610373127643E-2</v>
      </c>
      <c r="F21" s="7">
        <f t="shared" si="0"/>
        <v>5.1617151728410526E-2</v>
      </c>
    </row>
    <row r="22" spans="1:6" x14ac:dyDescent="0.25">
      <c r="A22" s="1">
        <v>38353</v>
      </c>
      <c r="B22" s="6">
        <v>5.8879965570994591E-2</v>
      </c>
      <c r="C22" s="7">
        <f>AVERAGE($B$2:B22)</f>
        <v>4.3337830099086663E-2</v>
      </c>
      <c r="D22" s="7">
        <f t="shared" si="2"/>
        <v>4.5415864323251058E-2</v>
      </c>
      <c r="E22" s="7">
        <f t="shared" si="1"/>
        <v>5.2190447593833039E-2</v>
      </c>
      <c r="F22" s="7">
        <f t="shared" si="0"/>
        <v>5.4224336753606606E-2</v>
      </c>
    </row>
    <row r="23" spans="1:6" x14ac:dyDescent="0.25">
      <c r="A23" s="1">
        <v>38384</v>
      </c>
      <c r="B23" s="6">
        <v>5.7210385485708483E-2</v>
      </c>
      <c r="C23" s="7">
        <f>AVERAGE($B$2:B23)</f>
        <v>4.3968400798478559E-2</v>
      </c>
      <c r="D23" s="7">
        <f t="shared" si="2"/>
        <v>4.6849449747674091E-2</v>
      </c>
      <c r="E23" s="7">
        <f t="shared" si="1"/>
        <v>5.2747618500461231E-2</v>
      </c>
      <c r="F23" s="7">
        <f t="shared" si="0"/>
        <v>5.531774353405506E-2</v>
      </c>
    </row>
    <row r="24" spans="1:6" x14ac:dyDescent="0.25">
      <c r="A24" s="1">
        <v>38412</v>
      </c>
      <c r="B24" s="6">
        <v>5.7237223873002771E-2</v>
      </c>
      <c r="C24" s="7">
        <f>AVERAGE($B$2:B24)</f>
        <v>4.4545306149544828E-2</v>
      </c>
      <c r="D24" s="7">
        <f t="shared" si="2"/>
        <v>4.864892090146633E-2</v>
      </c>
      <c r="E24" s="7">
        <f t="shared" si="1"/>
        <v>5.3229117580934876E-2</v>
      </c>
      <c r="F24" s="7">
        <f t="shared" si="0"/>
        <v>5.5645955780179952E-2</v>
      </c>
    </row>
    <row r="25" spans="1:6" x14ac:dyDescent="0.25">
      <c r="A25" s="1">
        <v>38443</v>
      </c>
      <c r="B25" s="6">
        <v>5.7535857913621688E-2</v>
      </c>
      <c r="C25" s="7">
        <f>AVERAGE(B2:B25)</f>
        <v>4.5086579139714693E-2</v>
      </c>
      <c r="D25" s="7">
        <f>AVERAGE(B8:B25)</f>
        <v>5.0592487268062425E-2</v>
      </c>
      <c r="E25" s="7">
        <f>AVERAGE(B14:B25)</f>
        <v>5.3573933118847145E-2</v>
      </c>
      <c r="F25" s="7">
        <f>AVERAGE(B20:B25)</f>
        <v>5.6338265321866456E-2</v>
      </c>
    </row>
    <row r="26" spans="1:6" x14ac:dyDescent="0.25">
      <c r="A26" s="1">
        <v>38473</v>
      </c>
      <c r="B26" s="6">
        <v>5.0773849629879478E-2</v>
      </c>
      <c r="C26" s="7">
        <f t="shared" ref="C26:C89" si="3">AVERAGE(B3:B26)</f>
        <v>4.5889424813709688E-2</v>
      </c>
      <c r="D26" s="7">
        <f t="shared" ref="D26:D89" si="4">AVERAGE(B9:B26)</f>
        <v>5.174154689388575E-2</v>
      </c>
      <c r="E26" s="7">
        <f t="shared" ref="E26:E89" si="5">AVERAGE(B15:B26)</f>
        <v>5.3152258500128814E-2</v>
      </c>
      <c r="F26" s="7">
        <f t="shared" ref="F26:F89" si="6">AVERAGE(B21:B26)</f>
        <v>5.5647352827990666E-2</v>
      </c>
    </row>
    <row r="27" spans="1:6" x14ac:dyDescent="0.25">
      <c r="A27" s="1">
        <v>38504</v>
      </c>
      <c r="B27" s="6">
        <v>5.6714358430414252E-2</v>
      </c>
      <c r="C27" s="7">
        <f t="shared" si="3"/>
        <v>4.7027059094736617E-2</v>
      </c>
      <c r="D27" s="7">
        <f t="shared" si="4"/>
        <v>5.3168386965619617E-2</v>
      </c>
      <c r="E27" s="7">
        <f t="shared" si="5"/>
        <v>5.4004545939507043E-2</v>
      </c>
      <c r="F27" s="7">
        <f t="shared" si="6"/>
        <v>5.6391940150603538E-2</v>
      </c>
    </row>
    <row r="28" spans="1:6" x14ac:dyDescent="0.25">
      <c r="A28" s="1">
        <v>38534</v>
      </c>
      <c r="B28" s="6">
        <v>5.7919480634164446E-2</v>
      </c>
      <c r="C28" s="7">
        <f t="shared" si="3"/>
        <v>4.8119863074387925E-2</v>
      </c>
      <c r="D28" s="7">
        <f t="shared" si="4"/>
        <v>5.3537584838488202E-2</v>
      </c>
      <c r="E28" s="7">
        <f t="shared" si="5"/>
        <v>5.5228098040702563E-2</v>
      </c>
      <c r="F28" s="7">
        <f t="shared" si="6"/>
        <v>5.6231859327798513E-2</v>
      </c>
    </row>
    <row r="29" spans="1:6" x14ac:dyDescent="0.25">
      <c r="A29" s="1">
        <v>38565</v>
      </c>
      <c r="B29" s="6">
        <v>5.9594279667824393E-2</v>
      </c>
      <c r="C29" s="7">
        <f t="shared" si="3"/>
        <v>4.9294381066960026E-2</v>
      </c>
      <c r="D29" s="7">
        <f t="shared" si="4"/>
        <v>5.4041470675246769E-2</v>
      </c>
      <c r="E29" s="7">
        <f t="shared" si="5"/>
        <v>5.5973459279436449E-2</v>
      </c>
      <c r="F29" s="7">
        <f t="shared" si="6"/>
        <v>5.6629175024817839E-2</v>
      </c>
    </row>
    <row r="30" spans="1:6" x14ac:dyDescent="0.25">
      <c r="A30" s="1">
        <v>38596</v>
      </c>
      <c r="B30" s="6">
        <v>5.3047415231788152E-2</v>
      </c>
      <c r="C30" s="7">
        <f t="shared" si="3"/>
        <v>5.0469409072253606E-2</v>
      </c>
      <c r="D30" s="7">
        <f t="shared" si="4"/>
        <v>5.412970291549505E-2</v>
      </c>
      <c r="E30" s="7">
        <f t="shared" si="5"/>
        <v>5.5788414682397675E-2</v>
      </c>
      <c r="F30" s="7">
        <f t="shared" si="6"/>
        <v>5.5930873584615397E-2</v>
      </c>
    </row>
    <row r="31" spans="1:6" x14ac:dyDescent="0.25">
      <c r="A31" s="1">
        <v>38626</v>
      </c>
      <c r="B31" s="6">
        <v>5.6080161964855081E-2</v>
      </c>
      <c r="C31" s="7">
        <f t="shared" si="3"/>
        <v>5.1866429849335392E-2</v>
      </c>
      <c r="D31" s="7">
        <f t="shared" si="4"/>
        <v>5.4278707943616195E-2</v>
      </c>
      <c r="E31" s="7">
        <f t="shared" si="5"/>
        <v>5.6013261457510372E-2</v>
      </c>
      <c r="F31" s="7">
        <f t="shared" si="6"/>
        <v>5.5688257593154301E-2</v>
      </c>
    </row>
    <row r="32" spans="1:6" x14ac:dyDescent="0.25">
      <c r="A32" s="1">
        <v>38657</v>
      </c>
      <c r="B32" s="6">
        <v>5.7139926878147916E-2</v>
      </c>
      <c r="C32" s="7">
        <f t="shared" si="3"/>
        <v>5.2993477787380734E-2</v>
      </c>
      <c r="D32" s="7">
        <f t="shared" si="4"/>
        <v>5.4351262489374448E-2</v>
      </c>
      <c r="E32" s="7">
        <f t="shared" si="5"/>
        <v>5.6198311647928191E-2</v>
      </c>
      <c r="F32" s="7">
        <f t="shared" si="6"/>
        <v>5.6749270467865702E-2</v>
      </c>
    </row>
    <row r="33" spans="1:6" x14ac:dyDescent="0.25">
      <c r="A33" s="1">
        <v>38687</v>
      </c>
      <c r="B33" s="6">
        <v>5.1508629714844767E-2</v>
      </c>
      <c r="C33" s="7">
        <f t="shared" si="3"/>
        <v>5.3846702478032409E-2</v>
      </c>
      <c r="D33" s="7">
        <f t="shared" si="4"/>
        <v>5.4630246964761625E-2</v>
      </c>
      <c r="E33" s="7">
        <f t="shared" si="5"/>
        <v>5.6136794582937168E-2</v>
      </c>
      <c r="F33" s="7">
        <f t="shared" si="6"/>
        <v>5.588164901527079E-2</v>
      </c>
    </row>
    <row r="34" spans="1:6" x14ac:dyDescent="0.25">
      <c r="A34" s="1">
        <v>38718</v>
      </c>
      <c r="B34" s="6">
        <v>5.5999784047774545E-2</v>
      </c>
      <c r="C34" s="7">
        <f t="shared" si="3"/>
        <v>5.40436135249176E-2</v>
      </c>
      <c r="D34" s="7">
        <f t="shared" si="4"/>
        <v>5.5339298555203642E-2</v>
      </c>
      <c r="E34" s="7">
        <f t="shared" si="5"/>
        <v>5.589677945600216E-2</v>
      </c>
      <c r="F34" s="7">
        <f t="shared" si="6"/>
        <v>5.5561699584205808E-2</v>
      </c>
    </row>
    <row r="35" spans="1:6" x14ac:dyDescent="0.25">
      <c r="A35" s="1">
        <v>38749</v>
      </c>
      <c r="B35" s="6">
        <v>5.8120424698011111E-2</v>
      </c>
      <c r="C35" s="7">
        <f t="shared" si="3"/>
        <v>5.4360117278744312E-2</v>
      </c>
      <c r="D35" s="7">
        <f t="shared" si="4"/>
        <v>5.5754325216036599E-2</v>
      </c>
      <c r="E35" s="7">
        <f t="shared" si="5"/>
        <v>5.5972616057027386E-2</v>
      </c>
      <c r="F35" s="7">
        <f t="shared" si="6"/>
        <v>5.5316057089236925E-2</v>
      </c>
    </row>
    <row r="36" spans="1:6" x14ac:dyDescent="0.25">
      <c r="A36" s="1">
        <v>38777</v>
      </c>
      <c r="B36" s="6">
        <v>6.0419452359080784E-2</v>
      </c>
      <c r="C36" s="7">
        <f t="shared" si="3"/>
        <v>5.4733459672567715E-2</v>
      </c>
      <c r="D36" s="7">
        <f t="shared" si="4"/>
        <v>5.6040519769527015E-2</v>
      </c>
      <c r="E36" s="7">
        <f t="shared" si="5"/>
        <v>5.6237801764200547E-2</v>
      </c>
      <c r="F36" s="7">
        <f t="shared" si="6"/>
        <v>5.6544729943785704E-2</v>
      </c>
    </row>
    <row r="37" spans="1:6" x14ac:dyDescent="0.25">
      <c r="A37" s="1">
        <v>38808</v>
      </c>
      <c r="B37" s="6">
        <v>5.9025947640834631E-2</v>
      </c>
      <c r="C37" s="7">
        <f t="shared" si="3"/>
        <v>5.4967954513491062E-2</v>
      </c>
      <c r="D37" s="7">
        <f t="shared" si="4"/>
        <v>5.635407237937879E-2</v>
      </c>
      <c r="E37" s="7">
        <f t="shared" si="5"/>
        <v>5.6361975908134965E-2</v>
      </c>
      <c r="F37" s="7">
        <f t="shared" si="6"/>
        <v>5.7035694223115628E-2</v>
      </c>
    </row>
    <row r="38" spans="1:6" x14ac:dyDescent="0.25">
      <c r="A38" s="1">
        <v>38838</v>
      </c>
      <c r="B38" s="6">
        <v>5.9418985447238643E-2</v>
      </c>
      <c r="C38" s="7">
        <f t="shared" si="3"/>
        <v>5.5117331196521867E-2</v>
      </c>
      <c r="D38" s="7">
        <f t="shared" si="4"/>
        <v>5.6604053537940152E-2</v>
      </c>
      <c r="E38" s="7">
        <f t="shared" si="5"/>
        <v>5.7082403892914892E-2</v>
      </c>
      <c r="F38" s="7">
        <f t="shared" si="6"/>
        <v>5.7415537317964081E-2</v>
      </c>
    </row>
    <row r="39" spans="1:6" x14ac:dyDescent="0.25">
      <c r="A39" s="1">
        <v>38869</v>
      </c>
      <c r="B39" s="6">
        <v>5.7020872702753023E-2</v>
      </c>
      <c r="C39" s="7">
        <f t="shared" si="3"/>
        <v>5.555624634422509E-2</v>
      </c>
      <c r="D39" s="7">
        <f t="shared" si="4"/>
        <v>5.686927788282993E-2</v>
      </c>
      <c r="E39" s="7">
        <f t="shared" si="5"/>
        <v>5.7107946748943129E-2</v>
      </c>
      <c r="F39" s="7">
        <f t="shared" si="6"/>
        <v>5.8334244482615455E-2</v>
      </c>
    </row>
    <row r="40" spans="1:6" x14ac:dyDescent="0.25">
      <c r="A40" s="1">
        <v>38899</v>
      </c>
      <c r="B40" s="6">
        <v>6.0986823147290301E-2</v>
      </c>
      <c r="C40" s="7">
        <f t="shared" si="3"/>
        <v>5.6295828332869752E-2</v>
      </c>
      <c r="D40" s="7">
        <f t="shared" si="4"/>
        <v>5.6986325525957469E-2</v>
      </c>
      <c r="E40" s="7">
        <f t="shared" si="5"/>
        <v>5.7363558625036948E-2</v>
      </c>
      <c r="F40" s="7">
        <f t="shared" si="6"/>
        <v>5.9165417665868081E-2</v>
      </c>
    </row>
    <row r="41" spans="1:6" x14ac:dyDescent="0.25">
      <c r="A41" s="1">
        <v>38930</v>
      </c>
      <c r="B41" s="6">
        <v>6.2638741808589582E-2</v>
      </c>
      <c r="C41" s="7">
        <f t="shared" si="3"/>
        <v>5.6795361541435246E-2</v>
      </c>
      <c r="D41" s="7">
        <f t="shared" si="4"/>
        <v>5.7287900877228647E-2</v>
      </c>
      <c r="E41" s="7">
        <f t="shared" si="5"/>
        <v>5.761726380343405E-2</v>
      </c>
      <c r="F41" s="7">
        <f t="shared" si="6"/>
        <v>5.9918470517631162E-2</v>
      </c>
    </row>
    <row r="42" spans="1:6" x14ac:dyDescent="0.25">
      <c r="A42" s="1">
        <v>38961</v>
      </c>
      <c r="B42" s="6">
        <v>6.8768065734841011E-2</v>
      </c>
      <c r="C42" s="7">
        <f t="shared" si="3"/>
        <v>5.7357866347209734E-2</v>
      </c>
      <c r="D42" s="7">
        <f t="shared" si="4"/>
        <v>5.7928503202886325E-2</v>
      </c>
      <c r="E42" s="7">
        <f t="shared" si="5"/>
        <v>5.89273180120218E-2</v>
      </c>
      <c r="F42" s="7">
        <f t="shared" si="6"/>
        <v>6.130990608025786E-2</v>
      </c>
    </row>
    <row r="43" spans="1:6" x14ac:dyDescent="0.25">
      <c r="A43" s="1">
        <v>38991</v>
      </c>
      <c r="B43" s="6">
        <v>7.2782687000032834E-2</v>
      </c>
      <c r="C43" s="7">
        <f t="shared" si="3"/>
        <v>5.8166228277898489E-2</v>
      </c>
      <c r="D43" s="7">
        <f t="shared" si="4"/>
        <v>5.8775549263242501E-2</v>
      </c>
      <c r="E43" s="7">
        <f t="shared" si="5"/>
        <v>6.03191950982866E-2</v>
      </c>
      <c r="F43" s="7">
        <f t="shared" si="6"/>
        <v>6.3602695973457565E-2</v>
      </c>
    </row>
    <row r="44" spans="1:6" x14ac:dyDescent="0.25">
      <c r="A44" s="1">
        <v>39022</v>
      </c>
      <c r="B44" s="6">
        <v>6.7539530922792385E-2</v>
      </c>
      <c r="C44" s="7">
        <f t="shared" si="3"/>
        <v>5.8692070208300917E-2</v>
      </c>
      <c r="D44" s="7">
        <f t="shared" si="4"/>
        <v>5.9706976001737661E-2</v>
      </c>
      <c r="E44" s="7">
        <f t="shared" si="5"/>
        <v>6.118582876867365E-2</v>
      </c>
      <c r="F44" s="7">
        <f t="shared" si="6"/>
        <v>6.4956120219383184E-2</v>
      </c>
    </row>
    <row r="45" spans="1:6" x14ac:dyDescent="0.25">
      <c r="A45" s="1">
        <v>39052</v>
      </c>
      <c r="B45" s="6">
        <v>7.1577977268320894E-2</v>
      </c>
      <c r="C45" s="7">
        <f t="shared" si="3"/>
        <v>5.9497534490533577E-2</v>
      </c>
      <c r="D45" s="7">
        <f t="shared" si="4"/>
        <v>6.0532732603843592E-2</v>
      </c>
      <c r="E45" s="7">
        <f t="shared" si="5"/>
        <v>6.2858274398129993E-2</v>
      </c>
      <c r="F45" s="7">
        <f t="shared" si="6"/>
        <v>6.7382304313644489E-2</v>
      </c>
    </row>
    <row r="46" spans="1:6" x14ac:dyDescent="0.25">
      <c r="A46" s="1">
        <v>39083</v>
      </c>
      <c r="B46" s="6">
        <v>4.7287089606283937E-2</v>
      </c>
      <c r="C46" s="7">
        <f t="shared" si="3"/>
        <v>5.9014497992003971E-2</v>
      </c>
      <c r="D46" s="7">
        <f t="shared" si="4"/>
        <v>5.9942044213405793E-2</v>
      </c>
      <c r="E46" s="7">
        <f t="shared" si="5"/>
        <v>6.2132216528005768E-2</v>
      </c>
      <c r="F46" s="7">
        <f t="shared" si="6"/>
        <v>6.5099015390143428E-2</v>
      </c>
    </row>
    <row r="47" spans="1:6" x14ac:dyDescent="0.25">
      <c r="A47" s="1">
        <v>39114</v>
      </c>
      <c r="B47" s="6">
        <v>4.6395496385672877E-2</v>
      </c>
      <c r="C47" s="7">
        <f t="shared" si="3"/>
        <v>5.8563877612835824E-2</v>
      </c>
      <c r="D47" s="7">
        <f t="shared" si="4"/>
        <v>5.920877847550849E-2</v>
      </c>
      <c r="E47" s="7">
        <f t="shared" si="5"/>
        <v>6.1155139168644242E-2</v>
      </c>
      <c r="F47" s="7">
        <f t="shared" si="6"/>
        <v>6.2391807819657315E-2</v>
      </c>
    </row>
    <row r="48" spans="1:6" x14ac:dyDescent="0.25">
      <c r="A48" s="1">
        <v>39142</v>
      </c>
      <c r="B48" s="6">
        <v>4.4713940536751345E-2</v>
      </c>
      <c r="C48" s="7">
        <f t="shared" si="3"/>
        <v>5.8042074140492013E-2</v>
      </c>
      <c r="D48" s="7">
        <f t="shared" si="4"/>
        <v>5.8745807659117556E-2</v>
      </c>
      <c r="E48" s="7">
        <f t="shared" si="5"/>
        <v>5.9846346516783451E-2</v>
      </c>
      <c r="F48" s="7">
        <f t="shared" si="6"/>
        <v>5.8382786953309042E-2</v>
      </c>
    </row>
    <row r="49" spans="1:6" x14ac:dyDescent="0.25">
      <c r="A49" s="1">
        <v>39173</v>
      </c>
      <c r="B49" s="6">
        <v>4.8832001637943503E-2</v>
      </c>
      <c r="C49" s="7">
        <f t="shared" si="3"/>
        <v>5.7679413462338763E-2</v>
      </c>
      <c r="D49" s="7">
        <f t="shared" si="4"/>
        <v>5.8343132085400234E-2</v>
      </c>
      <c r="E49" s="7">
        <f t="shared" si="5"/>
        <v>5.8996851016542534E-2</v>
      </c>
      <c r="F49" s="7">
        <f t="shared" si="6"/>
        <v>5.4391006059627496E-2</v>
      </c>
    </row>
    <row r="50" spans="1:6" x14ac:dyDescent="0.25">
      <c r="A50" s="1">
        <v>39203</v>
      </c>
      <c r="B50" s="6">
        <v>4.8954380594343205E-2</v>
      </c>
      <c r="C50" s="7">
        <f t="shared" si="3"/>
        <v>5.7603602252524755E-2</v>
      </c>
      <c r="D50" s="7">
        <f t="shared" si="4"/>
        <v>5.7888379514077756E-2</v>
      </c>
      <c r="E50" s="7">
        <f t="shared" si="5"/>
        <v>5.8124800612134576E-2</v>
      </c>
      <c r="F50" s="7">
        <f t="shared" si="6"/>
        <v>5.1293481004885962E-2</v>
      </c>
    </row>
    <row r="51" spans="1:6" x14ac:dyDescent="0.25">
      <c r="A51" s="1">
        <v>39234</v>
      </c>
      <c r="B51" s="6">
        <v>4.9756465677550377E-2</v>
      </c>
      <c r="C51" s="7">
        <f t="shared" si="3"/>
        <v>5.7313690054488768E-2</v>
      </c>
      <c r="D51" s="7">
        <f t="shared" si="4"/>
        <v>5.7791037067561404E-2</v>
      </c>
      <c r="E51" s="7">
        <f t="shared" si="5"/>
        <v>5.7519433360034344E-2</v>
      </c>
      <c r="F51" s="7">
        <f t="shared" si="6"/>
        <v>4.7656562406424206E-2</v>
      </c>
    </row>
    <row r="52" spans="1:6" x14ac:dyDescent="0.25">
      <c r="A52" s="1">
        <v>39264</v>
      </c>
      <c r="B52" s="6">
        <v>5.182897047814522E-2</v>
      </c>
      <c r="C52" s="7">
        <f t="shared" si="3"/>
        <v>5.7059918797987962E-2</v>
      </c>
      <c r="D52" s="7">
        <f t="shared" si="4"/>
        <v>5.7559325202581987E-2</v>
      </c>
      <c r="E52" s="7">
        <f t="shared" si="5"/>
        <v>5.6756278970938913E-2</v>
      </c>
      <c r="F52" s="7">
        <f t="shared" si="6"/>
        <v>4.8413542551734419E-2</v>
      </c>
    </row>
    <row r="53" spans="1:6" x14ac:dyDescent="0.25">
      <c r="A53" s="1">
        <v>39295</v>
      </c>
      <c r="B53" s="6">
        <v>4.4770478290258646E-2</v>
      </c>
      <c r="C53" s="7">
        <f t="shared" si="3"/>
        <v>5.6442260407256049E-2</v>
      </c>
      <c r="D53" s="7">
        <f t="shared" si="4"/>
        <v>5.681766151326241E-2</v>
      </c>
      <c r="E53" s="7">
        <f t="shared" si="5"/>
        <v>5.5267257011078014E-2</v>
      </c>
      <c r="F53" s="7">
        <f t="shared" si="6"/>
        <v>4.814270620249872E-2</v>
      </c>
    </row>
    <row r="54" spans="1:6" x14ac:dyDescent="0.25">
      <c r="A54" s="1">
        <v>39326</v>
      </c>
      <c r="B54" s="6">
        <v>5.0103643015246946E-2</v>
      </c>
      <c r="C54" s="7">
        <f t="shared" si="3"/>
        <v>5.6319603231566838E-2</v>
      </c>
      <c r="D54" s="7">
        <f t="shared" si="4"/>
        <v>5.6244560994160517E-2</v>
      </c>
      <c r="E54" s="7">
        <f t="shared" si="5"/>
        <v>5.3711888451111835E-2</v>
      </c>
      <c r="F54" s="7">
        <f t="shared" si="6"/>
        <v>4.9040989948914648E-2</v>
      </c>
    </row>
    <row r="55" spans="1:6" x14ac:dyDescent="0.25">
      <c r="A55" s="1">
        <v>39356</v>
      </c>
      <c r="B55" s="6">
        <v>5.6863193413411929E-2</v>
      </c>
      <c r="C55" s="7">
        <f t="shared" si="3"/>
        <v>5.635222954192335E-2</v>
      </c>
      <c r="D55" s="7">
        <f t="shared" si="4"/>
        <v>5.6124407981525924E-2</v>
      </c>
      <c r="E55" s="7">
        <f t="shared" si="5"/>
        <v>5.2385263985560114E-2</v>
      </c>
      <c r="F55" s="7">
        <f t="shared" si="6"/>
        <v>5.0379521911492725E-2</v>
      </c>
    </row>
    <row r="56" spans="1:6" x14ac:dyDescent="0.25">
      <c r="A56" s="1">
        <v>39387</v>
      </c>
      <c r="B56" s="6">
        <v>5.6172147833547653E-2</v>
      </c>
      <c r="C56" s="7">
        <f t="shared" si="3"/>
        <v>5.6311905415065013E-2</v>
      </c>
      <c r="D56" s="7">
        <f t="shared" si="4"/>
        <v>5.5944028114098647E-2</v>
      </c>
      <c r="E56" s="7">
        <f t="shared" si="5"/>
        <v>5.1437982061456382E-2</v>
      </c>
      <c r="F56" s="7">
        <f t="shared" si="6"/>
        <v>5.1582483118026802E-2</v>
      </c>
    </row>
    <row r="57" spans="1:6" x14ac:dyDescent="0.25">
      <c r="A57" s="1">
        <v>39417</v>
      </c>
      <c r="B57" s="6">
        <v>5.4545795763712268E-2</v>
      </c>
      <c r="C57" s="7">
        <f t="shared" si="3"/>
        <v>5.6438454000434492E-2</v>
      </c>
      <c r="D57" s="7">
        <f t="shared" si="4"/>
        <v>5.5806523839707488E-2</v>
      </c>
      <c r="E57" s="7">
        <f t="shared" si="5"/>
        <v>5.0018633602738984E-2</v>
      </c>
      <c r="F57" s="7">
        <f t="shared" si="6"/>
        <v>5.2380704799053775E-2</v>
      </c>
    </row>
    <row r="58" spans="1:6" x14ac:dyDescent="0.25">
      <c r="A58" s="1">
        <v>39448</v>
      </c>
      <c r="B58" s="6">
        <v>4.4248670622532481E-2</v>
      </c>
      <c r="C58" s="7">
        <f t="shared" si="3"/>
        <v>5.594882427438274E-2</v>
      </c>
      <c r="D58" s="7">
        <f t="shared" si="4"/>
        <v>5.4876626477220941E-2</v>
      </c>
      <c r="E58" s="7">
        <f t="shared" si="5"/>
        <v>4.9765432020759705E-2</v>
      </c>
      <c r="F58" s="7">
        <f t="shared" si="6"/>
        <v>5.1117321489784984E-2</v>
      </c>
    </row>
    <row r="59" spans="1:6" x14ac:dyDescent="0.25">
      <c r="A59" s="1">
        <v>39479</v>
      </c>
      <c r="B59" s="6">
        <v>4.2593614908776653E-2</v>
      </c>
      <c r="C59" s="7">
        <f t="shared" si="3"/>
        <v>5.5301873866497965E-2</v>
      </c>
      <c r="D59" s="7">
        <f t="shared" si="4"/>
        <v>5.3763008316120228E-2</v>
      </c>
      <c r="E59" s="7">
        <f t="shared" si="5"/>
        <v>4.9448608564351682E-2</v>
      </c>
      <c r="F59" s="7">
        <f t="shared" si="6"/>
        <v>5.075451092620465E-2</v>
      </c>
    </row>
    <row r="60" spans="1:6" x14ac:dyDescent="0.25">
      <c r="A60" s="1">
        <v>39508</v>
      </c>
      <c r="B60" s="6">
        <v>4.6114677566286975E-2</v>
      </c>
      <c r="C60" s="7">
        <f t="shared" si="3"/>
        <v>5.4705841583464893E-2</v>
      </c>
      <c r="D60" s="7">
        <f t="shared" si="4"/>
        <v>5.2504486751200556E-2</v>
      </c>
      <c r="E60" s="7">
        <f t="shared" si="5"/>
        <v>4.956533665014632E-2</v>
      </c>
      <c r="F60" s="7">
        <f t="shared" si="6"/>
        <v>5.0089683351377985E-2</v>
      </c>
    </row>
    <row r="61" spans="1:6" x14ac:dyDescent="0.25">
      <c r="A61" s="1">
        <v>39539</v>
      </c>
      <c r="B61" s="6">
        <v>3.8736601076070958E-2</v>
      </c>
      <c r="C61" s="7">
        <f t="shared" si="3"/>
        <v>5.3860452143266409E-2</v>
      </c>
      <c r="D61" s="7">
        <f t="shared" si="4"/>
        <v>5.0613037533202676E-2</v>
      </c>
      <c r="E61" s="7">
        <f t="shared" si="5"/>
        <v>4.8724053269990276E-2</v>
      </c>
      <c r="F61" s="7">
        <f t="shared" si="6"/>
        <v>4.7068584628487835E-2</v>
      </c>
    </row>
    <row r="62" spans="1:6" x14ac:dyDescent="0.25">
      <c r="A62" s="1">
        <v>39569</v>
      </c>
      <c r="B62" s="6">
        <v>3.8284468815649682E-2</v>
      </c>
      <c r="C62" s="7">
        <f t="shared" si="3"/>
        <v>5.297984728361687E-2</v>
      </c>
      <c r="D62" s="7">
        <f t="shared" si="4"/>
        <v>4.898775630502808E-2</v>
      </c>
      <c r="E62" s="7">
        <f t="shared" si="5"/>
        <v>4.7834893955099156E-2</v>
      </c>
      <c r="F62" s="7">
        <f t="shared" si="6"/>
        <v>4.408730479217151E-2</v>
      </c>
    </row>
    <row r="63" spans="1:6" x14ac:dyDescent="0.25">
      <c r="A63" s="1">
        <v>39600</v>
      </c>
      <c r="B63" s="6">
        <v>3.39271974431547E-2</v>
      </c>
      <c r="C63" s="7">
        <f t="shared" si="3"/>
        <v>5.201761081446693E-2</v>
      </c>
      <c r="D63" s="7">
        <f t="shared" si="4"/>
        <v>4.6896046314741063E-2</v>
      </c>
      <c r="E63" s="7">
        <f t="shared" si="5"/>
        <v>4.6515788268899516E-2</v>
      </c>
      <c r="F63" s="7">
        <f t="shared" si="6"/>
        <v>4.0650871738745244E-2</v>
      </c>
    </row>
    <row r="64" spans="1:6" x14ac:dyDescent="0.25">
      <c r="A64" s="1">
        <v>39630</v>
      </c>
      <c r="B64" s="6">
        <v>3.1419257290814913E-2</v>
      </c>
      <c r="C64" s="7">
        <f t="shared" si="3"/>
        <v>5.078562890378046E-2</v>
      </c>
      <c r="D64" s="7">
        <f t="shared" si="4"/>
        <v>4.6014500074992797E-2</v>
      </c>
      <c r="E64" s="7">
        <f t="shared" si="5"/>
        <v>4.4814978836621978E-2</v>
      </c>
      <c r="F64" s="7">
        <f t="shared" si="6"/>
        <v>3.851263618345898E-2</v>
      </c>
    </row>
    <row r="65" spans="1:6" x14ac:dyDescent="0.25">
      <c r="A65" s="1">
        <v>39661</v>
      </c>
      <c r="B65" s="6">
        <v>2.9265942147220742E-2</v>
      </c>
      <c r="C65" s="7">
        <f t="shared" si="3"/>
        <v>4.9395095584556764E-2</v>
      </c>
      <c r="D65" s="7">
        <f t="shared" si="4"/>
        <v>4.5062858172856567E-2</v>
      </c>
      <c r="E65" s="7">
        <f t="shared" si="5"/>
        <v>4.3522934158035487E-2</v>
      </c>
      <c r="F65" s="7">
        <f t="shared" si="6"/>
        <v>3.629135738986633E-2</v>
      </c>
    </row>
    <row r="66" spans="1:6" x14ac:dyDescent="0.25">
      <c r="A66" s="1">
        <v>39692</v>
      </c>
      <c r="B66" s="6">
        <v>2.968936964167895E-2</v>
      </c>
      <c r="C66" s="7">
        <f t="shared" si="3"/>
        <v>4.7766816580674998E-2</v>
      </c>
      <c r="D66" s="7">
        <f t="shared" si="4"/>
        <v>4.4228159789796995E-2</v>
      </c>
      <c r="E66" s="7">
        <f t="shared" si="5"/>
        <v>4.1821744710238147E-2</v>
      </c>
      <c r="F66" s="7">
        <f t="shared" si="6"/>
        <v>3.3553806069098323E-2</v>
      </c>
    </row>
    <row r="67" spans="1:6" x14ac:dyDescent="0.25">
      <c r="A67" s="1">
        <v>39722</v>
      </c>
      <c r="B67" s="6">
        <v>3.0075968888288767E-2</v>
      </c>
      <c r="C67" s="7">
        <f t="shared" si="3"/>
        <v>4.5987369992685663E-2</v>
      </c>
      <c r="D67" s="7">
        <f t="shared" si="4"/>
        <v>4.318615797037173E-2</v>
      </c>
      <c r="E67" s="7">
        <f t="shared" si="5"/>
        <v>3.9589475999811226E-2</v>
      </c>
      <c r="F67" s="7">
        <f t="shared" si="6"/>
        <v>3.2110367371134624E-2</v>
      </c>
    </row>
    <row r="68" spans="1:6" x14ac:dyDescent="0.25">
      <c r="A68" s="1">
        <v>39753</v>
      </c>
      <c r="B68" s="6">
        <v>3.5064013061024669E-2</v>
      </c>
      <c r="C68" s="7">
        <f t="shared" si="3"/>
        <v>4.4634223415112008E-2</v>
      </c>
      <c r="D68" s="7">
        <f t="shared" si="4"/>
        <v>4.2414470885187378E-2</v>
      </c>
      <c r="E68" s="7">
        <f t="shared" si="5"/>
        <v>3.7830464768767648E-2</v>
      </c>
      <c r="F68" s="7">
        <f t="shared" si="6"/>
        <v>3.1573624745363786E-2</v>
      </c>
    </row>
    <row r="69" spans="1:6" x14ac:dyDescent="0.25">
      <c r="A69" s="1">
        <v>39783</v>
      </c>
      <c r="B69" s="6">
        <v>2.8324050479201043E-2</v>
      </c>
      <c r="C69" s="7">
        <f t="shared" si="3"/>
        <v>4.2831976465565351E-2</v>
      </c>
      <c r="D69" s="7">
        <f t="shared" si="4"/>
        <v>4.1223781151945742E-2</v>
      </c>
      <c r="E69" s="7">
        <f t="shared" si="5"/>
        <v>3.5645319328391718E-2</v>
      </c>
      <c r="F69" s="7">
        <f t="shared" si="6"/>
        <v>3.0639766918038186E-2</v>
      </c>
    </row>
    <row r="70" spans="1:6" x14ac:dyDescent="0.25">
      <c r="A70" s="1">
        <v>39814</v>
      </c>
      <c r="B70" s="6">
        <v>3.0473524878505985E-2</v>
      </c>
      <c r="C70" s="7">
        <f t="shared" si="3"/>
        <v>4.2131411268574608E-2</v>
      </c>
      <c r="D70" s="7">
        <f t="shared" si="4"/>
        <v>4.0037367507521328E-2</v>
      </c>
      <c r="E70" s="7">
        <f t="shared" si="5"/>
        <v>3.4497390516389503E-2</v>
      </c>
      <c r="F70" s="7">
        <f t="shared" si="6"/>
        <v>3.0482144849320023E-2</v>
      </c>
    </row>
    <row r="71" spans="1:6" x14ac:dyDescent="0.25">
      <c r="A71" s="1">
        <v>39845</v>
      </c>
      <c r="B71" s="6">
        <v>3.2760058186938487E-2</v>
      </c>
      <c r="C71" s="7">
        <f t="shared" si="3"/>
        <v>4.1563268010294002E-2</v>
      </c>
      <c r="D71" s="7">
        <f t="shared" si="4"/>
        <v>3.9370121946225765E-2</v>
      </c>
      <c r="E71" s="7">
        <f t="shared" si="5"/>
        <v>3.367792745623633E-2</v>
      </c>
      <c r="F71" s="7">
        <f t="shared" si="6"/>
        <v>3.1064497522606316E-2</v>
      </c>
    </row>
    <row r="72" spans="1:6" x14ac:dyDescent="0.25">
      <c r="A72" s="1">
        <v>39873</v>
      </c>
      <c r="B72" s="6">
        <v>2.6698224503658483E-2</v>
      </c>
      <c r="C72" s="7">
        <f t="shared" si="3"/>
        <v>4.0812613175581804E-2</v>
      </c>
      <c r="D72" s="7">
        <f t="shared" si="4"/>
        <v>3.8069820917804177E-2</v>
      </c>
      <c r="E72" s="7">
        <f t="shared" si="5"/>
        <v>3.2059889701017287E-2</v>
      </c>
      <c r="F72" s="7">
        <f t="shared" si="6"/>
        <v>3.0565973332936241E-2</v>
      </c>
    </row>
    <row r="73" spans="1:6" x14ac:dyDescent="0.25">
      <c r="A73" s="1">
        <v>39904</v>
      </c>
      <c r="B73" s="6">
        <v>2.438670968042864E-2</v>
      </c>
      <c r="C73" s="7">
        <f t="shared" si="3"/>
        <v>3.9794059344018688E-2</v>
      </c>
      <c r="D73" s="7">
        <f t="shared" si="4"/>
        <v>3.6265571821527336E-2</v>
      </c>
      <c r="E73" s="7">
        <f t="shared" si="5"/>
        <v>3.086406541804709E-2</v>
      </c>
      <c r="F73" s="7">
        <f t="shared" si="6"/>
        <v>2.9617763464959559E-2</v>
      </c>
    </row>
    <row r="74" spans="1:6" x14ac:dyDescent="0.25">
      <c r="A74" s="1">
        <v>39934</v>
      </c>
      <c r="B74" s="6">
        <v>2.5964891051157575E-2</v>
      </c>
      <c r="C74" s="7">
        <f t="shared" si="3"/>
        <v>3.8836163946385956E-2</v>
      </c>
      <c r="D74" s="7">
        <f t="shared" si="4"/>
        <v>3.4587390889172336E-2</v>
      </c>
      <c r="E74" s="7">
        <f t="shared" si="5"/>
        <v>2.9837433937672745E-2</v>
      </c>
      <c r="F74" s="7">
        <f t="shared" si="6"/>
        <v>2.8101243129981704E-2</v>
      </c>
    </row>
    <row r="75" spans="1:6" x14ac:dyDescent="0.25">
      <c r="A75" s="1">
        <v>39965</v>
      </c>
      <c r="B75" s="6">
        <v>2.2819351794300492E-2</v>
      </c>
      <c r="C75" s="7">
        <f t="shared" si="3"/>
        <v>3.7713784201250544E-2</v>
      </c>
      <c r="D75" s="7">
        <f t="shared" si="4"/>
        <v>3.2824810668649465E-2</v>
      </c>
      <c r="E75" s="7">
        <f t="shared" si="5"/>
        <v>2.8911780133601569E-2</v>
      </c>
      <c r="F75" s="7">
        <f t="shared" si="6"/>
        <v>2.7183793349164945E-2</v>
      </c>
    </row>
    <row r="76" spans="1:6" x14ac:dyDescent="0.25">
      <c r="A76" s="1">
        <v>39995</v>
      </c>
      <c r="B76" s="6">
        <v>2.156612867348761E-2</v>
      </c>
      <c r="C76" s="7">
        <f t="shared" si="3"/>
        <v>3.6452832459389801E-2</v>
      </c>
      <c r="D76" s="7">
        <f t="shared" si="4"/>
        <v>3.1564669449258079E-2</v>
      </c>
      <c r="E76" s="7">
        <f t="shared" si="5"/>
        <v>2.8090686082157621E-2</v>
      </c>
      <c r="F76" s="7">
        <f t="shared" si="6"/>
        <v>2.5699227314995216E-2</v>
      </c>
    </row>
    <row r="77" spans="1:6" x14ac:dyDescent="0.25">
      <c r="A77" s="1">
        <v>40026</v>
      </c>
      <c r="B77" s="6">
        <v>1.9159165398478371E-2</v>
      </c>
      <c r="C77" s="7">
        <f t="shared" si="3"/>
        <v>3.5385694422232293E-2</v>
      </c>
      <c r="D77" s="7">
        <f t="shared" si="4"/>
        <v>3.0262755587574838E-2</v>
      </c>
      <c r="E77" s="7">
        <f t="shared" si="5"/>
        <v>2.7248454686429096E-2</v>
      </c>
      <c r="F77" s="7">
        <f t="shared" si="6"/>
        <v>2.3432411850251859E-2</v>
      </c>
    </row>
    <row r="78" spans="1:6" x14ac:dyDescent="0.25">
      <c r="A78" s="1">
        <v>40057</v>
      </c>
      <c r="B78" s="6">
        <v>2.2688658844794044E-2</v>
      </c>
      <c r="C78" s="7">
        <f t="shared" si="3"/>
        <v>3.4243403415130089E-2</v>
      </c>
      <c r="D78" s="7">
        <f t="shared" si="4"/>
        <v>2.896131010304746E-2</v>
      </c>
      <c r="E78" s="7">
        <f t="shared" si="5"/>
        <v>2.6665062120022013E-2</v>
      </c>
      <c r="F78" s="7">
        <f t="shared" si="6"/>
        <v>2.2764150907107789E-2</v>
      </c>
    </row>
    <row r="79" spans="1:6" x14ac:dyDescent="0.25">
      <c r="A79" s="1">
        <v>40087</v>
      </c>
      <c r="B79" s="6">
        <v>2.3457781167206305E-2</v>
      </c>
      <c r="C79" s="7">
        <f t="shared" si="3"/>
        <v>3.2851511238204859E-2</v>
      </c>
      <c r="D79" s="7">
        <f t="shared" si="4"/>
        <v>2.8112486774777193E-2</v>
      </c>
      <c r="E79" s="7">
        <f t="shared" si="5"/>
        <v>2.6113546476598481E-2</v>
      </c>
      <c r="F79" s="7">
        <f t="shared" si="6"/>
        <v>2.2609329488237403E-2</v>
      </c>
    </row>
    <row r="80" spans="1:6" x14ac:dyDescent="0.25">
      <c r="A80" s="1">
        <v>40118</v>
      </c>
      <c r="B80" s="6">
        <v>2.444250413125262E-2</v>
      </c>
      <c r="C80" s="7">
        <f t="shared" si="3"/>
        <v>3.1529442750609232E-2</v>
      </c>
      <c r="D80" s="7">
        <f t="shared" si="4"/>
        <v>2.7343488736755135E-2</v>
      </c>
      <c r="E80" s="7">
        <f t="shared" si="5"/>
        <v>2.5228420732450806E-2</v>
      </c>
      <c r="F80" s="7">
        <f t="shared" si="6"/>
        <v>2.2355598334919905E-2</v>
      </c>
    </row>
    <row r="81" spans="1:6" x14ac:dyDescent="0.25">
      <c r="A81" s="1">
        <v>40148</v>
      </c>
      <c r="B81" s="6">
        <v>2.3361149755491691E-2</v>
      </c>
      <c r="C81" s="7">
        <f t="shared" si="3"/>
        <v>3.0230082500266708E-2</v>
      </c>
      <c r="D81" s="7">
        <f t="shared" si="4"/>
        <v>2.6756486087440527E-2</v>
      </c>
      <c r="E81" s="7">
        <f t="shared" si="5"/>
        <v>2.4814845672141692E-2</v>
      </c>
      <c r="F81" s="7">
        <f t="shared" si="6"/>
        <v>2.2445897995118438E-2</v>
      </c>
    </row>
    <row r="82" spans="1:6" x14ac:dyDescent="0.25">
      <c r="A82" s="1">
        <v>40179</v>
      </c>
      <c r="B82" s="6">
        <v>2.1968466505643481E-2</v>
      </c>
      <c r="C82" s="7">
        <f t="shared" si="3"/>
        <v>2.9301740662062994E-2</v>
      </c>
      <c r="D82" s="7">
        <f t="shared" si="4"/>
        <v>2.6231442154930999E-2</v>
      </c>
      <c r="E82" s="7">
        <f t="shared" si="5"/>
        <v>2.4106090807736485E-2</v>
      </c>
      <c r="F82" s="7">
        <f t="shared" si="6"/>
        <v>2.2512954300477755E-2</v>
      </c>
    </row>
    <row r="83" spans="1:6" x14ac:dyDescent="0.25">
      <c r="A83" s="1">
        <v>40210</v>
      </c>
      <c r="B83" s="6">
        <v>1.9028224950805406E-2</v>
      </c>
      <c r="C83" s="7">
        <f t="shared" si="3"/>
        <v>2.8319849413814189E-2</v>
      </c>
      <c r="D83" s="7">
        <f t="shared" si="4"/>
        <v>2.5662680088463483E-2</v>
      </c>
      <c r="E83" s="7">
        <f t="shared" si="5"/>
        <v>2.2961771371392062E-2</v>
      </c>
      <c r="F83" s="7">
        <f t="shared" si="6"/>
        <v>2.2491130892532258E-2</v>
      </c>
    </row>
    <row r="84" spans="1:6" x14ac:dyDescent="0.25">
      <c r="A84" s="1">
        <v>40238</v>
      </c>
      <c r="B84" s="6">
        <v>1.8153236850950587E-2</v>
      </c>
      <c r="C84" s="7">
        <f t="shared" si="3"/>
        <v>2.7154789384008508E-2</v>
      </c>
      <c r="D84" s="7">
        <f t="shared" si="4"/>
        <v>2.5021783822311905E-2</v>
      </c>
      <c r="E84" s="7">
        <f t="shared" si="5"/>
        <v>2.2249689066999739E-2</v>
      </c>
      <c r="F84" s="7">
        <f t="shared" si="6"/>
        <v>2.1735227226891682E-2</v>
      </c>
    </row>
    <row r="85" spans="1:6" x14ac:dyDescent="0.25">
      <c r="A85" s="1">
        <v>40269</v>
      </c>
      <c r="B85" s="6">
        <v>1.8584225296346537E-2</v>
      </c>
      <c r="C85" s="7">
        <f t="shared" si="3"/>
        <v>2.6315107059853318E-2</v>
      </c>
      <c r="D85" s="7">
        <f t="shared" si="4"/>
        <v>2.4383353622759559E-2</v>
      </c>
      <c r="E85" s="7">
        <f t="shared" si="5"/>
        <v>2.1766148701659563E-2</v>
      </c>
      <c r="F85" s="7">
        <f t="shared" si="6"/>
        <v>2.0922967915081719E-2</v>
      </c>
    </row>
    <row r="86" spans="1:6" x14ac:dyDescent="0.25">
      <c r="A86" s="1">
        <v>40299</v>
      </c>
      <c r="B86" s="6">
        <v>1.8508370017022577E-2</v>
      </c>
      <c r="C86" s="7">
        <f t="shared" si="3"/>
        <v>2.5491102943243856E-2</v>
      </c>
      <c r="D86" s="7">
        <f t="shared" si="4"/>
        <v>2.3463595675870554E-2</v>
      </c>
      <c r="E86" s="7">
        <f t="shared" si="5"/>
        <v>2.1144771948814978E-2</v>
      </c>
      <c r="F86" s="7">
        <f t="shared" si="6"/>
        <v>1.9933945562710047E-2</v>
      </c>
    </row>
    <row r="87" spans="1:6" x14ac:dyDescent="0.25">
      <c r="A87" s="1">
        <v>40330</v>
      </c>
      <c r="B87" s="6">
        <v>1.788322969503086E-2</v>
      </c>
      <c r="C87" s="7">
        <f t="shared" si="3"/>
        <v>2.4822604287072034E-2</v>
      </c>
      <c r="D87" s="7">
        <f t="shared" si="4"/>
        <v>2.2883550076749987E-2</v>
      </c>
      <c r="E87" s="7">
        <f t="shared" si="5"/>
        <v>2.0733428440542507E-2</v>
      </c>
      <c r="F87" s="7">
        <f t="shared" si="6"/>
        <v>1.9020958885966572E-2</v>
      </c>
    </row>
    <row r="88" spans="1:6" x14ac:dyDescent="0.25">
      <c r="A88" s="1">
        <v>40360</v>
      </c>
      <c r="B88" s="6">
        <v>1.9687852742639015E-2</v>
      </c>
      <c r="C88" s="7">
        <f t="shared" si="3"/>
        <v>2.4333795764231374E-2</v>
      </c>
      <c r="D88" s="7">
        <f t="shared" si="4"/>
        <v>2.2284346069201825E-2</v>
      </c>
      <c r="E88" s="7">
        <f t="shared" si="5"/>
        <v>2.0576905446305128E-2</v>
      </c>
      <c r="F88" s="7">
        <f t="shared" si="6"/>
        <v>1.8640856592132497E-2</v>
      </c>
    </row>
    <row r="89" spans="1:6" x14ac:dyDescent="0.25">
      <c r="A89" s="1">
        <v>40391</v>
      </c>
      <c r="B89" s="6">
        <v>2.0226541785790416E-2</v>
      </c>
      <c r="C89" s="7">
        <f t="shared" si="3"/>
        <v>2.3957154082505112E-2</v>
      </c>
      <c r="D89" s="7">
        <f t="shared" si="4"/>
        <v>2.1588039602471375E-2</v>
      </c>
      <c r="E89" s="7">
        <f t="shared" si="5"/>
        <v>2.0665853478581128E-2</v>
      </c>
      <c r="F89" s="7">
        <f t="shared" si="6"/>
        <v>1.8840576064629997E-2</v>
      </c>
    </row>
    <row r="90" spans="1:6" x14ac:dyDescent="0.25">
      <c r="A90" s="1">
        <v>40422</v>
      </c>
      <c r="B90" s="6">
        <v>1.9292180299449433E-2</v>
      </c>
      <c r="C90" s="7">
        <f t="shared" ref="C90:C153" si="7">AVERAGE(B67:B90)</f>
        <v>2.3523937859912216E-2</v>
      </c>
      <c r="D90" s="7">
        <f t="shared" ref="D90:D153" si="8">AVERAGE(B73:B90)</f>
        <v>2.117659270223754E-2</v>
      </c>
      <c r="E90" s="7">
        <f t="shared" ref="E90:E153" si="9">AVERAGE(B79:B90)</f>
        <v>2.0382813599802412E-2</v>
      </c>
      <c r="F90" s="7">
        <f t="shared" ref="F90:F153" si="10">AVERAGE(B85:B90)</f>
        <v>1.9030399972713139E-2</v>
      </c>
    </row>
    <row r="91" spans="1:6" x14ac:dyDescent="0.25">
      <c r="A91" s="1">
        <v>40452</v>
      </c>
      <c r="B91" s="6">
        <v>1.8666996860846621E-2</v>
      </c>
      <c r="C91" s="7">
        <f t="shared" si="7"/>
        <v>2.3048564025435456E-2</v>
      </c>
      <c r="D91" s="7">
        <f t="shared" si="8"/>
        <v>2.0858830878927429E-2</v>
      </c>
      <c r="E91" s="7">
        <f t="shared" si="9"/>
        <v>1.9983581574272435E-2</v>
      </c>
      <c r="F91" s="7">
        <f t="shared" si="10"/>
        <v>1.9044195233463155E-2</v>
      </c>
    </row>
    <row r="92" spans="1:6" x14ac:dyDescent="0.25">
      <c r="A92" s="1">
        <v>40483</v>
      </c>
      <c r="B92" s="6">
        <v>1.8174961136070752E-2</v>
      </c>
      <c r="C92" s="7">
        <f t="shared" si="7"/>
        <v>2.2344853528562383E-2</v>
      </c>
      <c r="D92" s="7">
        <f t="shared" si="8"/>
        <v>2.0426056994755935E-2</v>
      </c>
      <c r="E92" s="7">
        <f t="shared" si="9"/>
        <v>1.9461286324673949E-2</v>
      </c>
      <c r="F92" s="7">
        <f t="shared" si="10"/>
        <v>1.8988627086637851E-2</v>
      </c>
    </row>
    <row r="93" spans="1:6" x14ac:dyDescent="0.25">
      <c r="A93" s="1">
        <v>40513</v>
      </c>
      <c r="B93" s="6">
        <v>1.8569794784052487E-2</v>
      </c>
      <c r="C93" s="7">
        <f t="shared" si="7"/>
        <v>2.1938426207931187E-2</v>
      </c>
      <c r="D93" s="7">
        <f t="shared" si="8"/>
        <v>2.0189970494186599E-2</v>
      </c>
      <c r="E93" s="7">
        <f t="shared" si="9"/>
        <v>1.9062006743720682E-2</v>
      </c>
      <c r="F93" s="7">
        <f t="shared" si="10"/>
        <v>1.9103054601474788E-2</v>
      </c>
    </row>
    <row r="94" spans="1:6" x14ac:dyDescent="0.25">
      <c r="A94" s="1">
        <v>40544</v>
      </c>
      <c r="B94" s="6">
        <v>1.6491684629313073E-2</v>
      </c>
      <c r="C94" s="7">
        <f t="shared" si="7"/>
        <v>2.1355849530881484E-2</v>
      </c>
      <c r="D94" s="7">
        <f t="shared" si="8"/>
        <v>1.9908056936176904E-2</v>
      </c>
      <c r="E94" s="7">
        <f t="shared" si="9"/>
        <v>1.860560825402648E-2</v>
      </c>
      <c r="F94" s="7">
        <f t="shared" si="10"/>
        <v>1.8570359915920463E-2</v>
      </c>
    </row>
    <row r="95" spans="1:6" x14ac:dyDescent="0.25">
      <c r="A95" s="1">
        <v>40575</v>
      </c>
      <c r="B95" s="6">
        <v>1.4826195254621493E-2</v>
      </c>
      <c r="C95" s="7">
        <f t="shared" si="7"/>
        <v>2.0608605242034939E-2</v>
      </c>
      <c r="D95" s="7">
        <f t="shared" si="8"/>
        <v>1.9667336372629296E-2</v>
      </c>
      <c r="E95" s="7">
        <f t="shared" si="9"/>
        <v>1.825543911267782E-2</v>
      </c>
      <c r="F95" s="7">
        <f t="shared" si="10"/>
        <v>1.7670302160725643E-2</v>
      </c>
    </row>
    <row r="96" spans="1:6" x14ac:dyDescent="0.25">
      <c r="A96" s="1">
        <v>40603</v>
      </c>
      <c r="B96" s="6">
        <v>1.6617978926176113E-2</v>
      </c>
      <c r="C96" s="7">
        <f t="shared" si="7"/>
        <v>2.0188595009639841E-2</v>
      </c>
      <c r="D96" s="7">
        <f t="shared" si="8"/>
        <v>1.9330076377150521E-2</v>
      </c>
      <c r="E96" s="7">
        <f t="shared" si="9"/>
        <v>1.8127500952279951E-2</v>
      </c>
      <c r="F96" s="7">
        <f t="shared" si="10"/>
        <v>1.7224601931846755E-2</v>
      </c>
    </row>
    <row r="97" spans="1:6" x14ac:dyDescent="0.25">
      <c r="A97" s="1">
        <v>40634</v>
      </c>
      <c r="B97" s="6">
        <v>1.6477786006875644E-2</v>
      </c>
      <c r="C97" s="7">
        <f t="shared" si="7"/>
        <v>1.9859056523241801E-2</v>
      </c>
      <c r="D97" s="7">
        <f t="shared" si="8"/>
        <v>1.8942298868243265E-2</v>
      </c>
      <c r="E97" s="7">
        <f t="shared" si="9"/>
        <v>1.7951964344824042E-2</v>
      </c>
      <c r="F97" s="7">
        <f t="shared" si="10"/>
        <v>1.6859733456184928E-2</v>
      </c>
    </row>
    <row r="98" spans="1:6" x14ac:dyDescent="0.25">
      <c r="A98" s="1">
        <v>40664</v>
      </c>
      <c r="B98" s="6">
        <v>1.8098143897761092E-2</v>
      </c>
      <c r="C98" s="7">
        <f t="shared" si="7"/>
        <v>1.9531275391850279E-2</v>
      </c>
      <c r="D98" s="7">
        <f t="shared" si="8"/>
        <v>1.858983441082707E-2</v>
      </c>
      <c r="E98" s="7">
        <f t="shared" si="9"/>
        <v>1.7917778834885583E-2</v>
      </c>
      <c r="F98" s="7">
        <f t="shared" si="10"/>
        <v>1.6846930583133315E-2</v>
      </c>
    </row>
    <row r="99" spans="1:6" x14ac:dyDescent="0.25">
      <c r="A99" s="1">
        <v>40695</v>
      </c>
      <c r="B99" s="6">
        <v>1.7893182097442287E-2</v>
      </c>
      <c r="C99" s="7">
        <f t="shared" si="7"/>
        <v>1.9326018321147855E-2</v>
      </c>
      <c r="D99" s="7">
        <f t="shared" si="8"/>
        <v>1.8286058429824326E-2</v>
      </c>
      <c r="E99" s="7">
        <f t="shared" si="9"/>
        <v>1.7918608201753203E-2</v>
      </c>
      <c r="F99" s="7">
        <f t="shared" si="10"/>
        <v>1.6734161802031616E-2</v>
      </c>
    </row>
    <row r="100" spans="1:6" x14ac:dyDescent="0.25">
      <c r="A100" s="1">
        <v>40725</v>
      </c>
      <c r="B100" s="6">
        <v>1.9328781431477263E-2</v>
      </c>
      <c r="C100" s="7">
        <f t="shared" si="7"/>
        <v>1.9232795519397421E-2</v>
      </c>
      <c r="D100" s="7">
        <f t="shared" si="8"/>
        <v>1.8139409259037315E-2</v>
      </c>
      <c r="E100" s="7">
        <f t="shared" si="9"/>
        <v>1.7888685592489722E-2</v>
      </c>
      <c r="F100" s="7">
        <f t="shared" si="10"/>
        <v>1.7207011269058981E-2</v>
      </c>
    </row>
    <row r="101" spans="1:6" x14ac:dyDescent="0.25">
      <c r="A101" s="1">
        <v>40756</v>
      </c>
      <c r="B101" s="6">
        <v>1.913504436666567E-2</v>
      </c>
      <c r="C101" s="7">
        <f t="shared" si="7"/>
        <v>1.9231790476405226E-2</v>
      </c>
      <c r="D101" s="7">
        <f t="shared" si="8"/>
        <v>1.8145343671029553E-2</v>
      </c>
      <c r="E101" s="7">
        <f t="shared" si="9"/>
        <v>1.7797727474229325E-2</v>
      </c>
      <c r="F101" s="7">
        <f t="shared" si="10"/>
        <v>1.7925152787733014E-2</v>
      </c>
    </row>
    <row r="102" spans="1:6" x14ac:dyDescent="0.25">
      <c r="A102" s="1">
        <v>40787</v>
      </c>
      <c r="B102" s="6">
        <v>1.8588348404513459E-2</v>
      </c>
      <c r="C102" s="7">
        <f t="shared" si="7"/>
        <v>1.9060944208060201E-2</v>
      </c>
      <c r="D102" s="7">
        <f t="shared" si="8"/>
        <v>1.8169516535116378E-2</v>
      </c>
      <c r="E102" s="7">
        <f t="shared" si="9"/>
        <v>1.7739074816317996E-2</v>
      </c>
      <c r="F102" s="7">
        <f t="shared" si="10"/>
        <v>1.8253547700789234E-2</v>
      </c>
    </row>
    <row r="103" spans="1:6" x14ac:dyDescent="0.25">
      <c r="A103" s="1">
        <v>40817</v>
      </c>
      <c r="B103" s="6">
        <v>2.0419862794120225E-2</v>
      </c>
      <c r="C103" s="7">
        <f t="shared" si="7"/>
        <v>1.893436427584828E-2</v>
      </c>
      <c r="D103" s="7">
        <f t="shared" si="8"/>
        <v>1.8271496396103804E-2</v>
      </c>
      <c r="E103" s="7">
        <f t="shared" si="9"/>
        <v>1.7885146977424129E-2</v>
      </c>
      <c r="F103" s="7">
        <f t="shared" si="10"/>
        <v>1.8910560498663333E-2</v>
      </c>
    </row>
    <row r="104" spans="1:6" x14ac:dyDescent="0.25">
      <c r="A104" s="1">
        <v>40848</v>
      </c>
      <c r="B104" s="6">
        <v>1.9967118717797529E-2</v>
      </c>
      <c r="C104" s="7">
        <f t="shared" si="7"/>
        <v>1.8747889883620989E-2</v>
      </c>
      <c r="D104" s="7">
        <f t="shared" si="8"/>
        <v>1.8352537990591306E-2</v>
      </c>
      <c r="E104" s="7">
        <f t="shared" si="9"/>
        <v>1.8034493442568026E-2</v>
      </c>
      <c r="F104" s="7">
        <f t="shared" si="10"/>
        <v>1.922205630200274E-2</v>
      </c>
    </row>
    <row r="105" spans="1:6" x14ac:dyDescent="0.25">
      <c r="A105" s="1">
        <v>40878</v>
      </c>
      <c r="B105" s="6">
        <v>1.8597707440269777E-2</v>
      </c>
      <c r="C105" s="7">
        <f t="shared" si="7"/>
        <v>1.8549413120486743E-2</v>
      </c>
      <c r="D105" s="7">
        <f t="shared" si="8"/>
        <v>1.8392231198660132E-2</v>
      </c>
      <c r="E105" s="7">
        <f t="shared" si="9"/>
        <v>1.8036819497252801E-2</v>
      </c>
      <c r="F105" s="7">
        <f t="shared" si="10"/>
        <v>1.9339477192473989E-2</v>
      </c>
    </row>
    <row r="106" spans="1:6" x14ac:dyDescent="0.25">
      <c r="A106" s="1">
        <v>40909</v>
      </c>
      <c r="B106" s="6">
        <v>1.82958682078933E-2</v>
      </c>
      <c r="C106" s="7">
        <f t="shared" si="7"/>
        <v>1.8396388191413818E-2</v>
      </c>
      <c r="D106" s="7">
        <f t="shared" si="8"/>
        <v>1.8314898724507592E-2</v>
      </c>
      <c r="E106" s="7">
        <f t="shared" si="9"/>
        <v>1.8187168128801157E-2</v>
      </c>
      <c r="F106" s="7">
        <f t="shared" si="10"/>
        <v>1.916732498854333E-2</v>
      </c>
    </row>
    <row r="107" spans="1:6" x14ac:dyDescent="0.25">
      <c r="A107" s="1">
        <v>40940</v>
      </c>
      <c r="B107" s="6">
        <v>1.8218513465454226E-2</v>
      </c>
      <c r="C107" s="7">
        <f t="shared" si="7"/>
        <v>1.8362650212857521E-2</v>
      </c>
      <c r="D107" s="7">
        <f t="shared" si="8"/>
        <v>1.8203341595600026E-2</v>
      </c>
      <c r="E107" s="7">
        <f t="shared" si="9"/>
        <v>1.8469861313037215E-2</v>
      </c>
      <c r="F107" s="7">
        <f t="shared" si="10"/>
        <v>1.9014569838341419E-2</v>
      </c>
    </row>
    <row r="108" spans="1:6" x14ac:dyDescent="0.25">
      <c r="A108" s="1">
        <v>40969</v>
      </c>
      <c r="B108" s="6">
        <v>1.8163919629769213E-2</v>
      </c>
      <c r="C108" s="7">
        <f t="shared" si="7"/>
        <v>1.8363095328641631E-2</v>
      </c>
      <c r="D108" s="7">
        <f t="shared" si="8"/>
        <v>1.8140660447284455E-2</v>
      </c>
      <c r="E108" s="7">
        <f t="shared" si="9"/>
        <v>1.8598689705003304E-2</v>
      </c>
      <c r="F108" s="7">
        <f t="shared" si="10"/>
        <v>1.8943831709217377E-2</v>
      </c>
    </row>
    <row r="109" spans="1:6" x14ac:dyDescent="0.25">
      <c r="A109" s="1">
        <v>41000</v>
      </c>
      <c r="B109" s="6">
        <v>1.7827059100058676E-2</v>
      </c>
      <c r="C109" s="7">
        <f t="shared" si="7"/>
        <v>1.8331546737129636E-2</v>
      </c>
      <c r="D109" s="7">
        <f t="shared" si="8"/>
        <v>1.809399723835179E-2</v>
      </c>
      <c r="E109" s="7">
        <f t="shared" si="9"/>
        <v>1.871112912943523E-2</v>
      </c>
      <c r="F109" s="7">
        <f t="shared" si="10"/>
        <v>1.851169776020712E-2</v>
      </c>
    </row>
    <row r="110" spans="1:6" x14ac:dyDescent="0.25">
      <c r="A110" s="1">
        <v>41030</v>
      </c>
      <c r="B110" s="6">
        <v>1.7252240546026358E-2</v>
      </c>
      <c r="C110" s="7">
        <f t="shared" si="7"/>
        <v>1.827920800917146E-2</v>
      </c>
      <c r="D110" s="7">
        <f t="shared" si="8"/>
        <v>1.8042734983349323E-2</v>
      </c>
      <c r="E110" s="7">
        <f t="shared" si="9"/>
        <v>1.8640637183457334E-2</v>
      </c>
      <c r="F110" s="7">
        <f t="shared" si="10"/>
        <v>1.8059218064911925E-2</v>
      </c>
    </row>
    <row r="111" spans="1:6" x14ac:dyDescent="0.25">
      <c r="A111" s="1">
        <v>41061</v>
      </c>
      <c r="B111" s="6">
        <v>1.8063085410597462E-2</v>
      </c>
      <c r="C111" s="7">
        <f t="shared" si="7"/>
        <v>1.8286701997320066E-2</v>
      </c>
      <c r="D111" s="7">
        <f t="shared" si="8"/>
        <v>1.8014584462601825E-2</v>
      </c>
      <c r="E111" s="7">
        <f t="shared" si="9"/>
        <v>1.8654795792886932E-2</v>
      </c>
      <c r="F111" s="7">
        <f t="shared" si="10"/>
        <v>1.7970114393299871E-2</v>
      </c>
    </row>
    <row r="112" spans="1:6" x14ac:dyDescent="0.25">
      <c r="A112" s="1">
        <v>41091</v>
      </c>
      <c r="B112" s="6">
        <v>1.8561438889717518E-2</v>
      </c>
      <c r="C112" s="7">
        <f t="shared" si="7"/>
        <v>1.8239768086781672E-2</v>
      </c>
      <c r="D112" s="7">
        <f t="shared" si="8"/>
        <v>1.8129570810402076E-2</v>
      </c>
      <c r="E112" s="7">
        <f t="shared" si="9"/>
        <v>1.8590850581073619E-2</v>
      </c>
      <c r="F112" s="7">
        <f t="shared" si="10"/>
        <v>1.8014376173603911E-2</v>
      </c>
    </row>
    <row r="113" spans="1:6" x14ac:dyDescent="0.25">
      <c r="A113" s="1">
        <v>41122</v>
      </c>
      <c r="B113" s="6">
        <v>1.8779817658657792E-2</v>
      </c>
      <c r="C113" s="7">
        <f t="shared" si="7"/>
        <v>1.8179487914817809E-2</v>
      </c>
      <c r="D113" s="7">
        <f t="shared" si="8"/>
        <v>1.8349216499515198E-2</v>
      </c>
      <c r="E113" s="7">
        <f t="shared" si="9"/>
        <v>1.8561248355406294E-2</v>
      </c>
      <c r="F113" s="7">
        <f t="shared" si="10"/>
        <v>1.8107926872471172E-2</v>
      </c>
    </row>
    <row r="114" spans="1:6" x14ac:dyDescent="0.25">
      <c r="A114" s="1">
        <v>41153</v>
      </c>
      <c r="B114" s="6">
        <v>1.9241320777932485E-2</v>
      </c>
      <c r="C114" s="7">
        <f t="shared" si="7"/>
        <v>1.8177368768087936E-2</v>
      </c>
      <c r="D114" s="7">
        <f t="shared" si="8"/>
        <v>1.8494957713501667E-2</v>
      </c>
      <c r="E114" s="7">
        <f t="shared" si="9"/>
        <v>1.861566271985788E-2</v>
      </c>
      <c r="F114" s="7">
        <f t="shared" si="10"/>
        <v>1.8287493730498382E-2</v>
      </c>
    </row>
    <row r="115" spans="1:6" x14ac:dyDescent="0.25">
      <c r="A115" s="1">
        <v>41183</v>
      </c>
      <c r="B115" s="6">
        <v>1.877594152712404E-2</v>
      </c>
      <c r="C115" s="7">
        <f t="shared" si="7"/>
        <v>1.8181908129182828E-2</v>
      </c>
      <c r="D115" s="7">
        <f t="shared" si="8"/>
        <v>1.8622633020182133E-2</v>
      </c>
      <c r="E115" s="7">
        <f t="shared" si="9"/>
        <v>1.8478669280941527E-2</v>
      </c>
      <c r="F115" s="7">
        <f t="shared" si="10"/>
        <v>1.8445640801675944E-2</v>
      </c>
    </row>
    <row r="116" spans="1:6" x14ac:dyDescent="0.25">
      <c r="A116" s="1">
        <v>41214</v>
      </c>
      <c r="B116" s="6">
        <v>1.9637213437199475E-2</v>
      </c>
      <c r="C116" s="7">
        <f t="shared" si="7"/>
        <v>1.8242835308396526E-2</v>
      </c>
      <c r="D116" s="7">
        <f t="shared" si="8"/>
        <v>1.8708136883484265E-2</v>
      </c>
      <c r="E116" s="7">
        <f t="shared" si="9"/>
        <v>1.8451177174225026E-2</v>
      </c>
      <c r="F116" s="7">
        <f t="shared" si="10"/>
        <v>1.884313628353813E-2</v>
      </c>
    </row>
    <row r="117" spans="1:6" x14ac:dyDescent="0.25">
      <c r="A117" s="1">
        <v>41244</v>
      </c>
      <c r="B117" s="6">
        <v>1.9682033865423314E-2</v>
      </c>
      <c r="C117" s="7">
        <f t="shared" si="7"/>
        <v>1.8289178603453644E-2</v>
      </c>
      <c r="D117" s="7">
        <f t="shared" si="8"/>
        <v>1.8807517537260992E-2</v>
      </c>
      <c r="E117" s="7">
        <f t="shared" si="9"/>
        <v>1.8541537709654488E-2</v>
      </c>
      <c r="F117" s="7">
        <f t="shared" si="10"/>
        <v>1.9112961026009106E-2</v>
      </c>
    </row>
    <row r="118" spans="1:6" x14ac:dyDescent="0.25">
      <c r="A118" s="1">
        <v>41275</v>
      </c>
      <c r="B118" s="6">
        <v>1.9128413529500742E-2</v>
      </c>
      <c r="C118" s="7">
        <f t="shared" si="7"/>
        <v>1.8399042307628132E-2</v>
      </c>
      <c r="D118" s="7">
        <f t="shared" si="8"/>
        <v>1.8796385987151183E-2</v>
      </c>
      <c r="E118" s="7">
        <f t="shared" si="9"/>
        <v>1.8610916486455107E-2</v>
      </c>
      <c r="F118" s="7">
        <f t="shared" si="10"/>
        <v>1.920745679930631E-2</v>
      </c>
    </row>
    <row r="119" spans="1:6" x14ac:dyDescent="0.25">
      <c r="A119" s="1">
        <v>41306</v>
      </c>
      <c r="B119" s="6">
        <v>1.9057199407032689E-2</v>
      </c>
      <c r="C119" s="7">
        <f t="shared" si="7"/>
        <v>1.8575334147311932E-2</v>
      </c>
      <c r="D119" s="7">
        <f t="shared" si="8"/>
        <v>1.8792061267171575E-2</v>
      </c>
      <c r="E119" s="7">
        <f t="shared" si="9"/>
        <v>1.8680806981586643E-2</v>
      </c>
      <c r="F119" s="7">
        <f t="shared" si="10"/>
        <v>1.9253687090702128E-2</v>
      </c>
    </row>
    <row r="120" spans="1:6" x14ac:dyDescent="0.25">
      <c r="A120" s="1">
        <v>41334</v>
      </c>
      <c r="B120" s="6">
        <v>1.9255466423227879E-2</v>
      </c>
      <c r="C120" s="7">
        <f t="shared" si="7"/>
        <v>1.868522945968909E-2</v>
      </c>
      <c r="D120" s="7">
        <f t="shared" si="8"/>
        <v>1.8829123379322372E-2</v>
      </c>
      <c r="E120" s="7">
        <f t="shared" si="9"/>
        <v>1.8771769214374869E-2</v>
      </c>
      <c r="F120" s="7">
        <f t="shared" si="10"/>
        <v>1.9256044698251356E-2</v>
      </c>
    </row>
    <row r="121" spans="1:6" x14ac:dyDescent="0.25">
      <c r="A121" s="1">
        <v>41365</v>
      </c>
      <c r="B121" s="6">
        <v>1.9359494200197919E-2</v>
      </c>
      <c r="C121" s="7">
        <f t="shared" si="7"/>
        <v>1.8805300634410854E-2</v>
      </c>
      <c r="D121" s="7">
        <f t="shared" si="8"/>
        <v>1.8770214012993353E-2</v>
      </c>
      <c r="E121" s="7">
        <f t="shared" si="9"/>
        <v>1.8899472139386472E-2</v>
      </c>
      <c r="F121" s="7">
        <f t="shared" si="10"/>
        <v>1.9353303477097007E-2</v>
      </c>
    </row>
    <row r="122" spans="1:6" x14ac:dyDescent="0.25">
      <c r="A122" s="1">
        <v>41395</v>
      </c>
      <c r="B122" s="6">
        <v>2.0040365891215259E-2</v>
      </c>
      <c r="C122" s="7">
        <f t="shared" si="7"/>
        <v>1.8886226550804779E-2</v>
      </c>
      <c r="D122" s="7">
        <f t="shared" si="8"/>
        <v>1.877428330040545E-2</v>
      </c>
      <c r="E122" s="7">
        <f t="shared" si="9"/>
        <v>1.9131815918152214E-2</v>
      </c>
      <c r="F122" s="7">
        <f t="shared" si="10"/>
        <v>1.9420495552766301E-2</v>
      </c>
    </row>
    <row r="123" spans="1:6" x14ac:dyDescent="0.25">
      <c r="A123" s="1">
        <v>41426</v>
      </c>
      <c r="B123" s="6">
        <v>2.1272557381952155E-2</v>
      </c>
      <c r="C123" s="7">
        <f t="shared" si="7"/>
        <v>1.9027033854326022E-2</v>
      </c>
      <c r="D123" s="7">
        <f t="shared" si="8"/>
        <v>1.892288607494336E-2</v>
      </c>
      <c r="E123" s="7">
        <f t="shared" si="9"/>
        <v>1.9399271915765102E-2</v>
      </c>
      <c r="F123" s="7">
        <f t="shared" si="10"/>
        <v>1.9685582805521105E-2</v>
      </c>
    </row>
    <row r="124" spans="1:6" x14ac:dyDescent="0.25">
      <c r="A124" s="1">
        <v>41456</v>
      </c>
      <c r="B124" s="6">
        <v>1.9887623005286775E-2</v>
      </c>
      <c r="C124" s="7">
        <f t="shared" si="7"/>
        <v>1.9050318919901419E-2</v>
      </c>
      <c r="D124" s="7">
        <f t="shared" si="8"/>
        <v>1.9011316897020777E-2</v>
      </c>
      <c r="E124" s="7">
        <f t="shared" si="9"/>
        <v>1.9509787258729209E-2</v>
      </c>
      <c r="F124" s="7">
        <f t="shared" si="10"/>
        <v>1.9812117718152115E-2</v>
      </c>
    </row>
    <row r="125" spans="1:6" x14ac:dyDescent="0.25">
      <c r="A125" s="1">
        <v>41487</v>
      </c>
      <c r="B125" s="6">
        <v>1.7477369242045009E-2</v>
      </c>
      <c r="C125" s="7">
        <f t="shared" si="7"/>
        <v>1.8981249123042224E-2</v>
      </c>
      <c r="D125" s="7">
        <f t="shared" si="8"/>
        <v>1.8970142217942486E-2</v>
      </c>
      <c r="E125" s="7">
        <f t="shared" si="9"/>
        <v>1.9401249890678145E-2</v>
      </c>
      <c r="F125" s="7">
        <f t="shared" si="10"/>
        <v>1.9548812690654168E-2</v>
      </c>
    </row>
    <row r="126" spans="1:6" x14ac:dyDescent="0.25">
      <c r="A126" s="1">
        <v>41518</v>
      </c>
      <c r="B126" s="6">
        <v>1.901504796960676E-2</v>
      </c>
      <c r="C126" s="7">
        <f t="shared" si="7"/>
        <v>1.8999028271587774E-2</v>
      </c>
      <c r="D126" s="7">
        <f t="shared" si="8"/>
        <v>1.9017427125711237E-2</v>
      </c>
      <c r="E126" s="7">
        <f t="shared" si="9"/>
        <v>1.9382393823317672E-2</v>
      </c>
      <c r="F126" s="7">
        <f t="shared" si="10"/>
        <v>1.9508742948383978E-2</v>
      </c>
    </row>
    <row r="127" spans="1:6" x14ac:dyDescent="0.25">
      <c r="A127" s="1">
        <v>41548</v>
      </c>
      <c r="B127" s="6">
        <v>2.1043413420695913E-2</v>
      </c>
      <c r="C127" s="7">
        <f t="shared" si="7"/>
        <v>1.9025009547695097E-2</v>
      </c>
      <c r="D127" s="7">
        <f t="shared" si="8"/>
        <v>1.9196113476857752E-2</v>
      </c>
      <c r="E127" s="7">
        <f t="shared" si="9"/>
        <v>1.957134981444866E-2</v>
      </c>
      <c r="F127" s="7">
        <f t="shared" si="10"/>
        <v>1.9789396151800309E-2</v>
      </c>
    </row>
    <row r="128" spans="1:6" x14ac:dyDescent="0.25">
      <c r="A128" s="1">
        <v>41579</v>
      </c>
      <c r="B128" s="6">
        <v>2.2322413460325208E-2</v>
      </c>
      <c r="C128" s="7">
        <f t="shared" si="7"/>
        <v>1.9123146828633749E-2</v>
      </c>
      <c r="D128" s="7">
        <f t="shared" si="8"/>
        <v>1.9477789749874356E-2</v>
      </c>
      <c r="E128" s="7">
        <f t="shared" si="9"/>
        <v>1.9795116483042469E-2</v>
      </c>
      <c r="F128" s="7">
        <f t="shared" si="10"/>
        <v>2.0169737413318636E-2</v>
      </c>
    </row>
    <row r="129" spans="1:6" x14ac:dyDescent="0.25">
      <c r="A129" s="1">
        <v>41609</v>
      </c>
      <c r="B129" s="6">
        <v>2.46107873960449E-2</v>
      </c>
      <c r="C129" s="7">
        <f t="shared" si="7"/>
        <v>1.9373691826791044E-2</v>
      </c>
      <c r="D129" s="7">
        <f t="shared" si="8"/>
        <v>1.9841550971288101E-2</v>
      </c>
      <c r="E129" s="7">
        <f t="shared" si="9"/>
        <v>2.0205845943927599E-2</v>
      </c>
      <c r="F129" s="7">
        <f t="shared" si="10"/>
        <v>2.0726109082334094E-2</v>
      </c>
    </row>
    <row r="130" spans="1:6" x14ac:dyDescent="0.25">
      <c r="A130" s="1">
        <v>41640</v>
      </c>
      <c r="B130" s="6">
        <v>2.3724672095344485E-2</v>
      </c>
      <c r="C130" s="7">
        <f t="shared" si="7"/>
        <v>1.9599891988768176E-2</v>
      </c>
      <c r="D130" s="7">
        <f t="shared" si="8"/>
        <v>2.0128397260489594E-2</v>
      </c>
      <c r="E130" s="7">
        <f t="shared" si="9"/>
        <v>2.0588867491081245E-2</v>
      </c>
      <c r="F130" s="7">
        <f t="shared" si="10"/>
        <v>2.1365617264010383E-2</v>
      </c>
    </row>
    <row r="131" spans="1:6" x14ac:dyDescent="0.25">
      <c r="A131" s="1">
        <v>41671</v>
      </c>
      <c r="B131" s="6">
        <v>2.249241790241022E-2</v>
      </c>
      <c r="C131" s="7">
        <f t="shared" si="7"/>
        <v>1.9777971340308013E-2</v>
      </c>
      <c r="D131" s="7">
        <f t="shared" si="8"/>
        <v>2.033465282958696E-2</v>
      </c>
      <c r="E131" s="7">
        <f t="shared" si="9"/>
        <v>2.0875135699029376E-2</v>
      </c>
      <c r="F131" s="7">
        <f t="shared" si="10"/>
        <v>2.2201458707404583E-2</v>
      </c>
    </row>
    <row r="132" spans="1:6" x14ac:dyDescent="0.25">
      <c r="A132" s="1">
        <v>41699</v>
      </c>
      <c r="B132" s="6">
        <v>2.4232831138146244E-2</v>
      </c>
      <c r="C132" s="7">
        <f t="shared" si="7"/>
        <v>2.0030842653157053E-2</v>
      </c>
      <c r="D132" s="7">
        <f t="shared" si="8"/>
        <v>2.0611958960709945E-2</v>
      </c>
      <c r="E132" s="7">
        <f t="shared" si="9"/>
        <v>2.1289916091939236E-2</v>
      </c>
      <c r="F132" s="7">
        <f t="shared" si="10"/>
        <v>2.3071089235494498E-2</v>
      </c>
    </row>
    <row r="133" spans="1:6" x14ac:dyDescent="0.25">
      <c r="A133" s="1">
        <v>41730</v>
      </c>
      <c r="B133" s="6">
        <v>2.5346413627390135E-2</v>
      </c>
      <c r="C133" s="7">
        <f t="shared" si="7"/>
        <v>2.0344149091795865E-2</v>
      </c>
      <c r="D133" s="7">
        <f t="shared" si="8"/>
        <v>2.0976985188502509E-2</v>
      </c>
      <c r="E133" s="7">
        <f t="shared" si="9"/>
        <v>2.1788826044205251E-2</v>
      </c>
      <c r="F133" s="7">
        <f t="shared" si="10"/>
        <v>2.3788255936610197E-2</v>
      </c>
    </row>
    <row r="134" spans="1:6" x14ac:dyDescent="0.25">
      <c r="A134" s="1">
        <v>41760</v>
      </c>
      <c r="B134" s="6">
        <v>2.4845412643709808E-2</v>
      </c>
      <c r="C134" s="7">
        <f t="shared" si="7"/>
        <v>2.0660531262532675E-2</v>
      </c>
      <c r="D134" s="7">
        <f t="shared" si="8"/>
        <v>2.1266329588864194E-2</v>
      </c>
      <c r="E134" s="7">
        <f t="shared" si="9"/>
        <v>2.2189246606913137E-2</v>
      </c>
      <c r="F134" s="7">
        <f t="shared" si="10"/>
        <v>2.4208755800507631E-2</v>
      </c>
    </row>
    <row r="135" spans="1:6" x14ac:dyDescent="0.25">
      <c r="A135" s="1">
        <v>41791</v>
      </c>
      <c r="B135" s="6">
        <v>2.5343342278196831E-2</v>
      </c>
      <c r="C135" s="7">
        <f t="shared" si="7"/>
        <v>2.0963875298682651E-2</v>
      </c>
      <c r="D135" s="7">
        <f t="shared" si="8"/>
        <v>2.1580846722907165E-2</v>
      </c>
      <c r="E135" s="7">
        <f t="shared" si="9"/>
        <v>2.2528478681600187E-2</v>
      </c>
      <c r="F135" s="7">
        <f t="shared" si="10"/>
        <v>2.4330848280866287E-2</v>
      </c>
    </row>
    <row r="136" spans="1:6" x14ac:dyDescent="0.25">
      <c r="A136" s="1">
        <v>41821</v>
      </c>
      <c r="B136" s="6">
        <v>2.6838166984538524E-2</v>
      </c>
      <c r="C136" s="7">
        <f t="shared" si="7"/>
        <v>2.1308738969300189E-2</v>
      </c>
      <c r="D136" s="7">
        <f t="shared" si="8"/>
        <v>2.200916635929815E-2</v>
      </c>
      <c r="E136" s="7">
        <f t="shared" si="9"/>
        <v>2.310769067987117E-2</v>
      </c>
      <c r="F136" s="7">
        <f t="shared" si="10"/>
        <v>2.484976409573196E-2</v>
      </c>
    </row>
    <row r="137" spans="1:6" x14ac:dyDescent="0.25">
      <c r="A137" s="1">
        <v>41852</v>
      </c>
      <c r="B137" s="6">
        <v>2.5949391730973499E-2</v>
      </c>
      <c r="C137" s="7">
        <f t="shared" si="7"/>
        <v>2.1607471222313348E-2</v>
      </c>
      <c r="D137" s="7">
        <f t="shared" si="8"/>
        <v>2.2392065932850418E-2</v>
      </c>
      <c r="E137" s="7">
        <f t="shared" si="9"/>
        <v>2.3813692553948541E-2</v>
      </c>
      <c r="F137" s="7">
        <f t="shared" si="10"/>
        <v>2.5425926400492505E-2</v>
      </c>
    </row>
    <row r="138" spans="1:6" x14ac:dyDescent="0.25">
      <c r="A138" s="1">
        <v>41883</v>
      </c>
      <c r="B138" s="6">
        <v>2.6031549357250813E-2</v>
      </c>
      <c r="C138" s="7">
        <f t="shared" si="7"/>
        <v>2.1890397413118278E-2</v>
      </c>
      <c r="D138" s="7">
        <f t="shared" si="8"/>
        <v>2.2768514984740581E-2</v>
      </c>
      <c r="E138" s="7">
        <f t="shared" si="9"/>
        <v>2.4398401002918887E-2</v>
      </c>
      <c r="F138" s="7">
        <f t="shared" si="10"/>
        <v>2.5725712770343263E-2</v>
      </c>
    </row>
    <row r="139" spans="1:6" x14ac:dyDescent="0.25">
      <c r="A139" s="1">
        <v>41913</v>
      </c>
      <c r="B139" s="6">
        <v>2.6627065648873245E-2</v>
      </c>
      <c r="C139" s="7">
        <f t="shared" si="7"/>
        <v>2.221752758485783E-2</v>
      </c>
      <c r="D139" s="7">
        <f t="shared" si="8"/>
        <v>2.3172268954111432E-2</v>
      </c>
      <c r="E139" s="7">
        <f t="shared" si="9"/>
        <v>2.4863705355266993E-2</v>
      </c>
      <c r="F139" s="7">
        <f t="shared" si="10"/>
        <v>2.5939154773923789E-2</v>
      </c>
    </row>
    <row r="140" spans="1:6" x14ac:dyDescent="0.25">
      <c r="A140" s="1">
        <v>41944</v>
      </c>
      <c r="B140" s="6">
        <v>2.6582155092484447E-2</v>
      </c>
      <c r="C140" s="7">
        <f t="shared" si="7"/>
        <v>2.2506900153828033E-2</v>
      </c>
      <c r="D140" s="7">
        <f t="shared" si="8"/>
        <v>2.3535701687515276E-2</v>
      </c>
      <c r="E140" s="7">
        <f t="shared" si="9"/>
        <v>2.5218683824613595E-2</v>
      </c>
      <c r="F140" s="7">
        <f t="shared" si="10"/>
        <v>2.6228611848719562E-2</v>
      </c>
    </row>
    <row r="141" spans="1:6" x14ac:dyDescent="0.25">
      <c r="A141" s="1">
        <v>41974</v>
      </c>
      <c r="B141" s="6">
        <v>2.7795107951965114E-2</v>
      </c>
      <c r="C141" s="7">
        <f t="shared" si="7"/>
        <v>2.2844944907433943E-2</v>
      </c>
      <c r="D141" s="7">
        <f t="shared" si="8"/>
        <v>2.3898065608071548E-2</v>
      </c>
      <c r="E141" s="7">
        <f t="shared" si="9"/>
        <v>2.548404387094028E-2</v>
      </c>
      <c r="F141" s="7">
        <f t="shared" si="10"/>
        <v>2.6637239461014272E-2</v>
      </c>
    </row>
    <row r="142" spans="1:6" x14ac:dyDescent="0.25">
      <c r="A142" s="1">
        <v>42005</v>
      </c>
      <c r="B142" s="6">
        <v>2.7292557933428666E-2</v>
      </c>
      <c r="C142" s="7">
        <f t="shared" si="7"/>
        <v>2.3185117590930938E-2</v>
      </c>
      <c r="D142" s="7">
        <f t="shared" si="8"/>
        <v>2.4309450881857212E-2</v>
      </c>
      <c r="E142" s="7">
        <f t="shared" si="9"/>
        <v>2.5781367690780627E-2</v>
      </c>
      <c r="F142" s="7">
        <f t="shared" si="10"/>
        <v>2.6712971285829296E-2</v>
      </c>
    </row>
    <row r="143" spans="1:6" x14ac:dyDescent="0.25">
      <c r="A143" s="1">
        <v>42036</v>
      </c>
      <c r="B143" s="6">
        <v>2.8280103063860199E-2</v>
      </c>
      <c r="C143" s="7">
        <f t="shared" si="7"/>
        <v>2.3569405243298754E-2</v>
      </c>
      <c r="D143" s="7">
        <f t="shared" si="8"/>
        <v>2.4909602760846944E-2</v>
      </c>
      <c r="E143" s="7">
        <f t="shared" si="9"/>
        <v>2.6263674787568126E-2</v>
      </c>
      <c r="F143" s="7">
        <f t="shared" si="10"/>
        <v>2.7101423174643747E-2</v>
      </c>
    </row>
    <row r="144" spans="1:6" x14ac:dyDescent="0.25">
      <c r="A144" s="1">
        <v>42064</v>
      </c>
      <c r="B144" s="6">
        <v>2.9453719206017949E-2</v>
      </c>
      <c r="C144" s="7">
        <f t="shared" si="7"/>
        <v>2.3994332442581669E-2</v>
      </c>
      <c r="D144" s="7">
        <f t="shared" si="8"/>
        <v>2.5489528940647571E-2</v>
      </c>
      <c r="E144" s="7">
        <f t="shared" si="9"/>
        <v>2.6698748793224102E-2</v>
      </c>
      <c r="F144" s="7">
        <f t="shared" si="10"/>
        <v>2.7671784816104935E-2</v>
      </c>
    </row>
    <row r="145" spans="1:6" x14ac:dyDescent="0.25">
      <c r="A145" s="1">
        <v>42095</v>
      </c>
      <c r="B145" s="6">
        <v>2.6831001208132567E-2</v>
      </c>
      <c r="C145" s="7">
        <f t="shared" si="7"/>
        <v>2.4305645234578944E-2</v>
      </c>
      <c r="D145" s="7">
        <f t="shared" si="8"/>
        <v>2.5811061595505159E-2</v>
      </c>
      <c r="E145" s="7">
        <f t="shared" si="9"/>
        <v>2.6822464424952643E-2</v>
      </c>
      <c r="F145" s="7">
        <f t="shared" si="10"/>
        <v>2.7705774075981487E-2</v>
      </c>
    </row>
    <row r="146" spans="1:6" x14ac:dyDescent="0.25">
      <c r="A146" s="1">
        <v>42125</v>
      </c>
      <c r="B146" s="6">
        <v>2.6512767987565716E-2</v>
      </c>
      <c r="C146" s="7">
        <f t="shared" si="7"/>
        <v>2.4575328655260215E-2</v>
      </c>
      <c r="D146" s="7">
        <f t="shared" si="8"/>
        <v>2.6043859069240744E-2</v>
      </c>
      <c r="E146" s="7">
        <f t="shared" si="9"/>
        <v>2.6961410703607303E-2</v>
      </c>
      <c r="F146" s="7">
        <f t="shared" si="10"/>
        <v>2.7694209558495036E-2</v>
      </c>
    </row>
    <row r="147" spans="1:6" x14ac:dyDescent="0.25">
      <c r="A147" s="1">
        <v>42156</v>
      </c>
      <c r="B147" s="6">
        <v>2.7364721936929577E-2</v>
      </c>
      <c r="C147" s="7">
        <f t="shared" si="7"/>
        <v>2.4829168845050941E-2</v>
      </c>
      <c r="D147" s="7">
        <f t="shared" si="8"/>
        <v>2.6196855432623223E-2</v>
      </c>
      <c r="E147" s="7">
        <f t="shared" si="9"/>
        <v>2.7129859008501692E-2</v>
      </c>
      <c r="F147" s="7">
        <f t="shared" si="10"/>
        <v>2.7622478555989111E-2</v>
      </c>
    </row>
    <row r="148" spans="1:6" x14ac:dyDescent="0.25">
      <c r="A148" s="1">
        <v>42186</v>
      </c>
      <c r="B148" s="6">
        <v>2.4820968026983335E-2</v>
      </c>
      <c r="C148" s="7">
        <f t="shared" si="7"/>
        <v>2.5034724887621634E-2</v>
      </c>
      <c r="D148" s="7">
        <f t="shared" si="8"/>
        <v>2.625776076215872E-2</v>
      </c>
      <c r="E148" s="7">
        <f t="shared" si="9"/>
        <v>2.6961759095372091E-2</v>
      </c>
      <c r="F148" s="7">
        <f t="shared" si="10"/>
        <v>2.7210546904914892E-2</v>
      </c>
    </row>
    <row r="149" spans="1:6" x14ac:dyDescent="0.25">
      <c r="A149" s="1">
        <v>42217</v>
      </c>
      <c r="B149" s="6">
        <v>2.4483324071397188E-2</v>
      </c>
      <c r="C149" s="7">
        <f t="shared" si="7"/>
        <v>2.5326639672177974E-2</v>
      </c>
      <c r="D149" s="7">
        <f t="shared" si="8"/>
        <v>2.6368366660435776E-2</v>
      </c>
      <c r="E149" s="7">
        <f t="shared" si="9"/>
        <v>2.6839586790407405E-2</v>
      </c>
      <c r="F149" s="7">
        <f t="shared" si="10"/>
        <v>2.6577750406171056E-2</v>
      </c>
    </row>
    <row r="150" spans="1:6" x14ac:dyDescent="0.25">
      <c r="A150" s="1">
        <v>42248</v>
      </c>
      <c r="B150" s="6">
        <v>2.5481926957230998E-2</v>
      </c>
      <c r="C150" s="7">
        <f t="shared" si="7"/>
        <v>2.5596092963328987E-2</v>
      </c>
      <c r="D150" s="7">
        <f t="shared" si="8"/>
        <v>2.6437760872607144E-2</v>
      </c>
      <c r="E150" s="7">
        <f t="shared" si="9"/>
        <v>2.6793784923739083E-2</v>
      </c>
      <c r="F150" s="7">
        <f t="shared" si="10"/>
        <v>2.5915785031373231E-2</v>
      </c>
    </row>
    <row r="151" spans="1:6" x14ac:dyDescent="0.25">
      <c r="A151" s="1">
        <v>42278</v>
      </c>
      <c r="B151" s="6">
        <v>2.6812715702531357E-2</v>
      </c>
      <c r="C151" s="7">
        <f t="shared" si="7"/>
        <v>2.5836480558405459E-2</v>
      </c>
      <c r="D151" s="7">
        <f t="shared" si="8"/>
        <v>2.6519222099003883E-2</v>
      </c>
      <c r="E151" s="7">
        <f t="shared" si="9"/>
        <v>2.6809255761543926E-2</v>
      </c>
      <c r="F151" s="7">
        <f t="shared" si="10"/>
        <v>2.5912737447106361E-2</v>
      </c>
    </row>
    <row r="152" spans="1:6" x14ac:dyDescent="0.25">
      <c r="A152" s="1">
        <v>42309</v>
      </c>
      <c r="B152" s="6">
        <v>2.6780190866197668E-2</v>
      </c>
      <c r="C152" s="7">
        <f t="shared" si="7"/>
        <v>2.6022221283650147E-2</v>
      </c>
      <c r="D152" s="7">
        <f t="shared" si="8"/>
        <v>2.6626709778030985E-2</v>
      </c>
      <c r="E152" s="7">
        <f t="shared" si="9"/>
        <v>2.6825758742686692E-2</v>
      </c>
      <c r="F152" s="7">
        <f t="shared" si="10"/>
        <v>2.5957307926878354E-2</v>
      </c>
    </row>
    <row r="153" spans="1:6" x14ac:dyDescent="0.25">
      <c r="A153" s="1">
        <v>42339</v>
      </c>
      <c r="B153" s="6">
        <v>2.7633029832483745E-2</v>
      </c>
      <c r="C153" s="7">
        <f t="shared" si="7"/>
        <v>2.6148148051835098E-2</v>
      </c>
      <c r="D153" s="7">
        <f t="shared" si="8"/>
        <v>2.6753914642158032E-2</v>
      </c>
      <c r="E153" s="7">
        <f t="shared" si="9"/>
        <v>2.6812252232729913E-2</v>
      </c>
      <c r="F153" s="7">
        <f t="shared" si="10"/>
        <v>2.6002025909470719E-2</v>
      </c>
    </row>
    <row r="154" spans="1:6" x14ac:dyDescent="0.25">
      <c r="A154" s="1">
        <v>42370</v>
      </c>
      <c r="B154" s="6">
        <v>2.494279606702934E-2</v>
      </c>
      <c r="C154" s="7">
        <f t="shared" ref="C154" si="11">AVERAGE(B131:B154)</f>
        <v>2.6198903217321965E-2</v>
      </c>
      <c r="D154" s="7">
        <f t="shared" ref="D154" si="12">AVERAGE(B137:B154)</f>
        <v>2.6648616257851962E-2</v>
      </c>
      <c r="E154" s="7">
        <f t="shared" ref="E154" si="13">AVERAGE(B143:B154)</f>
        <v>2.66164387438633E-2</v>
      </c>
      <c r="F154" s="7">
        <f t="shared" ref="F154" si="14">AVERAGE(B149:B154)</f>
        <v>2.6022330582811715E-2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tabColor theme="9" tint="0.79998168889431442"/>
  </sheetPr>
  <dimension ref="A1:D265"/>
  <sheetViews>
    <sheetView workbookViewId="0">
      <selection activeCell="AA22" sqref="AA22"/>
    </sheetView>
  </sheetViews>
  <sheetFormatPr defaultRowHeight="15" x14ac:dyDescent="0.25"/>
  <sheetData>
    <row r="1" spans="1:4" x14ac:dyDescent="0.25">
      <c r="B1" t="s">
        <v>27</v>
      </c>
      <c r="C1" t="s">
        <v>28</v>
      </c>
      <c r="D1" t="s">
        <v>25</v>
      </c>
    </row>
    <row r="2" spans="1:4" x14ac:dyDescent="0.25">
      <c r="A2" s="1">
        <v>34335</v>
      </c>
      <c r="B2">
        <v>1.11105513279056</v>
      </c>
      <c r="C2">
        <v>2.5861818087972899</v>
      </c>
      <c r="D2">
        <f>ABS(C2-B2)</f>
        <v>1.4751266760067299</v>
      </c>
    </row>
    <row r="3" spans="1:4" x14ac:dyDescent="0.25">
      <c r="A3" s="1">
        <v>34394</v>
      </c>
      <c r="B3">
        <v>20.570073882168401</v>
      </c>
      <c r="C3">
        <v>23.125858859448599</v>
      </c>
      <c r="D3">
        <f t="shared" ref="D3:D66" si="0">ABS(C3-B3)</f>
        <v>2.5557849772801973</v>
      </c>
    </row>
    <row r="4" spans="1:4" x14ac:dyDescent="0.25">
      <c r="A4" s="1">
        <v>34486</v>
      </c>
      <c r="B4">
        <v>0.15474712440921601</v>
      </c>
      <c r="C4">
        <v>2.2872660682874999</v>
      </c>
      <c r="D4">
        <f t="shared" si="0"/>
        <v>2.1325189438782841</v>
      </c>
    </row>
    <row r="5" spans="1:4" x14ac:dyDescent="0.25">
      <c r="A5" s="1">
        <v>34516</v>
      </c>
      <c r="B5">
        <v>7.5959541980285197</v>
      </c>
      <c r="C5">
        <v>7.4836535442185301</v>
      </c>
      <c r="D5">
        <f t="shared" si="0"/>
        <v>0.11230065380998955</v>
      </c>
    </row>
    <row r="6" spans="1:4" x14ac:dyDescent="0.25">
      <c r="A6" s="1">
        <v>34547</v>
      </c>
      <c r="B6">
        <v>6.03596999289437</v>
      </c>
      <c r="C6">
        <v>6.9729925715461398</v>
      </c>
      <c r="D6">
        <f t="shared" si="0"/>
        <v>0.93702257865176986</v>
      </c>
    </row>
    <row r="7" spans="1:4" x14ac:dyDescent="0.25">
      <c r="A7" s="1">
        <v>34578</v>
      </c>
      <c r="B7">
        <v>6.0766493994105097</v>
      </c>
      <c r="C7">
        <v>6.5950601225997003</v>
      </c>
      <c r="D7">
        <f t="shared" si="0"/>
        <v>0.51841072318919057</v>
      </c>
    </row>
    <row r="8" spans="1:4" x14ac:dyDescent="0.25">
      <c r="A8" s="1">
        <v>34608</v>
      </c>
      <c r="B8">
        <v>5.4078252447346298</v>
      </c>
      <c r="C8">
        <v>6.2497951008792301</v>
      </c>
      <c r="D8">
        <f t="shared" si="0"/>
        <v>0.84196985614460029</v>
      </c>
    </row>
    <row r="9" spans="1:4" x14ac:dyDescent="0.25">
      <c r="A9" s="1">
        <v>34639</v>
      </c>
      <c r="B9">
        <v>4.9789945581735298</v>
      </c>
      <c r="C9">
        <v>5.2293702068242096</v>
      </c>
      <c r="D9">
        <f t="shared" si="0"/>
        <v>0.25037564865067985</v>
      </c>
    </row>
    <row r="10" spans="1:4" x14ac:dyDescent="0.25">
      <c r="A10" s="1">
        <v>34669</v>
      </c>
      <c r="B10">
        <v>5.0048593630525398</v>
      </c>
      <c r="C10">
        <v>4.8477625370617199</v>
      </c>
      <c r="D10">
        <f t="shared" si="0"/>
        <v>0.15709682599081987</v>
      </c>
    </row>
    <row r="11" spans="1:4" x14ac:dyDescent="0.25">
      <c r="A11" s="1">
        <v>34700</v>
      </c>
      <c r="B11">
        <v>4.3062125179824902</v>
      </c>
      <c r="C11">
        <v>4.00888743496348</v>
      </c>
      <c r="D11">
        <f t="shared" si="0"/>
        <v>0.29732508301901017</v>
      </c>
    </row>
    <row r="12" spans="1:4" x14ac:dyDescent="0.25">
      <c r="A12" s="1">
        <v>34731</v>
      </c>
      <c r="B12">
        <v>4.0326649495890701</v>
      </c>
      <c r="C12">
        <v>4.2915020502580399</v>
      </c>
      <c r="D12">
        <f t="shared" si="0"/>
        <v>0.25883710066896981</v>
      </c>
    </row>
    <row r="13" spans="1:4" x14ac:dyDescent="0.25">
      <c r="A13" s="1">
        <v>34759</v>
      </c>
      <c r="B13">
        <v>3.8047722492665601</v>
      </c>
      <c r="C13">
        <v>5.9622964325824697</v>
      </c>
      <c r="D13">
        <f t="shared" si="0"/>
        <v>2.1575241833159096</v>
      </c>
    </row>
    <row r="14" spans="1:4" x14ac:dyDescent="0.25">
      <c r="A14" s="1">
        <v>34790</v>
      </c>
      <c r="B14">
        <v>4.9121940331703398</v>
      </c>
      <c r="C14">
        <v>7.7785937334289397</v>
      </c>
      <c r="D14">
        <f t="shared" si="0"/>
        <v>2.8663997002585999</v>
      </c>
    </row>
    <row r="15" spans="1:4" x14ac:dyDescent="0.25">
      <c r="A15" s="1">
        <v>34820</v>
      </c>
      <c r="B15">
        <v>5.6015216280959601</v>
      </c>
      <c r="C15">
        <v>8.81959877959709</v>
      </c>
      <c r="D15">
        <f t="shared" si="0"/>
        <v>3.2180771515011299</v>
      </c>
    </row>
    <row r="16" spans="1:4" x14ac:dyDescent="0.25">
      <c r="A16" s="1">
        <v>34851</v>
      </c>
      <c r="B16">
        <v>7.1639027055870201</v>
      </c>
      <c r="C16">
        <v>12.117521409225001</v>
      </c>
      <c r="D16">
        <f t="shared" si="0"/>
        <v>4.9536187036379804</v>
      </c>
    </row>
    <row r="17" spans="1:4" x14ac:dyDescent="0.25">
      <c r="A17" s="1">
        <v>34881</v>
      </c>
      <c r="B17">
        <v>9.2889695860530299</v>
      </c>
      <c r="C17">
        <v>17.390656363095299</v>
      </c>
      <c r="D17">
        <f t="shared" si="0"/>
        <v>8.1016867770422696</v>
      </c>
    </row>
    <row r="18" spans="1:4" x14ac:dyDescent="0.25">
      <c r="A18" s="1">
        <v>34912</v>
      </c>
      <c r="B18">
        <v>10.639563492139899</v>
      </c>
      <c r="C18">
        <v>16.978832555084701</v>
      </c>
      <c r="D18">
        <f t="shared" si="0"/>
        <v>6.3392690629448012</v>
      </c>
    </row>
    <row r="19" spans="1:4" x14ac:dyDescent="0.25">
      <c r="A19" s="1">
        <v>34943</v>
      </c>
      <c r="B19">
        <v>10.3625662681374</v>
      </c>
      <c r="C19">
        <v>12.2875093461933</v>
      </c>
      <c r="D19">
        <f t="shared" si="0"/>
        <v>1.9249430780559003</v>
      </c>
    </row>
    <row r="20" spans="1:4" x14ac:dyDescent="0.25">
      <c r="A20" s="1">
        <v>34973</v>
      </c>
      <c r="B20">
        <v>8.8539646343534493</v>
      </c>
      <c r="C20">
        <v>15.256750670258899</v>
      </c>
      <c r="D20">
        <f t="shared" si="0"/>
        <v>6.40278603590545</v>
      </c>
    </row>
    <row r="21" spans="1:4" x14ac:dyDescent="0.25">
      <c r="A21" s="1">
        <v>35004</v>
      </c>
      <c r="B21">
        <v>9.63548237310237</v>
      </c>
      <c r="C21">
        <v>17.103157529003401</v>
      </c>
      <c r="D21">
        <f t="shared" si="0"/>
        <v>7.4676751559010306</v>
      </c>
    </row>
    <row r="22" spans="1:4" x14ac:dyDescent="0.25">
      <c r="A22" s="1">
        <v>35034</v>
      </c>
      <c r="B22">
        <v>10.7529327580881</v>
      </c>
      <c r="C22">
        <v>19.031999961699398</v>
      </c>
      <c r="D22">
        <f t="shared" si="0"/>
        <v>8.279067203611298</v>
      </c>
    </row>
    <row r="23" spans="1:4" x14ac:dyDescent="0.25">
      <c r="A23" s="1">
        <v>35065</v>
      </c>
      <c r="B23">
        <v>9.8464617179695608</v>
      </c>
      <c r="C23">
        <v>24.523076141040399</v>
      </c>
      <c r="D23">
        <f t="shared" si="0"/>
        <v>14.676614423070838</v>
      </c>
    </row>
    <row r="24" spans="1:4" x14ac:dyDescent="0.25">
      <c r="A24" s="1">
        <v>35096</v>
      </c>
      <c r="B24">
        <v>12.7421067230184</v>
      </c>
      <c r="C24">
        <v>28.4588654087427</v>
      </c>
      <c r="D24">
        <f t="shared" si="0"/>
        <v>15.716758685724299</v>
      </c>
    </row>
    <row r="25" spans="1:4" x14ac:dyDescent="0.25">
      <c r="A25" s="1">
        <v>35125</v>
      </c>
      <c r="B25">
        <v>16.117207844320099</v>
      </c>
      <c r="C25">
        <v>25.024897701209198</v>
      </c>
      <c r="D25">
        <f t="shared" si="0"/>
        <v>8.9076898568890996</v>
      </c>
    </row>
    <row r="26" spans="1:4" x14ac:dyDescent="0.25">
      <c r="A26" s="1">
        <v>35156</v>
      </c>
      <c r="B26">
        <v>12.9993367720629</v>
      </c>
      <c r="C26">
        <v>12.6708990187163</v>
      </c>
      <c r="D26">
        <f t="shared" si="0"/>
        <v>0.3284377533466003</v>
      </c>
    </row>
    <row r="27" spans="1:4" x14ac:dyDescent="0.25">
      <c r="A27" s="1">
        <v>35186</v>
      </c>
      <c r="B27">
        <v>11.100969976539901</v>
      </c>
      <c r="C27">
        <v>10.608272249227999</v>
      </c>
      <c r="D27">
        <f t="shared" si="0"/>
        <v>0.49269772731190109</v>
      </c>
    </row>
    <row r="28" spans="1:4" x14ac:dyDescent="0.25">
      <c r="A28" s="1">
        <v>35217</v>
      </c>
      <c r="B28">
        <v>8.9898089070087295</v>
      </c>
      <c r="C28">
        <v>10.201599014415001</v>
      </c>
      <c r="D28">
        <f t="shared" si="0"/>
        <v>1.2117901074062711</v>
      </c>
    </row>
    <row r="29" spans="1:4" x14ac:dyDescent="0.25">
      <c r="A29" s="1">
        <v>35247</v>
      </c>
      <c r="B29">
        <v>8.0968278170433905</v>
      </c>
      <c r="C29">
        <v>8.6979119592353893</v>
      </c>
      <c r="D29">
        <f t="shared" si="0"/>
        <v>0.60108414219199879</v>
      </c>
    </row>
    <row r="30" spans="1:4" x14ac:dyDescent="0.25">
      <c r="A30" s="1">
        <v>35278</v>
      </c>
      <c r="B30">
        <v>7.10710218493361</v>
      </c>
      <c r="C30">
        <v>8.7815781431941193</v>
      </c>
      <c r="D30">
        <f t="shared" si="0"/>
        <v>1.6744759582605093</v>
      </c>
    </row>
    <row r="31" spans="1:4" x14ac:dyDescent="0.25">
      <c r="A31" s="1">
        <v>35309</v>
      </c>
      <c r="B31">
        <v>6.9786185542796098</v>
      </c>
      <c r="C31">
        <v>9.3255045844470494</v>
      </c>
      <c r="D31">
        <f t="shared" si="0"/>
        <v>2.3468860301674397</v>
      </c>
    </row>
    <row r="32" spans="1:4" x14ac:dyDescent="0.25">
      <c r="A32" s="1">
        <v>35339</v>
      </c>
      <c r="B32">
        <v>6.4562024561720097</v>
      </c>
      <c r="C32">
        <v>8.2073806025700105</v>
      </c>
      <c r="D32">
        <f t="shared" si="0"/>
        <v>1.7511781463980007</v>
      </c>
    </row>
    <row r="33" spans="1:4" x14ac:dyDescent="0.25">
      <c r="A33" s="1">
        <v>35370</v>
      </c>
      <c r="B33">
        <v>6.8152340099278099</v>
      </c>
      <c r="C33">
        <v>9.8450496943559607</v>
      </c>
      <c r="D33">
        <f t="shared" si="0"/>
        <v>3.0298156844281507</v>
      </c>
    </row>
    <row r="34" spans="1:4" x14ac:dyDescent="0.25">
      <c r="A34" s="1">
        <v>35462</v>
      </c>
      <c r="B34">
        <v>3.6821762178707002E-2</v>
      </c>
      <c r="C34">
        <v>3.12352438937054</v>
      </c>
      <c r="D34">
        <f t="shared" si="0"/>
        <v>3.086702627191833</v>
      </c>
    </row>
    <row r="35" spans="1:4" x14ac:dyDescent="0.25">
      <c r="A35" s="1">
        <v>35490</v>
      </c>
      <c r="B35">
        <v>6.6086676064004601</v>
      </c>
      <c r="C35">
        <v>13.0941626953911</v>
      </c>
      <c r="D35">
        <f t="shared" si="0"/>
        <v>6.48549508899064</v>
      </c>
    </row>
    <row r="36" spans="1:4" x14ac:dyDescent="0.25">
      <c r="A36" s="1">
        <v>35521</v>
      </c>
      <c r="B36">
        <v>8.11140459845031</v>
      </c>
      <c r="C36">
        <v>10.8616797908078</v>
      </c>
      <c r="D36">
        <f t="shared" si="0"/>
        <v>2.7502751923574902</v>
      </c>
    </row>
    <row r="37" spans="1:4" x14ac:dyDescent="0.25">
      <c r="A37" s="1">
        <v>35551</v>
      </c>
      <c r="B37">
        <v>7.6361355676803804</v>
      </c>
      <c r="C37">
        <v>9.7768823665811002</v>
      </c>
      <c r="D37">
        <f t="shared" si="0"/>
        <v>2.1407467989007198</v>
      </c>
    </row>
    <row r="38" spans="1:4" x14ac:dyDescent="0.25">
      <c r="A38" s="1">
        <v>35582</v>
      </c>
      <c r="B38">
        <v>8.4284622690149895</v>
      </c>
      <c r="C38">
        <v>11.6125317012569</v>
      </c>
      <c r="D38">
        <f t="shared" si="0"/>
        <v>3.1840694322419107</v>
      </c>
    </row>
    <row r="39" spans="1:4" x14ac:dyDescent="0.25">
      <c r="A39" s="1">
        <v>35612</v>
      </c>
      <c r="B39">
        <v>8.71437817613673</v>
      </c>
      <c r="C39">
        <v>13.6282709516198</v>
      </c>
      <c r="D39">
        <f t="shared" si="0"/>
        <v>4.9138927754830704</v>
      </c>
    </row>
    <row r="40" spans="1:4" x14ac:dyDescent="0.25">
      <c r="A40" s="1">
        <v>35643</v>
      </c>
      <c r="B40">
        <v>10.6037434504565</v>
      </c>
      <c r="C40">
        <v>17.537274371453499</v>
      </c>
      <c r="D40">
        <f t="shared" si="0"/>
        <v>6.9335309209969989</v>
      </c>
    </row>
    <row r="41" spans="1:4" x14ac:dyDescent="0.25">
      <c r="A41" s="1">
        <v>35674</v>
      </c>
      <c r="B41">
        <v>11.090283727952301</v>
      </c>
      <c r="C41">
        <v>15.925652198086199</v>
      </c>
      <c r="D41">
        <f t="shared" si="0"/>
        <v>4.8353684701338988</v>
      </c>
    </row>
    <row r="42" spans="1:4" x14ac:dyDescent="0.25">
      <c r="A42" s="1">
        <v>35704</v>
      </c>
      <c r="B42">
        <v>10.994659376466499</v>
      </c>
      <c r="C42">
        <v>16.6665441650179</v>
      </c>
      <c r="D42">
        <f t="shared" si="0"/>
        <v>5.6718847885514005</v>
      </c>
    </row>
    <row r="43" spans="1:4" x14ac:dyDescent="0.25">
      <c r="A43" s="1">
        <v>35735</v>
      </c>
      <c r="B43">
        <v>13.2345873886141</v>
      </c>
      <c r="C43">
        <v>19.249301838362001</v>
      </c>
      <c r="D43">
        <f t="shared" si="0"/>
        <v>6.0147144497479008</v>
      </c>
    </row>
    <row r="44" spans="1:4" x14ac:dyDescent="0.25">
      <c r="A44" s="1">
        <v>35765</v>
      </c>
      <c r="B44">
        <v>12.4488683522677</v>
      </c>
      <c r="C44">
        <v>22.440256634657601</v>
      </c>
      <c r="D44">
        <f t="shared" si="0"/>
        <v>9.9913882823899005</v>
      </c>
    </row>
    <row r="45" spans="1:4" x14ac:dyDescent="0.25">
      <c r="A45" s="1">
        <v>35796</v>
      </c>
      <c r="B45">
        <v>12.8792138484032</v>
      </c>
      <c r="C45">
        <v>24.753393444661299</v>
      </c>
      <c r="D45">
        <f t="shared" si="0"/>
        <v>11.874179596258099</v>
      </c>
    </row>
    <row r="46" spans="1:4" x14ac:dyDescent="0.25">
      <c r="A46" s="1">
        <v>35827</v>
      </c>
      <c r="B46">
        <v>24.3745196338587</v>
      </c>
      <c r="C46">
        <v>33.3532647412081</v>
      </c>
      <c r="D46">
        <f t="shared" si="0"/>
        <v>8.9787451073494005</v>
      </c>
    </row>
    <row r="47" spans="1:4" x14ac:dyDescent="0.25">
      <c r="A47" s="1">
        <v>35855</v>
      </c>
      <c r="B47">
        <v>30.0347958747723</v>
      </c>
      <c r="C47">
        <v>32.492281758188398</v>
      </c>
      <c r="D47">
        <f t="shared" si="0"/>
        <v>2.4574858834160977</v>
      </c>
    </row>
    <row r="48" spans="1:4" x14ac:dyDescent="0.25">
      <c r="A48" s="1">
        <v>35886</v>
      </c>
      <c r="B48">
        <v>29.347592137876202</v>
      </c>
      <c r="C48">
        <v>28.150969950836799</v>
      </c>
      <c r="D48">
        <f t="shared" si="0"/>
        <v>1.1966221870394023</v>
      </c>
    </row>
    <row r="49" spans="1:4" x14ac:dyDescent="0.25">
      <c r="A49" s="1">
        <v>35916</v>
      </c>
      <c r="B49">
        <v>23.962451531620101</v>
      </c>
      <c r="C49">
        <v>27.220177547758801</v>
      </c>
      <c r="D49">
        <f t="shared" si="0"/>
        <v>3.2577260161387009</v>
      </c>
    </row>
    <row r="50" spans="1:4" x14ac:dyDescent="0.25">
      <c r="A50" s="1">
        <v>35947</v>
      </c>
      <c r="B50">
        <v>19.833998400997</v>
      </c>
      <c r="C50">
        <v>27.962091571591799</v>
      </c>
      <c r="D50">
        <f t="shared" si="0"/>
        <v>8.1280931705947985</v>
      </c>
    </row>
    <row r="51" spans="1:4" x14ac:dyDescent="0.25">
      <c r="A51" s="1">
        <v>35977</v>
      </c>
      <c r="B51">
        <v>21.111392415489501</v>
      </c>
      <c r="C51">
        <v>33.3159909194842</v>
      </c>
      <c r="D51">
        <f t="shared" si="0"/>
        <v>12.204598503994699</v>
      </c>
    </row>
    <row r="52" spans="1:4" x14ac:dyDescent="0.25">
      <c r="A52" s="1">
        <v>36008</v>
      </c>
      <c r="B52">
        <v>22.437816716755201</v>
      </c>
      <c r="C52">
        <v>33.814703163140301</v>
      </c>
      <c r="D52">
        <f t="shared" si="0"/>
        <v>11.3768864463851</v>
      </c>
    </row>
    <row r="53" spans="1:4" x14ac:dyDescent="0.25">
      <c r="A53" s="1">
        <v>36039</v>
      </c>
      <c r="B53">
        <v>23.376162295261899</v>
      </c>
      <c r="C53">
        <v>33.424778210947999</v>
      </c>
      <c r="D53">
        <f t="shared" si="0"/>
        <v>10.048615915686099</v>
      </c>
    </row>
    <row r="54" spans="1:4" x14ac:dyDescent="0.25">
      <c r="A54" s="1">
        <v>36069</v>
      </c>
      <c r="B54">
        <v>29.704249454960099</v>
      </c>
      <c r="C54">
        <v>43.390071058697998</v>
      </c>
      <c r="D54">
        <f t="shared" si="0"/>
        <v>13.685821603737899</v>
      </c>
    </row>
    <row r="55" spans="1:4" x14ac:dyDescent="0.25">
      <c r="A55" s="1">
        <v>36100</v>
      </c>
      <c r="B55">
        <v>38.589312533147798</v>
      </c>
      <c r="C55">
        <v>42.529590033763</v>
      </c>
      <c r="D55">
        <f t="shared" si="0"/>
        <v>3.9402775006152027</v>
      </c>
    </row>
    <row r="56" spans="1:4" x14ac:dyDescent="0.25">
      <c r="A56" s="1">
        <v>36130</v>
      </c>
      <c r="B56">
        <v>37.6120444067598</v>
      </c>
      <c r="C56">
        <v>32.718149625743003</v>
      </c>
      <c r="D56">
        <f t="shared" si="0"/>
        <v>4.8938947810167974</v>
      </c>
    </row>
    <row r="57" spans="1:4" x14ac:dyDescent="0.25">
      <c r="A57" s="1">
        <v>36161</v>
      </c>
      <c r="B57">
        <v>34.085486026828399</v>
      </c>
      <c r="C57">
        <v>35.351010338860704</v>
      </c>
      <c r="D57">
        <f t="shared" si="0"/>
        <v>1.265524312032305</v>
      </c>
    </row>
    <row r="58" spans="1:4" x14ac:dyDescent="0.25">
      <c r="A58" s="1">
        <v>36192</v>
      </c>
      <c r="B58">
        <v>28.501022545635301</v>
      </c>
      <c r="C58">
        <v>32.319163426987302</v>
      </c>
      <c r="D58">
        <f t="shared" si="0"/>
        <v>3.8181408813520008</v>
      </c>
    </row>
    <row r="59" spans="1:4" x14ac:dyDescent="0.25">
      <c r="A59" s="1">
        <v>36220</v>
      </c>
      <c r="B59">
        <v>28.801700397175502</v>
      </c>
      <c r="C59">
        <v>30.820921335093001</v>
      </c>
      <c r="D59">
        <f t="shared" si="0"/>
        <v>2.019220937917499</v>
      </c>
    </row>
    <row r="60" spans="1:4" x14ac:dyDescent="0.25">
      <c r="A60" s="1">
        <v>36251</v>
      </c>
      <c r="B60">
        <v>27.3983129084002</v>
      </c>
      <c r="C60">
        <v>23.044321560206001</v>
      </c>
      <c r="D60">
        <f t="shared" si="0"/>
        <v>4.3539913481941994</v>
      </c>
    </row>
    <row r="61" spans="1:4" x14ac:dyDescent="0.25">
      <c r="A61" s="1">
        <v>36281</v>
      </c>
      <c r="B61">
        <v>22.831805077513899</v>
      </c>
      <c r="C61">
        <v>26.553005429270801</v>
      </c>
      <c r="D61">
        <f t="shared" si="0"/>
        <v>3.7212003517569023</v>
      </c>
    </row>
    <row r="62" spans="1:4" x14ac:dyDescent="0.25">
      <c r="A62" s="1">
        <v>36312</v>
      </c>
      <c r="B62">
        <v>22.1937579694576</v>
      </c>
      <c r="C62">
        <v>19.731957281107501</v>
      </c>
      <c r="D62">
        <f t="shared" si="0"/>
        <v>2.4618006883500989</v>
      </c>
    </row>
    <row r="63" spans="1:4" x14ac:dyDescent="0.25">
      <c r="A63" s="1">
        <v>36342</v>
      </c>
      <c r="B63">
        <v>19.929520583576402</v>
      </c>
      <c r="C63">
        <v>14.794900033989199</v>
      </c>
      <c r="D63">
        <f t="shared" si="0"/>
        <v>5.1346205495872024</v>
      </c>
    </row>
    <row r="64" spans="1:4" x14ac:dyDescent="0.25">
      <c r="A64" s="1">
        <v>36373</v>
      </c>
      <c r="B64">
        <v>15.6452214648859</v>
      </c>
      <c r="C64">
        <v>14.3159481673329</v>
      </c>
      <c r="D64">
        <f t="shared" si="0"/>
        <v>1.3292732975529997</v>
      </c>
    </row>
    <row r="65" spans="1:4" x14ac:dyDescent="0.25">
      <c r="A65" s="1">
        <v>36404</v>
      </c>
      <c r="B65">
        <v>14.4633124629131</v>
      </c>
      <c r="C65">
        <v>11.7921073794625</v>
      </c>
      <c r="D65">
        <f t="shared" si="0"/>
        <v>2.6712050834505998</v>
      </c>
    </row>
    <row r="66" spans="1:4" x14ac:dyDescent="0.25">
      <c r="A66" s="1">
        <v>36434</v>
      </c>
      <c r="B66">
        <v>12.054525246273499</v>
      </c>
      <c r="C66">
        <v>12.5108503183958</v>
      </c>
      <c r="D66">
        <f t="shared" si="0"/>
        <v>0.45632507212230067</v>
      </c>
    </row>
    <row r="67" spans="1:4" x14ac:dyDescent="0.25">
      <c r="A67" s="1">
        <v>36465</v>
      </c>
      <c r="B67">
        <v>10.6436378906381</v>
      </c>
      <c r="C67">
        <v>11.2736647959719</v>
      </c>
      <c r="D67">
        <f t="shared" ref="D67:D130" si="1">ABS(C67-B67)</f>
        <v>0.6300269053337999</v>
      </c>
    </row>
    <row r="68" spans="1:4" x14ac:dyDescent="0.25">
      <c r="A68" s="1">
        <v>36495</v>
      </c>
      <c r="B68">
        <v>10.8328480807392</v>
      </c>
      <c r="C68">
        <v>12.330630604133701</v>
      </c>
      <c r="D68">
        <f t="shared" si="1"/>
        <v>1.4977825233945001</v>
      </c>
    </row>
    <row r="69" spans="1:4" x14ac:dyDescent="0.25">
      <c r="A69" s="1">
        <v>36526</v>
      </c>
      <c r="B69">
        <v>6.1889259650508697</v>
      </c>
      <c r="C69">
        <v>6.4763625958705404</v>
      </c>
      <c r="D69">
        <f t="shared" si="1"/>
        <v>0.28743663081967075</v>
      </c>
    </row>
    <row r="70" spans="1:4" x14ac:dyDescent="0.25">
      <c r="A70" s="1">
        <v>36557</v>
      </c>
      <c r="B70">
        <v>5.4072558564406101</v>
      </c>
      <c r="C70">
        <v>5.9361588701639798</v>
      </c>
      <c r="D70">
        <f t="shared" si="1"/>
        <v>0.52890301372336967</v>
      </c>
    </row>
    <row r="71" spans="1:4" x14ac:dyDescent="0.25">
      <c r="A71" s="1">
        <v>36586</v>
      </c>
      <c r="B71">
        <v>6.6734565578609901</v>
      </c>
      <c r="C71">
        <v>7.0993267870465804</v>
      </c>
      <c r="D71">
        <f t="shared" si="1"/>
        <v>0.42587022918559025</v>
      </c>
    </row>
    <row r="72" spans="1:4" x14ac:dyDescent="0.25">
      <c r="A72" s="1">
        <v>36617</v>
      </c>
      <c r="B72">
        <v>7.7634002200866803</v>
      </c>
      <c r="C72">
        <v>8.1085010265930197</v>
      </c>
      <c r="D72">
        <f t="shared" si="1"/>
        <v>0.34510080650633945</v>
      </c>
    </row>
    <row r="73" spans="1:4" x14ac:dyDescent="0.25">
      <c r="A73" s="1">
        <v>36647</v>
      </c>
      <c r="B73">
        <v>7.8789991124206598</v>
      </c>
      <c r="C73">
        <v>8.9473344731726101</v>
      </c>
      <c r="D73">
        <f t="shared" si="1"/>
        <v>1.0683353607519503</v>
      </c>
    </row>
    <row r="74" spans="1:4" x14ac:dyDescent="0.25">
      <c r="A74" s="1">
        <v>36678</v>
      </c>
      <c r="B74">
        <v>9.5839642823332998</v>
      </c>
      <c r="C74">
        <v>8.4977944253079105</v>
      </c>
      <c r="D74">
        <f t="shared" si="1"/>
        <v>1.0861698570253893</v>
      </c>
    </row>
    <row r="75" spans="1:4" x14ac:dyDescent="0.25">
      <c r="A75" s="1">
        <v>36708</v>
      </c>
      <c r="B75">
        <v>8.4499645724077102</v>
      </c>
      <c r="C75">
        <v>8.9959294878904004</v>
      </c>
      <c r="D75">
        <f t="shared" si="1"/>
        <v>0.54596491548269022</v>
      </c>
    </row>
    <row r="76" spans="1:4" x14ac:dyDescent="0.25">
      <c r="A76" s="1">
        <v>36739</v>
      </c>
      <c r="B76">
        <v>8.4919151761688401</v>
      </c>
      <c r="C76">
        <v>9.6807289132930805</v>
      </c>
      <c r="D76">
        <f t="shared" si="1"/>
        <v>1.1888137371242404</v>
      </c>
    </row>
    <row r="77" spans="1:4" x14ac:dyDescent="0.25">
      <c r="A77" s="1">
        <v>36770</v>
      </c>
      <c r="B77">
        <v>8.8447291440896691</v>
      </c>
      <c r="C77">
        <v>9.4649165051705992</v>
      </c>
      <c r="D77">
        <f t="shared" si="1"/>
        <v>0.62018736108093009</v>
      </c>
    </row>
    <row r="78" spans="1:4" x14ac:dyDescent="0.25">
      <c r="A78" s="1">
        <v>36800</v>
      </c>
      <c r="B78">
        <v>7.6351978182788898</v>
      </c>
      <c r="C78">
        <v>10.0399433909579</v>
      </c>
      <c r="D78">
        <f t="shared" si="1"/>
        <v>2.4047455726790101</v>
      </c>
    </row>
    <row r="79" spans="1:4" x14ac:dyDescent="0.25">
      <c r="A79" s="1">
        <v>36831</v>
      </c>
      <c r="B79">
        <v>8.7529575084198008</v>
      </c>
      <c r="C79">
        <v>10.293333655314701</v>
      </c>
      <c r="D79">
        <f t="shared" si="1"/>
        <v>1.5403761468949</v>
      </c>
    </row>
    <row r="80" spans="1:4" x14ac:dyDescent="0.25">
      <c r="A80" s="1">
        <v>36861</v>
      </c>
      <c r="B80">
        <v>8.2075237657884799</v>
      </c>
      <c r="C80">
        <v>11.1203870451013</v>
      </c>
      <c r="D80">
        <f t="shared" si="1"/>
        <v>2.9128632793128197</v>
      </c>
    </row>
    <row r="81" spans="1:4" x14ac:dyDescent="0.25">
      <c r="A81" s="1">
        <v>36892</v>
      </c>
      <c r="B81">
        <v>7.8494612643532298</v>
      </c>
      <c r="C81">
        <v>14.4940881428554</v>
      </c>
      <c r="D81">
        <f t="shared" si="1"/>
        <v>6.6446268785021703</v>
      </c>
    </row>
    <row r="82" spans="1:4" x14ac:dyDescent="0.25">
      <c r="A82" s="1">
        <v>36923</v>
      </c>
      <c r="B82">
        <v>15.3021074434602</v>
      </c>
      <c r="C82">
        <v>21.841076035575401</v>
      </c>
      <c r="D82">
        <f t="shared" si="1"/>
        <v>6.5389685921152019</v>
      </c>
    </row>
    <row r="83" spans="1:4" x14ac:dyDescent="0.25">
      <c r="A83" s="1">
        <v>36951</v>
      </c>
      <c r="B83">
        <v>21.282616987228799</v>
      </c>
      <c r="C83">
        <v>22.5870794358</v>
      </c>
      <c r="D83">
        <f t="shared" si="1"/>
        <v>1.3044624485712006</v>
      </c>
    </row>
    <row r="84" spans="1:4" x14ac:dyDescent="0.25">
      <c r="A84" s="1">
        <v>36982</v>
      </c>
      <c r="B84">
        <v>23.517591796361</v>
      </c>
      <c r="C84">
        <v>25.678063807822099</v>
      </c>
      <c r="D84">
        <f t="shared" si="1"/>
        <v>2.1604720114610991</v>
      </c>
    </row>
    <row r="85" spans="1:4" x14ac:dyDescent="0.25">
      <c r="A85" s="1">
        <v>37012</v>
      </c>
      <c r="B85">
        <v>25.834465657697599</v>
      </c>
      <c r="C85">
        <v>21.6749197749403</v>
      </c>
      <c r="D85">
        <f t="shared" si="1"/>
        <v>4.1595458827572998</v>
      </c>
    </row>
    <row r="86" spans="1:4" x14ac:dyDescent="0.25">
      <c r="A86" s="1">
        <v>37043</v>
      </c>
      <c r="B86">
        <v>30.391439146683201</v>
      </c>
      <c r="C86">
        <v>18.767266897389401</v>
      </c>
      <c r="D86">
        <f t="shared" si="1"/>
        <v>11.6241722492938</v>
      </c>
    </row>
    <row r="87" spans="1:4" x14ac:dyDescent="0.25">
      <c r="A87" s="1">
        <v>37073</v>
      </c>
      <c r="B87">
        <v>21.624616377179802</v>
      </c>
      <c r="C87">
        <v>18.113658344636999</v>
      </c>
      <c r="D87">
        <f t="shared" si="1"/>
        <v>3.5109580325428027</v>
      </c>
    </row>
    <row r="88" spans="1:4" x14ac:dyDescent="0.25">
      <c r="A88" s="1">
        <v>37104</v>
      </c>
      <c r="B88">
        <v>22.822261912164599</v>
      </c>
      <c r="C88">
        <v>18.4430455149731</v>
      </c>
      <c r="D88">
        <f t="shared" si="1"/>
        <v>4.3792163971914988</v>
      </c>
    </row>
    <row r="89" spans="1:4" x14ac:dyDescent="0.25">
      <c r="A89" s="1">
        <v>37135</v>
      </c>
      <c r="B89">
        <v>20.2467538210878</v>
      </c>
      <c r="C89">
        <v>22.145300645104701</v>
      </c>
      <c r="D89">
        <f t="shared" si="1"/>
        <v>1.8985468240169006</v>
      </c>
    </row>
    <row r="90" spans="1:4" x14ac:dyDescent="0.25">
      <c r="A90" s="1">
        <v>37165</v>
      </c>
      <c r="B90">
        <v>28.388000210335999</v>
      </c>
      <c r="C90">
        <v>25.231394693914702</v>
      </c>
      <c r="D90">
        <f t="shared" si="1"/>
        <v>3.1566055164212976</v>
      </c>
    </row>
    <row r="91" spans="1:4" x14ac:dyDescent="0.25">
      <c r="A91" s="1">
        <v>37196</v>
      </c>
      <c r="B91">
        <v>37.604620923063798</v>
      </c>
      <c r="C91">
        <v>35.201114866272803</v>
      </c>
      <c r="D91">
        <f t="shared" si="1"/>
        <v>2.4035060567909952</v>
      </c>
    </row>
    <row r="92" spans="1:4" x14ac:dyDescent="0.25">
      <c r="A92" s="1">
        <v>37226</v>
      </c>
      <c r="B92">
        <v>41.763486642603297</v>
      </c>
      <c r="C92">
        <v>31.881246686431599</v>
      </c>
      <c r="D92">
        <f t="shared" si="1"/>
        <v>9.8822399561716985</v>
      </c>
    </row>
    <row r="93" spans="1:4" x14ac:dyDescent="0.25">
      <c r="A93" s="1">
        <v>37257</v>
      </c>
      <c r="B93">
        <v>31.535574060429902</v>
      </c>
      <c r="C93">
        <v>14.953252141962601</v>
      </c>
      <c r="D93">
        <f t="shared" si="1"/>
        <v>16.582321918467301</v>
      </c>
    </row>
    <row r="94" spans="1:4" x14ac:dyDescent="0.25">
      <c r="A94" s="1">
        <v>37288</v>
      </c>
      <c r="B94">
        <v>25.9661322928091</v>
      </c>
      <c r="C94">
        <v>15.988585086588399</v>
      </c>
      <c r="D94">
        <f t="shared" si="1"/>
        <v>9.9775472062207005</v>
      </c>
    </row>
    <row r="95" spans="1:4" x14ac:dyDescent="0.25">
      <c r="A95" s="1">
        <v>37316</v>
      </c>
      <c r="B95">
        <v>26.429955303662702</v>
      </c>
      <c r="C95">
        <v>19.989546360656501</v>
      </c>
      <c r="D95">
        <f t="shared" si="1"/>
        <v>6.4404089430062008</v>
      </c>
    </row>
    <row r="96" spans="1:4" x14ac:dyDescent="0.25">
      <c r="A96" s="1">
        <v>37347</v>
      </c>
      <c r="B96">
        <v>21.694598154331299</v>
      </c>
      <c r="C96">
        <v>15.7049172170922</v>
      </c>
      <c r="D96">
        <f t="shared" si="1"/>
        <v>5.9896809372390987</v>
      </c>
    </row>
    <row r="97" spans="1:4" x14ac:dyDescent="0.25">
      <c r="A97" s="1">
        <v>37377</v>
      </c>
      <c r="B97">
        <v>21.1424822592891</v>
      </c>
      <c r="C97">
        <v>16.842431410121801</v>
      </c>
      <c r="D97">
        <f t="shared" si="1"/>
        <v>4.3000508491672988</v>
      </c>
    </row>
    <row r="98" spans="1:4" x14ac:dyDescent="0.25">
      <c r="A98" s="1">
        <v>37408</v>
      </c>
      <c r="B98">
        <v>20.370409599976099</v>
      </c>
      <c r="C98">
        <v>20.195717303200698</v>
      </c>
      <c r="D98">
        <f t="shared" si="1"/>
        <v>0.17469229677540099</v>
      </c>
    </row>
    <row r="99" spans="1:4" x14ac:dyDescent="0.25">
      <c r="A99" s="1">
        <v>37438</v>
      </c>
      <c r="B99">
        <v>25.291392097302101</v>
      </c>
      <c r="C99">
        <v>28.2555656444916</v>
      </c>
      <c r="D99">
        <f t="shared" si="1"/>
        <v>2.9641735471894997</v>
      </c>
    </row>
    <row r="100" spans="1:4" x14ac:dyDescent="0.25">
      <c r="A100" s="1">
        <v>37469</v>
      </c>
      <c r="B100">
        <v>35.922969932508103</v>
      </c>
      <c r="C100">
        <v>39.556946288284003</v>
      </c>
      <c r="D100">
        <f t="shared" si="1"/>
        <v>3.6339763557758999</v>
      </c>
    </row>
    <row r="101" spans="1:4" x14ac:dyDescent="0.25">
      <c r="A101" s="1">
        <v>37500</v>
      </c>
      <c r="B101">
        <v>40.041490036883602</v>
      </c>
      <c r="C101">
        <v>49.4097556335146</v>
      </c>
      <c r="D101">
        <f t="shared" si="1"/>
        <v>9.368265596630998</v>
      </c>
    </row>
    <row r="102" spans="1:4" x14ac:dyDescent="0.25">
      <c r="A102" s="1">
        <v>37530</v>
      </c>
      <c r="B102">
        <v>52.552158398879399</v>
      </c>
      <c r="C102">
        <v>60.5327359281982</v>
      </c>
      <c r="D102">
        <f t="shared" si="1"/>
        <v>7.9805775293188006</v>
      </c>
    </row>
    <row r="103" spans="1:4" x14ac:dyDescent="0.25">
      <c r="A103" s="1">
        <v>37561</v>
      </c>
      <c r="B103">
        <v>50.895527274612299</v>
      </c>
      <c r="C103">
        <v>56.985388981166501</v>
      </c>
      <c r="D103">
        <f t="shared" si="1"/>
        <v>6.0898617065542027</v>
      </c>
    </row>
    <row r="104" spans="1:4" x14ac:dyDescent="0.25">
      <c r="A104" s="1">
        <v>37591</v>
      </c>
      <c r="B104">
        <v>50.9312448517137</v>
      </c>
      <c r="C104">
        <v>54.415387873205098</v>
      </c>
      <c r="D104">
        <f t="shared" si="1"/>
        <v>3.4841430214913984</v>
      </c>
    </row>
    <row r="105" spans="1:4" x14ac:dyDescent="0.25">
      <c r="A105" s="1">
        <v>37622</v>
      </c>
      <c r="B105">
        <v>47.688100189547903</v>
      </c>
      <c r="C105">
        <v>53.268623111981299</v>
      </c>
      <c r="D105">
        <f t="shared" si="1"/>
        <v>5.5805229224333956</v>
      </c>
    </row>
    <row r="106" spans="1:4" x14ac:dyDescent="0.25">
      <c r="A106" s="1">
        <v>37653</v>
      </c>
      <c r="B106">
        <v>42.57842780715</v>
      </c>
      <c r="C106">
        <v>51.574680069553203</v>
      </c>
      <c r="D106">
        <f t="shared" si="1"/>
        <v>8.9962522624032033</v>
      </c>
    </row>
    <row r="107" spans="1:4" x14ac:dyDescent="0.25">
      <c r="A107" s="1">
        <v>37681</v>
      </c>
      <c r="B107">
        <v>46.067397345363602</v>
      </c>
      <c r="C107">
        <v>50.256456839325899</v>
      </c>
      <c r="D107">
        <f t="shared" si="1"/>
        <v>4.1890594939622972</v>
      </c>
    </row>
    <row r="108" spans="1:4" x14ac:dyDescent="0.25">
      <c r="A108" s="1">
        <v>37712</v>
      </c>
      <c r="B108">
        <v>53.292858130871203</v>
      </c>
      <c r="C108">
        <v>51.3594273553514</v>
      </c>
      <c r="D108">
        <f t="shared" si="1"/>
        <v>1.9334307755198026</v>
      </c>
    </row>
    <row r="109" spans="1:4" x14ac:dyDescent="0.25">
      <c r="A109" s="1">
        <v>37742</v>
      </c>
      <c r="B109">
        <v>50.741577032199103</v>
      </c>
      <c r="C109">
        <v>44.382661704781903</v>
      </c>
      <c r="D109">
        <f t="shared" si="1"/>
        <v>6.3589153274172006</v>
      </c>
    </row>
    <row r="110" spans="1:4" x14ac:dyDescent="0.25">
      <c r="A110" s="1">
        <v>37773</v>
      </c>
      <c r="B110">
        <v>55.098841384309502</v>
      </c>
      <c r="C110">
        <v>54.100452701148797</v>
      </c>
      <c r="D110">
        <f t="shared" si="1"/>
        <v>0.99838868316070517</v>
      </c>
    </row>
    <row r="111" spans="1:4" x14ac:dyDescent="0.25">
      <c r="A111" s="1">
        <v>37803</v>
      </c>
      <c r="B111">
        <v>67.942393425019404</v>
      </c>
      <c r="C111">
        <v>64.413038345365607</v>
      </c>
      <c r="D111">
        <f t="shared" si="1"/>
        <v>3.5293550796537971</v>
      </c>
    </row>
    <row r="112" spans="1:4" x14ac:dyDescent="0.25">
      <c r="A112" s="1">
        <v>37834</v>
      </c>
      <c r="B112">
        <v>60.3070230105793</v>
      </c>
      <c r="C112">
        <v>32.691745101199899</v>
      </c>
      <c r="D112">
        <f t="shared" si="1"/>
        <v>27.615277909379401</v>
      </c>
    </row>
    <row r="113" spans="1:4" x14ac:dyDescent="0.25">
      <c r="A113" s="1">
        <v>37865</v>
      </c>
      <c r="B113">
        <v>44.184305901946097</v>
      </c>
      <c r="C113">
        <v>14.0679192617669</v>
      </c>
      <c r="D113">
        <f t="shared" si="1"/>
        <v>30.116386640179197</v>
      </c>
    </row>
    <row r="114" spans="1:4" x14ac:dyDescent="0.25">
      <c r="A114" s="1">
        <v>37895</v>
      </c>
      <c r="B114">
        <v>31.338819289996501</v>
      </c>
      <c r="C114">
        <v>15.828334443015301</v>
      </c>
      <c r="D114">
        <f t="shared" si="1"/>
        <v>15.5104848469812</v>
      </c>
    </row>
    <row r="115" spans="1:4" x14ac:dyDescent="0.25">
      <c r="A115" s="1">
        <v>37926</v>
      </c>
      <c r="B115">
        <v>25.264860243888101</v>
      </c>
      <c r="C115">
        <v>17.814421921100799</v>
      </c>
      <c r="D115">
        <f t="shared" si="1"/>
        <v>7.4504383227873028</v>
      </c>
    </row>
    <row r="116" spans="1:4" x14ac:dyDescent="0.25">
      <c r="A116" s="1">
        <v>37956</v>
      </c>
      <c r="B116">
        <v>23.5772031423258</v>
      </c>
      <c r="C116">
        <v>17.632026367326102</v>
      </c>
      <c r="D116">
        <f t="shared" si="1"/>
        <v>5.9451767749996982</v>
      </c>
    </row>
    <row r="117" spans="1:4" x14ac:dyDescent="0.25">
      <c r="A117" s="1">
        <v>37987</v>
      </c>
      <c r="B117">
        <v>17.344344300399101</v>
      </c>
      <c r="C117">
        <v>16.150448258033499</v>
      </c>
      <c r="D117">
        <f t="shared" si="1"/>
        <v>1.1938960423656013</v>
      </c>
    </row>
    <row r="118" spans="1:4" x14ac:dyDescent="0.25">
      <c r="A118" s="1">
        <v>38018</v>
      </c>
      <c r="B118">
        <v>23.297889106353299</v>
      </c>
      <c r="C118">
        <v>19.436861219908501</v>
      </c>
      <c r="D118">
        <f t="shared" si="1"/>
        <v>3.8610278864447984</v>
      </c>
    </row>
    <row r="119" spans="1:4" x14ac:dyDescent="0.25">
      <c r="A119" s="1">
        <v>38047</v>
      </c>
      <c r="B119">
        <v>31.109121082753099</v>
      </c>
      <c r="C119">
        <v>22.110694785045801</v>
      </c>
      <c r="D119">
        <f t="shared" si="1"/>
        <v>8.9984262977072973</v>
      </c>
    </row>
    <row r="120" spans="1:4" x14ac:dyDescent="0.25">
      <c r="A120" s="1">
        <v>38078</v>
      </c>
      <c r="B120">
        <v>38.574854436402198</v>
      </c>
      <c r="C120">
        <v>28.508864373646901</v>
      </c>
      <c r="D120">
        <f t="shared" si="1"/>
        <v>10.065990062755297</v>
      </c>
    </row>
    <row r="121" spans="1:4" x14ac:dyDescent="0.25">
      <c r="A121" s="1">
        <v>38108</v>
      </c>
      <c r="B121">
        <v>29.229508551548498</v>
      </c>
      <c r="C121">
        <v>16.2446356836126</v>
      </c>
      <c r="D121">
        <f t="shared" si="1"/>
        <v>12.984872867935898</v>
      </c>
    </row>
    <row r="122" spans="1:4" x14ac:dyDescent="0.25">
      <c r="A122" s="1">
        <v>38139</v>
      </c>
      <c r="B122">
        <v>20.204288711648999</v>
      </c>
      <c r="C122">
        <v>11.120000124484701</v>
      </c>
      <c r="D122">
        <f t="shared" si="1"/>
        <v>9.0842885871642984</v>
      </c>
    </row>
    <row r="123" spans="1:4" x14ac:dyDescent="0.25">
      <c r="A123" s="1">
        <v>38169</v>
      </c>
      <c r="B123">
        <v>16.225737656797602</v>
      </c>
      <c r="C123">
        <v>11.214168652067</v>
      </c>
      <c r="D123">
        <f t="shared" si="1"/>
        <v>5.0115690047306014</v>
      </c>
    </row>
    <row r="124" spans="1:4" x14ac:dyDescent="0.25">
      <c r="A124" s="1">
        <v>38200</v>
      </c>
      <c r="B124">
        <v>16.025504509093199</v>
      </c>
      <c r="C124">
        <v>13.5647738815774</v>
      </c>
      <c r="D124">
        <f t="shared" si="1"/>
        <v>2.4607306275157992</v>
      </c>
    </row>
    <row r="125" spans="1:4" x14ac:dyDescent="0.25">
      <c r="A125" s="1">
        <v>38231</v>
      </c>
      <c r="B125">
        <v>16.685497683092901</v>
      </c>
      <c r="C125">
        <v>14.266668372949001</v>
      </c>
      <c r="D125">
        <f t="shared" si="1"/>
        <v>2.4188293101439005</v>
      </c>
    </row>
    <row r="126" spans="1:4" x14ac:dyDescent="0.25">
      <c r="A126" s="1">
        <v>38261</v>
      </c>
      <c r="B126">
        <v>17.0900052317213</v>
      </c>
      <c r="C126">
        <v>15.544215375714</v>
      </c>
      <c r="D126">
        <f t="shared" si="1"/>
        <v>1.5457898560072998</v>
      </c>
    </row>
    <row r="127" spans="1:4" x14ac:dyDescent="0.25">
      <c r="A127" s="1">
        <v>38292</v>
      </c>
      <c r="B127">
        <v>19.225214416578002</v>
      </c>
      <c r="C127">
        <v>16.009025419313801</v>
      </c>
      <c r="D127">
        <f t="shared" si="1"/>
        <v>3.2161889972642008</v>
      </c>
    </row>
    <row r="128" spans="1:4" x14ac:dyDescent="0.25">
      <c r="A128" s="1">
        <v>38322</v>
      </c>
      <c r="B128">
        <v>19.721361251923799</v>
      </c>
      <c r="C128">
        <v>16.029331826652701</v>
      </c>
      <c r="D128">
        <f t="shared" si="1"/>
        <v>3.6920294252710981</v>
      </c>
    </row>
    <row r="129" spans="1:4" x14ac:dyDescent="0.25">
      <c r="A129" s="1">
        <v>38353</v>
      </c>
      <c r="B129">
        <v>13.3898151715584</v>
      </c>
      <c r="C129">
        <v>14.0326223210047</v>
      </c>
      <c r="D129">
        <f t="shared" si="1"/>
        <v>0.64280714944630013</v>
      </c>
    </row>
    <row r="130" spans="1:4" x14ac:dyDescent="0.25">
      <c r="A130" s="1">
        <v>38384</v>
      </c>
      <c r="B130">
        <v>14.4353058541954</v>
      </c>
      <c r="C130">
        <v>14.7228295548517</v>
      </c>
      <c r="D130">
        <f t="shared" si="1"/>
        <v>0.2875237006562994</v>
      </c>
    </row>
    <row r="131" spans="1:4" x14ac:dyDescent="0.25">
      <c r="A131" s="1">
        <v>38412</v>
      </c>
      <c r="B131">
        <v>21.398561487674598</v>
      </c>
      <c r="C131">
        <v>17.384218163006601</v>
      </c>
      <c r="D131">
        <f t="shared" ref="D131:D194" si="2">ABS(C131-B131)</f>
        <v>4.0143433246679976</v>
      </c>
    </row>
    <row r="132" spans="1:4" x14ac:dyDescent="0.25">
      <c r="A132" s="1">
        <v>38443</v>
      </c>
      <c r="B132">
        <v>16.5548682228853</v>
      </c>
      <c r="C132">
        <v>14.017387527171399</v>
      </c>
      <c r="D132">
        <f t="shared" si="2"/>
        <v>2.5374806957139011</v>
      </c>
    </row>
    <row r="133" spans="1:4" x14ac:dyDescent="0.25">
      <c r="A133" s="1">
        <v>38473</v>
      </c>
      <c r="B133">
        <v>16.920655708739702</v>
      </c>
      <c r="C133">
        <v>14.894124429159699</v>
      </c>
      <c r="D133">
        <f t="shared" si="2"/>
        <v>2.0265312795800021</v>
      </c>
    </row>
    <row r="134" spans="1:4" x14ac:dyDescent="0.25">
      <c r="A134" s="1">
        <v>38504</v>
      </c>
      <c r="B134">
        <v>19.398164804419899</v>
      </c>
      <c r="C134">
        <v>16.8011719660546</v>
      </c>
      <c r="D134">
        <f t="shared" si="2"/>
        <v>2.5969928383652991</v>
      </c>
    </row>
    <row r="135" spans="1:4" x14ac:dyDescent="0.25">
      <c r="A135" s="1">
        <v>38534</v>
      </c>
      <c r="B135">
        <v>21.431519589500301</v>
      </c>
      <c r="C135">
        <v>19.6537499964458</v>
      </c>
      <c r="D135">
        <f t="shared" si="2"/>
        <v>1.7777695930545008</v>
      </c>
    </row>
    <row r="136" spans="1:4" x14ac:dyDescent="0.25">
      <c r="A136" s="1">
        <v>38565</v>
      </c>
      <c r="B136">
        <v>22.779961949427399</v>
      </c>
      <c r="C136">
        <v>16.969939686878899</v>
      </c>
      <c r="D136">
        <f t="shared" si="2"/>
        <v>5.8100222625485003</v>
      </c>
    </row>
    <row r="137" spans="1:4" x14ac:dyDescent="0.25">
      <c r="A137" s="1">
        <v>38596</v>
      </c>
      <c r="B137">
        <v>18.089363629533999</v>
      </c>
      <c r="C137">
        <v>14.8731552034522</v>
      </c>
      <c r="D137">
        <f t="shared" si="2"/>
        <v>3.2162084260817991</v>
      </c>
    </row>
    <row r="138" spans="1:4" x14ac:dyDescent="0.25">
      <c r="A138" s="1">
        <v>38626</v>
      </c>
      <c r="B138">
        <v>16.4555794924492</v>
      </c>
      <c r="C138">
        <v>14.326071219603101</v>
      </c>
      <c r="D138">
        <f t="shared" si="2"/>
        <v>2.129508272846099</v>
      </c>
    </row>
    <row r="139" spans="1:4" x14ac:dyDescent="0.25">
      <c r="A139" s="1">
        <v>38657</v>
      </c>
      <c r="B139">
        <v>14.856075144715801</v>
      </c>
      <c r="C139">
        <v>11.869032403999899</v>
      </c>
      <c r="D139">
        <f t="shared" si="2"/>
        <v>2.9870427407159017</v>
      </c>
    </row>
    <row r="140" spans="1:4" x14ac:dyDescent="0.25">
      <c r="A140" s="1">
        <v>38687</v>
      </c>
      <c r="B140">
        <v>12.6460990147998</v>
      </c>
      <c r="C140">
        <v>10.645440921469399</v>
      </c>
      <c r="D140">
        <f t="shared" si="2"/>
        <v>2.0006580933304008</v>
      </c>
    </row>
    <row r="141" spans="1:4" x14ac:dyDescent="0.25">
      <c r="A141" s="1">
        <v>38718</v>
      </c>
      <c r="B141">
        <v>9.0773826857004298</v>
      </c>
      <c r="C141">
        <v>9.2416908074846997</v>
      </c>
      <c r="D141">
        <f t="shared" si="2"/>
        <v>0.1643081217842699</v>
      </c>
    </row>
    <row r="142" spans="1:4" x14ac:dyDescent="0.25">
      <c r="A142" s="1">
        <v>38749</v>
      </c>
      <c r="B142">
        <v>9.4171425868009297</v>
      </c>
      <c r="C142">
        <v>10.100605527494</v>
      </c>
      <c r="D142">
        <f t="shared" si="2"/>
        <v>0.68346294069307056</v>
      </c>
    </row>
    <row r="143" spans="1:4" x14ac:dyDescent="0.25">
      <c r="A143" s="1">
        <v>38777</v>
      </c>
      <c r="B143">
        <v>12.099589944354401</v>
      </c>
      <c r="C143">
        <v>10.9699388758103</v>
      </c>
      <c r="D143">
        <f t="shared" si="2"/>
        <v>1.129651068544101</v>
      </c>
    </row>
    <row r="144" spans="1:4" x14ac:dyDescent="0.25">
      <c r="A144" s="1">
        <v>38808</v>
      </c>
      <c r="B144">
        <v>10.3486324534062</v>
      </c>
      <c r="C144">
        <v>10.994347824438499</v>
      </c>
      <c r="D144">
        <f t="shared" si="2"/>
        <v>0.64571537103229915</v>
      </c>
    </row>
    <row r="145" spans="1:4" x14ac:dyDescent="0.25">
      <c r="A145" s="1">
        <v>38838</v>
      </c>
      <c r="B145">
        <v>11.1549007549999</v>
      </c>
      <c r="C145">
        <v>10.653748437036</v>
      </c>
      <c r="D145">
        <f t="shared" si="2"/>
        <v>0.50115231796389992</v>
      </c>
    </row>
    <row r="146" spans="1:4" x14ac:dyDescent="0.25">
      <c r="A146" s="1">
        <v>38869</v>
      </c>
      <c r="B146">
        <v>10.937958874354299</v>
      </c>
      <c r="C146">
        <v>10.834309711011899</v>
      </c>
      <c r="D146">
        <f t="shared" si="2"/>
        <v>0.10364916334239993</v>
      </c>
    </row>
    <row r="147" spans="1:4" x14ac:dyDescent="0.25">
      <c r="A147" s="1">
        <v>38899</v>
      </c>
      <c r="B147">
        <v>9.9616482568265905</v>
      </c>
      <c r="C147">
        <v>10.4118661672978</v>
      </c>
      <c r="D147">
        <f t="shared" si="2"/>
        <v>0.45021791047120985</v>
      </c>
    </row>
    <row r="148" spans="1:4" x14ac:dyDescent="0.25">
      <c r="A148" s="1">
        <v>38930</v>
      </c>
      <c r="B148">
        <v>10.6833636301659</v>
      </c>
      <c r="C148">
        <v>10.1808060177468</v>
      </c>
      <c r="D148">
        <f t="shared" si="2"/>
        <v>0.5025576124190998</v>
      </c>
    </row>
    <row r="149" spans="1:4" x14ac:dyDescent="0.25">
      <c r="A149" s="1">
        <v>38961</v>
      </c>
      <c r="B149">
        <v>8.8187380682212009</v>
      </c>
      <c r="C149">
        <v>10.3798379215045</v>
      </c>
      <c r="D149">
        <f t="shared" si="2"/>
        <v>1.5610998532832987</v>
      </c>
    </row>
    <row r="150" spans="1:4" x14ac:dyDescent="0.25">
      <c r="A150" s="1">
        <v>38991</v>
      </c>
      <c r="B150">
        <v>10.6276578605666</v>
      </c>
      <c r="C150">
        <v>10.7783670928294</v>
      </c>
      <c r="D150">
        <f t="shared" si="2"/>
        <v>0.15070923226280009</v>
      </c>
    </row>
    <row r="151" spans="1:4" x14ac:dyDescent="0.25">
      <c r="A151" s="1">
        <v>39022</v>
      </c>
      <c r="B151">
        <v>10.511183482916101</v>
      </c>
      <c r="C151">
        <v>10.6152687505543</v>
      </c>
      <c r="D151">
        <f t="shared" si="2"/>
        <v>0.10408526763819914</v>
      </c>
    </row>
    <row r="152" spans="1:4" x14ac:dyDescent="0.25">
      <c r="A152" s="1">
        <v>39052</v>
      </c>
      <c r="B152">
        <v>11.1149576887368</v>
      </c>
      <c r="C152">
        <v>11.322253301357501</v>
      </c>
      <c r="D152">
        <f t="shared" si="2"/>
        <v>0.20729561262070106</v>
      </c>
    </row>
    <row r="153" spans="1:4" x14ac:dyDescent="0.25">
      <c r="A153" s="1">
        <v>39083</v>
      </c>
      <c r="B153">
        <v>10.418214251596201</v>
      </c>
      <c r="C153">
        <v>10.2764189562502</v>
      </c>
      <c r="D153">
        <f t="shared" si="2"/>
        <v>0.14179529534600022</v>
      </c>
    </row>
    <row r="154" spans="1:4" x14ac:dyDescent="0.25">
      <c r="A154" s="1">
        <v>39114</v>
      </c>
      <c r="B154">
        <v>9.1544448908847293</v>
      </c>
      <c r="C154">
        <v>9.6425953545374004</v>
      </c>
      <c r="D154">
        <f t="shared" si="2"/>
        <v>0.48815046365267101</v>
      </c>
    </row>
    <row r="155" spans="1:4" x14ac:dyDescent="0.25">
      <c r="A155" s="1">
        <v>39142</v>
      </c>
      <c r="B155">
        <v>10.548975361328401</v>
      </c>
      <c r="C155">
        <v>11.064159718534301</v>
      </c>
      <c r="D155">
        <f t="shared" si="2"/>
        <v>0.51518435720590006</v>
      </c>
    </row>
    <row r="156" spans="1:4" x14ac:dyDescent="0.25">
      <c r="A156" s="1">
        <v>39173</v>
      </c>
      <c r="B156">
        <v>10.9916334074963</v>
      </c>
      <c r="C156">
        <v>11.8982555993489</v>
      </c>
      <c r="D156">
        <f t="shared" si="2"/>
        <v>0.90662219185260007</v>
      </c>
    </row>
    <row r="157" spans="1:4" x14ac:dyDescent="0.25">
      <c r="A157" s="1">
        <v>39203</v>
      </c>
      <c r="B157">
        <v>11.384068689540999</v>
      </c>
      <c r="C157">
        <v>11.7359587915831</v>
      </c>
      <c r="D157">
        <f t="shared" si="2"/>
        <v>0.35189010204210014</v>
      </c>
    </row>
    <row r="158" spans="1:4" x14ac:dyDescent="0.25">
      <c r="A158" s="1">
        <v>39234</v>
      </c>
      <c r="B158">
        <v>10.118567769342301</v>
      </c>
      <c r="C158">
        <v>11.2551681618251</v>
      </c>
      <c r="D158">
        <f t="shared" si="2"/>
        <v>1.1366003924827996</v>
      </c>
    </row>
    <row r="159" spans="1:4" x14ac:dyDescent="0.25">
      <c r="A159" s="1">
        <v>39264</v>
      </c>
      <c r="B159">
        <v>9.4954157934641703</v>
      </c>
      <c r="C159">
        <v>8.7263240555023103</v>
      </c>
      <c r="D159">
        <f t="shared" si="2"/>
        <v>0.76909173796186003</v>
      </c>
    </row>
    <row r="160" spans="1:4" x14ac:dyDescent="0.25">
      <c r="A160" s="1">
        <v>39295</v>
      </c>
      <c r="B160">
        <v>9.0508888396475093</v>
      </c>
      <c r="C160">
        <v>8.1642551595775608</v>
      </c>
      <c r="D160">
        <f t="shared" si="2"/>
        <v>0.88663368006994858</v>
      </c>
    </row>
    <row r="161" spans="1:4" x14ac:dyDescent="0.25">
      <c r="A161" s="1">
        <v>39326</v>
      </c>
      <c r="B161">
        <v>7.2133104693621002</v>
      </c>
      <c r="C161">
        <v>7.4444003415264604</v>
      </c>
      <c r="D161">
        <f t="shared" si="2"/>
        <v>0.23108987216436017</v>
      </c>
    </row>
    <row r="162" spans="1:4" x14ac:dyDescent="0.25">
      <c r="A162" s="1">
        <v>39356</v>
      </c>
      <c r="B162">
        <v>8.6187241937954795</v>
      </c>
      <c r="C162">
        <v>8.0589613862127703</v>
      </c>
      <c r="D162">
        <f t="shared" si="2"/>
        <v>0.55976280758270924</v>
      </c>
    </row>
    <row r="163" spans="1:4" x14ac:dyDescent="0.25">
      <c r="A163" s="1">
        <v>39387</v>
      </c>
      <c r="B163">
        <v>7.9669018600502097</v>
      </c>
      <c r="C163">
        <v>7.7028161349042001</v>
      </c>
      <c r="D163">
        <f t="shared" si="2"/>
        <v>0.26408572514600959</v>
      </c>
    </row>
    <row r="164" spans="1:4" x14ac:dyDescent="0.25">
      <c r="A164" s="1">
        <v>39417</v>
      </c>
      <c r="B164">
        <v>7.9856045100217203</v>
      </c>
      <c r="C164">
        <v>8.8330979389963602</v>
      </c>
      <c r="D164">
        <f t="shared" si="2"/>
        <v>0.84749342897463986</v>
      </c>
    </row>
    <row r="165" spans="1:4" x14ac:dyDescent="0.25">
      <c r="A165" s="1">
        <v>39448</v>
      </c>
      <c r="B165">
        <v>8.7842018394574595</v>
      </c>
      <c r="C165">
        <v>8.6436333869256199</v>
      </c>
      <c r="D165">
        <f t="shared" si="2"/>
        <v>0.14056845253183958</v>
      </c>
    </row>
    <row r="166" spans="1:4" x14ac:dyDescent="0.25">
      <c r="A166" s="1">
        <v>39479</v>
      </c>
      <c r="B166">
        <v>15.1503276118159</v>
      </c>
      <c r="C166">
        <v>15.437219148734901</v>
      </c>
      <c r="D166">
        <f t="shared" si="2"/>
        <v>0.2868915369190006</v>
      </c>
    </row>
    <row r="167" spans="1:4" x14ac:dyDescent="0.25">
      <c r="A167" s="1">
        <v>39508</v>
      </c>
      <c r="B167">
        <v>13.97744054697</v>
      </c>
      <c r="C167">
        <v>11.280307643654201</v>
      </c>
      <c r="D167">
        <f t="shared" si="2"/>
        <v>2.6971329033157989</v>
      </c>
    </row>
    <row r="168" spans="1:4" x14ac:dyDescent="0.25">
      <c r="A168" s="1">
        <v>39539</v>
      </c>
      <c r="B168">
        <v>12.7966144431171</v>
      </c>
      <c r="C168">
        <v>10.749106977407401</v>
      </c>
      <c r="D168">
        <f t="shared" si="2"/>
        <v>2.0475074657096997</v>
      </c>
    </row>
    <row r="169" spans="1:4" x14ac:dyDescent="0.25">
      <c r="A169" s="1">
        <v>39569</v>
      </c>
      <c r="B169">
        <v>10.483962798496099</v>
      </c>
      <c r="C169">
        <v>11.4798266160774</v>
      </c>
      <c r="D169">
        <f t="shared" si="2"/>
        <v>0.99586381758130038</v>
      </c>
    </row>
    <row r="170" spans="1:4" x14ac:dyDescent="0.25">
      <c r="A170" s="1">
        <v>39600</v>
      </c>
      <c r="B170">
        <v>7.9950433007479296</v>
      </c>
      <c r="C170">
        <v>10.4135936861303</v>
      </c>
      <c r="D170">
        <f t="shared" si="2"/>
        <v>2.4185503853823702</v>
      </c>
    </row>
    <row r="171" spans="1:4" x14ac:dyDescent="0.25">
      <c r="A171" s="1">
        <v>39630</v>
      </c>
      <c r="B171">
        <v>7.4758775102737198</v>
      </c>
      <c r="C171">
        <v>8.0043083917059903</v>
      </c>
      <c r="D171">
        <f t="shared" si="2"/>
        <v>0.52843088143227046</v>
      </c>
    </row>
    <row r="172" spans="1:4" x14ac:dyDescent="0.25">
      <c r="A172" s="1">
        <v>39661</v>
      </c>
      <c r="B172">
        <v>6.7868187873787704</v>
      </c>
      <c r="C172">
        <v>7.6275353435268602</v>
      </c>
      <c r="D172">
        <f t="shared" si="2"/>
        <v>0.84071655614808982</v>
      </c>
    </row>
    <row r="173" spans="1:4" x14ac:dyDescent="0.25">
      <c r="A173" s="1">
        <v>39692</v>
      </c>
      <c r="B173">
        <v>6.5433334377789896</v>
      </c>
      <c r="C173">
        <v>6.6563751767139996</v>
      </c>
      <c r="D173">
        <f t="shared" si="2"/>
        <v>0.11304173893501002</v>
      </c>
    </row>
    <row r="174" spans="1:4" x14ac:dyDescent="0.25">
      <c r="A174" s="1">
        <v>39722</v>
      </c>
      <c r="B174">
        <v>8.1754782670824095</v>
      </c>
      <c r="C174">
        <v>9.0494791508901393</v>
      </c>
      <c r="D174">
        <f t="shared" si="2"/>
        <v>0.87400088380772978</v>
      </c>
    </row>
    <row r="175" spans="1:4" x14ac:dyDescent="0.25">
      <c r="A175" s="1">
        <v>39753</v>
      </c>
      <c r="B175">
        <v>6.2446894823830696</v>
      </c>
      <c r="C175">
        <v>7.6835125009815197</v>
      </c>
      <c r="D175">
        <f t="shared" si="2"/>
        <v>1.4388230185984501</v>
      </c>
    </row>
    <row r="176" spans="1:4" x14ac:dyDescent="0.25">
      <c r="A176" s="1">
        <v>39783</v>
      </c>
      <c r="B176">
        <v>8.6089148405935294</v>
      </c>
      <c r="C176">
        <v>8.4021592843112405</v>
      </c>
      <c r="D176">
        <f t="shared" si="2"/>
        <v>0.20675555628228892</v>
      </c>
    </row>
    <row r="177" spans="1:4" x14ac:dyDescent="0.25">
      <c r="A177" s="1">
        <v>39814</v>
      </c>
      <c r="B177">
        <v>17.622027433643201</v>
      </c>
      <c r="C177">
        <v>31.351052967589599</v>
      </c>
      <c r="D177">
        <f t="shared" si="2"/>
        <v>13.729025533946398</v>
      </c>
    </row>
    <row r="178" spans="1:4" x14ac:dyDescent="0.25">
      <c r="A178" s="1">
        <v>39845</v>
      </c>
      <c r="B178">
        <v>25.579966433354599</v>
      </c>
      <c r="C178">
        <v>49.863686472976703</v>
      </c>
      <c r="D178">
        <f t="shared" si="2"/>
        <v>24.283720039622104</v>
      </c>
    </row>
    <row r="179" spans="1:4" x14ac:dyDescent="0.25">
      <c r="A179" s="1">
        <v>39873</v>
      </c>
      <c r="B179">
        <v>25.277655818273299</v>
      </c>
      <c r="C179">
        <v>40.435637344745899</v>
      </c>
      <c r="D179">
        <f t="shared" si="2"/>
        <v>15.1579815264726</v>
      </c>
    </row>
    <row r="180" spans="1:4" x14ac:dyDescent="0.25">
      <c r="A180" s="1">
        <v>39904</v>
      </c>
      <c r="B180">
        <v>25.357049775371799</v>
      </c>
      <c r="C180">
        <v>47.896938013482</v>
      </c>
      <c r="D180">
        <f t="shared" si="2"/>
        <v>22.539888238110201</v>
      </c>
    </row>
    <row r="181" spans="1:4" x14ac:dyDescent="0.25">
      <c r="A181" s="1">
        <v>39934</v>
      </c>
      <c r="B181">
        <v>26.3786457865329</v>
      </c>
      <c r="C181">
        <v>57.040214214863497</v>
      </c>
      <c r="D181">
        <f t="shared" si="2"/>
        <v>30.661568428330597</v>
      </c>
    </row>
    <row r="182" spans="1:4" x14ac:dyDescent="0.25">
      <c r="A182" s="1">
        <v>39965</v>
      </c>
      <c r="B182">
        <v>26.546511479754599</v>
      </c>
      <c r="C182">
        <v>52.041271597159003</v>
      </c>
      <c r="D182">
        <f t="shared" si="2"/>
        <v>25.494760117404404</v>
      </c>
    </row>
    <row r="183" spans="1:4" x14ac:dyDescent="0.25">
      <c r="A183" s="1">
        <v>39995</v>
      </c>
      <c r="B183">
        <v>20.982549168908001</v>
      </c>
      <c r="C183">
        <v>19.871489630293599</v>
      </c>
      <c r="D183">
        <f t="shared" si="2"/>
        <v>1.111059538614402</v>
      </c>
    </row>
    <row r="184" spans="1:4" x14ac:dyDescent="0.25">
      <c r="A184" s="1">
        <v>40026</v>
      </c>
      <c r="B184">
        <v>14.7523778842039</v>
      </c>
      <c r="C184">
        <v>27.822767927066199</v>
      </c>
      <c r="D184">
        <f t="shared" si="2"/>
        <v>13.070390042862298</v>
      </c>
    </row>
    <row r="185" spans="1:4" x14ac:dyDescent="0.25">
      <c r="A185" s="1">
        <v>40057</v>
      </c>
      <c r="B185">
        <v>13.352444110172501</v>
      </c>
      <c r="C185">
        <v>27.619779110124899</v>
      </c>
      <c r="D185">
        <f t="shared" si="2"/>
        <v>14.267334999952398</v>
      </c>
    </row>
    <row r="186" spans="1:4" x14ac:dyDescent="0.25">
      <c r="A186" s="1">
        <v>40087</v>
      </c>
      <c r="B186">
        <v>14.633401123488399</v>
      </c>
      <c r="C186">
        <v>34.175451122304104</v>
      </c>
      <c r="D186">
        <f t="shared" si="2"/>
        <v>19.542049998815706</v>
      </c>
    </row>
    <row r="187" spans="1:4" x14ac:dyDescent="0.25">
      <c r="A187" s="1">
        <v>40118</v>
      </c>
      <c r="B187">
        <v>16.137678234304101</v>
      </c>
      <c r="C187">
        <v>36.173366272435402</v>
      </c>
      <c r="D187">
        <f t="shared" si="2"/>
        <v>20.035688038131301</v>
      </c>
    </row>
    <row r="188" spans="1:4" x14ac:dyDescent="0.25">
      <c r="A188" s="1">
        <v>40148</v>
      </c>
      <c r="B188">
        <v>19.201242888799602</v>
      </c>
      <c r="C188">
        <v>40.233749429542698</v>
      </c>
      <c r="D188">
        <f t="shared" si="2"/>
        <v>21.032506540743096</v>
      </c>
    </row>
    <row r="189" spans="1:4" x14ac:dyDescent="0.25">
      <c r="A189" s="1">
        <v>40179</v>
      </c>
      <c r="B189">
        <v>15.093975843835899</v>
      </c>
      <c r="C189">
        <v>34.832027538240197</v>
      </c>
      <c r="D189">
        <f t="shared" si="2"/>
        <v>19.738051694404298</v>
      </c>
    </row>
    <row r="190" spans="1:4" x14ac:dyDescent="0.25">
      <c r="A190" s="1">
        <v>40210</v>
      </c>
      <c r="B190">
        <v>47.366864263239897</v>
      </c>
      <c r="C190">
        <v>28.0744494103132</v>
      </c>
      <c r="D190">
        <f t="shared" si="2"/>
        <v>19.292414852926697</v>
      </c>
    </row>
    <row r="191" spans="1:4" x14ac:dyDescent="0.25">
      <c r="A191" s="1">
        <v>40238</v>
      </c>
      <c r="B191">
        <v>19.830415239583001</v>
      </c>
      <c r="C191">
        <v>28.445947373243001</v>
      </c>
      <c r="D191">
        <f t="shared" si="2"/>
        <v>8.6155321336600004</v>
      </c>
    </row>
    <row r="192" spans="1:4" x14ac:dyDescent="0.25">
      <c r="A192" s="1">
        <v>40269</v>
      </c>
      <c r="B192">
        <v>18.878336995462401</v>
      </c>
      <c r="C192">
        <v>28.0636570301372</v>
      </c>
      <c r="D192">
        <f t="shared" si="2"/>
        <v>9.185320034674799</v>
      </c>
    </row>
    <row r="193" spans="1:4" x14ac:dyDescent="0.25">
      <c r="A193" s="1">
        <v>40299</v>
      </c>
      <c r="B193">
        <v>15.8832194724953</v>
      </c>
      <c r="C193">
        <v>23.600204583758899</v>
      </c>
      <c r="D193">
        <f t="shared" si="2"/>
        <v>7.7169851112635985</v>
      </c>
    </row>
    <row r="194" spans="1:4" x14ac:dyDescent="0.25">
      <c r="A194" s="1">
        <v>40330</v>
      </c>
      <c r="B194">
        <v>18.9695517190411</v>
      </c>
      <c r="C194">
        <v>32.213590633698097</v>
      </c>
      <c r="D194">
        <f t="shared" si="2"/>
        <v>13.244038914656997</v>
      </c>
    </row>
    <row r="195" spans="1:4" x14ac:dyDescent="0.25">
      <c r="A195" s="1">
        <v>40360</v>
      </c>
      <c r="B195">
        <v>20.830348646727298</v>
      </c>
      <c r="C195">
        <v>38.753861288881097</v>
      </c>
      <c r="D195">
        <f t="shared" ref="D195:D258" si="3">ABS(C195-B195)</f>
        <v>17.923512642153799</v>
      </c>
    </row>
    <row r="196" spans="1:4" x14ac:dyDescent="0.25">
      <c r="A196" s="1">
        <v>40391</v>
      </c>
      <c r="B196">
        <v>26.908501087148402</v>
      </c>
      <c r="C196">
        <v>43.094959625682201</v>
      </c>
      <c r="D196">
        <f t="shared" si="3"/>
        <v>16.186458538533799</v>
      </c>
    </row>
    <row r="197" spans="1:4" x14ac:dyDescent="0.25">
      <c r="A197" s="1">
        <v>40422</v>
      </c>
      <c r="B197">
        <v>29.0776293859278</v>
      </c>
      <c r="C197">
        <v>52.980817687050497</v>
      </c>
      <c r="D197">
        <f t="shared" si="3"/>
        <v>23.903188301122697</v>
      </c>
    </row>
    <row r="198" spans="1:4" x14ac:dyDescent="0.25">
      <c r="A198" s="1">
        <v>40452</v>
      </c>
      <c r="B198">
        <v>29.786419208415399</v>
      </c>
      <c r="C198">
        <v>60.098224879154003</v>
      </c>
      <c r="D198">
        <f t="shared" si="3"/>
        <v>30.311805670738604</v>
      </c>
    </row>
    <row r="199" spans="1:4" x14ac:dyDescent="0.25">
      <c r="A199" s="1">
        <v>40483</v>
      </c>
      <c r="B199">
        <v>31.493735343847298</v>
      </c>
      <c r="C199">
        <v>62.889994789231402</v>
      </c>
      <c r="D199">
        <f t="shared" si="3"/>
        <v>31.396259445384104</v>
      </c>
    </row>
    <row r="200" spans="1:4" x14ac:dyDescent="0.25">
      <c r="A200" s="1">
        <v>40513</v>
      </c>
      <c r="B200">
        <v>29.860618700638799</v>
      </c>
      <c r="C200">
        <v>55.843719529024</v>
      </c>
      <c r="D200">
        <f t="shared" si="3"/>
        <v>25.983100828385201</v>
      </c>
    </row>
    <row r="201" spans="1:4" x14ac:dyDescent="0.25">
      <c r="A201" s="1">
        <v>40544</v>
      </c>
      <c r="B201">
        <v>22.649226353606799</v>
      </c>
      <c r="C201">
        <v>28.186842079377701</v>
      </c>
      <c r="D201">
        <f t="shared" si="3"/>
        <v>5.5376157257709018</v>
      </c>
    </row>
    <row r="202" spans="1:4" x14ac:dyDescent="0.25">
      <c r="A202" s="1">
        <v>40575</v>
      </c>
      <c r="B202">
        <v>19.938051223453598</v>
      </c>
      <c r="C202">
        <v>25.087860290996701</v>
      </c>
      <c r="D202">
        <f t="shared" si="3"/>
        <v>5.149809067543103</v>
      </c>
    </row>
    <row r="203" spans="1:4" x14ac:dyDescent="0.25">
      <c r="A203" s="1">
        <v>40603</v>
      </c>
      <c r="B203">
        <v>16.204929280940402</v>
      </c>
      <c r="C203">
        <v>19.842138961947299</v>
      </c>
      <c r="D203">
        <f t="shared" si="3"/>
        <v>3.6372096810068975</v>
      </c>
    </row>
    <row r="204" spans="1:4" x14ac:dyDescent="0.25">
      <c r="A204" s="1">
        <v>40634</v>
      </c>
      <c r="B204">
        <v>14.0842815347604</v>
      </c>
      <c r="C204">
        <v>22.988644746571101</v>
      </c>
      <c r="D204">
        <f t="shared" si="3"/>
        <v>8.9043632118107006</v>
      </c>
    </row>
    <row r="205" spans="1:4" x14ac:dyDescent="0.25">
      <c r="A205" s="1">
        <v>40664</v>
      </c>
      <c r="B205">
        <v>13.251596693445499</v>
      </c>
      <c r="C205">
        <v>22.918323734585201</v>
      </c>
      <c r="D205">
        <f t="shared" si="3"/>
        <v>9.6667270411397013</v>
      </c>
    </row>
    <row r="206" spans="1:4" x14ac:dyDescent="0.25">
      <c r="A206" s="1">
        <v>40695</v>
      </c>
      <c r="B206">
        <v>14.835868089469001</v>
      </c>
      <c r="C206">
        <v>28.022132072562201</v>
      </c>
      <c r="D206">
        <f t="shared" si="3"/>
        <v>13.1862639830932</v>
      </c>
    </row>
    <row r="207" spans="1:4" x14ac:dyDescent="0.25">
      <c r="A207" s="1">
        <v>40725</v>
      </c>
      <c r="B207">
        <v>15.7201644945763</v>
      </c>
      <c r="C207">
        <v>31.371766996822402</v>
      </c>
      <c r="D207">
        <f t="shared" si="3"/>
        <v>15.651602502246101</v>
      </c>
    </row>
    <row r="208" spans="1:4" x14ac:dyDescent="0.25">
      <c r="A208" s="1">
        <v>40756</v>
      </c>
      <c r="B208">
        <v>17.4165617676219</v>
      </c>
      <c r="C208">
        <v>29.530647253789301</v>
      </c>
      <c r="D208">
        <f t="shared" si="3"/>
        <v>12.114085486167401</v>
      </c>
    </row>
    <row r="209" spans="1:4" x14ac:dyDescent="0.25">
      <c r="A209" s="1">
        <v>40787</v>
      </c>
      <c r="B209">
        <v>20.684939049793801</v>
      </c>
      <c r="C209">
        <v>50.747391037261501</v>
      </c>
      <c r="D209">
        <f t="shared" si="3"/>
        <v>30.0624519874677</v>
      </c>
    </row>
    <row r="210" spans="1:4" x14ac:dyDescent="0.25">
      <c r="A210" s="1">
        <v>40817</v>
      </c>
      <c r="B210">
        <v>24.1954043235936</v>
      </c>
      <c r="C210">
        <v>57.329162448717803</v>
      </c>
      <c r="D210">
        <f t="shared" si="3"/>
        <v>33.133758125124203</v>
      </c>
    </row>
    <row r="211" spans="1:4" x14ac:dyDescent="0.25">
      <c r="A211" s="1">
        <v>40848</v>
      </c>
      <c r="B211">
        <v>24.5841972042689</v>
      </c>
      <c r="C211">
        <v>54.944912829003002</v>
      </c>
      <c r="D211">
        <f t="shared" si="3"/>
        <v>30.360715624734102</v>
      </c>
    </row>
    <row r="212" spans="1:4" x14ac:dyDescent="0.25">
      <c r="A212" s="1">
        <v>40878</v>
      </c>
      <c r="B212">
        <v>23.9759194853807</v>
      </c>
      <c r="C212">
        <v>59.271887694421203</v>
      </c>
      <c r="D212">
        <f t="shared" si="3"/>
        <v>35.295968209040502</v>
      </c>
    </row>
    <row r="213" spans="1:4" x14ac:dyDescent="0.25">
      <c r="A213" s="1">
        <v>40909</v>
      </c>
      <c r="B213">
        <v>22.475736529195501</v>
      </c>
      <c r="C213">
        <v>59.831739611261398</v>
      </c>
      <c r="D213">
        <f t="shared" si="3"/>
        <v>37.356003082065897</v>
      </c>
    </row>
    <row r="214" spans="1:4" x14ac:dyDescent="0.25">
      <c r="A214" s="1">
        <v>40940</v>
      </c>
      <c r="B214">
        <v>25.4821873041363</v>
      </c>
      <c r="C214">
        <v>59.199595522881999</v>
      </c>
      <c r="D214">
        <f t="shared" si="3"/>
        <v>33.717408218745703</v>
      </c>
    </row>
    <row r="215" spans="1:4" x14ac:dyDescent="0.25">
      <c r="A215" s="1">
        <v>40969</v>
      </c>
      <c r="B215">
        <v>28.224343083993901</v>
      </c>
      <c r="C215">
        <v>58.262071440675903</v>
      </c>
      <c r="D215">
        <f t="shared" si="3"/>
        <v>30.037728356682003</v>
      </c>
    </row>
    <row r="216" spans="1:4" x14ac:dyDescent="0.25">
      <c r="A216" s="1">
        <v>41000</v>
      </c>
      <c r="B216">
        <v>26.525012674795001</v>
      </c>
      <c r="C216">
        <v>54.021192174723502</v>
      </c>
      <c r="D216">
        <f t="shared" si="3"/>
        <v>27.496179499928502</v>
      </c>
    </row>
    <row r="217" spans="1:4" x14ac:dyDescent="0.25">
      <c r="A217" s="1">
        <v>41030</v>
      </c>
      <c r="B217">
        <v>28.465161156663498</v>
      </c>
      <c r="C217">
        <v>57.315039677576003</v>
      </c>
      <c r="D217">
        <f t="shared" si="3"/>
        <v>28.849878520912505</v>
      </c>
    </row>
    <row r="218" spans="1:4" x14ac:dyDescent="0.25">
      <c r="A218" s="1">
        <v>41061</v>
      </c>
      <c r="B218">
        <v>28.330045002769499</v>
      </c>
      <c r="C218">
        <v>61.625950667194303</v>
      </c>
      <c r="D218">
        <f t="shared" si="3"/>
        <v>33.295905664424808</v>
      </c>
    </row>
    <row r="219" spans="1:4" x14ac:dyDescent="0.25">
      <c r="A219" s="1">
        <v>41091</v>
      </c>
      <c r="B219">
        <v>29.057039303540101</v>
      </c>
      <c r="C219">
        <v>63.482040854529401</v>
      </c>
      <c r="D219">
        <f t="shared" si="3"/>
        <v>34.4250015509893</v>
      </c>
    </row>
    <row r="220" spans="1:4" x14ac:dyDescent="0.25">
      <c r="A220" s="1">
        <v>41122</v>
      </c>
      <c r="B220">
        <v>31.556061933135702</v>
      </c>
      <c r="C220">
        <v>65.271776007235403</v>
      </c>
      <c r="D220">
        <f t="shared" si="3"/>
        <v>33.715714074099701</v>
      </c>
    </row>
    <row r="221" spans="1:4" x14ac:dyDescent="0.25">
      <c r="A221" s="1">
        <v>41153</v>
      </c>
      <c r="B221">
        <v>30.415263341526199</v>
      </c>
      <c r="C221">
        <v>62.147672111957903</v>
      </c>
      <c r="D221">
        <f t="shared" si="3"/>
        <v>31.732408770431704</v>
      </c>
    </row>
    <row r="222" spans="1:4" x14ac:dyDescent="0.25">
      <c r="A222" s="1">
        <v>41183</v>
      </c>
      <c r="B222">
        <v>31.385183354302299</v>
      </c>
      <c r="C222">
        <v>64.171947811967897</v>
      </c>
      <c r="D222">
        <f t="shared" si="3"/>
        <v>32.786764457665598</v>
      </c>
    </row>
    <row r="223" spans="1:4" x14ac:dyDescent="0.25">
      <c r="A223" s="1">
        <v>41214</v>
      </c>
      <c r="B223">
        <v>28.3480712318364</v>
      </c>
      <c r="C223">
        <v>63.7570029838582</v>
      </c>
      <c r="D223">
        <f t="shared" si="3"/>
        <v>35.4089317520218</v>
      </c>
    </row>
    <row r="224" spans="1:4" x14ac:dyDescent="0.25">
      <c r="A224" s="1">
        <v>41244</v>
      </c>
      <c r="B224">
        <v>29.0327585299109</v>
      </c>
      <c r="C224">
        <v>63.230687320180799</v>
      </c>
      <c r="D224">
        <f t="shared" si="3"/>
        <v>34.197928790269899</v>
      </c>
    </row>
    <row r="225" spans="1:4" x14ac:dyDescent="0.25">
      <c r="A225" s="1">
        <v>41275</v>
      </c>
      <c r="B225">
        <v>28.3647228801984</v>
      </c>
      <c r="C225">
        <v>61.281985060110301</v>
      </c>
      <c r="D225">
        <f t="shared" si="3"/>
        <v>32.917262179911901</v>
      </c>
    </row>
    <row r="226" spans="1:4" x14ac:dyDescent="0.25">
      <c r="A226" s="1">
        <v>41306</v>
      </c>
      <c r="B226">
        <v>24.4194632929498</v>
      </c>
      <c r="C226">
        <v>51.639611043316002</v>
      </c>
      <c r="D226">
        <f t="shared" si="3"/>
        <v>27.220147750366202</v>
      </c>
    </row>
    <row r="227" spans="1:4" x14ac:dyDescent="0.25">
      <c r="A227" s="1">
        <v>41334</v>
      </c>
      <c r="B227">
        <v>24.7437170916259</v>
      </c>
      <c r="C227">
        <v>41.031871755606502</v>
      </c>
      <c r="D227">
        <f t="shared" si="3"/>
        <v>16.288154663980603</v>
      </c>
    </row>
    <row r="228" spans="1:4" x14ac:dyDescent="0.25">
      <c r="A228" s="1">
        <v>41365</v>
      </c>
      <c r="B228">
        <v>24.482491360354299</v>
      </c>
      <c r="C228">
        <v>38.443287660971301</v>
      </c>
      <c r="D228">
        <f t="shared" si="3"/>
        <v>13.960796300617002</v>
      </c>
    </row>
    <row r="229" spans="1:4" x14ac:dyDescent="0.25">
      <c r="A229" s="1">
        <v>41395</v>
      </c>
      <c r="B229">
        <v>24.4509818666243</v>
      </c>
      <c r="C229">
        <v>43.568295815287698</v>
      </c>
      <c r="D229">
        <f t="shared" si="3"/>
        <v>19.117313948663398</v>
      </c>
    </row>
    <row r="230" spans="1:4" x14ac:dyDescent="0.25">
      <c r="A230" s="1">
        <v>41426</v>
      </c>
      <c r="B230">
        <v>21.970737191787801</v>
      </c>
      <c r="C230">
        <v>37.398392576992698</v>
      </c>
      <c r="D230">
        <f t="shared" si="3"/>
        <v>15.427655385204897</v>
      </c>
    </row>
    <row r="231" spans="1:4" x14ac:dyDescent="0.25">
      <c r="A231" s="1">
        <v>41456</v>
      </c>
      <c r="B231">
        <v>21.5977467144637</v>
      </c>
      <c r="C231">
        <v>22.162839374210201</v>
      </c>
      <c r="D231">
        <f t="shared" si="3"/>
        <v>0.56509265974650091</v>
      </c>
    </row>
    <row r="232" spans="1:4" x14ac:dyDescent="0.25">
      <c r="A232" s="1">
        <v>41487</v>
      </c>
      <c r="B232">
        <v>17.841832928837</v>
      </c>
      <c r="C232">
        <v>16.479427503778901</v>
      </c>
      <c r="D232">
        <f t="shared" si="3"/>
        <v>1.3624054250580997</v>
      </c>
    </row>
    <row r="233" spans="1:4" x14ac:dyDescent="0.25">
      <c r="A233" s="1">
        <v>41518</v>
      </c>
      <c r="B233">
        <v>13.6935468444513</v>
      </c>
      <c r="C233">
        <v>13.0385248594611</v>
      </c>
      <c r="D233">
        <f t="shared" si="3"/>
        <v>0.65502198499019926</v>
      </c>
    </row>
    <row r="234" spans="1:4" x14ac:dyDescent="0.25">
      <c r="A234" s="1">
        <v>41548</v>
      </c>
      <c r="B234">
        <v>13.260796021206099</v>
      </c>
      <c r="C234">
        <v>12.412337813146401</v>
      </c>
      <c r="D234">
        <f t="shared" si="3"/>
        <v>0.84845820805969829</v>
      </c>
    </row>
    <row r="235" spans="1:4" x14ac:dyDescent="0.25">
      <c r="A235" s="1">
        <v>41579</v>
      </c>
      <c r="B235">
        <v>11.3293786749852</v>
      </c>
      <c r="C235">
        <v>16.749829360689201</v>
      </c>
      <c r="D235">
        <f t="shared" si="3"/>
        <v>5.4204506857040009</v>
      </c>
    </row>
    <row r="236" spans="1:4" x14ac:dyDescent="0.25">
      <c r="A236" s="1">
        <v>41609</v>
      </c>
      <c r="B236">
        <v>12.134285328902999</v>
      </c>
      <c r="C236">
        <v>15.396827166046601</v>
      </c>
      <c r="D236">
        <f t="shared" si="3"/>
        <v>3.2625418371436012</v>
      </c>
    </row>
    <row r="237" spans="1:4" x14ac:dyDescent="0.25">
      <c r="A237" s="1">
        <v>41640</v>
      </c>
      <c r="B237">
        <v>9.1067013817874791</v>
      </c>
      <c r="C237">
        <v>11.206050048697399</v>
      </c>
      <c r="D237">
        <f t="shared" si="3"/>
        <v>2.0993486669099202</v>
      </c>
    </row>
    <row r="238" spans="1:4" x14ac:dyDescent="0.25">
      <c r="A238" s="1">
        <v>41671</v>
      </c>
      <c r="B238">
        <v>8.7157401384485507</v>
      </c>
      <c r="C238">
        <v>11.082527335086199</v>
      </c>
      <c r="D238">
        <f t="shared" si="3"/>
        <v>2.3667871966376488</v>
      </c>
    </row>
    <row r="239" spans="1:4" x14ac:dyDescent="0.25">
      <c r="A239" s="1">
        <v>41699</v>
      </c>
      <c r="B239">
        <v>10.1527557282646</v>
      </c>
      <c r="C239">
        <v>14.3182278979674</v>
      </c>
      <c r="D239">
        <f t="shared" si="3"/>
        <v>4.1654721697028005</v>
      </c>
    </row>
    <row r="240" spans="1:4" x14ac:dyDescent="0.25">
      <c r="A240" s="1">
        <v>41730</v>
      </c>
      <c r="B240">
        <v>10.5906386173664</v>
      </c>
      <c r="C240">
        <v>14.939091603159399</v>
      </c>
      <c r="D240">
        <f t="shared" si="3"/>
        <v>4.3484529857929992</v>
      </c>
    </row>
    <row r="241" spans="1:4" x14ac:dyDescent="0.25">
      <c r="A241" s="1">
        <v>41760</v>
      </c>
      <c r="B241">
        <v>10.9494764031292</v>
      </c>
      <c r="C241">
        <v>15.663161598955501</v>
      </c>
      <c r="D241">
        <f t="shared" si="3"/>
        <v>4.7136851958263009</v>
      </c>
    </row>
    <row r="242" spans="1:4" x14ac:dyDescent="0.25">
      <c r="A242" s="1">
        <v>41791</v>
      </c>
      <c r="B242">
        <v>11.827224743078499</v>
      </c>
      <c r="C242">
        <v>18.472239798038501</v>
      </c>
      <c r="D242">
        <f t="shared" si="3"/>
        <v>6.6450150549600018</v>
      </c>
    </row>
    <row r="243" spans="1:4" x14ac:dyDescent="0.25">
      <c r="A243" s="1">
        <v>41821</v>
      </c>
      <c r="B243">
        <v>12.1959646631651</v>
      </c>
      <c r="C243">
        <v>18.457618830800399</v>
      </c>
      <c r="D243">
        <f t="shared" si="3"/>
        <v>6.2616541676352995</v>
      </c>
    </row>
    <row r="244" spans="1:4" x14ac:dyDescent="0.25">
      <c r="A244" s="1">
        <v>41852</v>
      </c>
      <c r="B244">
        <v>11.0655117060712</v>
      </c>
      <c r="C244">
        <v>18.6541414885065</v>
      </c>
      <c r="D244">
        <f t="shared" si="3"/>
        <v>7.5886297824352997</v>
      </c>
    </row>
    <row r="245" spans="1:4" x14ac:dyDescent="0.25">
      <c r="A245" s="1">
        <v>41883</v>
      </c>
      <c r="B245">
        <v>10.716096996307799</v>
      </c>
      <c r="C245">
        <v>18.1608816384771</v>
      </c>
      <c r="D245">
        <f t="shared" si="3"/>
        <v>7.4447846421693011</v>
      </c>
    </row>
    <row r="246" spans="1:4" x14ac:dyDescent="0.25">
      <c r="A246" s="1">
        <v>41913</v>
      </c>
      <c r="B246">
        <v>11.809790632018499</v>
      </c>
      <c r="C246">
        <v>17.138793176690299</v>
      </c>
      <c r="D246">
        <f t="shared" si="3"/>
        <v>5.3290025446718001</v>
      </c>
    </row>
    <row r="247" spans="1:4" x14ac:dyDescent="0.25">
      <c r="A247" s="1">
        <v>41944</v>
      </c>
      <c r="B247">
        <v>10.895506707179401</v>
      </c>
      <c r="C247">
        <v>19.753210281031599</v>
      </c>
      <c r="D247">
        <f t="shared" si="3"/>
        <v>8.8577035738521985</v>
      </c>
    </row>
    <row r="248" spans="1:4" x14ac:dyDescent="0.25">
      <c r="A248" s="1">
        <v>41974</v>
      </c>
      <c r="B248">
        <v>12.573374123271099</v>
      </c>
      <c r="C248">
        <v>20.7999686308858</v>
      </c>
      <c r="D248">
        <f t="shared" si="3"/>
        <v>8.2265945076147009</v>
      </c>
    </row>
    <row r="249" spans="1:4" x14ac:dyDescent="0.25">
      <c r="A249" s="1">
        <v>42005</v>
      </c>
      <c r="B249">
        <v>10.756660889944101</v>
      </c>
      <c r="C249">
        <v>23.610880900077799</v>
      </c>
      <c r="D249">
        <f t="shared" si="3"/>
        <v>12.854220010133698</v>
      </c>
    </row>
    <row r="250" spans="1:4" x14ac:dyDescent="0.25">
      <c r="A250" s="1">
        <v>42036</v>
      </c>
      <c r="B250">
        <v>13.2572752792854</v>
      </c>
      <c r="C250">
        <v>30.334729350843102</v>
      </c>
      <c r="D250">
        <f t="shared" si="3"/>
        <v>17.077454071557703</v>
      </c>
    </row>
    <row r="251" spans="1:4" x14ac:dyDescent="0.25">
      <c r="A251" s="1">
        <v>42064</v>
      </c>
      <c r="B251">
        <v>17.179443787985399</v>
      </c>
      <c r="C251">
        <v>28.619553666545698</v>
      </c>
      <c r="D251">
        <f t="shared" si="3"/>
        <v>11.4401098785603</v>
      </c>
    </row>
    <row r="252" spans="1:4" x14ac:dyDescent="0.25">
      <c r="A252" s="1">
        <v>42095</v>
      </c>
      <c r="B252">
        <v>14.382555908163701</v>
      </c>
      <c r="C252">
        <v>25.563845490008401</v>
      </c>
      <c r="D252">
        <f t="shared" si="3"/>
        <v>11.1812895818447</v>
      </c>
    </row>
    <row r="253" spans="1:4" x14ac:dyDescent="0.25">
      <c r="A253" s="1">
        <v>42125</v>
      </c>
      <c r="B253">
        <v>14.2920358112074</v>
      </c>
      <c r="C253">
        <v>29.513848998147601</v>
      </c>
      <c r="D253">
        <f t="shared" si="3"/>
        <v>15.221813186940201</v>
      </c>
    </row>
    <row r="254" spans="1:4" x14ac:dyDescent="0.25">
      <c r="A254" s="1">
        <v>42156</v>
      </c>
      <c r="B254">
        <v>14.9460965079003</v>
      </c>
      <c r="C254">
        <v>23.906713758964099</v>
      </c>
      <c r="D254">
        <f t="shared" si="3"/>
        <v>8.9606172510637982</v>
      </c>
    </row>
    <row r="255" spans="1:4" x14ac:dyDescent="0.25">
      <c r="A255" s="1">
        <v>42186</v>
      </c>
      <c r="B255">
        <v>13.6668338148167</v>
      </c>
      <c r="C255">
        <v>20.154099521629899</v>
      </c>
      <c r="D255">
        <f t="shared" si="3"/>
        <v>6.4872657068131989</v>
      </c>
    </row>
    <row r="256" spans="1:4" x14ac:dyDescent="0.25">
      <c r="A256" s="1">
        <v>42217</v>
      </c>
      <c r="B256">
        <v>11.825353781302301</v>
      </c>
      <c r="C256">
        <v>18.865588439196401</v>
      </c>
      <c r="D256">
        <f t="shared" si="3"/>
        <v>7.0402346578941</v>
      </c>
    </row>
    <row r="257" spans="1:4" x14ac:dyDescent="0.25">
      <c r="A257" s="1">
        <v>42248</v>
      </c>
      <c r="B257">
        <v>11.3793767617829</v>
      </c>
      <c r="C257">
        <v>20.434388797807902</v>
      </c>
      <c r="D257">
        <f t="shared" si="3"/>
        <v>9.0550120360250013</v>
      </c>
    </row>
    <row r="258" spans="1:4" x14ac:dyDescent="0.25">
      <c r="A258" s="1">
        <v>42278</v>
      </c>
      <c r="B258">
        <v>11.767170342965199</v>
      </c>
      <c r="C258">
        <v>20.4524737018865</v>
      </c>
      <c r="D258">
        <f t="shared" si="3"/>
        <v>8.6853033589213009</v>
      </c>
    </row>
    <row r="259" spans="1:4" x14ac:dyDescent="0.25">
      <c r="A259" s="1">
        <v>42309</v>
      </c>
      <c r="B259">
        <v>10.2957518862206</v>
      </c>
      <c r="C259">
        <v>21.678661236545299</v>
      </c>
      <c r="D259">
        <f t="shared" ref="D259:D265" si="4">ABS(C259-B259)</f>
        <v>11.382909350324699</v>
      </c>
    </row>
    <row r="260" spans="1:4" x14ac:dyDescent="0.25">
      <c r="A260" s="1">
        <v>42339</v>
      </c>
      <c r="B260">
        <v>11.441913727879101</v>
      </c>
      <c r="C260">
        <v>18.522361991614702</v>
      </c>
      <c r="D260">
        <f t="shared" si="4"/>
        <v>7.080448263735601</v>
      </c>
    </row>
    <row r="261" spans="1:4" x14ac:dyDescent="0.25">
      <c r="A261" s="1">
        <v>42370</v>
      </c>
      <c r="B261">
        <v>9.2480469241449903</v>
      </c>
      <c r="C261">
        <v>16.2432309412225</v>
      </c>
      <c r="D261">
        <f t="shared" si="4"/>
        <v>6.9951840170775093</v>
      </c>
    </row>
    <row r="262" spans="1:4" x14ac:dyDescent="0.25">
      <c r="A262" s="1">
        <v>42401</v>
      </c>
      <c r="B262">
        <v>9.8885480825268992</v>
      </c>
      <c r="C262">
        <v>17.931220987016101</v>
      </c>
      <c r="D262">
        <f t="shared" si="4"/>
        <v>8.0426729044892014</v>
      </c>
    </row>
    <row r="263" spans="1:4" x14ac:dyDescent="0.25">
      <c r="A263" s="1">
        <v>42430</v>
      </c>
      <c r="B263">
        <v>14.127918005719399</v>
      </c>
      <c r="C263">
        <v>26.271396806364599</v>
      </c>
      <c r="D263">
        <f t="shared" si="4"/>
        <v>12.1434788006452</v>
      </c>
    </row>
    <row r="264" spans="1:4" x14ac:dyDescent="0.25">
      <c r="A264" s="1">
        <v>42461</v>
      </c>
      <c r="B264">
        <v>13.5152102536107</v>
      </c>
      <c r="C264">
        <v>28.713761854517202</v>
      </c>
      <c r="D264">
        <f t="shared" si="4"/>
        <v>15.198551600906502</v>
      </c>
    </row>
    <row r="265" spans="1:4" x14ac:dyDescent="0.25">
      <c r="A265" s="1">
        <v>42491</v>
      </c>
      <c r="B265">
        <v>14.382712153761799</v>
      </c>
      <c r="C265">
        <v>29.344363856336201</v>
      </c>
      <c r="D265">
        <f t="shared" si="4"/>
        <v>14.961651702574402</v>
      </c>
    </row>
  </sheetData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19"/>
  <sheetViews>
    <sheetView tabSelected="1" topLeftCell="B1" zoomScaleNormal="100" workbookViewId="0">
      <selection activeCell="AC1" sqref="AC1:AE1"/>
    </sheetView>
  </sheetViews>
  <sheetFormatPr defaultRowHeight="15" x14ac:dyDescent="0.25"/>
  <sheetData>
    <row r="1" spans="1:31" x14ac:dyDescent="0.25">
      <c r="B1" t="s">
        <v>11</v>
      </c>
      <c r="C1" t="s">
        <v>34</v>
      </c>
      <c r="D1" t="s">
        <v>35</v>
      </c>
      <c r="E1" t="s">
        <v>38</v>
      </c>
      <c r="F1" t="s">
        <v>37</v>
      </c>
      <c r="J1" t="s">
        <v>36</v>
      </c>
      <c r="K1" t="s">
        <v>11</v>
      </c>
      <c r="AC1" t="s">
        <v>39</v>
      </c>
      <c r="AD1" t="s">
        <v>10</v>
      </c>
      <c r="AE1" t="s">
        <v>35</v>
      </c>
    </row>
    <row r="2" spans="1:31" x14ac:dyDescent="0.25">
      <c r="A2" s="10">
        <v>32874</v>
      </c>
      <c r="B2" s="12">
        <v>92.4</v>
      </c>
      <c r="C2" t="e">
        <f>VLOOKUP(A2,'MBA CA Index'!A:B,2,0)</f>
        <v>#N/A</v>
      </c>
      <c r="D2">
        <f>$J$2+$K$2*B2</f>
        <v>-86.633039999999966</v>
      </c>
      <c r="E2">
        <f>IF(ISNA(C2),D2,C2)</f>
        <v>-86.633039999999966</v>
      </c>
      <c r="F2">
        <f>AVERAGE($E$2:E2)</f>
        <v>-86.633039999999966</v>
      </c>
      <c r="J2">
        <v>-277.75319999999999</v>
      </c>
      <c r="K2">
        <v>2.0684</v>
      </c>
      <c r="AB2" s="10">
        <v>32874</v>
      </c>
      <c r="AC2">
        <f>AVERAGE($B$2:B2)</f>
        <v>92.4</v>
      </c>
      <c r="AD2" t="e">
        <f>AVERAGE($C$2:C2)</f>
        <v>#N/A</v>
      </c>
      <c r="AE2">
        <f>F2</f>
        <v>-86.633039999999966</v>
      </c>
    </row>
    <row r="3" spans="1:31" x14ac:dyDescent="0.25">
      <c r="A3" s="10">
        <v>32905</v>
      </c>
      <c r="B3" s="12">
        <v>100.175</v>
      </c>
      <c r="C3" t="e">
        <f>VLOOKUP(A3,'MBA CA Index'!A:B,2,0)</f>
        <v>#N/A</v>
      </c>
      <c r="D3">
        <f t="shared" ref="D3:D66" si="0">$J$2+$K$2*B3</f>
        <v>-70.551230000000004</v>
      </c>
      <c r="E3">
        <f t="shared" ref="E3:E66" si="1">IF(ISNA(C3),D3,C3)</f>
        <v>-70.551230000000004</v>
      </c>
      <c r="F3">
        <f>AVERAGE($E$2:E3)</f>
        <v>-78.592134999999985</v>
      </c>
      <c r="AB3" s="10">
        <v>32905</v>
      </c>
      <c r="AC3">
        <f>AVERAGE($B$2:B3)</f>
        <v>96.287499999999994</v>
      </c>
      <c r="AD3" t="e">
        <f>AVERAGE($B$2:C3)</f>
        <v>#N/A</v>
      </c>
      <c r="AE3">
        <f t="shared" ref="AE3:AE66" si="2">F3</f>
        <v>-78.592134999999985</v>
      </c>
    </row>
    <row r="4" spans="1:31" x14ac:dyDescent="0.25">
      <c r="A4" s="10">
        <v>32933</v>
      </c>
      <c r="B4" s="12">
        <v>92.28</v>
      </c>
      <c r="C4" t="e">
        <f>VLOOKUP(A4,'MBA CA Index'!A:B,2,0)</f>
        <v>#N/A</v>
      </c>
      <c r="D4">
        <f t="shared" si="0"/>
        <v>-86.881247999999999</v>
      </c>
      <c r="E4">
        <f t="shared" si="1"/>
        <v>-86.881247999999999</v>
      </c>
      <c r="F4">
        <f>AVERAGE($E$2:E4)</f>
        <v>-81.355172666666661</v>
      </c>
      <c r="AB4" s="10">
        <v>32933</v>
      </c>
      <c r="AC4">
        <f>AVERAGE($B$2:B4)</f>
        <v>94.951666666666668</v>
      </c>
      <c r="AD4" t="e">
        <f>AVERAGE($B$2:C4)</f>
        <v>#N/A</v>
      </c>
      <c r="AE4">
        <f t="shared" si="2"/>
        <v>-81.355172666666661</v>
      </c>
    </row>
    <row r="5" spans="1:31" x14ac:dyDescent="0.25">
      <c r="A5" s="10">
        <v>32964</v>
      </c>
      <c r="B5" s="12">
        <v>91.25</v>
      </c>
      <c r="C5" t="e">
        <f>VLOOKUP(A5,'MBA CA Index'!A:B,2,0)</f>
        <v>#N/A</v>
      </c>
      <c r="D5">
        <f t="shared" si="0"/>
        <v>-89.01169999999999</v>
      </c>
      <c r="E5">
        <f t="shared" si="1"/>
        <v>-89.01169999999999</v>
      </c>
      <c r="F5">
        <f>AVERAGE($E$2:E5)</f>
        <v>-83.26930449999999</v>
      </c>
      <c r="AB5" s="10">
        <v>32964</v>
      </c>
      <c r="AC5">
        <f>AVERAGE($B$2:B5)</f>
        <v>94.026250000000005</v>
      </c>
      <c r="AD5" t="e">
        <f>AVERAGE($B$2:C5)</f>
        <v>#N/A</v>
      </c>
      <c r="AE5">
        <f t="shared" si="2"/>
        <v>-83.26930449999999</v>
      </c>
    </row>
    <row r="6" spans="1:31" x14ac:dyDescent="0.25">
      <c r="A6" s="10">
        <v>32994</v>
      </c>
      <c r="B6" s="12">
        <v>85.5</v>
      </c>
      <c r="C6" t="e">
        <f>VLOOKUP(A6,'MBA CA Index'!A:B,2,0)</f>
        <v>#N/A</v>
      </c>
      <c r="D6">
        <f t="shared" si="0"/>
        <v>-100.905</v>
      </c>
      <c r="E6">
        <f t="shared" si="1"/>
        <v>-100.905</v>
      </c>
      <c r="F6">
        <f>AVERAGE($E$2:E6)</f>
        <v>-86.796443600000003</v>
      </c>
      <c r="AB6" s="10">
        <v>32994</v>
      </c>
      <c r="AC6">
        <f>AVERAGE($B$2:B6)</f>
        <v>92.320999999999998</v>
      </c>
      <c r="AD6" t="e">
        <f>AVERAGE($B$2:C6)</f>
        <v>#N/A</v>
      </c>
      <c r="AE6">
        <f t="shared" si="2"/>
        <v>-86.796443600000003</v>
      </c>
    </row>
    <row r="7" spans="1:31" x14ac:dyDescent="0.25">
      <c r="A7" s="10">
        <v>33025</v>
      </c>
      <c r="B7" s="12">
        <v>92</v>
      </c>
      <c r="C7" t="e">
        <f>VLOOKUP(A7,'MBA CA Index'!A:B,2,0)</f>
        <v>#N/A</v>
      </c>
      <c r="D7">
        <f t="shared" si="0"/>
        <v>-87.460399999999993</v>
      </c>
      <c r="E7">
        <f t="shared" si="1"/>
        <v>-87.460399999999993</v>
      </c>
      <c r="F7">
        <f>AVERAGE($E$2:E7)</f>
        <v>-86.907103000000006</v>
      </c>
      <c r="AB7" s="10">
        <v>33025</v>
      </c>
      <c r="AC7">
        <f>AVERAGE($B$2:B7)</f>
        <v>92.267499999999998</v>
      </c>
      <c r="AD7" t="e">
        <f>AVERAGE($B$2:C7)</f>
        <v>#N/A</v>
      </c>
      <c r="AE7">
        <f t="shared" si="2"/>
        <v>-86.907103000000006</v>
      </c>
    </row>
    <row r="8" spans="1:31" x14ac:dyDescent="0.25">
      <c r="A8" s="10">
        <v>33055</v>
      </c>
      <c r="B8" s="12">
        <v>88.65</v>
      </c>
      <c r="C8" t="e">
        <f>VLOOKUP(A8,'MBA CA Index'!A:B,2,0)</f>
        <v>#N/A</v>
      </c>
      <c r="D8">
        <f t="shared" si="0"/>
        <v>-94.389539999999982</v>
      </c>
      <c r="E8">
        <f t="shared" si="1"/>
        <v>-94.389539999999982</v>
      </c>
      <c r="F8">
        <f>AVERAGE($E$2:E8)</f>
        <v>-87.976022571428572</v>
      </c>
      <c r="AB8" s="10">
        <v>33055</v>
      </c>
      <c r="AC8">
        <f>AVERAGE($B$2:B8)</f>
        <v>91.750714285714281</v>
      </c>
      <c r="AD8" t="e">
        <f>AVERAGE($B$2:C8)</f>
        <v>#N/A</v>
      </c>
      <c r="AE8">
        <f t="shared" si="2"/>
        <v>-87.976022571428572</v>
      </c>
    </row>
    <row r="9" spans="1:31" x14ac:dyDescent="0.25">
      <c r="A9" s="10">
        <v>33086</v>
      </c>
      <c r="B9" s="12">
        <v>89.179999999999993</v>
      </c>
      <c r="C9" t="e">
        <f>VLOOKUP(A9,'MBA CA Index'!A:B,2,0)</f>
        <v>#N/A</v>
      </c>
      <c r="D9">
        <f t="shared" si="0"/>
        <v>-93.293288000000018</v>
      </c>
      <c r="E9">
        <f t="shared" si="1"/>
        <v>-93.293288000000018</v>
      </c>
      <c r="F9">
        <f>AVERAGE($E$2:E9)</f>
        <v>-88.640680750000001</v>
      </c>
      <c r="AB9" s="10">
        <v>33086</v>
      </c>
      <c r="AC9">
        <f>AVERAGE($B$2:B9)</f>
        <v>91.429374999999993</v>
      </c>
      <c r="AD9" t="e">
        <f>AVERAGE($B$2:C9)</f>
        <v>#N/A</v>
      </c>
      <c r="AE9">
        <f t="shared" si="2"/>
        <v>-88.640680750000001</v>
      </c>
    </row>
    <row r="10" spans="1:31" x14ac:dyDescent="0.25">
      <c r="A10" s="10">
        <v>33117</v>
      </c>
      <c r="B10" s="12">
        <v>80.45</v>
      </c>
      <c r="C10" t="e">
        <f>VLOOKUP(A10,'MBA CA Index'!A:B,2,0)</f>
        <v>#N/A</v>
      </c>
      <c r="D10">
        <f t="shared" si="0"/>
        <v>-111.35041999999999</v>
      </c>
      <c r="E10">
        <f t="shared" si="1"/>
        <v>-111.35041999999999</v>
      </c>
      <c r="F10">
        <f>AVERAGE($E$2:E10)</f>
        <v>-91.163985111111117</v>
      </c>
      <c r="AB10" s="10">
        <v>33117</v>
      </c>
      <c r="AC10">
        <f>AVERAGE($B$2:B10)</f>
        <v>90.209444444444443</v>
      </c>
      <c r="AD10" t="e">
        <f>AVERAGE($B$2:C10)</f>
        <v>#N/A</v>
      </c>
      <c r="AE10">
        <f t="shared" si="2"/>
        <v>-91.163985111111117</v>
      </c>
    </row>
    <row r="11" spans="1:31" x14ac:dyDescent="0.25">
      <c r="A11" s="10">
        <v>33147</v>
      </c>
      <c r="B11" s="12">
        <v>74.949999999999989</v>
      </c>
      <c r="C11" t="e">
        <f>VLOOKUP(A11,'MBA CA Index'!A:B,2,0)</f>
        <v>#N/A</v>
      </c>
      <c r="D11">
        <f t="shared" si="0"/>
        <v>-122.72662000000003</v>
      </c>
      <c r="E11">
        <f t="shared" si="1"/>
        <v>-122.72662000000003</v>
      </c>
      <c r="F11">
        <f>AVERAGE($E$2:E11)</f>
        <v>-94.320248599999999</v>
      </c>
      <c r="AB11" s="10">
        <v>33147</v>
      </c>
      <c r="AC11">
        <f>AVERAGE($B$2:B11)</f>
        <v>88.683500000000009</v>
      </c>
      <c r="AD11" t="e">
        <f>AVERAGE($B$2:C11)</f>
        <v>#N/A</v>
      </c>
      <c r="AE11">
        <f t="shared" si="2"/>
        <v>-94.320248599999999</v>
      </c>
    </row>
    <row r="12" spans="1:31" x14ac:dyDescent="0.25">
      <c r="A12" s="10">
        <v>33178</v>
      </c>
      <c r="B12" s="12">
        <v>81.84</v>
      </c>
      <c r="C12" t="e">
        <f>VLOOKUP(A12,'MBA CA Index'!A:B,2,0)</f>
        <v>#N/A</v>
      </c>
      <c r="D12">
        <f t="shared" si="0"/>
        <v>-108.47534399999998</v>
      </c>
      <c r="E12">
        <f t="shared" si="1"/>
        <v>-108.47534399999998</v>
      </c>
      <c r="F12">
        <f>AVERAGE($E$2:E12)</f>
        <v>-95.607075454545466</v>
      </c>
      <c r="AB12" s="10">
        <v>33178</v>
      </c>
      <c r="AC12">
        <f>AVERAGE($B$2:B12)</f>
        <v>88.061363636363637</v>
      </c>
      <c r="AD12" t="e">
        <f>AVERAGE($B$2:C12)</f>
        <v>#N/A</v>
      </c>
      <c r="AE12">
        <f t="shared" si="2"/>
        <v>-95.607075454545466</v>
      </c>
    </row>
    <row r="13" spans="1:31" x14ac:dyDescent="0.25">
      <c r="A13" s="10">
        <v>33208</v>
      </c>
      <c r="B13" s="12">
        <v>78.900000000000006</v>
      </c>
      <c r="C13" t="e">
        <f>VLOOKUP(A13,'MBA CA Index'!A:B,2,0)</f>
        <v>#N/A</v>
      </c>
      <c r="D13">
        <f t="shared" si="0"/>
        <v>-114.55643999999998</v>
      </c>
      <c r="E13">
        <f t="shared" si="1"/>
        <v>-114.55643999999998</v>
      </c>
      <c r="F13">
        <f>AVERAGE($E$2:E13)</f>
        <v>-97.186189166666679</v>
      </c>
      <c r="AB13" s="10">
        <v>33208</v>
      </c>
      <c r="AC13">
        <f>AVERAGE($B$2:B13)</f>
        <v>87.297916666666666</v>
      </c>
      <c r="AD13" t="e">
        <f>AVERAGE($B$2:C13)</f>
        <v>#N/A</v>
      </c>
      <c r="AE13">
        <f t="shared" si="2"/>
        <v>-97.186189166666679</v>
      </c>
    </row>
    <row r="14" spans="1:31" x14ac:dyDescent="0.25">
      <c r="A14" s="10">
        <v>33239</v>
      </c>
      <c r="B14" s="12">
        <v>87.375</v>
      </c>
      <c r="C14" t="e">
        <f>VLOOKUP(A14,'MBA CA Index'!A:B,2,0)</f>
        <v>#N/A</v>
      </c>
      <c r="D14">
        <f t="shared" si="0"/>
        <v>-97.026749999999993</v>
      </c>
      <c r="E14">
        <f t="shared" si="1"/>
        <v>-97.026749999999993</v>
      </c>
      <c r="F14">
        <f>AVERAGE($E$2:E14)</f>
        <v>-97.173924615384621</v>
      </c>
      <c r="AB14" s="10">
        <v>33239</v>
      </c>
      <c r="AC14">
        <f>AVERAGE($B$2:B14)</f>
        <v>87.303846153846152</v>
      </c>
      <c r="AD14" t="e">
        <f>AVERAGE($B$2:C14)</f>
        <v>#N/A</v>
      </c>
      <c r="AE14">
        <f t="shared" si="2"/>
        <v>-97.173924615384621</v>
      </c>
    </row>
    <row r="15" spans="1:31" x14ac:dyDescent="0.25">
      <c r="A15" s="10">
        <v>33270</v>
      </c>
      <c r="B15" s="12">
        <v>98.8</v>
      </c>
      <c r="C15" t="e">
        <f>VLOOKUP(A15,'MBA CA Index'!A:B,2,0)</f>
        <v>#N/A</v>
      </c>
      <c r="D15">
        <f t="shared" si="0"/>
        <v>-73.395279999999985</v>
      </c>
      <c r="E15">
        <f t="shared" si="1"/>
        <v>-73.395279999999985</v>
      </c>
      <c r="F15">
        <f>AVERAGE($E$2:E15)</f>
        <v>-95.475450000000009</v>
      </c>
      <c r="AB15" s="10">
        <v>33270</v>
      </c>
      <c r="AC15">
        <f>AVERAGE($B$2:B15)</f>
        <v>88.125</v>
      </c>
      <c r="AD15" t="e">
        <f>AVERAGE($B$2:C15)</f>
        <v>#N/A</v>
      </c>
      <c r="AE15">
        <f t="shared" si="2"/>
        <v>-95.475450000000009</v>
      </c>
    </row>
    <row r="16" spans="1:31" x14ac:dyDescent="0.25">
      <c r="A16" s="10">
        <v>33298</v>
      </c>
      <c r="B16" s="12">
        <v>114.6</v>
      </c>
      <c r="C16" t="e">
        <f>VLOOKUP(A16,'MBA CA Index'!A:B,2,0)</f>
        <v>#N/A</v>
      </c>
      <c r="D16">
        <f t="shared" si="0"/>
        <v>-40.714560000000006</v>
      </c>
      <c r="E16">
        <f t="shared" si="1"/>
        <v>-40.714560000000006</v>
      </c>
      <c r="F16">
        <f>AVERAGE($E$2:E16)</f>
        <v>-91.824724000000003</v>
      </c>
      <c r="AB16" s="10">
        <v>33298</v>
      </c>
      <c r="AC16">
        <f>AVERAGE($B$2:B16)</f>
        <v>89.89</v>
      </c>
      <c r="AD16" t="e">
        <f>AVERAGE($B$2:C16)</f>
        <v>#N/A</v>
      </c>
      <c r="AE16">
        <f t="shared" si="2"/>
        <v>-91.824724000000003</v>
      </c>
    </row>
    <row r="17" spans="1:31" x14ac:dyDescent="0.25">
      <c r="A17" s="10">
        <v>33329</v>
      </c>
      <c r="B17" s="12">
        <v>112</v>
      </c>
      <c r="C17" t="e">
        <f>VLOOKUP(A17,'MBA CA Index'!A:B,2,0)</f>
        <v>#N/A</v>
      </c>
      <c r="D17">
        <f t="shared" si="0"/>
        <v>-46.092399999999998</v>
      </c>
      <c r="E17">
        <f t="shared" si="1"/>
        <v>-46.092399999999998</v>
      </c>
      <c r="F17">
        <f>AVERAGE($E$2:E17)</f>
        <v>-88.966453749999999</v>
      </c>
      <c r="AB17" s="10">
        <v>33329</v>
      </c>
      <c r="AC17">
        <f>AVERAGE($B$2:B17)</f>
        <v>91.271874999999994</v>
      </c>
      <c r="AD17" t="e">
        <f>AVERAGE($B$2:C17)</f>
        <v>#N/A</v>
      </c>
      <c r="AE17">
        <f t="shared" si="2"/>
        <v>-88.966453749999999</v>
      </c>
    </row>
    <row r="18" spans="1:31" x14ac:dyDescent="0.25">
      <c r="A18" s="10">
        <v>33359</v>
      </c>
      <c r="B18" s="12">
        <v>117.32000000000001</v>
      </c>
      <c r="C18" t="e">
        <f>VLOOKUP(A18,'MBA CA Index'!A:B,2,0)</f>
        <v>#N/A</v>
      </c>
      <c r="D18">
        <f t="shared" si="0"/>
        <v>-35.08851199999998</v>
      </c>
      <c r="E18">
        <f t="shared" si="1"/>
        <v>-35.08851199999998</v>
      </c>
      <c r="F18">
        <f>AVERAGE($E$2:E18)</f>
        <v>-85.797163058823529</v>
      </c>
      <c r="AB18" s="10">
        <v>33359</v>
      </c>
      <c r="AC18">
        <f>AVERAGE($B$2:B18)</f>
        <v>92.804117647058817</v>
      </c>
      <c r="AD18" t="e">
        <f>AVERAGE($B$2:C18)</f>
        <v>#N/A</v>
      </c>
      <c r="AE18">
        <f t="shared" si="2"/>
        <v>-85.797163058823529</v>
      </c>
    </row>
    <row r="19" spans="1:31" x14ac:dyDescent="0.25">
      <c r="A19" s="10">
        <v>33390</v>
      </c>
      <c r="B19" s="12">
        <v>113.875</v>
      </c>
      <c r="C19" t="e">
        <f>VLOOKUP(A19,'MBA CA Index'!A:B,2,0)</f>
        <v>#N/A</v>
      </c>
      <c r="D19">
        <f t="shared" si="0"/>
        <v>-42.214149999999989</v>
      </c>
      <c r="E19">
        <f t="shared" si="1"/>
        <v>-42.214149999999989</v>
      </c>
      <c r="F19">
        <f>AVERAGE($E$2:E19)</f>
        <v>-83.375884555555558</v>
      </c>
      <c r="AB19" s="10">
        <v>33390</v>
      </c>
      <c r="AC19">
        <f>AVERAGE($B$2:B19)</f>
        <v>93.974722222222212</v>
      </c>
      <c r="AD19" t="e">
        <f>AVERAGE($C$2:C19)</f>
        <v>#N/A</v>
      </c>
      <c r="AE19">
        <f t="shared" si="2"/>
        <v>-83.375884555555558</v>
      </c>
    </row>
    <row r="20" spans="1:31" x14ac:dyDescent="0.25">
      <c r="A20" s="10">
        <v>33420</v>
      </c>
      <c r="B20" s="12">
        <v>116.875</v>
      </c>
      <c r="C20" t="e">
        <f>VLOOKUP(A20,'MBA CA Index'!A:B,2,0)</f>
        <v>#N/A</v>
      </c>
      <c r="D20">
        <f t="shared" si="0"/>
        <v>-36.008949999999999</v>
      </c>
      <c r="E20">
        <f t="shared" si="1"/>
        <v>-36.008949999999999</v>
      </c>
      <c r="F20">
        <f>AVERAGE(E3:E20)</f>
        <v>-80.563435111111104</v>
      </c>
      <c r="AB20" s="10">
        <v>33420</v>
      </c>
      <c r="AC20">
        <f>AVERAGE(B3:B20)</f>
        <v>95.334444444444429</v>
      </c>
      <c r="AD20" t="e">
        <f>AVERAGE(C3:C20)</f>
        <v>#N/A</v>
      </c>
      <c r="AE20">
        <f t="shared" si="2"/>
        <v>-80.563435111111104</v>
      </c>
    </row>
    <row r="21" spans="1:31" x14ac:dyDescent="0.25">
      <c r="A21" s="10">
        <v>33451</v>
      </c>
      <c r="B21" s="12">
        <v>105.25999999999999</v>
      </c>
      <c r="C21" t="e">
        <f>VLOOKUP(A21,'MBA CA Index'!A:B,2,0)</f>
        <v>#N/A</v>
      </c>
      <c r="D21">
        <f t="shared" si="0"/>
        <v>-60.033416000000017</v>
      </c>
      <c r="E21">
        <f t="shared" si="1"/>
        <v>-60.033416000000017</v>
      </c>
      <c r="F21">
        <f t="shared" ref="F21:F84" si="3">AVERAGE(E4:E21)</f>
        <v>-79.979112111111093</v>
      </c>
      <c r="AB21" s="10">
        <v>33451</v>
      </c>
      <c r="AC21">
        <f t="shared" ref="AC21:AC84" si="4">AVERAGE(B4:B21)</f>
        <v>95.616944444444428</v>
      </c>
      <c r="AD21" t="e">
        <f t="shared" ref="AD21:AD84" si="5">AVERAGE(C4:C21)</f>
        <v>#N/A</v>
      </c>
      <c r="AE21">
        <f t="shared" si="2"/>
        <v>-79.979112111111093</v>
      </c>
    </row>
    <row r="22" spans="1:31" x14ac:dyDescent="0.25">
      <c r="A22" s="10">
        <v>33482</v>
      </c>
      <c r="B22" s="12">
        <v>106.89999999999999</v>
      </c>
      <c r="C22" t="e">
        <f>VLOOKUP(A22,'MBA CA Index'!A:B,2,0)</f>
        <v>#N/A</v>
      </c>
      <c r="D22">
        <f t="shared" si="0"/>
        <v>-56.64124000000001</v>
      </c>
      <c r="E22">
        <f t="shared" si="1"/>
        <v>-56.64124000000001</v>
      </c>
      <c r="F22">
        <f t="shared" si="3"/>
        <v>-78.299111666666647</v>
      </c>
      <c r="AB22" s="10">
        <v>33482</v>
      </c>
      <c r="AC22">
        <f t="shared" si="4"/>
        <v>96.42916666666666</v>
      </c>
      <c r="AD22" t="e">
        <f t="shared" si="5"/>
        <v>#N/A</v>
      </c>
      <c r="AE22">
        <f t="shared" si="2"/>
        <v>-78.299111666666647</v>
      </c>
    </row>
    <row r="23" spans="1:31" x14ac:dyDescent="0.25">
      <c r="A23" s="10">
        <v>33512</v>
      </c>
      <c r="B23" s="12">
        <v>112.22499999999999</v>
      </c>
      <c r="C23" t="e">
        <f>VLOOKUP(A23,'MBA CA Index'!A:B,2,0)</f>
        <v>#N/A</v>
      </c>
      <c r="D23">
        <f t="shared" si="0"/>
        <v>-45.627010000000013</v>
      </c>
      <c r="E23">
        <f t="shared" si="1"/>
        <v>-45.627010000000013</v>
      </c>
      <c r="F23">
        <f t="shared" si="3"/>
        <v>-75.888851111111094</v>
      </c>
      <c r="AB23" s="10">
        <v>33512</v>
      </c>
      <c r="AC23">
        <f t="shared" si="4"/>
        <v>97.594444444444434</v>
      </c>
      <c r="AD23" t="e">
        <f t="shared" si="5"/>
        <v>#N/A</v>
      </c>
      <c r="AE23">
        <f t="shared" si="2"/>
        <v>-75.888851111111094</v>
      </c>
    </row>
    <row r="24" spans="1:31" x14ac:dyDescent="0.25">
      <c r="A24" s="10">
        <v>33543</v>
      </c>
      <c r="B24" s="12">
        <v>103.5</v>
      </c>
      <c r="C24" t="e">
        <f>VLOOKUP(A24,'MBA CA Index'!A:B,2,0)</f>
        <v>#N/A</v>
      </c>
      <c r="D24">
        <f t="shared" si="0"/>
        <v>-63.6738</v>
      </c>
      <c r="E24">
        <f t="shared" si="1"/>
        <v>-63.6738</v>
      </c>
      <c r="F24">
        <f t="shared" si="3"/>
        <v>-73.820451111111097</v>
      </c>
      <c r="AB24" s="10">
        <v>33543</v>
      </c>
      <c r="AC24">
        <f t="shared" si="4"/>
        <v>98.594444444444434</v>
      </c>
      <c r="AD24" t="e">
        <f t="shared" si="5"/>
        <v>#N/A</v>
      </c>
      <c r="AE24">
        <f t="shared" si="2"/>
        <v>-73.820451111111097</v>
      </c>
    </row>
    <row r="25" spans="1:31" x14ac:dyDescent="0.25">
      <c r="A25" s="10">
        <v>33573</v>
      </c>
      <c r="B25" s="12">
        <v>100.25000000000001</v>
      </c>
      <c r="C25" t="e">
        <f>VLOOKUP(A25,'MBA CA Index'!A:B,2,0)</f>
        <v>#N/A</v>
      </c>
      <c r="D25">
        <f t="shared" si="0"/>
        <v>-70.396099999999961</v>
      </c>
      <c r="E25">
        <f t="shared" si="1"/>
        <v>-70.396099999999961</v>
      </c>
      <c r="F25">
        <f t="shared" si="3"/>
        <v>-72.872434444444423</v>
      </c>
      <c r="AB25" s="10">
        <v>33573</v>
      </c>
      <c r="AC25">
        <f t="shared" si="4"/>
        <v>99.052777777777763</v>
      </c>
      <c r="AD25" t="e">
        <f t="shared" si="5"/>
        <v>#N/A</v>
      </c>
      <c r="AE25">
        <f t="shared" si="2"/>
        <v>-72.872434444444423</v>
      </c>
    </row>
    <row r="26" spans="1:31" x14ac:dyDescent="0.25">
      <c r="A26" s="10">
        <v>33604</v>
      </c>
      <c r="B26" s="12">
        <v>132.83999999999997</v>
      </c>
      <c r="C26" t="e">
        <f>VLOOKUP(A26,'MBA CA Index'!A:B,2,0)</f>
        <v>#N/A</v>
      </c>
      <c r="D26">
        <f t="shared" si="0"/>
        <v>-2.9869440000000509</v>
      </c>
      <c r="E26">
        <f t="shared" si="1"/>
        <v>-2.9869440000000509</v>
      </c>
      <c r="F26">
        <f t="shared" si="3"/>
        <v>-67.794512444444436</v>
      </c>
      <c r="AB26" s="10">
        <v>33604</v>
      </c>
      <c r="AC26">
        <f t="shared" si="4"/>
        <v>101.50777777777778</v>
      </c>
      <c r="AD26" t="e">
        <f t="shared" si="5"/>
        <v>#N/A</v>
      </c>
      <c r="AE26">
        <f t="shared" si="2"/>
        <v>-67.794512444444436</v>
      </c>
    </row>
    <row r="27" spans="1:31" x14ac:dyDescent="0.25">
      <c r="A27" s="10">
        <v>33635</v>
      </c>
      <c r="B27" s="12">
        <v>129.375</v>
      </c>
      <c r="C27" t="e">
        <f>VLOOKUP(A27,'MBA CA Index'!A:B,2,0)</f>
        <v>#N/A</v>
      </c>
      <c r="D27">
        <f t="shared" si="0"/>
        <v>-10.153950000000009</v>
      </c>
      <c r="E27">
        <f t="shared" si="1"/>
        <v>-10.153950000000009</v>
      </c>
      <c r="F27">
        <f t="shared" si="3"/>
        <v>-63.175660333333326</v>
      </c>
      <c r="AB27" s="10">
        <v>33635</v>
      </c>
      <c r="AC27">
        <f t="shared" si="4"/>
        <v>103.74083333333334</v>
      </c>
      <c r="AD27" t="e">
        <f t="shared" si="5"/>
        <v>#N/A</v>
      </c>
      <c r="AE27">
        <f t="shared" si="2"/>
        <v>-63.175660333333326</v>
      </c>
    </row>
    <row r="28" spans="1:31" x14ac:dyDescent="0.25">
      <c r="A28" s="10">
        <v>33664</v>
      </c>
      <c r="B28" s="12">
        <v>115.92500000000001</v>
      </c>
      <c r="C28" t="e">
        <f>VLOOKUP(A28,'MBA CA Index'!A:B,2,0)</f>
        <v>#N/A</v>
      </c>
      <c r="D28">
        <f t="shared" si="0"/>
        <v>-37.973929999999967</v>
      </c>
      <c r="E28">
        <f t="shared" si="1"/>
        <v>-37.973929999999967</v>
      </c>
      <c r="F28">
        <f t="shared" si="3"/>
        <v>-59.099188666666663</v>
      </c>
      <c r="AB28" s="10">
        <v>33664</v>
      </c>
      <c r="AC28">
        <f t="shared" si="4"/>
        <v>105.71166666666666</v>
      </c>
      <c r="AD28" t="e">
        <f t="shared" si="5"/>
        <v>#N/A</v>
      </c>
      <c r="AE28">
        <f t="shared" si="2"/>
        <v>-59.099188666666663</v>
      </c>
    </row>
    <row r="29" spans="1:31" x14ac:dyDescent="0.25">
      <c r="A29" s="10">
        <v>33695</v>
      </c>
      <c r="B29" s="12">
        <v>117.94999999999999</v>
      </c>
      <c r="C29" t="e">
        <f>VLOOKUP(A29,'MBA CA Index'!A:B,2,0)</f>
        <v>#N/A</v>
      </c>
      <c r="D29">
        <f t="shared" si="0"/>
        <v>-33.785420000000016</v>
      </c>
      <c r="E29">
        <f t="shared" si="1"/>
        <v>-33.785420000000016</v>
      </c>
      <c r="F29">
        <f t="shared" si="3"/>
        <v>-54.158010888888896</v>
      </c>
      <c r="AB29" s="10">
        <v>33695</v>
      </c>
      <c r="AC29">
        <f t="shared" si="4"/>
        <v>108.10055555555556</v>
      </c>
      <c r="AD29" t="e">
        <f t="shared" si="5"/>
        <v>#N/A</v>
      </c>
      <c r="AE29">
        <f t="shared" si="2"/>
        <v>-54.158010888888896</v>
      </c>
    </row>
    <row r="30" spans="1:31" x14ac:dyDescent="0.25">
      <c r="A30" s="10">
        <v>33725</v>
      </c>
      <c r="B30" s="12">
        <v>117.66000000000001</v>
      </c>
      <c r="C30" t="e">
        <f>VLOOKUP(A30,'MBA CA Index'!A:B,2,0)</f>
        <v>#N/A</v>
      </c>
      <c r="D30">
        <f t="shared" si="0"/>
        <v>-34.38525599999997</v>
      </c>
      <c r="E30">
        <f t="shared" si="1"/>
        <v>-34.38525599999997</v>
      </c>
      <c r="F30">
        <f t="shared" si="3"/>
        <v>-50.041894888888891</v>
      </c>
      <c r="AB30" s="10">
        <v>33725</v>
      </c>
      <c r="AC30">
        <f t="shared" si="4"/>
        <v>110.09055555555555</v>
      </c>
      <c r="AD30" t="e">
        <f t="shared" si="5"/>
        <v>#N/A</v>
      </c>
      <c r="AE30">
        <f t="shared" si="2"/>
        <v>-50.041894888888891</v>
      </c>
    </row>
    <row r="31" spans="1:31" x14ac:dyDescent="0.25">
      <c r="A31" s="10">
        <v>33756</v>
      </c>
      <c r="B31" s="12">
        <v>117.04999999999998</v>
      </c>
      <c r="C31" t="e">
        <f>VLOOKUP(A31,'MBA CA Index'!A:B,2,0)</f>
        <v>#N/A</v>
      </c>
      <c r="D31">
        <f t="shared" si="0"/>
        <v>-35.646980000000013</v>
      </c>
      <c r="E31">
        <f t="shared" si="1"/>
        <v>-35.646980000000013</v>
      </c>
      <c r="F31">
        <f t="shared" si="3"/>
        <v>-45.658036000000003</v>
      </c>
      <c r="AB31" s="10">
        <v>33756</v>
      </c>
      <c r="AC31">
        <f t="shared" si="4"/>
        <v>112.21</v>
      </c>
      <c r="AD31" t="e">
        <f t="shared" si="5"/>
        <v>#N/A</v>
      </c>
      <c r="AE31">
        <f t="shared" si="2"/>
        <v>-45.658036000000003</v>
      </c>
    </row>
    <row r="32" spans="1:31" x14ac:dyDescent="0.25">
      <c r="A32" s="10">
        <v>33786</v>
      </c>
      <c r="B32" s="12">
        <v>138.44</v>
      </c>
      <c r="C32" t="e">
        <f>VLOOKUP(A32,'MBA CA Index'!A:B,2,0)</f>
        <v>#N/A</v>
      </c>
      <c r="D32">
        <f t="shared" si="0"/>
        <v>8.5960959999999886</v>
      </c>
      <c r="E32">
        <f t="shared" si="1"/>
        <v>8.5960959999999886</v>
      </c>
      <c r="F32">
        <f t="shared" si="3"/>
        <v>-39.790100111111116</v>
      </c>
      <c r="AB32" s="10">
        <v>33786</v>
      </c>
      <c r="AC32">
        <f t="shared" si="4"/>
        <v>115.04694444444443</v>
      </c>
      <c r="AD32" t="e">
        <f t="shared" si="5"/>
        <v>#N/A</v>
      </c>
      <c r="AE32">
        <f t="shared" si="2"/>
        <v>-39.790100111111116</v>
      </c>
    </row>
    <row r="33" spans="1:31" x14ac:dyDescent="0.25">
      <c r="A33" s="10">
        <v>33817</v>
      </c>
      <c r="B33" s="12">
        <v>142.75</v>
      </c>
      <c r="C33" t="e">
        <f>VLOOKUP(A33,'MBA CA Index'!A:B,2,0)</f>
        <v>#N/A</v>
      </c>
      <c r="D33">
        <f t="shared" si="0"/>
        <v>17.510899999999992</v>
      </c>
      <c r="E33">
        <f t="shared" si="1"/>
        <v>17.510899999999992</v>
      </c>
      <c r="F33">
        <f t="shared" si="3"/>
        <v>-34.739756777777785</v>
      </c>
      <c r="AB33" s="10">
        <v>33817</v>
      </c>
      <c r="AC33">
        <f t="shared" si="4"/>
        <v>117.48861111111111</v>
      </c>
      <c r="AD33" t="e">
        <f t="shared" si="5"/>
        <v>#N/A</v>
      </c>
      <c r="AE33">
        <f t="shared" si="2"/>
        <v>-34.739756777777785</v>
      </c>
    </row>
    <row r="34" spans="1:31" x14ac:dyDescent="0.25">
      <c r="A34" s="10">
        <v>33848</v>
      </c>
      <c r="B34" s="12">
        <v>147.17500000000001</v>
      </c>
      <c r="C34" t="e">
        <f>VLOOKUP(A34,'MBA CA Index'!A:B,2,0)</f>
        <v>#N/A</v>
      </c>
      <c r="D34">
        <f t="shared" si="0"/>
        <v>26.66357000000005</v>
      </c>
      <c r="E34">
        <f t="shared" si="1"/>
        <v>26.66357000000005</v>
      </c>
      <c r="F34">
        <f t="shared" si="3"/>
        <v>-30.996527333333329</v>
      </c>
      <c r="AB34" s="10">
        <v>33848</v>
      </c>
      <c r="AC34">
        <f t="shared" si="4"/>
        <v>119.29833333333333</v>
      </c>
      <c r="AD34" t="e">
        <f t="shared" si="5"/>
        <v>#N/A</v>
      </c>
      <c r="AE34">
        <f t="shared" si="2"/>
        <v>-30.996527333333329</v>
      </c>
    </row>
    <row r="35" spans="1:31" x14ac:dyDescent="0.25">
      <c r="A35" s="10">
        <v>33878</v>
      </c>
      <c r="B35" s="12">
        <v>138.88</v>
      </c>
      <c r="C35" t="e">
        <f>VLOOKUP(A35,'MBA CA Index'!A:B,2,0)</f>
        <v>#N/A</v>
      </c>
      <c r="D35">
        <f t="shared" si="0"/>
        <v>9.5061919999999986</v>
      </c>
      <c r="E35">
        <f t="shared" si="1"/>
        <v>9.5061919999999986</v>
      </c>
      <c r="F35">
        <f t="shared" si="3"/>
        <v>-27.907716666666662</v>
      </c>
      <c r="AB35" s="10">
        <v>33878</v>
      </c>
      <c r="AC35">
        <f t="shared" si="4"/>
        <v>120.79166666666667</v>
      </c>
      <c r="AD35" t="e">
        <f t="shared" si="5"/>
        <v>#N/A</v>
      </c>
      <c r="AE35">
        <f t="shared" si="2"/>
        <v>-27.907716666666662</v>
      </c>
    </row>
    <row r="36" spans="1:31" x14ac:dyDescent="0.25">
      <c r="A36" s="10">
        <v>33909</v>
      </c>
      <c r="B36" s="12">
        <v>138.17500000000001</v>
      </c>
      <c r="C36" t="e">
        <f>VLOOKUP(A36,'MBA CA Index'!A:B,2,0)</f>
        <v>#N/A</v>
      </c>
      <c r="D36">
        <f t="shared" si="0"/>
        <v>8.0479700000000207</v>
      </c>
      <c r="E36">
        <f t="shared" si="1"/>
        <v>8.0479700000000207</v>
      </c>
      <c r="F36">
        <f t="shared" si="3"/>
        <v>-25.511245444444441</v>
      </c>
      <c r="AB36" s="10">
        <v>33909</v>
      </c>
      <c r="AC36">
        <f t="shared" si="4"/>
        <v>121.95027777777779</v>
      </c>
      <c r="AD36" t="e">
        <f t="shared" si="5"/>
        <v>#N/A</v>
      </c>
      <c r="AE36">
        <f t="shared" si="2"/>
        <v>-25.511245444444441</v>
      </c>
    </row>
    <row r="37" spans="1:31" x14ac:dyDescent="0.25">
      <c r="A37" s="10">
        <v>33939</v>
      </c>
      <c r="B37" s="12">
        <v>135.22500000000002</v>
      </c>
      <c r="C37" t="e">
        <f>VLOOKUP(A37,'MBA CA Index'!A:B,2,0)</f>
        <v>#N/A</v>
      </c>
      <c r="D37">
        <f t="shared" si="0"/>
        <v>1.9461900000000583</v>
      </c>
      <c r="E37">
        <f t="shared" si="1"/>
        <v>1.9461900000000583</v>
      </c>
      <c r="F37">
        <f t="shared" si="3"/>
        <v>-23.057893222222216</v>
      </c>
      <c r="AB37" s="10">
        <v>33939</v>
      </c>
      <c r="AC37">
        <f t="shared" si="4"/>
        <v>123.13638888888889</v>
      </c>
      <c r="AD37" t="e">
        <f t="shared" si="5"/>
        <v>#N/A</v>
      </c>
      <c r="AE37">
        <f t="shared" si="2"/>
        <v>-23.057893222222216</v>
      </c>
    </row>
    <row r="38" spans="1:31" x14ac:dyDescent="0.25">
      <c r="A38" s="10">
        <v>33970</v>
      </c>
      <c r="B38" s="12">
        <v>138</v>
      </c>
      <c r="C38" t="e">
        <f>VLOOKUP(A38,'MBA CA Index'!A:B,2,0)</f>
        <v>#N/A</v>
      </c>
      <c r="D38">
        <f t="shared" si="0"/>
        <v>7.6860000000000355</v>
      </c>
      <c r="E38">
        <f t="shared" si="1"/>
        <v>7.6860000000000355</v>
      </c>
      <c r="F38">
        <f t="shared" si="3"/>
        <v>-20.630395999999998</v>
      </c>
      <c r="AB38" s="10">
        <v>33970</v>
      </c>
      <c r="AC38">
        <f t="shared" si="4"/>
        <v>124.31</v>
      </c>
      <c r="AD38" t="e">
        <f t="shared" si="5"/>
        <v>#N/A</v>
      </c>
      <c r="AE38">
        <f t="shared" si="2"/>
        <v>-20.630395999999998</v>
      </c>
    </row>
    <row r="39" spans="1:31" x14ac:dyDescent="0.25">
      <c r="A39" s="10">
        <v>34001</v>
      </c>
      <c r="B39" s="12">
        <v>154.02499999999998</v>
      </c>
      <c r="C39" t="e">
        <f>VLOOKUP(A39,'MBA CA Index'!A:B,2,0)</f>
        <v>#N/A</v>
      </c>
      <c r="D39">
        <f t="shared" si="0"/>
        <v>40.832109999999943</v>
      </c>
      <c r="E39">
        <f t="shared" si="1"/>
        <v>40.832109999999943</v>
      </c>
      <c r="F39">
        <f t="shared" si="3"/>
        <v>-15.026755666666666</v>
      </c>
      <c r="AB39" s="10">
        <v>34001</v>
      </c>
      <c r="AC39">
        <f t="shared" si="4"/>
        <v>127.01916666666668</v>
      </c>
      <c r="AD39" t="e">
        <f t="shared" si="5"/>
        <v>#N/A</v>
      </c>
      <c r="AE39">
        <f t="shared" si="2"/>
        <v>-15.026755666666666</v>
      </c>
    </row>
    <row r="40" spans="1:31" x14ac:dyDescent="0.25">
      <c r="A40" s="10">
        <v>34029</v>
      </c>
      <c r="B40" s="12">
        <v>150.35</v>
      </c>
      <c r="C40" t="e">
        <f>VLOOKUP(A40,'MBA CA Index'!A:B,2,0)</f>
        <v>#N/A</v>
      </c>
      <c r="D40">
        <f t="shared" si="0"/>
        <v>33.230740000000026</v>
      </c>
      <c r="E40">
        <f t="shared" si="1"/>
        <v>33.230740000000026</v>
      </c>
      <c r="F40">
        <f t="shared" si="3"/>
        <v>-10.033867888888885</v>
      </c>
      <c r="AB40" s="10">
        <v>34029</v>
      </c>
      <c r="AC40">
        <f t="shared" si="4"/>
        <v>129.43305555555557</v>
      </c>
      <c r="AD40" t="e">
        <f t="shared" si="5"/>
        <v>#N/A</v>
      </c>
      <c r="AE40">
        <f t="shared" si="2"/>
        <v>-10.033867888888885</v>
      </c>
    </row>
    <row r="41" spans="1:31" x14ac:dyDescent="0.25">
      <c r="A41" s="10">
        <v>34060</v>
      </c>
      <c r="B41" s="12">
        <v>166.70000000000002</v>
      </c>
      <c r="C41" t="e">
        <f>VLOOKUP(A41,'MBA CA Index'!A:B,2,0)</f>
        <v>#N/A</v>
      </c>
      <c r="D41">
        <f t="shared" si="0"/>
        <v>67.04908000000006</v>
      </c>
      <c r="E41">
        <f t="shared" si="1"/>
        <v>67.04908000000006</v>
      </c>
      <c r="F41">
        <f t="shared" si="3"/>
        <v>-3.7740851111111025</v>
      </c>
      <c r="AB41" s="10">
        <v>34060</v>
      </c>
      <c r="AC41">
        <f t="shared" si="4"/>
        <v>132.45944444444442</v>
      </c>
      <c r="AD41" t="e">
        <f t="shared" si="5"/>
        <v>#N/A</v>
      </c>
      <c r="AE41">
        <f t="shared" si="2"/>
        <v>-3.7740851111111025</v>
      </c>
    </row>
    <row r="42" spans="1:31" x14ac:dyDescent="0.25">
      <c r="A42" s="10">
        <v>34090</v>
      </c>
      <c r="B42" s="12">
        <v>150.17500000000001</v>
      </c>
      <c r="C42" t="e">
        <f>VLOOKUP(A42,'MBA CA Index'!A:B,2,0)</f>
        <v>#N/A</v>
      </c>
      <c r="D42">
        <f t="shared" si="0"/>
        <v>32.86877000000004</v>
      </c>
      <c r="E42">
        <f t="shared" si="1"/>
        <v>32.86877000000004</v>
      </c>
      <c r="F42">
        <f t="shared" si="3"/>
        <v>1.5893910000000124</v>
      </c>
      <c r="AB42" s="10">
        <v>34090</v>
      </c>
      <c r="AC42">
        <f t="shared" si="4"/>
        <v>135.05249999999998</v>
      </c>
      <c r="AD42" t="e">
        <f t="shared" si="5"/>
        <v>#N/A</v>
      </c>
      <c r="AE42">
        <f t="shared" si="2"/>
        <v>1.5893910000000124</v>
      </c>
    </row>
    <row r="43" spans="1:31" x14ac:dyDescent="0.25">
      <c r="A43" s="10">
        <v>34121</v>
      </c>
      <c r="B43" s="12">
        <v>157.85</v>
      </c>
      <c r="C43" t="e">
        <f>VLOOKUP(A43,'MBA CA Index'!A:B,2,0)</f>
        <v>#N/A</v>
      </c>
      <c r="D43">
        <f t="shared" si="0"/>
        <v>48.743740000000003</v>
      </c>
      <c r="E43">
        <f t="shared" si="1"/>
        <v>48.743740000000003</v>
      </c>
      <c r="F43">
        <f t="shared" si="3"/>
        <v>8.2082710000000105</v>
      </c>
      <c r="AB43" s="10">
        <v>34121</v>
      </c>
      <c r="AC43">
        <f t="shared" si="4"/>
        <v>138.2525</v>
      </c>
      <c r="AD43" t="e">
        <f t="shared" si="5"/>
        <v>#N/A</v>
      </c>
      <c r="AE43">
        <f t="shared" si="2"/>
        <v>8.2082710000000105</v>
      </c>
    </row>
    <row r="44" spans="1:31" x14ac:dyDescent="0.25">
      <c r="A44" s="10">
        <v>34151</v>
      </c>
      <c r="B44" s="12">
        <v>166.18</v>
      </c>
      <c r="C44" t="e">
        <f>VLOOKUP(A44,'MBA CA Index'!A:B,2,0)</f>
        <v>#N/A</v>
      </c>
      <c r="D44">
        <f t="shared" si="0"/>
        <v>65.973512000000028</v>
      </c>
      <c r="E44">
        <f t="shared" si="1"/>
        <v>65.973512000000028</v>
      </c>
      <c r="F44">
        <f t="shared" si="3"/>
        <v>12.039407444444459</v>
      </c>
      <c r="AB44" s="10">
        <v>34151</v>
      </c>
      <c r="AC44">
        <f t="shared" si="4"/>
        <v>140.10472222222222</v>
      </c>
      <c r="AD44" t="e">
        <f t="shared" si="5"/>
        <v>#N/A</v>
      </c>
      <c r="AE44">
        <f t="shared" si="2"/>
        <v>12.039407444444459</v>
      </c>
    </row>
    <row r="45" spans="1:31" x14ac:dyDescent="0.25">
      <c r="A45" s="10">
        <v>34182</v>
      </c>
      <c r="B45" s="12">
        <v>151.6</v>
      </c>
      <c r="C45" t="e">
        <f>VLOOKUP(A45,'MBA CA Index'!A:B,2,0)</f>
        <v>#N/A</v>
      </c>
      <c r="D45">
        <f t="shared" si="0"/>
        <v>35.816239999999993</v>
      </c>
      <c r="E45">
        <f t="shared" si="1"/>
        <v>35.816239999999993</v>
      </c>
      <c r="F45">
        <f t="shared" si="3"/>
        <v>14.593306888888902</v>
      </c>
      <c r="AB45" s="10">
        <v>34182</v>
      </c>
      <c r="AC45">
        <f t="shared" si="4"/>
        <v>141.33944444444444</v>
      </c>
      <c r="AD45" t="e">
        <f t="shared" si="5"/>
        <v>#N/A</v>
      </c>
      <c r="AE45">
        <f t="shared" si="2"/>
        <v>14.593306888888902</v>
      </c>
    </row>
    <row r="46" spans="1:31" x14ac:dyDescent="0.25">
      <c r="A46" s="10">
        <v>34213</v>
      </c>
      <c r="B46" s="12">
        <v>177</v>
      </c>
      <c r="C46" t="e">
        <f>VLOOKUP(A46,'MBA CA Index'!A:B,2,0)</f>
        <v>#N/A</v>
      </c>
      <c r="D46">
        <f t="shared" si="0"/>
        <v>88.353600000000029</v>
      </c>
      <c r="E46">
        <f t="shared" si="1"/>
        <v>88.353600000000029</v>
      </c>
      <c r="F46">
        <f t="shared" si="3"/>
        <v>21.611503000000013</v>
      </c>
      <c r="AB46" s="10">
        <v>34213</v>
      </c>
      <c r="AC46">
        <f t="shared" si="4"/>
        <v>144.73249999999996</v>
      </c>
      <c r="AD46" t="e">
        <f t="shared" si="5"/>
        <v>#N/A</v>
      </c>
      <c r="AE46">
        <f t="shared" si="2"/>
        <v>21.611503000000013</v>
      </c>
    </row>
    <row r="47" spans="1:31" x14ac:dyDescent="0.25">
      <c r="A47" s="10">
        <v>34243</v>
      </c>
      <c r="B47" s="12">
        <v>163.98</v>
      </c>
      <c r="C47" t="e">
        <f>VLOOKUP(A47,'MBA CA Index'!A:B,2,0)</f>
        <v>#N/A</v>
      </c>
      <c r="D47">
        <f t="shared" si="0"/>
        <v>61.423031999999978</v>
      </c>
      <c r="E47">
        <f t="shared" si="1"/>
        <v>61.423031999999978</v>
      </c>
      <c r="F47">
        <f t="shared" si="3"/>
        <v>26.900861444444459</v>
      </c>
      <c r="AB47" s="10">
        <v>34243</v>
      </c>
      <c r="AC47">
        <f t="shared" si="4"/>
        <v>147.2897222222222</v>
      </c>
      <c r="AD47" t="e">
        <f t="shared" si="5"/>
        <v>#N/A</v>
      </c>
      <c r="AE47">
        <f t="shared" si="2"/>
        <v>26.900861444444459</v>
      </c>
    </row>
    <row r="48" spans="1:31" x14ac:dyDescent="0.25">
      <c r="A48" s="10">
        <v>34274</v>
      </c>
      <c r="B48" s="12">
        <v>162.22500000000002</v>
      </c>
      <c r="C48" t="e">
        <f>VLOOKUP(A48,'MBA CA Index'!A:B,2,0)</f>
        <v>#N/A</v>
      </c>
      <c r="D48">
        <f t="shared" si="0"/>
        <v>57.792990000000032</v>
      </c>
      <c r="E48">
        <f t="shared" si="1"/>
        <v>57.792990000000032</v>
      </c>
      <c r="F48">
        <f t="shared" si="3"/>
        <v>32.021875111111129</v>
      </c>
      <c r="AB48" s="10">
        <v>34274</v>
      </c>
      <c r="AC48">
        <f t="shared" si="4"/>
        <v>149.76555555555558</v>
      </c>
      <c r="AD48" t="e">
        <f t="shared" si="5"/>
        <v>#N/A</v>
      </c>
      <c r="AE48">
        <f t="shared" si="2"/>
        <v>32.021875111111129</v>
      </c>
    </row>
    <row r="49" spans="1:31" x14ac:dyDescent="0.25">
      <c r="A49" s="10">
        <v>34304</v>
      </c>
      <c r="B49" s="12">
        <v>151.4</v>
      </c>
      <c r="C49" t="e">
        <f>VLOOKUP(A49,'MBA CA Index'!A:B,2,0)</f>
        <v>#N/A</v>
      </c>
      <c r="D49">
        <f t="shared" si="0"/>
        <v>35.402559999999994</v>
      </c>
      <c r="E49">
        <f t="shared" si="1"/>
        <v>35.402559999999994</v>
      </c>
      <c r="F49">
        <f t="shared" si="3"/>
        <v>35.969071777777792</v>
      </c>
      <c r="AB49" s="10">
        <v>34304</v>
      </c>
      <c r="AC49">
        <f t="shared" si="4"/>
        <v>151.67388888888888</v>
      </c>
      <c r="AD49" t="e">
        <f t="shared" si="5"/>
        <v>#N/A</v>
      </c>
      <c r="AE49">
        <f t="shared" si="2"/>
        <v>35.969071777777792</v>
      </c>
    </row>
    <row r="50" spans="1:31" x14ac:dyDescent="0.25">
      <c r="A50" s="10">
        <v>34335</v>
      </c>
      <c r="B50" s="12">
        <v>134.77500000000001</v>
      </c>
      <c r="C50" t="e">
        <f>VLOOKUP(A50,'MBA CA Index'!A:B,2,0)</f>
        <v>#N/A</v>
      </c>
      <c r="D50">
        <f t="shared" si="0"/>
        <v>1.0154100000000312</v>
      </c>
      <c r="E50">
        <f t="shared" si="1"/>
        <v>1.0154100000000312</v>
      </c>
      <c r="F50">
        <f t="shared" si="3"/>
        <v>35.547922555555573</v>
      </c>
      <c r="AB50" s="10">
        <v>34335</v>
      </c>
      <c r="AC50">
        <f t="shared" si="4"/>
        <v>151.4702777777778</v>
      </c>
      <c r="AD50" t="e">
        <f t="shared" si="5"/>
        <v>#N/A</v>
      </c>
      <c r="AE50">
        <f t="shared" si="2"/>
        <v>35.547922555555573</v>
      </c>
    </row>
    <row r="51" spans="1:31" x14ac:dyDescent="0.25">
      <c r="A51" s="10">
        <v>34366</v>
      </c>
      <c r="B51" s="12">
        <v>155.04999999999998</v>
      </c>
      <c r="C51" t="e">
        <f>VLOOKUP(A51,'MBA CA Index'!A:B,2,0)</f>
        <v>#N/A</v>
      </c>
      <c r="D51">
        <f t="shared" si="0"/>
        <v>42.952219999999954</v>
      </c>
      <c r="E51">
        <f t="shared" si="1"/>
        <v>42.952219999999954</v>
      </c>
      <c r="F51">
        <f t="shared" si="3"/>
        <v>36.96132922222224</v>
      </c>
      <c r="AB51" s="10">
        <v>34366</v>
      </c>
      <c r="AC51">
        <f t="shared" si="4"/>
        <v>152.1536111111111</v>
      </c>
      <c r="AD51" t="e">
        <f t="shared" si="5"/>
        <v>#N/A</v>
      </c>
      <c r="AE51">
        <f t="shared" si="2"/>
        <v>36.96132922222224</v>
      </c>
    </row>
    <row r="52" spans="1:31" x14ac:dyDescent="0.25">
      <c r="A52" s="10">
        <v>34394</v>
      </c>
      <c r="B52" s="12">
        <v>150.85</v>
      </c>
      <c r="C52" t="e">
        <f>VLOOKUP(A52,'MBA CA Index'!A:B,2,0)</f>
        <v>#N/A</v>
      </c>
      <c r="D52">
        <f t="shared" si="0"/>
        <v>34.264940000000024</v>
      </c>
      <c r="E52">
        <f t="shared" si="1"/>
        <v>34.264940000000024</v>
      </c>
      <c r="F52">
        <f t="shared" si="3"/>
        <v>37.383627555555563</v>
      </c>
      <c r="AB52" s="10">
        <v>34394</v>
      </c>
      <c r="AC52">
        <f t="shared" si="4"/>
        <v>152.35777777777778</v>
      </c>
      <c r="AD52" t="e">
        <f t="shared" si="5"/>
        <v>#N/A</v>
      </c>
      <c r="AE52">
        <f t="shared" si="2"/>
        <v>37.383627555555563</v>
      </c>
    </row>
    <row r="53" spans="1:31" x14ac:dyDescent="0.25">
      <c r="A53" s="10">
        <v>34425</v>
      </c>
      <c r="B53" s="12">
        <v>161.08000000000001</v>
      </c>
      <c r="C53" t="e">
        <f>VLOOKUP(A53,'MBA CA Index'!A:B,2,0)</f>
        <v>#N/A</v>
      </c>
      <c r="D53">
        <f t="shared" si="0"/>
        <v>55.424672000000044</v>
      </c>
      <c r="E53">
        <f t="shared" si="1"/>
        <v>55.424672000000044</v>
      </c>
      <c r="F53">
        <f t="shared" si="3"/>
        <v>39.934654222222235</v>
      </c>
      <c r="AB53" s="10">
        <v>34425</v>
      </c>
      <c r="AC53">
        <f t="shared" si="4"/>
        <v>153.59111111111113</v>
      </c>
      <c r="AD53" t="e">
        <f t="shared" si="5"/>
        <v>#N/A</v>
      </c>
      <c r="AE53">
        <f t="shared" si="2"/>
        <v>39.934654222222235</v>
      </c>
    </row>
    <row r="54" spans="1:31" x14ac:dyDescent="0.25">
      <c r="A54" s="10">
        <v>34455</v>
      </c>
      <c r="B54" s="12">
        <v>145.9</v>
      </c>
      <c r="C54" t="e">
        <f>VLOOKUP(A54,'MBA CA Index'!A:B,2,0)</f>
        <v>#N/A</v>
      </c>
      <c r="D54">
        <f t="shared" si="0"/>
        <v>24.026360000000011</v>
      </c>
      <c r="E54">
        <f t="shared" si="1"/>
        <v>24.026360000000011</v>
      </c>
      <c r="F54">
        <f t="shared" si="3"/>
        <v>40.822342555555579</v>
      </c>
      <c r="AB54" s="10">
        <v>34455</v>
      </c>
      <c r="AC54">
        <f t="shared" si="4"/>
        <v>154.02027777777778</v>
      </c>
      <c r="AD54" t="e">
        <f t="shared" si="5"/>
        <v>#N/A</v>
      </c>
      <c r="AE54">
        <f t="shared" si="2"/>
        <v>40.822342555555579</v>
      </c>
    </row>
    <row r="55" spans="1:31" x14ac:dyDescent="0.25">
      <c r="A55" s="10">
        <v>34486</v>
      </c>
      <c r="B55" s="12">
        <v>145.17500000000001</v>
      </c>
      <c r="C55" t="e">
        <f>VLOOKUP(A55,'MBA CA Index'!A:B,2,0)</f>
        <v>#N/A</v>
      </c>
      <c r="D55">
        <f t="shared" si="0"/>
        <v>22.526770000000056</v>
      </c>
      <c r="E55">
        <f t="shared" si="1"/>
        <v>22.526770000000056</v>
      </c>
      <c r="F55">
        <f t="shared" si="3"/>
        <v>41.965708111111127</v>
      </c>
      <c r="AB55" s="10">
        <v>34486</v>
      </c>
      <c r="AC55">
        <f t="shared" si="4"/>
        <v>154.57305555555558</v>
      </c>
      <c r="AD55" t="e">
        <f t="shared" si="5"/>
        <v>#N/A</v>
      </c>
      <c r="AE55">
        <f t="shared" si="2"/>
        <v>41.965708111111127</v>
      </c>
    </row>
    <row r="56" spans="1:31" x14ac:dyDescent="0.25">
      <c r="A56" s="10">
        <v>34516</v>
      </c>
      <c r="B56" s="12">
        <v>144.07999999999998</v>
      </c>
      <c r="C56" t="e">
        <f>VLOOKUP(A56,'MBA CA Index'!A:B,2,0)</f>
        <v>#N/A</v>
      </c>
      <c r="D56">
        <f t="shared" si="0"/>
        <v>20.261871999999983</v>
      </c>
      <c r="E56">
        <f t="shared" si="1"/>
        <v>20.261871999999983</v>
      </c>
      <c r="F56">
        <f t="shared" si="3"/>
        <v>42.664367666666671</v>
      </c>
      <c r="AB56" s="10">
        <v>34516</v>
      </c>
      <c r="AC56">
        <f t="shared" si="4"/>
        <v>154.91083333333336</v>
      </c>
      <c r="AD56" t="e">
        <f t="shared" si="5"/>
        <v>#N/A</v>
      </c>
      <c r="AE56">
        <f t="shared" si="2"/>
        <v>42.664367666666671</v>
      </c>
    </row>
    <row r="57" spans="1:31" x14ac:dyDescent="0.25">
      <c r="A57" s="10">
        <v>34547</v>
      </c>
      <c r="B57" s="12">
        <v>141.75</v>
      </c>
      <c r="C57" t="e">
        <f>VLOOKUP(A57,'MBA CA Index'!A:B,2,0)</f>
        <v>#N/A</v>
      </c>
      <c r="D57">
        <f t="shared" si="0"/>
        <v>15.442499999999995</v>
      </c>
      <c r="E57">
        <f t="shared" si="1"/>
        <v>15.442499999999995</v>
      </c>
      <c r="F57">
        <f t="shared" si="3"/>
        <v>41.253833777777793</v>
      </c>
      <c r="AB57" s="10">
        <v>34547</v>
      </c>
      <c r="AC57">
        <f t="shared" si="4"/>
        <v>154.22888888888892</v>
      </c>
      <c r="AD57" t="e">
        <f t="shared" si="5"/>
        <v>#N/A</v>
      </c>
      <c r="AE57">
        <f t="shared" si="2"/>
        <v>41.253833777777793</v>
      </c>
    </row>
    <row r="58" spans="1:31" x14ac:dyDescent="0.25">
      <c r="A58" s="10">
        <v>34578</v>
      </c>
      <c r="B58" s="12">
        <v>138.07999999999998</v>
      </c>
      <c r="C58" t="e">
        <f>VLOOKUP(A58,'MBA CA Index'!A:B,2,0)</f>
        <v>#N/A</v>
      </c>
      <c r="D58">
        <f t="shared" si="0"/>
        <v>7.8514720000000011</v>
      </c>
      <c r="E58">
        <f t="shared" si="1"/>
        <v>7.8514720000000011</v>
      </c>
      <c r="F58">
        <f t="shared" si="3"/>
        <v>39.843874444444459</v>
      </c>
      <c r="AB58" s="10">
        <v>34578</v>
      </c>
      <c r="AC58">
        <f t="shared" si="4"/>
        <v>153.54722222222225</v>
      </c>
      <c r="AD58" t="e">
        <f t="shared" si="5"/>
        <v>#N/A</v>
      </c>
      <c r="AE58">
        <f t="shared" si="2"/>
        <v>39.843874444444459</v>
      </c>
    </row>
    <row r="59" spans="1:31" x14ac:dyDescent="0.25">
      <c r="A59" s="10">
        <v>34608</v>
      </c>
      <c r="B59" s="12">
        <v>135.27499999999998</v>
      </c>
      <c r="C59" t="e">
        <f>VLOOKUP(A59,'MBA CA Index'!A:B,2,0)</f>
        <v>#N/A</v>
      </c>
      <c r="D59">
        <f t="shared" si="0"/>
        <v>2.0496099999999728</v>
      </c>
      <c r="E59">
        <f t="shared" si="1"/>
        <v>2.0496099999999728</v>
      </c>
      <c r="F59">
        <f t="shared" si="3"/>
        <v>36.232792777777782</v>
      </c>
      <c r="AB59" s="10">
        <v>34608</v>
      </c>
      <c r="AC59">
        <f t="shared" si="4"/>
        <v>151.80138888888891</v>
      </c>
      <c r="AD59" t="e">
        <f t="shared" si="5"/>
        <v>#N/A</v>
      </c>
      <c r="AE59">
        <f t="shared" si="2"/>
        <v>36.232792777777782</v>
      </c>
    </row>
    <row r="60" spans="1:31" x14ac:dyDescent="0.25">
      <c r="A60" s="10">
        <v>34639</v>
      </c>
      <c r="B60" s="12">
        <v>135.67500000000001</v>
      </c>
      <c r="C60" t="e">
        <f>VLOOKUP(A60,'MBA CA Index'!A:B,2,0)</f>
        <v>#N/A</v>
      </c>
      <c r="D60">
        <f t="shared" si="0"/>
        <v>2.8769700000000284</v>
      </c>
      <c r="E60">
        <f t="shared" si="1"/>
        <v>2.8769700000000284</v>
      </c>
      <c r="F60">
        <f t="shared" si="3"/>
        <v>34.566581666666671</v>
      </c>
      <c r="AB60" s="10">
        <v>34639</v>
      </c>
      <c r="AC60">
        <f t="shared" si="4"/>
        <v>150.99583333333334</v>
      </c>
      <c r="AD60" t="e">
        <f t="shared" si="5"/>
        <v>#N/A</v>
      </c>
      <c r="AE60">
        <f t="shared" si="2"/>
        <v>34.566581666666671</v>
      </c>
    </row>
    <row r="61" spans="1:31" x14ac:dyDescent="0.25">
      <c r="A61" s="10">
        <v>34669</v>
      </c>
      <c r="B61" s="12">
        <v>124.52000000000001</v>
      </c>
      <c r="C61" t="e">
        <f>VLOOKUP(A61,'MBA CA Index'!A:B,2,0)</f>
        <v>#N/A</v>
      </c>
      <c r="D61">
        <f t="shared" si="0"/>
        <v>-20.196031999999946</v>
      </c>
      <c r="E61">
        <f t="shared" si="1"/>
        <v>-20.196031999999946</v>
      </c>
      <c r="F61">
        <f t="shared" si="3"/>
        <v>30.736594333333343</v>
      </c>
      <c r="AB61" s="10">
        <v>34669</v>
      </c>
      <c r="AC61">
        <f t="shared" si="4"/>
        <v>149.14416666666668</v>
      </c>
      <c r="AD61" t="e">
        <f t="shared" si="5"/>
        <v>#N/A</v>
      </c>
      <c r="AE61">
        <f t="shared" si="2"/>
        <v>30.736594333333343</v>
      </c>
    </row>
    <row r="62" spans="1:31" x14ac:dyDescent="0.25">
      <c r="A62" s="10">
        <v>34700</v>
      </c>
      <c r="B62" s="12">
        <v>129.65</v>
      </c>
      <c r="C62" t="e">
        <f>VLOOKUP(A62,'MBA CA Index'!A:B,2,0)</f>
        <v>#N/A</v>
      </c>
      <c r="D62">
        <f t="shared" si="0"/>
        <v>-9.5851399999999671</v>
      </c>
      <c r="E62">
        <f t="shared" si="1"/>
        <v>-9.5851399999999671</v>
      </c>
      <c r="F62">
        <f t="shared" si="3"/>
        <v>26.538891444444456</v>
      </c>
      <c r="AB62" s="10">
        <v>34700</v>
      </c>
      <c r="AC62">
        <f t="shared" si="4"/>
        <v>147.11472222222221</v>
      </c>
      <c r="AD62" t="e">
        <f t="shared" si="5"/>
        <v>#N/A</v>
      </c>
      <c r="AE62">
        <f t="shared" si="2"/>
        <v>26.538891444444456</v>
      </c>
    </row>
    <row r="63" spans="1:31" x14ac:dyDescent="0.25">
      <c r="A63" s="10">
        <v>34731</v>
      </c>
      <c r="B63" s="12">
        <v>139.17499999999998</v>
      </c>
      <c r="C63" t="e">
        <f>VLOOKUP(A63,'MBA CA Index'!A:B,2,0)</f>
        <v>#N/A</v>
      </c>
      <c r="D63">
        <f t="shared" si="0"/>
        <v>10.116369999999961</v>
      </c>
      <c r="E63">
        <f t="shared" si="1"/>
        <v>10.116369999999961</v>
      </c>
      <c r="F63">
        <f t="shared" si="3"/>
        <v>25.111120888888898</v>
      </c>
      <c r="AB63" s="10">
        <v>34731</v>
      </c>
      <c r="AC63">
        <f t="shared" si="4"/>
        <v>146.42444444444448</v>
      </c>
      <c r="AD63" t="e">
        <f t="shared" si="5"/>
        <v>#N/A</v>
      </c>
      <c r="AE63">
        <f t="shared" si="2"/>
        <v>25.111120888888898</v>
      </c>
    </row>
    <row r="64" spans="1:31" x14ac:dyDescent="0.25">
      <c r="A64" s="10">
        <v>34759</v>
      </c>
      <c r="B64" s="12">
        <v>139.45999999999998</v>
      </c>
      <c r="C64" t="e">
        <f>VLOOKUP(A64,'MBA CA Index'!A:B,2,0)</f>
        <v>#N/A</v>
      </c>
      <c r="D64">
        <f t="shared" si="0"/>
        <v>10.705863999999963</v>
      </c>
      <c r="E64">
        <f t="shared" si="1"/>
        <v>10.705863999999963</v>
      </c>
      <c r="F64">
        <f t="shared" si="3"/>
        <v>20.797357777777783</v>
      </c>
      <c r="AB64" s="10">
        <v>34759</v>
      </c>
      <c r="AC64">
        <f t="shared" si="4"/>
        <v>144.3388888888889</v>
      </c>
      <c r="AD64" t="e">
        <f t="shared" si="5"/>
        <v>#N/A</v>
      </c>
      <c r="AE64">
        <f t="shared" si="2"/>
        <v>20.797357777777783</v>
      </c>
    </row>
    <row r="65" spans="1:31" x14ac:dyDescent="0.25">
      <c r="A65" s="10">
        <v>34790</v>
      </c>
      <c r="B65" s="12">
        <v>150.02500000000001</v>
      </c>
      <c r="C65" t="e">
        <f>VLOOKUP(A65,'MBA CA Index'!A:B,2,0)</f>
        <v>#N/A</v>
      </c>
      <c r="D65">
        <f t="shared" si="0"/>
        <v>32.558510000000012</v>
      </c>
      <c r="E65">
        <f t="shared" si="1"/>
        <v>32.558510000000012</v>
      </c>
      <c r="F65">
        <f t="shared" si="3"/>
        <v>19.19377322222223</v>
      </c>
      <c r="AB65" s="10">
        <v>34790</v>
      </c>
      <c r="AC65">
        <f t="shared" si="4"/>
        <v>143.5636111111111</v>
      </c>
      <c r="AD65" t="e">
        <f t="shared" si="5"/>
        <v>#N/A</v>
      </c>
      <c r="AE65">
        <f t="shared" si="2"/>
        <v>19.19377322222223</v>
      </c>
    </row>
    <row r="66" spans="1:31" x14ac:dyDescent="0.25">
      <c r="A66" s="10">
        <v>34820</v>
      </c>
      <c r="B66" s="12">
        <v>156.14999999999998</v>
      </c>
      <c r="C66" t="e">
        <f>VLOOKUP(A66,'MBA CA Index'!A:B,2,0)</f>
        <v>#N/A</v>
      </c>
      <c r="D66">
        <f t="shared" si="0"/>
        <v>45.227459999999951</v>
      </c>
      <c r="E66">
        <f t="shared" si="1"/>
        <v>45.227459999999951</v>
      </c>
      <c r="F66">
        <f t="shared" si="3"/>
        <v>18.495688222222228</v>
      </c>
      <c r="AB66" s="10">
        <v>34820</v>
      </c>
      <c r="AC66">
        <f t="shared" si="4"/>
        <v>143.22611111111112</v>
      </c>
      <c r="AD66" t="e">
        <f t="shared" si="5"/>
        <v>#N/A</v>
      </c>
      <c r="AE66">
        <f t="shared" si="2"/>
        <v>18.495688222222228</v>
      </c>
    </row>
    <row r="67" spans="1:31" x14ac:dyDescent="0.25">
      <c r="A67" s="10">
        <v>34851</v>
      </c>
      <c r="B67" s="12">
        <v>172.23999999999995</v>
      </c>
      <c r="C67" t="e">
        <f>VLOOKUP(A67,'MBA CA Index'!A:B,2,0)</f>
        <v>#N/A</v>
      </c>
      <c r="D67">
        <f t="shared" ref="D67:D130" si="6">$J$2+$K$2*B67</f>
        <v>78.508015999999884</v>
      </c>
      <c r="E67">
        <f t="shared" ref="E67:E130" si="7">IF(ISNA(C67),D67,C67)</f>
        <v>78.508015999999884</v>
      </c>
      <c r="F67">
        <f t="shared" si="3"/>
        <v>20.890435777777775</v>
      </c>
      <c r="AB67" s="10">
        <v>34851</v>
      </c>
      <c r="AC67">
        <f t="shared" si="4"/>
        <v>144.38388888888889</v>
      </c>
      <c r="AD67" t="e">
        <f t="shared" si="5"/>
        <v>#N/A</v>
      </c>
      <c r="AE67">
        <f t="shared" ref="AE67:AE130" si="8">F67</f>
        <v>20.890435777777775</v>
      </c>
    </row>
    <row r="68" spans="1:31" x14ac:dyDescent="0.25">
      <c r="A68" s="10">
        <v>34881</v>
      </c>
      <c r="B68" s="12">
        <v>161.72499999999999</v>
      </c>
      <c r="C68" t="e">
        <f>VLOOKUP(A68,'MBA CA Index'!A:B,2,0)</f>
        <v>#N/A</v>
      </c>
      <c r="D68">
        <f t="shared" si="6"/>
        <v>56.758789999999976</v>
      </c>
      <c r="E68">
        <f t="shared" si="7"/>
        <v>56.758789999999976</v>
      </c>
      <c r="F68">
        <f t="shared" si="3"/>
        <v>23.987290222222217</v>
      </c>
      <c r="AB68" s="10">
        <v>34881</v>
      </c>
      <c r="AC68">
        <f t="shared" si="4"/>
        <v>145.8811111111111</v>
      </c>
      <c r="AD68" t="e">
        <f t="shared" si="5"/>
        <v>#N/A</v>
      </c>
      <c r="AE68">
        <f t="shared" si="8"/>
        <v>23.987290222222217</v>
      </c>
    </row>
    <row r="69" spans="1:31" x14ac:dyDescent="0.25">
      <c r="A69" s="10">
        <v>34912</v>
      </c>
      <c r="B69" s="12">
        <v>154.35</v>
      </c>
      <c r="C69" t="e">
        <f>VLOOKUP(A69,'MBA CA Index'!A:B,2,0)</f>
        <v>#N/A</v>
      </c>
      <c r="D69">
        <f t="shared" si="6"/>
        <v>41.504340000000013</v>
      </c>
      <c r="E69">
        <f t="shared" si="7"/>
        <v>41.504340000000013</v>
      </c>
      <c r="F69">
        <f t="shared" si="3"/>
        <v>23.906852444444443</v>
      </c>
      <c r="AB69" s="10">
        <v>34912</v>
      </c>
      <c r="AC69">
        <f t="shared" si="4"/>
        <v>145.8422222222222</v>
      </c>
      <c r="AD69" t="e">
        <f t="shared" si="5"/>
        <v>#N/A</v>
      </c>
      <c r="AE69">
        <f t="shared" si="8"/>
        <v>23.906852444444443</v>
      </c>
    </row>
    <row r="70" spans="1:31" x14ac:dyDescent="0.25">
      <c r="A70" s="10">
        <v>34943</v>
      </c>
      <c r="B70" s="12">
        <v>188.7</v>
      </c>
      <c r="C70" t="e">
        <f>VLOOKUP(A70,'MBA CA Index'!A:B,2,0)</f>
        <v>#N/A</v>
      </c>
      <c r="D70">
        <f t="shared" si="6"/>
        <v>112.55387999999999</v>
      </c>
      <c r="E70">
        <f t="shared" si="7"/>
        <v>112.55387999999999</v>
      </c>
      <c r="F70">
        <f t="shared" si="3"/>
        <v>28.256237999999996</v>
      </c>
      <c r="AB70" s="10">
        <v>34943</v>
      </c>
      <c r="AC70">
        <f t="shared" si="4"/>
        <v>147.94499999999999</v>
      </c>
      <c r="AD70" t="e">
        <f t="shared" si="5"/>
        <v>#N/A</v>
      </c>
      <c r="AE70">
        <f t="shared" si="8"/>
        <v>28.256237999999996</v>
      </c>
    </row>
    <row r="71" spans="1:31" x14ac:dyDescent="0.25">
      <c r="A71" s="10">
        <v>34973</v>
      </c>
      <c r="B71" s="12">
        <v>186.97499999999999</v>
      </c>
      <c r="C71" t="e">
        <f>VLOOKUP(A71,'MBA CA Index'!A:B,2,0)</f>
        <v>#N/A</v>
      </c>
      <c r="D71">
        <f t="shared" si="6"/>
        <v>108.98588999999998</v>
      </c>
      <c r="E71">
        <f t="shared" si="7"/>
        <v>108.98588999999998</v>
      </c>
      <c r="F71">
        <f t="shared" si="3"/>
        <v>31.231861222222214</v>
      </c>
      <c r="AB71" s="10">
        <v>34973</v>
      </c>
      <c r="AC71">
        <f t="shared" si="4"/>
        <v>149.38361111111109</v>
      </c>
      <c r="AD71" t="e">
        <f t="shared" si="5"/>
        <v>#N/A</v>
      </c>
      <c r="AE71">
        <f t="shared" si="8"/>
        <v>31.231861222222214</v>
      </c>
    </row>
    <row r="72" spans="1:31" x14ac:dyDescent="0.25">
      <c r="A72" s="10">
        <v>35004</v>
      </c>
      <c r="B72" s="12">
        <v>188.375</v>
      </c>
      <c r="C72" t="e">
        <f>VLOOKUP(A72,'MBA CA Index'!A:B,2,0)</f>
        <v>#N/A</v>
      </c>
      <c r="D72">
        <f t="shared" si="6"/>
        <v>111.88165000000004</v>
      </c>
      <c r="E72">
        <f t="shared" si="7"/>
        <v>111.88165000000004</v>
      </c>
      <c r="F72">
        <f t="shared" si="3"/>
        <v>36.112710666666658</v>
      </c>
      <c r="AB72" s="10">
        <v>35004</v>
      </c>
      <c r="AC72">
        <f t="shared" si="4"/>
        <v>151.74333333333334</v>
      </c>
      <c r="AD72" t="e">
        <f t="shared" si="5"/>
        <v>#N/A</v>
      </c>
      <c r="AE72">
        <f t="shared" si="8"/>
        <v>36.112710666666658</v>
      </c>
    </row>
    <row r="73" spans="1:31" x14ac:dyDescent="0.25">
      <c r="A73" s="10">
        <v>35034</v>
      </c>
      <c r="B73" s="12">
        <v>204.68</v>
      </c>
      <c r="C73" t="e">
        <f>VLOOKUP(A73,'MBA CA Index'!A:B,2,0)</f>
        <v>#N/A</v>
      </c>
      <c r="D73">
        <f t="shared" si="6"/>
        <v>145.60691200000002</v>
      </c>
      <c r="E73">
        <f t="shared" si="7"/>
        <v>145.60691200000002</v>
      </c>
      <c r="F73">
        <f t="shared" si="3"/>
        <v>42.950496333333327</v>
      </c>
      <c r="AB73" s="10">
        <v>35034</v>
      </c>
      <c r="AC73">
        <f t="shared" si="4"/>
        <v>155.04916666666665</v>
      </c>
      <c r="AD73" t="e">
        <f t="shared" si="5"/>
        <v>#N/A</v>
      </c>
      <c r="AE73">
        <f t="shared" si="8"/>
        <v>42.950496333333327</v>
      </c>
    </row>
    <row r="74" spans="1:31" x14ac:dyDescent="0.25">
      <c r="A74" s="10">
        <v>35065</v>
      </c>
      <c r="B74" s="12">
        <v>176.72500000000002</v>
      </c>
      <c r="C74" t="e">
        <f>VLOOKUP(A74,'MBA CA Index'!A:B,2,0)</f>
        <v>#N/A</v>
      </c>
      <c r="D74">
        <f t="shared" si="6"/>
        <v>87.784790000000044</v>
      </c>
      <c r="E74">
        <f t="shared" si="7"/>
        <v>87.784790000000044</v>
      </c>
      <c r="F74">
        <f t="shared" si="3"/>
        <v>46.701769555555551</v>
      </c>
      <c r="AB74" s="10">
        <v>35065</v>
      </c>
      <c r="AC74">
        <f t="shared" si="4"/>
        <v>156.86277777777775</v>
      </c>
      <c r="AD74" t="e">
        <f t="shared" si="5"/>
        <v>#N/A</v>
      </c>
      <c r="AE74">
        <f t="shared" si="8"/>
        <v>46.701769555555551</v>
      </c>
    </row>
    <row r="75" spans="1:31" x14ac:dyDescent="0.25">
      <c r="A75" s="10">
        <v>35096</v>
      </c>
      <c r="B75" s="12">
        <v>173.4</v>
      </c>
      <c r="C75" t="e">
        <f>VLOOKUP(A75,'MBA CA Index'!A:B,2,0)</f>
        <v>#N/A</v>
      </c>
      <c r="D75">
        <f t="shared" si="6"/>
        <v>80.90736000000004</v>
      </c>
      <c r="E75">
        <f t="shared" si="7"/>
        <v>80.90736000000004</v>
      </c>
      <c r="F75">
        <f t="shared" si="3"/>
        <v>50.338706222222221</v>
      </c>
      <c r="AB75" s="10">
        <v>35096</v>
      </c>
      <c r="AC75">
        <f t="shared" si="4"/>
        <v>158.62111111111108</v>
      </c>
      <c r="AD75" t="e">
        <f t="shared" si="5"/>
        <v>#N/A</v>
      </c>
      <c r="AE75">
        <f t="shared" si="8"/>
        <v>50.338706222222221</v>
      </c>
    </row>
    <row r="76" spans="1:31" x14ac:dyDescent="0.25">
      <c r="A76" s="10">
        <v>35125</v>
      </c>
      <c r="B76" s="12">
        <v>179.3</v>
      </c>
      <c r="C76" t="e">
        <f>VLOOKUP(A76,'MBA CA Index'!A:B,2,0)</f>
        <v>#N/A</v>
      </c>
      <c r="D76">
        <f t="shared" si="6"/>
        <v>93.110920000000021</v>
      </c>
      <c r="E76">
        <f t="shared" si="7"/>
        <v>93.110920000000021</v>
      </c>
      <c r="F76">
        <f t="shared" si="3"/>
        <v>55.075342222222226</v>
      </c>
      <c r="AB76" s="10">
        <v>35125</v>
      </c>
      <c r="AC76">
        <f t="shared" si="4"/>
        <v>160.9111111111111</v>
      </c>
      <c r="AD76" t="e">
        <f t="shared" si="5"/>
        <v>#N/A</v>
      </c>
      <c r="AE76">
        <f t="shared" si="8"/>
        <v>55.075342222222226</v>
      </c>
    </row>
    <row r="77" spans="1:31" x14ac:dyDescent="0.25">
      <c r="A77" s="10">
        <v>35156</v>
      </c>
      <c r="B77" s="12">
        <v>177.34999999999997</v>
      </c>
      <c r="C77" t="e">
        <f>VLOOKUP(A77,'MBA CA Index'!A:B,2,0)</f>
        <v>#N/A</v>
      </c>
      <c r="D77">
        <f t="shared" si="6"/>
        <v>89.077539999999942</v>
      </c>
      <c r="E77">
        <f t="shared" si="7"/>
        <v>89.077539999999942</v>
      </c>
      <c r="F77">
        <f t="shared" si="3"/>
        <v>59.910227222222225</v>
      </c>
      <c r="AB77" s="10">
        <v>35156</v>
      </c>
      <c r="AC77">
        <f t="shared" si="4"/>
        <v>163.2486111111111</v>
      </c>
      <c r="AD77" t="e">
        <f t="shared" si="5"/>
        <v>#N/A</v>
      </c>
      <c r="AE77">
        <f t="shared" si="8"/>
        <v>59.910227222222225</v>
      </c>
    </row>
    <row r="78" spans="1:31" x14ac:dyDescent="0.25">
      <c r="A78" s="10">
        <v>35186</v>
      </c>
      <c r="B78" s="12">
        <v>189.14000000000001</v>
      </c>
      <c r="C78" t="e">
        <f>VLOOKUP(A78,'MBA CA Index'!A:B,2,0)</f>
        <v>#N/A</v>
      </c>
      <c r="D78">
        <f t="shared" si="6"/>
        <v>113.46397600000006</v>
      </c>
      <c r="E78">
        <f t="shared" si="7"/>
        <v>113.46397600000006</v>
      </c>
      <c r="F78">
        <f t="shared" si="3"/>
        <v>66.053949777777774</v>
      </c>
      <c r="AB78" s="10">
        <v>35186</v>
      </c>
      <c r="AC78">
        <f t="shared" si="4"/>
        <v>166.21888888888887</v>
      </c>
      <c r="AD78" t="e">
        <f t="shared" si="5"/>
        <v>#N/A</v>
      </c>
      <c r="AE78">
        <f t="shared" si="8"/>
        <v>66.053949777777774</v>
      </c>
    </row>
    <row r="79" spans="1:31" x14ac:dyDescent="0.25">
      <c r="A79" s="10">
        <v>35217</v>
      </c>
      <c r="B79" s="12">
        <v>183.67499999999998</v>
      </c>
      <c r="C79" t="e">
        <f>VLOOKUP(A79,'MBA CA Index'!A:B,2,0)</f>
        <v>#N/A</v>
      </c>
      <c r="D79">
        <f t="shared" si="6"/>
        <v>102.16016999999999</v>
      </c>
      <c r="E79">
        <f t="shared" si="7"/>
        <v>102.16016999999999</v>
      </c>
      <c r="F79">
        <f t="shared" si="3"/>
        <v>72.851516555555563</v>
      </c>
      <c r="AB79" s="10">
        <v>35217</v>
      </c>
      <c r="AC79">
        <f t="shared" si="4"/>
        <v>169.50527777777776</v>
      </c>
      <c r="AD79" t="e">
        <f t="shared" si="5"/>
        <v>#N/A</v>
      </c>
      <c r="AE79">
        <f t="shared" si="8"/>
        <v>72.851516555555563</v>
      </c>
    </row>
    <row r="80" spans="1:31" x14ac:dyDescent="0.25">
      <c r="A80" s="10">
        <v>35247</v>
      </c>
      <c r="B80" s="12">
        <v>181.50000000000003</v>
      </c>
      <c r="C80" t="e">
        <f>VLOOKUP(A80,'MBA CA Index'!A:B,2,0)</f>
        <v>#N/A</v>
      </c>
      <c r="D80">
        <f t="shared" si="6"/>
        <v>97.661400000000071</v>
      </c>
      <c r="E80">
        <f t="shared" si="7"/>
        <v>97.661400000000071</v>
      </c>
      <c r="F80">
        <f t="shared" si="3"/>
        <v>78.809657666666652</v>
      </c>
      <c r="AB80" s="10">
        <v>35247</v>
      </c>
      <c r="AC80">
        <f t="shared" si="4"/>
        <v>172.38583333333335</v>
      </c>
      <c r="AD80" t="e">
        <f t="shared" si="5"/>
        <v>#N/A</v>
      </c>
      <c r="AE80">
        <f t="shared" si="8"/>
        <v>78.809657666666652</v>
      </c>
    </row>
    <row r="81" spans="1:31" x14ac:dyDescent="0.25">
      <c r="A81" s="10">
        <v>35278</v>
      </c>
      <c r="B81" s="12">
        <v>182.02000000000004</v>
      </c>
      <c r="C81" t="e">
        <f>VLOOKUP(A81,'MBA CA Index'!A:B,2,0)</f>
        <v>#N/A</v>
      </c>
      <c r="D81">
        <f t="shared" si="6"/>
        <v>98.736968000000104</v>
      </c>
      <c r="E81">
        <f t="shared" si="7"/>
        <v>98.736968000000104</v>
      </c>
      <c r="F81">
        <f t="shared" si="3"/>
        <v>83.733024222222241</v>
      </c>
      <c r="AB81" s="10">
        <v>35278</v>
      </c>
      <c r="AC81">
        <f t="shared" si="4"/>
        <v>174.76611111111114</v>
      </c>
      <c r="AD81" t="e">
        <f t="shared" si="5"/>
        <v>#N/A</v>
      </c>
      <c r="AE81">
        <f t="shared" si="8"/>
        <v>83.733024222222241</v>
      </c>
    </row>
    <row r="82" spans="1:31" x14ac:dyDescent="0.25">
      <c r="A82" s="10">
        <v>35309</v>
      </c>
      <c r="B82" s="12">
        <v>186.375</v>
      </c>
      <c r="C82" t="e">
        <f>VLOOKUP(A82,'MBA CA Index'!A:B,2,0)</f>
        <v>#N/A</v>
      </c>
      <c r="D82">
        <f t="shared" si="6"/>
        <v>107.74484999999999</v>
      </c>
      <c r="E82">
        <f t="shared" si="7"/>
        <v>107.74484999999999</v>
      </c>
      <c r="F82">
        <f t="shared" si="3"/>
        <v>89.124079000000009</v>
      </c>
      <c r="AB82" s="10">
        <v>35309</v>
      </c>
      <c r="AC82">
        <f t="shared" si="4"/>
        <v>177.3725</v>
      </c>
      <c r="AD82" t="e">
        <f t="shared" si="5"/>
        <v>#N/A</v>
      </c>
      <c r="AE82">
        <f t="shared" si="8"/>
        <v>89.124079000000009</v>
      </c>
    </row>
    <row r="83" spans="1:31" x14ac:dyDescent="0.25">
      <c r="A83" s="10">
        <v>35339</v>
      </c>
      <c r="B83" s="12">
        <v>182.27500000000001</v>
      </c>
      <c r="C83" t="e">
        <f>VLOOKUP(A83,'MBA CA Index'!A:B,2,0)</f>
        <v>#N/A</v>
      </c>
      <c r="D83">
        <f t="shared" si="6"/>
        <v>99.264409999999998</v>
      </c>
      <c r="E83">
        <f t="shared" si="7"/>
        <v>99.264409999999998</v>
      </c>
      <c r="F83">
        <f t="shared" si="3"/>
        <v>92.829962333333327</v>
      </c>
      <c r="AB83" s="10">
        <v>35339</v>
      </c>
      <c r="AC83">
        <f t="shared" si="4"/>
        <v>179.16416666666669</v>
      </c>
      <c r="AD83" t="e">
        <f t="shared" si="5"/>
        <v>#N/A</v>
      </c>
      <c r="AE83">
        <f t="shared" si="8"/>
        <v>92.829962333333327</v>
      </c>
    </row>
    <row r="84" spans="1:31" x14ac:dyDescent="0.25">
      <c r="A84" s="10">
        <v>35370</v>
      </c>
      <c r="B84" s="12">
        <v>199.88000000000002</v>
      </c>
      <c r="C84" t="e">
        <f>VLOOKUP(A84,'MBA CA Index'!A:B,2,0)</f>
        <v>#N/A</v>
      </c>
      <c r="D84">
        <f t="shared" si="6"/>
        <v>135.67859200000004</v>
      </c>
      <c r="E84">
        <f t="shared" si="7"/>
        <v>135.67859200000004</v>
      </c>
      <c r="F84">
        <f t="shared" si="3"/>
        <v>97.855025222222238</v>
      </c>
      <c r="AB84" s="10">
        <v>35370</v>
      </c>
      <c r="AC84">
        <f t="shared" si="4"/>
        <v>181.59361111111113</v>
      </c>
      <c r="AD84" t="e">
        <f t="shared" si="5"/>
        <v>#N/A</v>
      </c>
      <c r="AE84">
        <f t="shared" si="8"/>
        <v>97.855025222222238</v>
      </c>
    </row>
    <row r="85" spans="1:31" x14ac:dyDescent="0.25">
      <c r="A85" s="10">
        <v>35400</v>
      </c>
      <c r="B85" s="12">
        <v>190.17500000000001</v>
      </c>
      <c r="C85" t="e">
        <f>VLOOKUP(A85,'MBA CA Index'!A:B,2,0)</f>
        <v>#N/A</v>
      </c>
      <c r="D85">
        <f t="shared" si="6"/>
        <v>115.60477000000003</v>
      </c>
      <c r="E85">
        <f t="shared" si="7"/>
        <v>115.60477000000003</v>
      </c>
      <c r="F85">
        <f t="shared" ref="F85:F148" si="9">AVERAGE(E68:E85)</f>
        <v>99.915955999999994</v>
      </c>
      <c r="AB85" s="10">
        <v>35400</v>
      </c>
      <c r="AC85">
        <f t="shared" ref="AC85:AC148" si="10">AVERAGE(B68:B85)</f>
        <v>182.59000000000003</v>
      </c>
      <c r="AD85" t="e">
        <f t="shared" ref="AD85:AD148" si="11">AVERAGE(C68:C85)</f>
        <v>#N/A</v>
      </c>
      <c r="AE85">
        <f t="shared" si="8"/>
        <v>99.915955999999994</v>
      </c>
    </row>
    <row r="86" spans="1:31" x14ac:dyDescent="0.25">
      <c r="A86" s="10">
        <v>35431</v>
      </c>
      <c r="B86" s="12">
        <v>184.28000000000003</v>
      </c>
      <c r="C86" t="e">
        <f>VLOOKUP(A86,'MBA CA Index'!A:B,2,0)</f>
        <v>#N/A</v>
      </c>
      <c r="D86">
        <f t="shared" si="6"/>
        <v>103.41155200000009</v>
      </c>
      <c r="E86">
        <f t="shared" si="7"/>
        <v>103.41155200000009</v>
      </c>
      <c r="F86">
        <f t="shared" si="9"/>
        <v>102.50777611111113</v>
      </c>
      <c r="AB86" s="10">
        <v>35431</v>
      </c>
      <c r="AC86">
        <f t="shared" si="10"/>
        <v>183.84305555555559</v>
      </c>
      <c r="AD86" t="e">
        <f t="shared" si="11"/>
        <v>#N/A</v>
      </c>
      <c r="AE86">
        <f t="shared" si="8"/>
        <v>102.50777611111113</v>
      </c>
    </row>
    <row r="87" spans="1:31" x14ac:dyDescent="0.25">
      <c r="A87" s="10">
        <v>35462</v>
      </c>
      <c r="B87" s="12">
        <v>184.20000000000002</v>
      </c>
      <c r="C87" t="e">
        <f>VLOOKUP(A87,'MBA CA Index'!A:B,2,0)</f>
        <v>#N/A</v>
      </c>
      <c r="D87">
        <f t="shared" si="6"/>
        <v>103.24608000000006</v>
      </c>
      <c r="E87">
        <f t="shared" si="7"/>
        <v>103.24608000000006</v>
      </c>
      <c r="F87">
        <f t="shared" si="9"/>
        <v>105.9378727777778</v>
      </c>
      <c r="AB87" s="10">
        <v>35462</v>
      </c>
      <c r="AC87">
        <f t="shared" si="10"/>
        <v>185.50138888888893</v>
      </c>
      <c r="AD87" t="e">
        <f t="shared" si="11"/>
        <v>#N/A</v>
      </c>
      <c r="AE87">
        <f t="shared" si="8"/>
        <v>105.9378727777778</v>
      </c>
    </row>
    <row r="88" spans="1:31" x14ac:dyDescent="0.25">
      <c r="A88" s="10">
        <v>35490</v>
      </c>
      <c r="B88" s="12">
        <v>204.875</v>
      </c>
      <c r="C88" t="e">
        <f>VLOOKUP(A88,'MBA CA Index'!A:B,2,0)</f>
        <v>#N/A</v>
      </c>
      <c r="D88">
        <f t="shared" si="6"/>
        <v>146.01024999999998</v>
      </c>
      <c r="E88">
        <f t="shared" si="7"/>
        <v>146.01024999999998</v>
      </c>
      <c r="F88">
        <f t="shared" si="9"/>
        <v>107.79656000000003</v>
      </c>
      <c r="AB88" s="10">
        <v>35490</v>
      </c>
      <c r="AC88">
        <f t="shared" si="10"/>
        <v>186.4</v>
      </c>
      <c r="AD88" t="e">
        <f t="shared" si="11"/>
        <v>#N/A</v>
      </c>
      <c r="AE88">
        <f t="shared" si="8"/>
        <v>107.79656000000003</v>
      </c>
    </row>
    <row r="89" spans="1:31" x14ac:dyDescent="0.25">
      <c r="A89" s="10">
        <v>35521</v>
      </c>
      <c r="B89" s="12">
        <v>179.8</v>
      </c>
      <c r="C89" t="e">
        <f>VLOOKUP(A89,'MBA CA Index'!A:B,2,0)</f>
        <v>#N/A</v>
      </c>
      <c r="D89">
        <f t="shared" si="6"/>
        <v>94.14512000000002</v>
      </c>
      <c r="E89">
        <f t="shared" si="7"/>
        <v>94.14512000000002</v>
      </c>
      <c r="F89">
        <f t="shared" si="9"/>
        <v>106.97207277777781</v>
      </c>
      <c r="AB89" s="10">
        <v>35521</v>
      </c>
      <c r="AC89">
        <f t="shared" si="10"/>
        <v>186.00138888888893</v>
      </c>
      <c r="AD89" t="e">
        <f t="shared" si="11"/>
        <v>#N/A</v>
      </c>
      <c r="AE89">
        <f t="shared" si="8"/>
        <v>106.97207277777781</v>
      </c>
    </row>
    <row r="90" spans="1:31" x14ac:dyDescent="0.25">
      <c r="A90" s="10">
        <v>35551</v>
      </c>
      <c r="B90" s="12">
        <v>192.95999999999998</v>
      </c>
      <c r="C90" t="e">
        <f>VLOOKUP(A90,'MBA CA Index'!A:B,2,0)</f>
        <v>#N/A</v>
      </c>
      <c r="D90">
        <f t="shared" si="6"/>
        <v>121.36526399999997</v>
      </c>
      <c r="E90">
        <f t="shared" si="7"/>
        <v>121.36526399999997</v>
      </c>
      <c r="F90">
        <f t="shared" si="9"/>
        <v>107.49894022222227</v>
      </c>
      <c r="AB90" s="10">
        <v>35551</v>
      </c>
      <c r="AC90">
        <f t="shared" si="10"/>
        <v>186.25611111111115</v>
      </c>
      <c r="AD90" t="e">
        <f t="shared" si="11"/>
        <v>#N/A</v>
      </c>
      <c r="AE90">
        <f t="shared" si="8"/>
        <v>107.49894022222227</v>
      </c>
    </row>
    <row r="91" spans="1:31" x14ac:dyDescent="0.25">
      <c r="A91" s="10">
        <v>35582</v>
      </c>
      <c r="B91" s="12">
        <v>207.75</v>
      </c>
      <c r="C91" t="e">
        <f>VLOOKUP(A91,'MBA CA Index'!A:B,2,0)</f>
        <v>#N/A</v>
      </c>
      <c r="D91">
        <f t="shared" si="6"/>
        <v>151.95690000000002</v>
      </c>
      <c r="E91">
        <f t="shared" si="7"/>
        <v>151.95690000000002</v>
      </c>
      <c r="F91">
        <f t="shared" si="9"/>
        <v>107.85171733333338</v>
      </c>
      <c r="AB91" s="10">
        <v>35582</v>
      </c>
      <c r="AC91">
        <f t="shared" si="10"/>
        <v>186.42666666666668</v>
      </c>
      <c r="AD91" t="e">
        <f t="shared" si="11"/>
        <v>#N/A</v>
      </c>
      <c r="AE91">
        <f t="shared" si="8"/>
        <v>107.85171733333338</v>
      </c>
    </row>
    <row r="92" spans="1:31" x14ac:dyDescent="0.25">
      <c r="A92" s="10">
        <v>35612</v>
      </c>
      <c r="B92" s="12">
        <v>211.45</v>
      </c>
      <c r="C92" t="e">
        <f>VLOOKUP(A92,'MBA CA Index'!A:B,2,0)</f>
        <v>#N/A</v>
      </c>
      <c r="D92">
        <f t="shared" si="6"/>
        <v>159.60998000000001</v>
      </c>
      <c r="E92">
        <f t="shared" si="7"/>
        <v>159.60998000000001</v>
      </c>
      <c r="F92">
        <f t="shared" si="9"/>
        <v>111.84200566666669</v>
      </c>
      <c r="AB92" s="10">
        <v>35612</v>
      </c>
      <c r="AC92">
        <f t="shared" si="10"/>
        <v>188.35583333333335</v>
      </c>
      <c r="AD92" t="e">
        <f t="shared" si="11"/>
        <v>#N/A</v>
      </c>
      <c r="AE92">
        <f t="shared" si="8"/>
        <v>111.84200566666669</v>
      </c>
    </row>
    <row r="93" spans="1:31" x14ac:dyDescent="0.25">
      <c r="A93" s="10">
        <v>35643</v>
      </c>
      <c r="B93" s="12">
        <v>213.92</v>
      </c>
      <c r="C93" t="e">
        <f>VLOOKUP(A93,'MBA CA Index'!A:B,2,0)</f>
        <v>#N/A</v>
      </c>
      <c r="D93">
        <f t="shared" si="6"/>
        <v>164.71892800000001</v>
      </c>
      <c r="E93">
        <f t="shared" si="7"/>
        <v>164.71892800000001</v>
      </c>
      <c r="F93">
        <f t="shared" si="9"/>
        <v>116.49820388888891</v>
      </c>
      <c r="AB93" s="10">
        <v>35643</v>
      </c>
      <c r="AC93">
        <f t="shared" si="10"/>
        <v>190.60694444444445</v>
      </c>
      <c r="AD93" t="e">
        <f t="shared" si="11"/>
        <v>#N/A</v>
      </c>
      <c r="AE93">
        <f t="shared" si="8"/>
        <v>116.49820388888891</v>
      </c>
    </row>
    <row r="94" spans="1:31" x14ac:dyDescent="0.25">
      <c r="A94" s="10">
        <v>35674</v>
      </c>
      <c r="B94" s="12">
        <v>218.32499999999999</v>
      </c>
      <c r="C94" t="e">
        <f>VLOOKUP(A94,'MBA CA Index'!A:B,2,0)</f>
        <v>#N/A</v>
      </c>
      <c r="D94">
        <f t="shared" si="6"/>
        <v>173.83022999999997</v>
      </c>
      <c r="E94">
        <f t="shared" si="7"/>
        <v>173.83022999999997</v>
      </c>
      <c r="F94">
        <f t="shared" si="9"/>
        <v>120.98261000000005</v>
      </c>
      <c r="AB94" s="10">
        <v>35674</v>
      </c>
      <c r="AC94">
        <f t="shared" si="10"/>
        <v>192.77499999999998</v>
      </c>
      <c r="AD94" t="e">
        <f t="shared" si="11"/>
        <v>#N/A</v>
      </c>
      <c r="AE94">
        <f t="shared" si="8"/>
        <v>120.98261000000005</v>
      </c>
    </row>
    <row r="95" spans="1:31" x14ac:dyDescent="0.25">
      <c r="A95" s="10">
        <v>35704</v>
      </c>
      <c r="B95" s="12">
        <v>220.12000000000003</v>
      </c>
      <c r="C95" t="e">
        <f>VLOOKUP(A95,'MBA CA Index'!A:B,2,0)</f>
        <v>#N/A</v>
      </c>
      <c r="D95">
        <f t="shared" si="6"/>
        <v>177.5430080000001</v>
      </c>
      <c r="E95">
        <f t="shared" si="7"/>
        <v>177.5430080000001</v>
      </c>
      <c r="F95">
        <f t="shared" si="9"/>
        <v>125.89735822222227</v>
      </c>
      <c r="AB95" s="10">
        <v>35704</v>
      </c>
      <c r="AC95">
        <f t="shared" si="10"/>
        <v>195.15111111111113</v>
      </c>
      <c r="AD95" t="e">
        <f t="shared" si="11"/>
        <v>#N/A</v>
      </c>
      <c r="AE95">
        <f t="shared" si="8"/>
        <v>125.89735822222227</v>
      </c>
    </row>
    <row r="96" spans="1:31" x14ac:dyDescent="0.25">
      <c r="A96" s="10">
        <v>35735</v>
      </c>
      <c r="B96" s="12">
        <v>224.82500000000002</v>
      </c>
      <c r="C96" t="e">
        <f>VLOOKUP(A96,'MBA CA Index'!A:B,2,0)</f>
        <v>#N/A</v>
      </c>
      <c r="D96">
        <f t="shared" si="6"/>
        <v>187.27483000000007</v>
      </c>
      <c r="E96">
        <f t="shared" si="7"/>
        <v>187.27483000000007</v>
      </c>
      <c r="F96">
        <f t="shared" si="9"/>
        <v>129.99796122222227</v>
      </c>
      <c r="AB96" s="10">
        <v>35735</v>
      </c>
      <c r="AC96">
        <f t="shared" si="10"/>
        <v>197.13361111111109</v>
      </c>
      <c r="AD96" t="e">
        <f t="shared" si="11"/>
        <v>#N/A</v>
      </c>
      <c r="AE96">
        <f t="shared" si="8"/>
        <v>129.99796122222227</v>
      </c>
    </row>
    <row r="97" spans="1:31" x14ac:dyDescent="0.25">
      <c r="A97" s="10">
        <v>35765</v>
      </c>
      <c r="B97" s="12">
        <v>227.87500000000003</v>
      </c>
      <c r="C97" t="e">
        <f>VLOOKUP(A97,'MBA CA Index'!A:B,2,0)</f>
        <v>#N/A</v>
      </c>
      <c r="D97">
        <f t="shared" si="6"/>
        <v>193.58345000000008</v>
      </c>
      <c r="E97">
        <f t="shared" si="7"/>
        <v>193.58345000000008</v>
      </c>
      <c r="F97">
        <f t="shared" si="9"/>
        <v>135.07703233333339</v>
      </c>
      <c r="AB97" s="10">
        <v>35765</v>
      </c>
      <c r="AC97">
        <f t="shared" si="10"/>
        <v>199.58916666666664</v>
      </c>
      <c r="AD97" t="e">
        <f t="shared" si="11"/>
        <v>#N/A</v>
      </c>
      <c r="AE97">
        <f t="shared" si="8"/>
        <v>135.07703233333339</v>
      </c>
    </row>
    <row r="98" spans="1:31" x14ac:dyDescent="0.25">
      <c r="A98" s="10">
        <v>35796</v>
      </c>
      <c r="B98" s="12">
        <v>270.17999999999995</v>
      </c>
      <c r="C98" t="e">
        <f>VLOOKUP(A98,'MBA CA Index'!A:B,2,0)</f>
        <v>#N/A</v>
      </c>
      <c r="D98">
        <f t="shared" si="6"/>
        <v>281.08711199999993</v>
      </c>
      <c r="E98">
        <f t="shared" si="7"/>
        <v>281.08711199999993</v>
      </c>
      <c r="F98">
        <f t="shared" si="9"/>
        <v>145.26734966666669</v>
      </c>
      <c r="AB98" s="10">
        <v>35796</v>
      </c>
      <c r="AC98">
        <f t="shared" si="10"/>
        <v>204.51583333333329</v>
      </c>
      <c r="AD98" t="e">
        <f t="shared" si="11"/>
        <v>#N/A</v>
      </c>
      <c r="AE98">
        <f t="shared" si="8"/>
        <v>145.26734966666669</v>
      </c>
    </row>
    <row r="99" spans="1:31" x14ac:dyDescent="0.25">
      <c r="A99" s="10">
        <v>35827</v>
      </c>
      <c r="B99" s="12">
        <v>235</v>
      </c>
      <c r="C99" t="e">
        <f>VLOOKUP(A99,'MBA CA Index'!A:B,2,0)</f>
        <v>#N/A</v>
      </c>
      <c r="D99">
        <f t="shared" si="6"/>
        <v>208.32080000000002</v>
      </c>
      <c r="E99">
        <f t="shared" si="7"/>
        <v>208.32080000000002</v>
      </c>
      <c r="F99">
        <f t="shared" si="9"/>
        <v>151.3553403333334</v>
      </c>
      <c r="AB99" s="10">
        <v>35827</v>
      </c>
      <c r="AC99">
        <f t="shared" si="10"/>
        <v>207.45916666666665</v>
      </c>
      <c r="AD99" t="e">
        <f t="shared" si="11"/>
        <v>#N/A</v>
      </c>
      <c r="AE99">
        <f t="shared" si="8"/>
        <v>151.3553403333334</v>
      </c>
    </row>
    <row r="100" spans="1:31" x14ac:dyDescent="0.25">
      <c r="A100" s="10">
        <v>35855</v>
      </c>
      <c r="B100" s="12">
        <v>224.72500000000002</v>
      </c>
      <c r="C100" t="e">
        <f>VLOOKUP(A100,'MBA CA Index'!A:B,2,0)</f>
        <v>#N/A</v>
      </c>
      <c r="D100">
        <f t="shared" si="6"/>
        <v>187.06799000000007</v>
      </c>
      <c r="E100">
        <f t="shared" si="7"/>
        <v>187.06799000000007</v>
      </c>
      <c r="F100">
        <f t="shared" si="9"/>
        <v>155.76218144444451</v>
      </c>
      <c r="AB100" s="10">
        <v>35855</v>
      </c>
      <c r="AC100">
        <f t="shared" si="10"/>
        <v>209.58972222222218</v>
      </c>
      <c r="AD100" t="e">
        <f t="shared" si="11"/>
        <v>#N/A</v>
      </c>
      <c r="AE100">
        <f t="shared" si="8"/>
        <v>155.76218144444451</v>
      </c>
    </row>
    <row r="101" spans="1:31" x14ac:dyDescent="0.25">
      <c r="A101" s="10">
        <v>35886</v>
      </c>
      <c r="B101" s="12">
        <v>251.20000000000002</v>
      </c>
      <c r="C101" t="e">
        <f>VLOOKUP(A101,'MBA CA Index'!A:B,2,0)</f>
        <v>#N/A</v>
      </c>
      <c r="D101">
        <f t="shared" si="6"/>
        <v>241.82888000000003</v>
      </c>
      <c r="E101">
        <f t="shared" si="7"/>
        <v>241.82888000000003</v>
      </c>
      <c r="F101">
        <f t="shared" si="9"/>
        <v>163.6824297777778</v>
      </c>
      <c r="AB101" s="10">
        <v>35886</v>
      </c>
      <c r="AC101">
        <f t="shared" si="10"/>
        <v>213.41888888888886</v>
      </c>
      <c r="AD101" t="e">
        <f t="shared" si="11"/>
        <v>#N/A</v>
      </c>
      <c r="AE101">
        <f t="shared" si="8"/>
        <v>163.6824297777778</v>
      </c>
    </row>
    <row r="102" spans="1:31" x14ac:dyDescent="0.25">
      <c r="A102" s="10">
        <v>35916</v>
      </c>
      <c r="B102" s="12">
        <v>264.88</v>
      </c>
      <c r="C102" t="e">
        <f>VLOOKUP(A102,'MBA CA Index'!A:B,2,0)</f>
        <v>#N/A</v>
      </c>
      <c r="D102">
        <f t="shared" si="6"/>
        <v>270.12459200000001</v>
      </c>
      <c r="E102">
        <f t="shared" si="7"/>
        <v>270.12459200000001</v>
      </c>
      <c r="F102">
        <f t="shared" si="9"/>
        <v>171.15165200000004</v>
      </c>
      <c r="AB102" s="10">
        <v>35916</v>
      </c>
      <c r="AC102">
        <f t="shared" si="10"/>
        <v>217.03</v>
      </c>
      <c r="AD102" t="e">
        <f t="shared" si="11"/>
        <v>#N/A</v>
      </c>
      <c r="AE102">
        <f t="shared" si="8"/>
        <v>171.15165200000004</v>
      </c>
    </row>
    <row r="103" spans="1:31" x14ac:dyDescent="0.25">
      <c r="A103" s="10">
        <v>35947</v>
      </c>
      <c r="B103" s="12">
        <v>262.52500000000003</v>
      </c>
      <c r="C103" t="e">
        <f>VLOOKUP(A103,'MBA CA Index'!A:B,2,0)</f>
        <v>#N/A</v>
      </c>
      <c r="D103">
        <f t="shared" si="6"/>
        <v>265.25351000000012</v>
      </c>
      <c r="E103">
        <f t="shared" si="7"/>
        <v>265.25351000000012</v>
      </c>
      <c r="F103">
        <f t="shared" si="9"/>
        <v>179.46547088888892</v>
      </c>
      <c r="AB103" s="10">
        <v>35947</v>
      </c>
      <c r="AC103">
        <f t="shared" si="10"/>
        <v>221.04944444444445</v>
      </c>
      <c r="AD103" t="e">
        <f t="shared" si="11"/>
        <v>#N/A</v>
      </c>
      <c r="AE103">
        <f t="shared" si="8"/>
        <v>179.46547088888892</v>
      </c>
    </row>
    <row r="104" spans="1:31" x14ac:dyDescent="0.25">
      <c r="A104" s="10">
        <v>35977</v>
      </c>
      <c r="B104" s="12">
        <v>262.7</v>
      </c>
      <c r="C104" t="e">
        <f>VLOOKUP(A104,'MBA CA Index'!A:B,2,0)</f>
        <v>#N/A</v>
      </c>
      <c r="D104">
        <f t="shared" si="6"/>
        <v>265.61547999999993</v>
      </c>
      <c r="E104">
        <f t="shared" si="7"/>
        <v>265.61547999999993</v>
      </c>
      <c r="F104">
        <f t="shared" si="9"/>
        <v>188.47680022222224</v>
      </c>
      <c r="AB104" s="10">
        <v>35977</v>
      </c>
      <c r="AC104">
        <f t="shared" si="10"/>
        <v>225.4061111111111</v>
      </c>
      <c r="AD104" t="e">
        <f t="shared" si="11"/>
        <v>#N/A</v>
      </c>
      <c r="AE104">
        <f t="shared" si="8"/>
        <v>188.47680022222224</v>
      </c>
    </row>
    <row r="105" spans="1:31" x14ac:dyDescent="0.25">
      <c r="A105" s="10">
        <v>36008</v>
      </c>
      <c r="B105" s="12">
        <v>254.65</v>
      </c>
      <c r="C105" t="e">
        <f>VLOOKUP(A105,'MBA CA Index'!A:B,2,0)</f>
        <v>#N/A</v>
      </c>
      <c r="D105">
        <f t="shared" si="6"/>
        <v>248.96486000000004</v>
      </c>
      <c r="E105">
        <f t="shared" si="7"/>
        <v>248.96486000000004</v>
      </c>
      <c r="F105">
        <f t="shared" si="9"/>
        <v>196.57228800000001</v>
      </c>
      <c r="AB105" s="10">
        <v>36008</v>
      </c>
      <c r="AC105">
        <f t="shared" si="10"/>
        <v>229.32000000000002</v>
      </c>
      <c r="AD105" t="e">
        <f t="shared" si="11"/>
        <v>#N/A</v>
      </c>
      <c r="AE105">
        <f t="shared" si="8"/>
        <v>196.57228800000001</v>
      </c>
    </row>
    <row r="106" spans="1:31" x14ac:dyDescent="0.25">
      <c r="A106" s="10">
        <v>36039</v>
      </c>
      <c r="B106" s="12">
        <v>292.375</v>
      </c>
      <c r="C106" t="e">
        <f>VLOOKUP(A106,'MBA CA Index'!A:B,2,0)</f>
        <v>#N/A</v>
      </c>
      <c r="D106">
        <f t="shared" si="6"/>
        <v>326.99525000000006</v>
      </c>
      <c r="E106">
        <f t="shared" si="7"/>
        <v>326.99525000000006</v>
      </c>
      <c r="F106">
        <f t="shared" si="9"/>
        <v>206.62701022222225</v>
      </c>
      <c r="AB106" s="10">
        <v>36039</v>
      </c>
      <c r="AC106">
        <f t="shared" si="10"/>
        <v>234.18111111111114</v>
      </c>
      <c r="AD106" t="e">
        <f t="shared" si="11"/>
        <v>#N/A</v>
      </c>
      <c r="AE106">
        <f t="shared" si="8"/>
        <v>206.62701022222225</v>
      </c>
    </row>
    <row r="107" spans="1:31" x14ac:dyDescent="0.25">
      <c r="A107" s="10">
        <v>36069</v>
      </c>
      <c r="B107" s="12">
        <v>298.58</v>
      </c>
      <c r="C107" t="e">
        <f>VLOOKUP(A107,'MBA CA Index'!A:B,2,0)</f>
        <v>#N/A</v>
      </c>
      <c r="D107">
        <f t="shared" si="6"/>
        <v>339.82967199999996</v>
      </c>
      <c r="E107">
        <f t="shared" si="7"/>
        <v>339.82967199999996</v>
      </c>
      <c r="F107">
        <f t="shared" si="9"/>
        <v>220.27615200000002</v>
      </c>
      <c r="AB107" s="10">
        <v>36069</v>
      </c>
      <c r="AC107">
        <f t="shared" si="10"/>
        <v>240.78</v>
      </c>
      <c r="AD107" t="e">
        <f t="shared" si="11"/>
        <v>#N/A</v>
      </c>
      <c r="AE107">
        <f t="shared" si="8"/>
        <v>220.27615200000002</v>
      </c>
    </row>
    <row r="108" spans="1:31" x14ac:dyDescent="0.25">
      <c r="A108" s="10">
        <v>36100</v>
      </c>
      <c r="B108" s="12">
        <v>285.2</v>
      </c>
      <c r="C108" t="e">
        <f>VLOOKUP(A108,'MBA CA Index'!A:B,2,0)</f>
        <v>#N/A</v>
      </c>
      <c r="D108">
        <f t="shared" si="6"/>
        <v>312.15448000000004</v>
      </c>
      <c r="E108">
        <f t="shared" si="7"/>
        <v>312.15448000000004</v>
      </c>
      <c r="F108">
        <f t="shared" si="9"/>
        <v>230.8755528888889</v>
      </c>
      <c r="AB108" s="10">
        <v>36100</v>
      </c>
      <c r="AC108">
        <f t="shared" si="10"/>
        <v>245.90444444444444</v>
      </c>
      <c r="AD108" t="e">
        <f t="shared" si="11"/>
        <v>#N/A</v>
      </c>
      <c r="AE108">
        <f t="shared" si="8"/>
        <v>230.8755528888889</v>
      </c>
    </row>
    <row r="109" spans="1:31" x14ac:dyDescent="0.25">
      <c r="A109" s="10">
        <v>36130</v>
      </c>
      <c r="B109" s="12">
        <v>281.27499999999998</v>
      </c>
      <c r="C109" t="e">
        <f>VLOOKUP(A109,'MBA CA Index'!A:B,2,0)</f>
        <v>#N/A</v>
      </c>
      <c r="D109">
        <f t="shared" si="6"/>
        <v>304.03600999999992</v>
      </c>
      <c r="E109">
        <f t="shared" si="7"/>
        <v>304.03600999999992</v>
      </c>
      <c r="F109">
        <f t="shared" si="9"/>
        <v>239.32439233333332</v>
      </c>
      <c r="AB109" s="10">
        <v>36130</v>
      </c>
      <c r="AC109">
        <f t="shared" si="10"/>
        <v>249.98916666666662</v>
      </c>
      <c r="AD109" t="e">
        <f t="shared" si="11"/>
        <v>#N/A</v>
      </c>
      <c r="AE109">
        <f t="shared" si="8"/>
        <v>239.32439233333332</v>
      </c>
    </row>
    <row r="110" spans="1:31" x14ac:dyDescent="0.25">
      <c r="A110" s="10">
        <v>36161</v>
      </c>
      <c r="B110" s="12">
        <v>266.28000000000003</v>
      </c>
      <c r="C110" t="e">
        <f>VLOOKUP(A110,'MBA CA Index'!A:B,2,0)</f>
        <v>#N/A</v>
      </c>
      <c r="D110">
        <f t="shared" si="6"/>
        <v>273.02035200000012</v>
      </c>
      <c r="E110">
        <f t="shared" si="7"/>
        <v>273.02035200000012</v>
      </c>
      <c r="F110">
        <f t="shared" si="9"/>
        <v>245.62496855555557</v>
      </c>
      <c r="AB110" s="10">
        <v>36161</v>
      </c>
      <c r="AC110">
        <f t="shared" si="10"/>
        <v>253.03527777777774</v>
      </c>
      <c r="AD110" t="e">
        <f t="shared" si="11"/>
        <v>#N/A</v>
      </c>
      <c r="AE110">
        <f t="shared" si="8"/>
        <v>245.62496855555557</v>
      </c>
    </row>
    <row r="111" spans="1:31" x14ac:dyDescent="0.25">
      <c r="A111" s="10">
        <v>36192</v>
      </c>
      <c r="B111" s="12">
        <v>246.97499999999997</v>
      </c>
      <c r="C111" t="e">
        <f>VLOOKUP(A111,'MBA CA Index'!A:B,2,0)</f>
        <v>#N/A</v>
      </c>
      <c r="D111">
        <f t="shared" si="6"/>
        <v>233.08988999999997</v>
      </c>
      <c r="E111">
        <f t="shared" si="7"/>
        <v>233.08988999999997</v>
      </c>
      <c r="F111">
        <f t="shared" si="9"/>
        <v>249.42335533333335</v>
      </c>
      <c r="AB111" s="10">
        <v>36192</v>
      </c>
      <c r="AC111">
        <f t="shared" si="10"/>
        <v>254.8716666666667</v>
      </c>
      <c r="AD111" t="e">
        <f t="shared" si="11"/>
        <v>#N/A</v>
      </c>
      <c r="AE111">
        <f t="shared" si="8"/>
        <v>249.42335533333335</v>
      </c>
    </row>
    <row r="112" spans="1:31" x14ac:dyDescent="0.25">
      <c r="A112" s="10">
        <v>36220</v>
      </c>
      <c r="B112" s="12">
        <v>257.2</v>
      </c>
      <c r="C112" t="e">
        <f>VLOOKUP(A112,'MBA CA Index'!A:B,2,0)</f>
        <v>#N/A</v>
      </c>
      <c r="D112">
        <f t="shared" si="6"/>
        <v>254.23928000000001</v>
      </c>
      <c r="E112">
        <f t="shared" si="7"/>
        <v>254.23928000000001</v>
      </c>
      <c r="F112">
        <f t="shared" si="9"/>
        <v>253.89052477777776</v>
      </c>
      <c r="AB112" s="10">
        <v>36220</v>
      </c>
      <c r="AC112">
        <f t="shared" si="10"/>
        <v>257.03138888888884</v>
      </c>
      <c r="AD112" t="e">
        <f t="shared" si="11"/>
        <v>#N/A</v>
      </c>
      <c r="AE112">
        <f t="shared" si="8"/>
        <v>253.89052477777776</v>
      </c>
    </row>
    <row r="113" spans="1:31" x14ac:dyDescent="0.25">
      <c r="A113" s="10">
        <v>36251</v>
      </c>
      <c r="B113" s="12">
        <v>277.20000000000005</v>
      </c>
      <c r="C113" t="e">
        <f>VLOOKUP(A113,'MBA CA Index'!A:B,2,0)</f>
        <v>#N/A</v>
      </c>
      <c r="D113">
        <f t="shared" si="6"/>
        <v>295.60728000000006</v>
      </c>
      <c r="E113">
        <f t="shared" si="7"/>
        <v>295.60728000000006</v>
      </c>
      <c r="F113">
        <f t="shared" si="9"/>
        <v>260.44965100000002</v>
      </c>
      <c r="AB113" s="10">
        <v>36251</v>
      </c>
      <c r="AC113">
        <f t="shared" si="10"/>
        <v>260.20249999999999</v>
      </c>
      <c r="AD113" t="e">
        <f t="shared" si="11"/>
        <v>#N/A</v>
      </c>
      <c r="AE113">
        <f t="shared" si="8"/>
        <v>260.44965100000002</v>
      </c>
    </row>
    <row r="114" spans="1:31" x14ac:dyDescent="0.25">
      <c r="A114" s="10">
        <v>36281</v>
      </c>
      <c r="B114" s="12">
        <v>288.27499999999998</v>
      </c>
      <c r="C114" t="e">
        <f>VLOOKUP(A114,'MBA CA Index'!A:B,2,0)</f>
        <v>#N/A</v>
      </c>
      <c r="D114">
        <f t="shared" si="6"/>
        <v>318.51481000000001</v>
      </c>
      <c r="E114">
        <f t="shared" si="7"/>
        <v>318.51481000000001</v>
      </c>
      <c r="F114">
        <f t="shared" si="9"/>
        <v>267.74076099999996</v>
      </c>
      <c r="AB114" s="10">
        <v>36281</v>
      </c>
      <c r="AC114">
        <f t="shared" si="10"/>
        <v>263.72749999999996</v>
      </c>
      <c r="AD114" t="e">
        <f t="shared" si="11"/>
        <v>#N/A</v>
      </c>
      <c r="AE114">
        <f t="shared" si="8"/>
        <v>267.74076099999996</v>
      </c>
    </row>
    <row r="115" spans="1:31" x14ac:dyDescent="0.25">
      <c r="A115" s="10">
        <v>36312</v>
      </c>
      <c r="B115" s="12">
        <v>309.60000000000002</v>
      </c>
      <c r="C115" t="e">
        <f>VLOOKUP(A115,'MBA CA Index'!A:B,2,0)</f>
        <v>#N/A</v>
      </c>
      <c r="D115">
        <f t="shared" si="6"/>
        <v>362.62344000000007</v>
      </c>
      <c r="E115">
        <f t="shared" si="7"/>
        <v>362.62344000000007</v>
      </c>
      <c r="F115">
        <f t="shared" si="9"/>
        <v>277.13187155555556</v>
      </c>
      <c r="AB115" s="10">
        <v>36312</v>
      </c>
      <c r="AC115">
        <f t="shared" si="10"/>
        <v>268.26777777777784</v>
      </c>
      <c r="AD115" t="e">
        <f t="shared" si="11"/>
        <v>#N/A</v>
      </c>
      <c r="AE115">
        <f t="shared" si="8"/>
        <v>277.13187155555556</v>
      </c>
    </row>
    <row r="116" spans="1:31" x14ac:dyDescent="0.25">
      <c r="A116" s="10">
        <v>36342</v>
      </c>
      <c r="B116" s="12">
        <v>285.86</v>
      </c>
      <c r="C116" t="e">
        <f>VLOOKUP(A116,'MBA CA Index'!A:B,2,0)</f>
        <v>#N/A</v>
      </c>
      <c r="D116">
        <f t="shared" si="6"/>
        <v>313.51962400000002</v>
      </c>
      <c r="E116">
        <f t="shared" si="7"/>
        <v>313.51962400000002</v>
      </c>
      <c r="F116">
        <f t="shared" si="9"/>
        <v>278.93367777777775</v>
      </c>
      <c r="AB116" s="10">
        <v>36342</v>
      </c>
      <c r="AC116">
        <f t="shared" si="10"/>
        <v>269.13888888888891</v>
      </c>
      <c r="AD116" t="e">
        <f t="shared" si="11"/>
        <v>#N/A</v>
      </c>
      <c r="AE116">
        <f t="shared" si="8"/>
        <v>278.93367777777775</v>
      </c>
    </row>
    <row r="117" spans="1:31" x14ac:dyDescent="0.25">
      <c r="A117" s="10">
        <v>36373</v>
      </c>
      <c r="B117" s="12">
        <v>277.45</v>
      </c>
      <c r="C117" t="e">
        <f>VLOOKUP(A117,'MBA CA Index'!A:B,2,0)</f>
        <v>#N/A</v>
      </c>
      <c r="D117">
        <f t="shared" si="6"/>
        <v>296.12437999999997</v>
      </c>
      <c r="E117">
        <f t="shared" si="7"/>
        <v>296.12437999999997</v>
      </c>
      <c r="F117">
        <f t="shared" si="9"/>
        <v>283.81165444444446</v>
      </c>
      <c r="AB117" s="10">
        <v>36373</v>
      </c>
      <c r="AC117">
        <f t="shared" si="10"/>
        <v>271.49722222222221</v>
      </c>
      <c r="AD117" t="e">
        <f t="shared" si="11"/>
        <v>#N/A</v>
      </c>
      <c r="AE117">
        <f t="shared" si="8"/>
        <v>283.81165444444446</v>
      </c>
    </row>
    <row r="118" spans="1:31" x14ac:dyDescent="0.25">
      <c r="A118" s="10">
        <v>36404</v>
      </c>
      <c r="B118" s="12">
        <v>264.84999999999997</v>
      </c>
      <c r="C118" t="e">
        <f>VLOOKUP(A118,'MBA CA Index'!A:B,2,0)</f>
        <v>#N/A</v>
      </c>
      <c r="D118">
        <f t="shared" si="6"/>
        <v>270.0625399999999</v>
      </c>
      <c r="E118">
        <f t="shared" si="7"/>
        <v>270.0625399999999</v>
      </c>
      <c r="F118">
        <f t="shared" si="9"/>
        <v>288.42246277777781</v>
      </c>
      <c r="AB118" s="10">
        <v>36404</v>
      </c>
      <c r="AC118">
        <f t="shared" si="10"/>
        <v>273.72638888888889</v>
      </c>
      <c r="AD118" t="e">
        <f t="shared" si="11"/>
        <v>#N/A</v>
      </c>
      <c r="AE118">
        <f t="shared" si="8"/>
        <v>288.42246277777781</v>
      </c>
    </row>
    <row r="119" spans="1:31" x14ac:dyDescent="0.25">
      <c r="A119" s="10">
        <v>36434</v>
      </c>
      <c r="B119" s="12">
        <v>272.38</v>
      </c>
      <c r="C119" t="e">
        <f>VLOOKUP(A119,'MBA CA Index'!A:B,2,0)</f>
        <v>#N/A</v>
      </c>
      <c r="D119">
        <f t="shared" si="6"/>
        <v>285.63759200000004</v>
      </c>
      <c r="E119">
        <f t="shared" si="7"/>
        <v>285.63759200000004</v>
      </c>
      <c r="F119">
        <f t="shared" si="9"/>
        <v>290.85628011111106</v>
      </c>
      <c r="AB119" s="10">
        <v>36434</v>
      </c>
      <c r="AC119">
        <f t="shared" si="10"/>
        <v>274.90305555555557</v>
      </c>
      <c r="AD119" t="e">
        <f t="shared" si="11"/>
        <v>#N/A</v>
      </c>
      <c r="AE119">
        <f t="shared" si="8"/>
        <v>290.85628011111106</v>
      </c>
    </row>
    <row r="120" spans="1:31" x14ac:dyDescent="0.25">
      <c r="A120" s="10">
        <v>36465</v>
      </c>
      <c r="B120" s="12">
        <v>295.47500000000002</v>
      </c>
      <c r="C120" t="e">
        <f>VLOOKUP(A120,'MBA CA Index'!A:B,2,0)</f>
        <v>#N/A</v>
      </c>
      <c r="D120">
        <f t="shared" si="6"/>
        <v>333.4072900000001</v>
      </c>
      <c r="E120">
        <f t="shared" si="7"/>
        <v>333.4072900000001</v>
      </c>
      <c r="F120">
        <f t="shared" si="9"/>
        <v>294.37198555555563</v>
      </c>
      <c r="AB120" s="10">
        <v>36465</v>
      </c>
      <c r="AC120">
        <f t="shared" si="10"/>
        <v>276.60277777777787</v>
      </c>
      <c r="AD120" t="e">
        <f t="shared" si="11"/>
        <v>#N/A</v>
      </c>
      <c r="AE120">
        <f t="shared" si="8"/>
        <v>294.37198555555563</v>
      </c>
    </row>
    <row r="121" spans="1:31" x14ac:dyDescent="0.25">
      <c r="A121" s="10">
        <v>36495</v>
      </c>
      <c r="B121" s="12">
        <v>269.86</v>
      </c>
      <c r="C121" t="e">
        <f>VLOOKUP(A121,'MBA CA Index'!A:B,2,0)</f>
        <v>#N/A</v>
      </c>
      <c r="D121">
        <f t="shared" si="6"/>
        <v>280.42522400000007</v>
      </c>
      <c r="E121">
        <f t="shared" si="7"/>
        <v>280.42522400000007</v>
      </c>
      <c r="F121">
        <f t="shared" si="9"/>
        <v>295.21485855555551</v>
      </c>
      <c r="AB121" s="10">
        <v>36495</v>
      </c>
      <c r="AC121">
        <f t="shared" si="10"/>
        <v>277.01027777777779</v>
      </c>
      <c r="AD121" t="e">
        <f t="shared" si="11"/>
        <v>#N/A</v>
      </c>
      <c r="AE121">
        <f t="shared" si="8"/>
        <v>295.21485855555551</v>
      </c>
    </row>
    <row r="122" spans="1:31" x14ac:dyDescent="0.25">
      <c r="A122" s="10">
        <v>36526</v>
      </c>
      <c r="B122" s="12">
        <v>281.32500000000005</v>
      </c>
      <c r="C122" t="e">
        <f>VLOOKUP(A122,'MBA CA Index'!A:B,2,0)</f>
        <v>#N/A</v>
      </c>
      <c r="D122">
        <f t="shared" si="6"/>
        <v>304.13943000000006</v>
      </c>
      <c r="E122">
        <f t="shared" si="7"/>
        <v>304.13943000000006</v>
      </c>
      <c r="F122">
        <f t="shared" si="9"/>
        <v>297.35507800000005</v>
      </c>
      <c r="AB122" s="10">
        <v>36526</v>
      </c>
      <c r="AC122">
        <f t="shared" si="10"/>
        <v>278.04499999999996</v>
      </c>
      <c r="AD122" t="e">
        <f t="shared" si="11"/>
        <v>#N/A</v>
      </c>
      <c r="AE122">
        <f t="shared" si="8"/>
        <v>297.35507800000005</v>
      </c>
    </row>
    <row r="123" spans="1:31" x14ac:dyDescent="0.25">
      <c r="A123" s="10">
        <v>36557</v>
      </c>
      <c r="B123" s="12">
        <v>279.67500000000001</v>
      </c>
      <c r="C123" t="e">
        <f>VLOOKUP(A123,'MBA CA Index'!A:B,2,0)</f>
        <v>#N/A</v>
      </c>
      <c r="D123">
        <f t="shared" si="6"/>
        <v>300.72657000000004</v>
      </c>
      <c r="E123">
        <f t="shared" si="7"/>
        <v>300.72657000000004</v>
      </c>
      <c r="F123">
        <f t="shared" si="9"/>
        <v>300.23072855555557</v>
      </c>
      <c r="AB123" s="10">
        <v>36557</v>
      </c>
      <c r="AC123">
        <f t="shared" si="10"/>
        <v>279.4352777777778</v>
      </c>
      <c r="AD123" t="e">
        <f t="shared" si="11"/>
        <v>#N/A</v>
      </c>
      <c r="AE123">
        <f t="shared" si="8"/>
        <v>300.23072855555557</v>
      </c>
    </row>
    <row r="124" spans="1:31" x14ac:dyDescent="0.25">
      <c r="A124" s="10">
        <v>36586</v>
      </c>
      <c r="B124" s="12">
        <v>296.18</v>
      </c>
      <c r="C124" t="e">
        <f>VLOOKUP(A124,'MBA CA Index'!A:B,2,0)</f>
        <v>#N/A</v>
      </c>
      <c r="D124">
        <f t="shared" si="6"/>
        <v>334.86551200000008</v>
      </c>
      <c r="E124">
        <f t="shared" si="7"/>
        <v>334.86551200000008</v>
      </c>
      <c r="F124">
        <f t="shared" si="9"/>
        <v>300.66796533333337</v>
      </c>
      <c r="AB124" s="10">
        <v>36586</v>
      </c>
      <c r="AC124">
        <f t="shared" si="10"/>
        <v>279.6466666666667</v>
      </c>
      <c r="AD124" t="e">
        <f t="shared" si="11"/>
        <v>#N/A</v>
      </c>
      <c r="AE124">
        <f t="shared" si="8"/>
        <v>300.66796533333337</v>
      </c>
    </row>
    <row r="125" spans="1:31" x14ac:dyDescent="0.25">
      <c r="A125" s="10">
        <v>36617</v>
      </c>
      <c r="B125" s="12">
        <v>304.89999999999998</v>
      </c>
      <c r="C125" t="e">
        <f>VLOOKUP(A125,'MBA CA Index'!A:B,2,0)</f>
        <v>#N/A</v>
      </c>
      <c r="D125">
        <f t="shared" si="6"/>
        <v>352.90195999999992</v>
      </c>
      <c r="E125">
        <f t="shared" si="7"/>
        <v>352.90195999999992</v>
      </c>
      <c r="F125">
        <f t="shared" si="9"/>
        <v>301.39420355555563</v>
      </c>
      <c r="AB125" s="10">
        <v>36617</v>
      </c>
      <c r="AC125">
        <f t="shared" si="10"/>
        <v>279.9977777777778</v>
      </c>
      <c r="AD125" t="e">
        <f t="shared" si="11"/>
        <v>#N/A</v>
      </c>
      <c r="AE125">
        <f t="shared" si="8"/>
        <v>301.39420355555563</v>
      </c>
    </row>
    <row r="126" spans="1:31" x14ac:dyDescent="0.25">
      <c r="A126" s="10">
        <v>36647</v>
      </c>
      <c r="B126" s="12">
        <v>303.77499999999998</v>
      </c>
      <c r="C126" t="e">
        <f>VLOOKUP(A126,'MBA CA Index'!A:B,2,0)</f>
        <v>#N/A</v>
      </c>
      <c r="D126">
        <f t="shared" si="6"/>
        <v>350.57501000000002</v>
      </c>
      <c r="E126">
        <f t="shared" si="7"/>
        <v>350.57501000000002</v>
      </c>
      <c r="F126">
        <f t="shared" si="9"/>
        <v>303.52867744444444</v>
      </c>
      <c r="AB126" s="10">
        <v>36647</v>
      </c>
      <c r="AC126">
        <f t="shared" si="10"/>
        <v>281.02972222222223</v>
      </c>
      <c r="AD126" t="e">
        <f t="shared" si="11"/>
        <v>#N/A</v>
      </c>
      <c r="AE126">
        <f t="shared" si="8"/>
        <v>303.52867744444444</v>
      </c>
    </row>
    <row r="127" spans="1:31" x14ac:dyDescent="0.25">
      <c r="A127" s="10">
        <v>36678</v>
      </c>
      <c r="B127" s="12">
        <v>314.82</v>
      </c>
      <c r="C127" t="e">
        <f>VLOOKUP(A127,'MBA CA Index'!A:B,2,0)</f>
        <v>#N/A</v>
      </c>
      <c r="D127">
        <f t="shared" si="6"/>
        <v>373.42048799999998</v>
      </c>
      <c r="E127">
        <f t="shared" si="7"/>
        <v>373.42048799999998</v>
      </c>
      <c r="F127">
        <f t="shared" si="9"/>
        <v>307.38337066666674</v>
      </c>
      <c r="AB127" s="10">
        <v>36678</v>
      </c>
      <c r="AC127">
        <f t="shared" si="10"/>
        <v>282.89333333333326</v>
      </c>
      <c r="AD127" t="e">
        <f t="shared" si="11"/>
        <v>#N/A</v>
      </c>
      <c r="AE127">
        <f t="shared" si="8"/>
        <v>307.38337066666674</v>
      </c>
    </row>
    <row r="128" spans="1:31" x14ac:dyDescent="0.25">
      <c r="A128" s="10">
        <v>36708</v>
      </c>
      <c r="B128" s="12">
        <v>312.22500000000002</v>
      </c>
      <c r="C128" t="e">
        <f>VLOOKUP(A128,'MBA CA Index'!A:B,2,0)</f>
        <v>#N/A</v>
      </c>
      <c r="D128">
        <f t="shared" si="6"/>
        <v>368.05299000000002</v>
      </c>
      <c r="E128">
        <f t="shared" si="7"/>
        <v>368.05299000000002</v>
      </c>
      <c r="F128">
        <f t="shared" si="9"/>
        <v>312.66296166666666</v>
      </c>
      <c r="AB128" s="10">
        <v>36708</v>
      </c>
      <c r="AC128">
        <f t="shared" si="10"/>
        <v>285.44583333333338</v>
      </c>
      <c r="AD128" t="e">
        <f t="shared" si="11"/>
        <v>#N/A</v>
      </c>
      <c r="AE128">
        <f t="shared" si="8"/>
        <v>312.66296166666666</v>
      </c>
    </row>
    <row r="129" spans="1:31" x14ac:dyDescent="0.25">
      <c r="A129" s="10">
        <v>36739</v>
      </c>
      <c r="B129" s="12">
        <v>308.42500000000001</v>
      </c>
      <c r="C129" t="e">
        <f>VLOOKUP(A129,'MBA CA Index'!A:B,2,0)</f>
        <v>#N/A</v>
      </c>
      <c r="D129">
        <f t="shared" si="6"/>
        <v>360.19307000000003</v>
      </c>
      <c r="E129">
        <f t="shared" si="7"/>
        <v>360.19307000000003</v>
      </c>
      <c r="F129">
        <f t="shared" si="9"/>
        <v>319.72424944444452</v>
      </c>
      <c r="AB129" s="10">
        <v>36739</v>
      </c>
      <c r="AC129">
        <f t="shared" si="10"/>
        <v>288.85972222222222</v>
      </c>
      <c r="AD129" t="e">
        <f t="shared" si="11"/>
        <v>#N/A</v>
      </c>
      <c r="AE129">
        <f t="shared" si="8"/>
        <v>319.72424944444452</v>
      </c>
    </row>
    <row r="130" spans="1:31" x14ac:dyDescent="0.25">
      <c r="A130" s="10">
        <v>36770</v>
      </c>
      <c r="B130" s="12">
        <v>315.78000000000003</v>
      </c>
      <c r="C130" t="e">
        <f>VLOOKUP(A130,'MBA CA Index'!A:B,2,0)</f>
        <v>#N/A</v>
      </c>
      <c r="D130">
        <f t="shared" si="6"/>
        <v>375.40615200000002</v>
      </c>
      <c r="E130">
        <f t="shared" si="7"/>
        <v>375.40615200000002</v>
      </c>
      <c r="F130">
        <f t="shared" si="9"/>
        <v>326.45574233333343</v>
      </c>
      <c r="AB130" s="10">
        <v>36770</v>
      </c>
      <c r="AC130">
        <f t="shared" si="10"/>
        <v>292.11416666666668</v>
      </c>
      <c r="AD130" t="e">
        <f t="shared" si="11"/>
        <v>#N/A</v>
      </c>
      <c r="AE130">
        <f t="shared" si="8"/>
        <v>326.45574233333343</v>
      </c>
    </row>
    <row r="131" spans="1:31" x14ac:dyDescent="0.25">
      <c r="A131" s="10">
        <v>36800</v>
      </c>
      <c r="B131" s="12">
        <v>304.30000000000007</v>
      </c>
      <c r="C131" t="e">
        <f>VLOOKUP(A131,'MBA CA Index'!A:B,2,0)</f>
        <v>#N/A</v>
      </c>
      <c r="D131">
        <f t="shared" ref="D131:D194" si="12">$J$2+$K$2*B131</f>
        <v>351.66092000000015</v>
      </c>
      <c r="E131">
        <f t="shared" ref="E131:E194" si="13">IF(ISNA(C131),D131,C131)</f>
        <v>351.66092000000015</v>
      </c>
      <c r="F131">
        <f t="shared" si="9"/>
        <v>329.56983344444455</v>
      </c>
      <c r="AB131" s="10">
        <v>36800</v>
      </c>
      <c r="AC131">
        <f t="shared" si="10"/>
        <v>293.61972222222226</v>
      </c>
      <c r="AD131" t="e">
        <f t="shared" si="11"/>
        <v>#N/A</v>
      </c>
      <c r="AE131">
        <f t="shared" ref="AE131:AE174" si="14">F131</f>
        <v>329.56983344444455</v>
      </c>
    </row>
    <row r="132" spans="1:31" x14ac:dyDescent="0.25">
      <c r="A132" s="10">
        <v>36831</v>
      </c>
      <c r="B132" s="12">
        <v>312.89999999999998</v>
      </c>
      <c r="C132" t="e">
        <f>VLOOKUP(A132,'MBA CA Index'!A:B,2,0)</f>
        <v>#N/A</v>
      </c>
      <c r="D132">
        <f t="shared" si="12"/>
        <v>369.44916000000001</v>
      </c>
      <c r="E132">
        <f t="shared" si="13"/>
        <v>369.44916000000001</v>
      </c>
      <c r="F132">
        <f t="shared" si="9"/>
        <v>332.39951955555563</v>
      </c>
      <c r="AB132" s="10">
        <v>36831</v>
      </c>
      <c r="AC132">
        <f t="shared" si="10"/>
        <v>294.98777777777775</v>
      </c>
      <c r="AD132" t="e">
        <f t="shared" si="11"/>
        <v>#N/A</v>
      </c>
      <c r="AE132">
        <f t="shared" si="14"/>
        <v>332.39951955555563</v>
      </c>
    </row>
    <row r="133" spans="1:31" x14ac:dyDescent="0.25">
      <c r="A133" s="10">
        <v>36861</v>
      </c>
      <c r="B133" s="12">
        <v>295.38</v>
      </c>
      <c r="C133" t="e">
        <f>VLOOKUP(A133,'MBA CA Index'!A:B,2,0)</f>
        <v>#N/A</v>
      </c>
      <c r="D133">
        <f t="shared" si="12"/>
        <v>333.21079199999997</v>
      </c>
      <c r="E133">
        <f t="shared" si="13"/>
        <v>333.21079199999997</v>
      </c>
      <c r="F133">
        <f t="shared" si="9"/>
        <v>330.76548355555565</v>
      </c>
      <c r="AB133" s="10">
        <v>36861</v>
      </c>
      <c r="AC133">
        <f t="shared" si="10"/>
        <v>294.19777777777779</v>
      </c>
      <c r="AD133" t="e">
        <f t="shared" si="11"/>
        <v>#N/A</v>
      </c>
      <c r="AE133">
        <f t="shared" si="14"/>
        <v>330.76548355555565</v>
      </c>
    </row>
    <row r="134" spans="1:31" x14ac:dyDescent="0.25">
      <c r="A134" s="10">
        <v>36892</v>
      </c>
      <c r="B134" s="12">
        <v>314.10000000000002</v>
      </c>
      <c r="C134" t="e">
        <f>VLOOKUP(A134,'MBA CA Index'!A:B,2,0)</f>
        <v>#N/A</v>
      </c>
      <c r="D134">
        <f t="shared" si="12"/>
        <v>371.93124000000012</v>
      </c>
      <c r="E134">
        <f t="shared" si="13"/>
        <v>371.93124000000012</v>
      </c>
      <c r="F134">
        <f t="shared" si="9"/>
        <v>334.01057333333341</v>
      </c>
      <c r="AB134" s="10">
        <v>36892</v>
      </c>
      <c r="AC134">
        <f t="shared" si="10"/>
        <v>295.76666666666665</v>
      </c>
      <c r="AD134" t="e">
        <f t="shared" si="11"/>
        <v>#N/A</v>
      </c>
      <c r="AE134">
        <f t="shared" si="14"/>
        <v>334.01057333333341</v>
      </c>
    </row>
    <row r="135" spans="1:31" x14ac:dyDescent="0.25">
      <c r="A135" s="10">
        <v>36923</v>
      </c>
      <c r="B135" s="12">
        <v>288.70000000000005</v>
      </c>
      <c r="C135" t="e">
        <f>VLOOKUP(A135,'MBA CA Index'!A:B,2,0)</f>
        <v>#N/A</v>
      </c>
      <c r="D135">
        <f t="shared" si="12"/>
        <v>319.39388000000008</v>
      </c>
      <c r="E135">
        <f t="shared" si="13"/>
        <v>319.39388000000008</v>
      </c>
      <c r="F135">
        <f t="shared" si="9"/>
        <v>335.30332333333331</v>
      </c>
      <c r="AB135" s="10">
        <v>36923</v>
      </c>
      <c r="AC135">
        <f t="shared" si="10"/>
        <v>296.39166666666665</v>
      </c>
      <c r="AD135" t="e">
        <f t="shared" si="11"/>
        <v>#N/A</v>
      </c>
      <c r="AE135">
        <f t="shared" si="14"/>
        <v>335.30332333333331</v>
      </c>
    </row>
    <row r="136" spans="1:31" x14ac:dyDescent="0.25">
      <c r="A136" s="10">
        <v>36951</v>
      </c>
      <c r="B136" s="12">
        <v>299.43999999999994</v>
      </c>
      <c r="C136" t="e">
        <f>VLOOKUP(A136,'MBA CA Index'!A:B,2,0)</f>
        <v>#N/A</v>
      </c>
      <c r="D136">
        <f t="shared" si="12"/>
        <v>341.60849599999995</v>
      </c>
      <c r="E136">
        <f t="shared" si="13"/>
        <v>341.60849599999995</v>
      </c>
      <c r="F136">
        <f t="shared" si="9"/>
        <v>339.27809866666672</v>
      </c>
      <c r="AB136" s="10">
        <v>36951</v>
      </c>
      <c r="AC136">
        <f t="shared" si="10"/>
        <v>298.31333333333333</v>
      </c>
      <c r="AD136" t="e">
        <f t="shared" si="11"/>
        <v>#N/A</v>
      </c>
      <c r="AE136">
        <f t="shared" si="14"/>
        <v>339.27809866666672</v>
      </c>
    </row>
    <row r="137" spans="1:31" x14ac:dyDescent="0.25">
      <c r="A137" s="10">
        <v>36982</v>
      </c>
      <c r="B137" s="12">
        <v>301.7</v>
      </c>
      <c r="C137" t="e">
        <f>VLOOKUP(A137,'MBA CA Index'!A:B,2,0)</f>
        <v>#N/A</v>
      </c>
      <c r="D137">
        <f t="shared" si="12"/>
        <v>346.28308000000004</v>
      </c>
      <c r="E137">
        <f t="shared" si="13"/>
        <v>346.28308000000004</v>
      </c>
      <c r="F137">
        <f t="shared" si="9"/>
        <v>342.64729244444447</v>
      </c>
      <c r="AB137" s="10">
        <v>36982</v>
      </c>
      <c r="AC137">
        <f t="shared" si="10"/>
        <v>299.9422222222222</v>
      </c>
      <c r="AD137" t="e">
        <f t="shared" si="11"/>
        <v>#N/A</v>
      </c>
      <c r="AE137">
        <f t="shared" si="14"/>
        <v>342.64729244444447</v>
      </c>
    </row>
    <row r="138" spans="1:31" x14ac:dyDescent="0.25">
      <c r="A138" s="10">
        <v>37012</v>
      </c>
      <c r="B138" s="12">
        <v>307.90000000000003</v>
      </c>
      <c r="C138" t="e">
        <f>VLOOKUP(A138,'MBA CA Index'!A:B,2,0)</f>
        <v>#N/A</v>
      </c>
      <c r="D138">
        <f t="shared" si="12"/>
        <v>359.10716000000014</v>
      </c>
      <c r="E138">
        <f t="shared" si="13"/>
        <v>359.10716000000014</v>
      </c>
      <c r="F138">
        <f t="shared" si="9"/>
        <v>344.07506300000006</v>
      </c>
      <c r="AB138" s="10">
        <v>37012</v>
      </c>
      <c r="AC138">
        <f t="shared" si="10"/>
        <v>300.63249999999999</v>
      </c>
      <c r="AD138" t="e">
        <f t="shared" si="11"/>
        <v>#N/A</v>
      </c>
      <c r="AE138">
        <f t="shared" si="14"/>
        <v>344.07506300000006</v>
      </c>
    </row>
    <row r="139" spans="1:31" x14ac:dyDescent="0.25">
      <c r="A139" s="10">
        <v>37043</v>
      </c>
      <c r="B139" s="12">
        <v>325.47999999999996</v>
      </c>
      <c r="C139" t="e">
        <f>VLOOKUP(A139,'MBA CA Index'!A:B,2,0)</f>
        <v>#N/A</v>
      </c>
      <c r="D139">
        <f t="shared" si="12"/>
        <v>395.46963199999993</v>
      </c>
      <c r="E139">
        <f t="shared" si="13"/>
        <v>395.46963199999993</v>
      </c>
      <c r="F139">
        <f t="shared" si="9"/>
        <v>350.46641900000009</v>
      </c>
      <c r="AB139" s="10">
        <v>37043</v>
      </c>
      <c r="AC139">
        <f t="shared" si="10"/>
        <v>303.72249999999997</v>
      </c>
      <c r="AD139" t="e">
        <f t="shared" si="11"/>
        <v>#N/A</v>
      </c>
      <c r="AE139">
        <f t="shared" si="14"/>
        <v>350.46641900000009</v>
      </c>
    </row>
    <row r="140" spans="1:31" x14ac:dyDescent="0.25">
      <c r="A140" s="10">
        <v>37073</v>
      </c>
      <c r="B140" s="12">
        <v>311.92499999999995</v>
      </c>
      <c r="C140" t="e">
        <f>VLOOKUP(A140,'MBA CA Index'!A:B,2,0)</f>
        <v>#N/A</v>
      </c>
      <c r="D140">
        <f t="shared" si="12"/>
        <v>367.43246999999997</v>
      </c>
      <c r="E140">
        <f t="shared" si="13"/>
        <v>367.43246999999997</v>
      </c>
      <c r="F140">
        <f t="shared" si="9"/>
        <v>353.98269900000008</v>
      </c>
      <c r="AB140" s="10">
        <v>37073</v>
      </c>
      <c r="AC140">
        <f t="shared" si="10"/>
        <v>305.42249999999996</v>
      </c>
      <c r="AD140" t="e">
        <f t="shared" si="11"/>
        <v>#N/A</v>
      </c>
      <c r="AE140">
        <f t="shared" si="14"/>
        <v>353.98269900000008</v>
      </c>
    </row>
    <row r="141" spans="1:31" x14ac:dyDescent="0.25">
      <c r="A141" s="10">
        <v>37104</v>
      </c>
      <c r="B141" s="12">
        <v>304.89999999999998</v>
      </c>
      <c r="C141" t="e">
        <f>VLOOKUP(A141,'MBA CA Index'!A:B,2,0)</f>
        <v>#N/A</v>
      </c>
      <c r="D141">
        <f t="shared" si="12"/>
        <v>352.90195999999992</v>
      </c>
      <c r="E141">
        <f t="shared" si="13"/>
        <v>352.90195999999992</v>
      </c>
      <c r="F141">
        <f t="shared" si="9"/>
        <v>356.88133177777786</v>
      </c>
      <c r="AB141" s="10">
        <v>37104</v>
      </c>
      <c r="AC141">
        <f t="shared" si="10"/>
        <v>306.82388888888886</v>
      </c>
      <c r="AD141" t="e">
        <f t="shared" si="11"/>
        <v>#N/A</v>
      </c>
      <c r="AE141">
        <f t="shared" si="14"/>
        <v>356.88133177777786</v>
      </c>
    </row>
    <row r="142" spans="1:31" x14ac:dyDescent="0.25">
      <c r="A142" s="10">
        <v>37135</v>
      </c>
      <c r="B142" s="12">
        <v>296.3</v>
      </c>
      <c r="C142" t="e">
        <f>VLOOKUP(A142,'MBA CA Index'!A:B,2,0)</f>
        <v>#N/A</v>
      </c>
      <c r="D142">
        <f t="shared" si="12"/>
        <v>335.11372000000006</v>
      </c>
      <c r="E142">
        <f t="shared" si="13"/>
        <v>335.11372000000006</v>
      </c>
      <c r="F142">
        <f t="shared" si="9"/>
        <v>356.89512111111122</v>
      </c>
      <c r="AB142" s="10">
        <v>37135</v>
      </c>
      <c r="AC142">
        <f t="shared" si="10"/>
        <v>306.83055555555552</v>
      </c>
      <c r="AD142" t="e">
        <f t="shared" si="11"/>
        <v>#N/A</v>
      </c>
      <c r="AE142">
        <f t="shared" si="14"/>
        <v>356.89512111111122</v>
      </c>
    </row>
    <row r="143" spans="1:31" x14ac:dyDescent="0.25">
      <c r="A143" s="10">
        <v>37165</v>
      </c>
      <c r="B143" s="12">
        <v>272.02499999999998</v>
      </c>
      <c r="C143" t="e">
        <f>VLOOKUP(A143,'MBA CA Index'!A:B,2,0)</f>
        <v>#N/A</v>
      </c>
      <c r="D143">
        <f t="shared" si="12"/>
        <v>284.90330999999992</v>
      </c>
      <c r="E143">
        <f t="shared" si="13"/>
        <v>284.90330999999992</v>
      </c>
      <c r="F143">
        <f t="shared" si="9"/>
        <v>353.11741833333338</v>
      </c>
      <c r="AB143" s="10">
        <v>37165</v>
      </c>
      <c r="AC143">
        <f t="shared" si="10"/>
        <v>305.00416666666666</v>
      </c>
      <c r="AD143" t="e">
        <f t="shared" si="11"/>
        <v>#N/A</v>
      </c>
      <c r="AE143">
        <f t="shared" si="14"/>
        <v>353.11741833333338</v>
      </c>
    </row>
    <row r="144" spans="1:31" x14ac:dyDescent="0.25">
      <c r="A144" s="10">
        <v>37196</v>
      </c>
      <c r="B144" s="12">
        <v>315</v>
      </c>
      <c r="C144" t="e">
        <f>VLOOKUP(A144,'MBA CA Index'!A:B,2,0)</f>
        <v>#N/A</v>
      </c>
      <c r="D144">
        <f t="shared" si="12"/>
        <v>373.79280000000006</v>
      </c>
      <c r="E144">
        <f t="shared" si="13"/>
        <v>373.79280000000006</v>
      </c>
      <c r="F144">
        <f t="shared" si="9"/>
        <v>354.40729555555561</v>
      </c>
      <c r="AB144" s="10">
        <v>37196</v>
      </c>
      <c r="AC144">
        <f t="shared" si="10"/>
        <v>305.62777777777774</v>
      </c>
      <c r="AD144" t="e">
        <f t="shared" si="11"/>
        <v>#N/A</v>
      </c>
      <c r="AE144">
        <f t="shared" si="14"/>
        <v>354.40729555555561</v>
      </c>
    </row>
    <row r="145" spans="1:31" x14ac:dyDescent="0.25">
      <c r="A145" s="10">
        <v>37226</v>
      </c>
      <c r="B145" s="12">
        <v>315</v>
      </c>
      <c r="C145" t="e">
        <f>VLOOKUP(A145,'MBA CA Index'!A:B,2,0)</f>
        <v>#N/A</v>
      </c>
      <c r="D145">
        <f t="shared" si="12"/>
        <v>373.79280000000006</v>
      </c>
      <c r="E145">
        <f t="shared" si="13"/>
        <v>373.79280000000006</v>
      </c>
      <c r="F145">
        <f t="shared" si="9"/>
        <v>354.42797955555557</v>
      </c>
      <c r="AB145" s="10">
        <v>37226</v>
      </c>
      <c r="AC145">
        <f t="shared" si="10"/>
        <v>305.63777777777773</v>
      </c>
      <c r="AD145" t="e">
        <f t="shared" si="11"/>
        <v>#N/A</v>
      </c>
      <c r="AE145">
        <f t="shared" si="14"/>
        <v>354.42797955555557</v>
      </c>
    </row>
    <row r="146" spans="1:31" x14ac:dyDescent="0.25">
      <c r="A146" s="10">
        <v>37257</v>
      </c>
      <c r="B146" s="12">
        <v>356.2</v>
      </c>
      <c r="C146" t="e">
        <f>VLOOKUP(A146,'MBA CA Index'!A:B,2,0)</f>
        <v>#N/A</v>
      </c>
      <c r="D146">
        <f t="shared" si="12"/>
        <v>459.01088000000004</v>
      </c>
      <c r="E146">
        <f t="shared" si="13"/>
        <v>459.01088000000004</v>
      </c>
      <c r="F146">
        <f t="shared" si="9"/>
        <v>359.48119566666668</v>
      </c>
      <c r="AB146" s="10">
        <v>37257</v>
      </c>
      <c r="AC146">
        <f t="shared" si="10"/>
        <v>308.08083333333326</v>
      </c>
      <c r="AD146" t="e">
        <f t="shared" si="11"/>
        <v>#N/A</v>
      </c>
      <c r="AE146">
        <f t="shared" si="14"/>
        <v>359.48119566666668</v>
      </c>
    </row>
    <row r="147" spans="1:31" x14ac:dyDescent="0.25">
      <c r="A147" s="10">
        <v>37288</v>
      </c>
      <c r="B147" s="12">
        <v>315.32499999999999</v>
      </c>
      <c r="C147" t="e">
        <f>VLOOKUP(A147,'MBA CA Index'!A:B,2,0)</f>
        <v>#N/A</v>
      </c>
      <c r="D147">
        <f t="shared" si="12"/>
        <v>374.46502999999996</v>
      </c>
      <c r="E147">
        <f t="shared" si="13"/>
        <v>374.46502999999996</v>
      </c>
      <c r="F147">
        <f t="shared" si="9"/>
        <v>360.27408233333335</v>
      </c>
      <c r="AB147" s="10">
        <v>37288</v>
      </c>
      <c r="AC147">
        <f t="shared" si="10"/>
        <v>308.46416666666664</v>
      </c>
      <c r="AD147" t="e">
        <f t="shared" si="11"/>
        <v>#N/A</v>
      </c>
      <c r="AE147">
        <f t="shared" si="14"/>
        <v>360.27408233333335</v>
      </c>
    </row>
    <row r="148" spans="1:31" x14ac:dyDescent="0.25">
      <c r="A148" s="10">
        <v>37316</v>
      </c>
      <c r="B148" s="12">
        <v>328.23999999999995</v>
      </c>
      <c r="C148" t="e">
        <f>VLOOKUP(A148,'MBA CA Index'!A:B,2,0)</f>
        <v>#N/A</v>
      </c>
      <c r="D148">
        <f t="shared" si="12"/>
        <v>401.17841599999997</v>
      </c>
      <c r="E148">
        <f t="shared" si="13"/>
        <v>401.17841599999997</v>
      </c>
      <c r="F148">
        <f t="shared" si="9"/>
        <v>361.70587477777781</v>
      </c>
      <c r="AB148" s="10">
        <v>37316</v>
      </c>
      <c r="AC148">
        <f t="shared" si="10"/>
        <v>309.15638888888884</v>
      </c>
      <c r="AD148" t="e">
        <f t="shared" si="11"/>
        <v>#N/A</v>
      </c>
      <c r="AE148">
        <f t="shared" si="14"/>
        <v>361.70587477777781</v>
      </c>
    </row>
    <row r="149" spans="1:31" x14ac:dyDescent="0.25">
      <c r="A149" s="10">
        <v>37347</v>
      </c>
      <c r="B149" s="12">
        <v>347.52499999999998</v>
      </c>
      <c r="C149" t="e">
        <f>VLOOKUP(A149,'MBA CA Index'!A:B,2,0)</f>
        <v>#N/A</v>
      </c>
      <c r="D149">
        <f t="shared" si="12"/>
        <v>441.06750999999997</v>
      </c>
      <c r="E149">
        <f t="shared" si="13"/>
        <v>441.06750999999997</v>
      </c>
      <c r="F149">
        <f t="shared" ref="F149:F212" si="15">AVERAGE(E132:E149)</f>
        <v>366.67290755555558</v>
      </c>
      <c r="AB149" s="10">
        <v>37347</v>
      </c>
      <c r="AC149">
        <f t="shared" ref="AC149:AC212" si="16">AVERAGE(B132:B149)</f>
        <v>311.55777777777774</v>
      </c>
      <c r="AD149" t="e">
        <f t="shared" ref="AD149:AD212" si="17">AVERAGE(C132:C149)</f>
        <v>#N/A</v>
      </c>
      <c r="AE149">
        <f t="shared" si="14"/>
        <v>366.67290755555558</v>
      </c>
    </row>
    <row r="150" spans="1:31" x14ac:dyDescent="0.25">
      <c r="A150" s="10">
        <v>37377</v>
      </c>
      <c r="B150" s="12">
        <v>369.15999999999997</v>
      </c>
      <c r="C150" t="e">
        <f>VLOOKUP(A150,'MBA CA Index'!A:B,2,0)</f>
        <v>#N/A</v>
      </c>
      <c r="D150">
        <f t="shared" si="12"/>
        <v>485.81734399999993</v>
      </c>
      <c r="E150">
        <f t="shared" si="13"/>
        <v>485.81734399999993</v>
      </c>
      <c r="F150">
        <f t="shared" si="15"/>
        <v>373.13780666666668</v>
      </c>
      <c r="AB150" s="10">
        <v>37377</v>
      </c>
      <c r="AC150">
        <f t="shared" si="16"/>
        <v>314.68333333333328</v>
      </c>
      <c r="AD150" t="e">
        <f t="shared" si="17"/>
        <v>#N/A</v>
      </c>
      <c r="AE150">
        <f t="shared" si="14"/>
        <v>373.13780666666668</v>
      </c>
    </row>
    <row r="151" spans="1:31" x14ac:dyDescent="0.25">
      <c r="A151" s="10">
        <v>37408</v>
      </c>
      <c r="B151" s="12">
        <v>373.17499999999995</v>
      </c>
      <c r="C151" t="e">
        <f>VLOOKUP(A151,'MBA CA Index'!A:B,2,0)</f>
        <v>#N/A</v>
      </c>
      <c r="D151">
        <f t="shared" si="12"/>
        <v>494.12196999999992</v>
      </c>
      <c r="E151">
        <f t="shared" si="13"/>
        <v>494.12196999999992</v>
      </c>
      <c r="F151">
        <f t="shared" si="15"/>
        <v>382.07731655555557</v>
      </c>
      <c r="AB151" s="10">
        <v>37408</v>
      </c>
      <c r="AC151">
        <f t="shared" si="16"/>
        <v>319.00527777777774</v>
      </c>
      <c r="AD151" t="e">
        <f t="shared" si="17"/>
        <v>#N/A</v>
      </c>
      <c r="AE151">
        <f t="shared" si="14"/>
        <v>382.07731655555557</v>
      </c>
    </row>
    <row r="152" spans="1:31" x14ac:dyDescent="0.25">
      <c r="A152" s="10">
        <v>37438</v>
      </c>
      <c r="B152" s="12">
        <v>374.25</v>
      </c>
      <c r="C152" t="e">
        <f>VLOOKUP(A152,'MBA CA Index'!A:B,2,0)</f>
        <v>#N/A</v>
      </c>
      <c r="D152">
        <f t="shared" si="12"/>
        <v>496.34550000000002</v>
      </c>
      <c r="E152">
        <f t="shared" si="13"/>
        <v>496.34550000000002</v>
      </c>
      <c r="F152">
        <f t="shared" si="15"/>
        <v>388.98921988888895</v>
      </c>
      <c r="AB152" s="10">
        <v>37438</v>
      </c>
      <c r="AC152">
        <f t="shared" si="16"/>
        <v>322.34694444444443</v>
      </c>
      <c r="AD152" t="e">
        <f t="shared" si="17"/>
        <v>#N/A</v>
      </c>
      <c r="AE152">
        <f t="shared" si="14"/>
        <v>388.98921988888895</v>
      </c>
    </row>
    <row r="153" spans="1:31" x14ac:dyDescent="0.25">
      <c r="A153" s="10">
        <v>37469</v>
      </c>
      <c r="B153" s="12">
        <v>360.6</v>
      </c>
      <c r="C153" t="e">
        <f>VLOOKUP(A153,'MBA CA Index'!A:B,2,0)</f>
        <v>#N/A</v>
      </c>
      <c r="D153">
        <f t="shared" si="12"/>
        <v>468.11184000000003</v>
      </c>
      <c r="E153">
        <f t="shared" si="13"/>
        <v>468.11184000000003</v>
      </c>
      <c r="F153">
        <f t="shared" si="15"/>
        <v>397.25132877777781</v>
      </c>
      <c r="AB153" s="10">
        <v>37469</v>
      </c>
      <c r="AC153">
        <f t="shared" si="16"/>
        <v>326.34138888888884</v>
      </c>
      <c r="AD153" t="e">
        <f t="shared" si="17"/>
        <v>#N/A</v>
      </c>
      <c r="AE153">
        <f t="shared" si="14"/>
        <v>397.25132877777781</v>
      </c>
    </row>
    <row r="154" spans="1:31" x14ac:dyDescent="0.25">
      <c r="A154" s="10">
        <v>37500</v>
      </c>
      <c r="B154" s="12">
        <v>369.52499999999998</v>
      </c>
      <c r="C154" t="e">
        <f>VLOOKUP(A154,'MBA CA Index'!A:B,2,0)</f>
        <v>#N/A</v>
      </c>
      <c r="D154">
        <f t="shared" si="12"/>
        <v>486.57231000000002</v>
      </c>
      <c r="E154">
        <f t="shared" si="13"/>
        <v>486.57231000000002</v>
      </c>
      <c r="F154">
        <f t="shared" si="15"/>
        <v>405.30487399999998</v>
      </c>
      <c r="AB154" s="10">
        <v>37500</v>
      </c>
      <c r="AC154">
        <f t="shared" si="16"/>
        <v>330.2349999999999</v>
      </c>
      <c r="AD154" t="e">
        <f t="shared" si="17"/>
        <v>#N/A</v>
      </c>
      <c r="AE154">
        <f t="shared" si="14"/>
        <v>405.30487399999998</v>
      </c>
    </row>
    <row r="155" spans="1:31" x14ac:dyDescent="0.25">
      <c r="A155" s="10">
        <v>37530</v>
      </c>
      <c r="B155" s="12">
        <v>348.625</v>
      </c>
      <c r="C155" t="e">
        <f>VLOOKUP(A155,'MBA CA Index'!A:B,2,0)</f>
        <v>#N/A</v>
      </c>
      <c r="D155">
        <f t="shared" si="12"/>
        <v>443.34275000000002</v>
      </c>
      <c r="E155">
        <f t="shared" si="13"/>
        <v>443.34275000000002</v>
      </c>
      <c r="F155">
        <f t="shared" si="15"/>
        <v>410.69707788888888</v>
      </c>
      <c r="AB155" s="10">
        <v>37530</v>
      </c>
      <c r="AC155">
        <f t="shared" si="16"/>
        <v>332.84194444444444</v>
      </c>
      <c r="AD155" t="e">
        <f t="shared" si="17"/>
        <v>#N/A</v>
      </c>
      <c r="AE155">
        <f t="shared" si="14"/>
        <v>410.69707788888888</v>
      </c>
    </row>
    <row r="156" spans="1:31" x14ac:dyDescent="0.25">
      <c r="A156" s="10">
        <v>37561</v>
      </c>
      <c r="B156" s="12">
        <v>356.91999999999996</v>
      </c>
      <c r="C156" t="e">
        <f>VLOOKUP(A156,'MBA CA Index'!A:B,2,0)</f>
        <v>#N/A</v>
      </c>
      <c r="D156">
        <f t="shared" si="12"/>
        <v>460.5001279999999</v>
      </c>
      <c r="E156">
        <f t="shared" si="13"/>
        <v>460.5001279999999</v>
      </c>
      <c r="F156">
        <f t="shared" si="15"/>
        <v>416.33002055555556</v>
      </c>
      <c r="AB156" s="10">
        <v>37561</v>
      </c>
      <c r="AC156">
        <f t="shared" si="16"/>
        <v>335.56527777777774</v>
      </c>
      <c r="AD156" t="e">
        <f t="shared" si="17"/>
        <v>#N/A</v>
      </c>
      <c r="AE156">
        <f t="shared" si="14"/>
        <v>416.33002055555556</v>
      </c>
    </row>
    <row r="157" spans="1:31" x14ac:dyDescent="0.25">
      <c r="A157" s="10">
        <v>37591</v>
      </c>
      <c r="B157" s="12">
        <v>357.625</v>
      </c>
      <c r="C157" t="e">
        <f>VLOOKUP(A157,'MBA CA Index'!A:B,2,0)</f>
        <v>#N/A</v>
      </c>
      <c r="D157">
        <f t="shared" si="12"/>
        <v>461.95835</v>
      </c>
      <c r="E157">
        <f t="shared" si="13"/>
        <v>461.95835</v>
      </c>
      <c r="F157">
        <f t="shared" si="15"/>
        <v>420.0238382222222</v>
      </c>
      <c r="AB157" s="10">
        <v>37591</v>
      </c>
      <c r="AC157">
        <f t="shared" si="16"/>
        <v>337.35111111111109</v>
      </c>
      <c r="AD157" t="e">
        <f t="shared" si="17"/>
        <v>#N/A</v>
      </c>
      <c r="AE157">
        <f t="shared" si="14"/>
        <v>420.0238382222222</v>
      </c>
    </row>
    <row r="158" spans="1:31" x14ac:dyDescent="0.25">
      <c r="A158" s="10">
        <v>37622</v>
      </c>
      <c r="B158" s="12">
        <v>365.21999999999997</v>
      </c>
      <c r="C158" t="e">
        <f>VLOOKUP(A158,'MBA CA Index'!A:B,2,0)</f>
        <v>#N/A</v>
      </c>
      <c r="D158">
        <f t="shared" si="12"/>
        <v>477.66784799999994</v>
      </c>
      <c r="E158">
        <f t="shared" si="13"/>
        <v>477.66784799999994</v>
      </c>
      <c r="F158">
        <f t="shared" si="15"/>
        <v>426.14802588888892</v>
      </c>
      <c r="AB158" s="10">
        <v>37622</v>
      </c>
      <c r="AC158">
        <f t="shared" si="16"/>
        <v>340.31194444444441</v>
      </c>
      <c r="AD158" t="e">
        <f t="shared" si="17"/>
        <v>#N/A</v>
      </c>
      <c r="AE158">
        <f t="shared" si="14"/>
        <v>426.14802588888892</v>
      </c>
    </row>
    <row r="159" spans="1:31" x14ac:dyDescent="0.25">
      <c r="A159" s="10">
        <v>37653</v>
      </c>
      <c r="B159" s="12">
        <v>329.45000000000005</v>
      </c>
      <c r="C159" t="e">
        <f>VLOOKUP(A159,'MBA CA Index'!A:B,2,0)</f>
        <v>#N/A</v>
      </c>
      <c r="D159">
        <f t="shared" si="12"/>
        <v>403.68118000000015</v>
      </c>
      <c r="E159">
        <f t="shared" si="13"/>
        <v>403.68118000000015</v>
      </c>
      <c r="F159">
        <f t="shared" si="15"/>
        <v>428.96909366666665</v>
      </c>
      <c r="AB159" s="10">
        <v>37653</v>
      </c>
      <c r="AC159">
        <f t="shared" si="16"/>
        <v>341.67583333333334</v>
      </c>
      <c r="AD159" t="e">
        <f t="shared" si="17"/>
        <v>#N/A</v>
      </c>
      <c r="AE159">
        <f t="shared" si="14"/>
        <v>428.96909366666665</v>
      </c>
    </row>
    <row r="160" spans="1:31" x14ac:dyDescent="0.25">
      <c r="A160" s="10">
        <v>37681</v>
      </c>
      <c r="B160" s="12">
        <v>360.17500000000001</v>
      </c>
      <c r="C160" t="e">
        <f>VLOOKUP(A160,'MBA CA Index'!A:B,2,0)</f>
        <v>#N/A</v>
      </c>
      <c r="D160">
        <f t="shared" si="12"/>
        <v>467.23277000000007</v>
      </c>
      <c r="E160">
        <f t="shared" si="13"/>
        <v>467.23277000000007</v>
      </c>
      <c r="F160">
        <f t="shared" si="15"/>
        <v>436.30904088888889</v>
      </c>
      <c r="AB160" s="10">
        <v>37681</v>
      </c>
      <c r="AC160">
        <f t="shared" si="16"/>
        <v>345.22444444444443</v>
      </c>
      <c r="AD160" t="e">
        <f t="shared" si="17"/>
        <v>#N/A</v>
      </c>
      <c r="AE160">
        <f t="shared" si="14"/>
        <v>436.30904088888889</v>
      </c>
    </row>
    <row r="161" spans="1:31" x14ac:dyDescent="0.25">
      <c r="A161" s="10">
        <v>37712</v>
      </c>
      <c r="B161" s="12">
        <v>373.20000000000005</v>
      </c>
      <c r="C161" t="e">
        <f>VLOOKUP(A161,'MBA CA Index'!A:B,2,0)</f>
        <v>#N/A</v>
      </c>
      <c r="D161">
        <f t="shared" si="12"/>
        <v>494.1736800000001</v>
      </c>
      <c r="E161">
        <f t="shared" si="13"/>
        <v>494.1736800000001</v>
      </c>
      <c r="F161">
        <f t="shared" si="15"/>
        <v>447.93517255555554</v>
      </c>
      <c r="AB161" s="10">
        <v>37712</v>
      </c>
      <c r="AC161">
        <f t="shared" si="16"/>
        <v>350.84527777777777</v>
      </c>
      <c r="AD161" t="e">
        <f t="shared" si="17"/>
        <v>#N/A</v>
      </c>
      <c r="AE161">
        <f t="shared" si="14"/>
        <v>447.93517255555554</v>
      </c>
    </row>
    <row r="162" spans="1:31" x14ac:dyDescent="0.25">
      <c r="A162" s="10">
        <v>37742</v>
      </c>
      <c r="B162" s="12">
        <v>416.64</v>
      </c>
      <c r="C162" t="e">
        <f>VLOOKUP(A162,'MBA CA Index'!A:B,2,0)</f>
        <v>#N/A</v>
      </c>
      <c r="D162">
        <f t="shared" si="12"/>
        <v>584.02497600000004</v>
      </c>
      <c r="E162">
        <f t="shared" si="13"/>
        <v>584.02497600000004</v>
      </c>
      <c r="F162">
        <f t="shared" si="15"/>
        <v>459.61473788888884</v>
      </c>
      <c r="AB162" s="10">
        <v>37742</v>
      </c>
      <c r="AC162">
        <f t="shared" si="16"/>
        <v>356.49194444444447</v>
      </c>
      <c r="AD162" t="e">
        <f t="shared" si="17"/>
        <v>#N/A</v>
      </c>
      <c r="AE162">
        <f t="shared" si="14"/>
        <v>459.61473788888884</v>
      </c>
    </row>
    <row r="163" spans="1:31" x14ac:dyDescent="0.25">
      <c r="A163" s="10">
        <v>37773</v>
      </c>
      <c r="B163" s="12">
        <v>421.9</v>
      </c>
      <c r="C163" t="e">
        <f>VLOOKUP(A163,'MBA CA Index'!A:B,2,0)</f>
        <v>#N/A</v>
      </c>
      <c r="D163">
        <f t="shared" si="12"/>
        <v>594.90476000000001</v>
      </c>
      <c r="E163">
        <f t="shared" si="13"/>
        <v>594.90476000000001</v>
      </c>
      <c r="F163">
        <f t="shared" si="15"/>
        <v>471.89873566666665</v>
      </c>
      <c r="AB163" s="10">
        <v>37773</v>
      </c>
      <c r="AC163">
        <f t="shared" si="16"/>
        <v>362.43083333333334</v>
      </c>
      <c r="AD163" t="e">
        <f t="shared" si="17"/>
        <v>#N/A</v>
      </c>
      <c r="AE163">
        <f t="shared" si="14"/>
        <v>471.89873566666665</v>
      </c>
    </row>
    <row r="164" spans="1:31" x14ac:dyDescent="0.25">
      <c r="A164" s="10">
        <v>37803</v>
      </c>
      <c r="B164" s="12">
        <v>432.65</v>
      </c>
      <c r="C164" t="e">
        <f>VLOOKUP(A164,'MBA CA Index'!A:B,2,0)</f>
        <v>#N/A</v>
      </c>
      <c r="D164">
        <f t="shared" si="12"/>
        <v>617.14005999999995</v>
      </c>
      <c r="E164">
        <f t="shared" si="13"/>
        <v>617.14005999999995</v>
      </c>
      <c r="F164">
        <f t="shared" si="15"/>
        <v>480.6836901111111</v>
      </c>
      <c r="AB164" s="10">
        <v>37803</v>
      </c>
      <c r="AC164">
        <f t="shared" si="16"/>
        <v>366.67805555555555</v>
      </c>
      <c r="AD164" t="e">
        <f t="shared" si="17"/>
        <v>#N/A</v>
      </c>
      <c r="AE164">
        <f t="shared" si="14"/>
        <v>480.6836901111111</v>
      </c>
    </row>
    <row r="165" spans="1:31" x14ac:dyDescent="0.25">
      <c r="A165" s="10">
        <v>37834</v>
      </c>
      <c r="B165" s="12">
        <v>405.41999999999996</v>
      </c>
      <c r="C165" t="e">
        <f>VLOOKUP(A165,'MBA CA Index'!A:B,2,0)</f>
        <v>#N/A</v>
      </c>
      <c r="D165">
        <f t="shared" si="12"/>
        <v>560.81752799999992</v>
      </c>
      <c r="E165">
        <f t="shared" si="13"/>
        <v>560.81752799999992</v>
      </c>
      <c r="F165">
        <f t="shared" si="15"/>
        <v>491.03660666666667</v>
      </c>
      <c r="AB165" s="10">
        <v>37834</v>
      </c>
      <c r="AC165">
        <f t="shared" si="16"/>
        <v>371.68333333333328</v>
      </c>
      <c r="AD165" t="e">
        <f t="shared" si="17"/>
        <v>#N/A</v>
      </c>
      <c r="AE165">
        <f t="shared" si="14"/>
        <v>491.03660666666667</v>
      </c>
    </row>
    <row r="166" spans="1:31" x14ac:dyDescent="0.25">
      <c r="A166" s="10">
        <v>37865</v>
      </c>
      <c r="B166" s="12">
        <v>410.27500000000003</v>
      </c>
      <c r="C166" t="e">
        <f>VLOOKUP(A166,'MBA CA Index'!A:B,2,0)</f>
        <v>#N/A</v>
      </c>
      <c r="D166">
        <f t="shared" si="12"/>
        <v>570.85961000000009</v>
      </c>
      <c r="E166">
        <f t="shared" si="13"/>
        <v>570.85961000000009</v>
      </c>
      <c r="F166">
        <f t="shared" si="15"/>
        <v>500.46333966666657</v>
      </c>
      <c r="AB166" s="10">
        <v>37865</v>
      </c>
      <c r="AC166">
        <f t="shared" si="16"/>
        <v>376.24083333333328</v>
      </c>
      <c r="AD166" t="e">
        <f t="shared" si="17"/>
        <v>#N/A</v>
      </c>
      <c r="AE166">
        <f t="shared" si="14"/>
        <v>500.46333966666657</v>
      </c>
    </row>
    <row r="167" spans="1:31" x14ac:dyDescent="0.25">
      <c r="A167" s="10">
        <v>37895</v>
      </c>
      <c r="B167" s="12">
        <v>390.88</v>
      </c>
      <c r="C167" t="e">
        <f>VLOOKUP(A167,'MBA CA Index'!A:B,2,0)</f>
        <v>#N/A</v>
      </c>
      <c r="D167">
        <f t="shared" si="12"/>
        <v>530.74299199999996</v>
      </c>
      <c r="E167">
        <f t="shared" si="13"/>
        <v>530.74299199999996</v>
      </c>
      <c r="F167">
        <f t="shared" si="15"/>
        <v>505.44531088888874</v>
      </c>
      <c r="AB167" s="10">
        <v>37895</v>
      </c>
      <c r="AC167">
        <f t="shared" si="16"/>
        <v>378.64944444444444</v>
      </c>
      <c r="AD167" t="e">
        <f t="shared" si="17"/>
        <v>#N/A</v>
      </c>
      <c r="AE167">
        <f t="shared" si="14"/>
        <v>505.44531088888874</v>
      </c>
    </row>
    <row r="168" spans="1:31" x14ac:dyDescent="0.25">
      <c r="A168" s="10">
        <v>37926</v>
      </c>
      <c r="B168" s="12">
        <v>425.74999999999994</v>
      </c>
      <c r="C168" t="e">
        <f>VLOOKUP(A168,'MBA CA Index'!A:B,2,0)</f>
        <v>#N/A</v>
      </c>
      <c r="D168">
        <f t="shared" si="12"/>
        <v>602.86809999999991</v>
      </c>
      <c r="E168">
        <f t="shared" si="13"/>
        <v>602.86809999999991</v>
      </c>
      <c r="F168">
        <f t="shared" si="15"/>
        <v>511.94813066666666</v>
      </c>
      <c r="AB168" s="10">
        <v>37926</v>
      </c>
      <c r="AC168">
        <f t="shared" si="16"/>
        <v>381.79333333333329</v>
      </c>
      <c r="AD168" t="e">
        <f t="shared" si="17"/>
        <v>#N/A</v>
      </c>
      <c r="AE168">
        <f t="shared" si="14"/>
        <v>511.94813066666666</v>
      </c>
    </row>
    <row r="169" spans="1:31" x14ac:dyDescent="0.25">
      <c r="A169" s="10">
        <v>37956</v>
      </c>
      <c r="B169" s="12">
        <v>409.67499999999995</v>
      </c>
      <c r="C169" t="e">
        <f>VLOOKUP(A169,'MBA CA Index'!A:B,2,0)</f>
        <v>#N/A</v>
      </c>
      <c r="D169">
        <f t="shared" si="12"/>
        <v>569.61856999999986</v>
      </c>
      <c r="E169">
        <f t="shared" si="13"/>
        <v>569.61856999999986</v>
      </c>
      <c r="F169">
        <f t="shared" si="15"/>
        <v>516.14238622222229</v>
      </c>
      <c r="AB169" s="10">
        <v>37956</v>
      </c>
      <c r="AC169">
        <f t="shared" si="16"/>
        <v>383.82111111111112</v>
      </c>
      <c r="AD169" t="e">
        <f t="shared" si="17"/>
        <v>#N/A</v>
      </c>
      <c r="AE169">
        <f t="shared" si="14"/>
        <v>516.14238622222229</v>
      </c>
    </row>
    <row r="170" spans="1:31" x14ac:dyDescent="0.25">
      <c r="A170" s="10">
        <v>37987</v>
      </c>
      <c r="B170" s="12">
        <v>448.88</v>
      </c>
      <c r="C170" t="e">
        <f>VLOOKUP(A170,'MBA CA Index'!A:B,2,0)</f>
        <v>#N/A</v>
      </c>
      <c r="D170">
        <f t="shared" si="12"/>
        <v>650.71019200000001</v>
      </c>
      <c r="E170">
        <f t="shared" si="13"/>
        <v>650.71019200000001</v>
      </c>
      <c r="F170">
        <f t="shared" si="15"/>
        <v>524.7182024444445</v>
      </c>
      <c r="AB170" s="10">
        <v>37987</v>
      </c>
      <c r="AC170">
        <f t="shared" si="16"/>
        <v>387.96722222222223</v>
      </c>
      <c r="AD170" t="e">
        <f t="shared" si="17"/>
        <v>#N/A</v>
      </c>
      <c r="AE170">
        <f t="shared" si="14"/>
        <v>524.7182024444445</v>
      </c>
    </row>
    <row r="171" spans="1:31" x14ac:dyDescent="0.25">
      <c r="A171" s="10">
        <v>38018</v>
      </c>
      <c r="B171" s="12">
        <v>415.54999999999995</v>
      </c>
      <c r="C171" t="e">
        <f>VLOOKUP(A171,'MBA CA Index'!A:B,2,0)</f>
        <v>#N/A</v>
      </c>
      <c r="D171">
        <f t="shared" si="12"/>
        <v>581.77041999999994</v>
      </c>
      <c r="E171">
        <f t="shared" si="13"/>
        <v>581.77041999999994</v>
      </c>
      <c r="F171">
        <f t="shared" si="15"/>
        <v>531.03256800000008</v>
      </c>
      <c r="AB171" s="10">
        <v>38018</v>
      </c>
      <c r="AC171">
        <f t="shared" si="16"/>
        <v>391.02</v>
      </c>
      <c r="AD171" t="e">
        <f t="shared" si="17"/>
        <v>#N/A</v>
      </c>
      <c r="AE171">
        <f t="shared" si="14"/>
        <v>531.03256800000008</v>
      </c>
    </row>
    <row r="172" spans="1:31" x14ac:dyDescent="0.25">
      <c r="A172" s="10">
        <v>38047</v>
      </c>
      <c r="B172" s="12">
        <v>443.42500000000001</v>
      </c>
      <c r="C172" t="e">
        <f>VLOOKUP(A172,'MBA CA Index'!A:B,2,0)</f>
        <v>#N/A</v>
      </c>
      <c r="D172">
        <f t="shared" si="12"/>
        <v>639.42707000000007</v>
      </c>
      <c r="E172">
        <f t="shared" si="13"/>
        <v>639.42707000000007</v>
      </c>
      <c r="F172">
        <f t="shared" si="15"/>
        <v>539.52449911111103</v>
      </c>
      <c r="AB172" s="10">
        <v>38047</v>
      </c>
      <c r="AC172">
        <f t="shared" si="16"/>
        <v>395.12555555555559</v>
      </c>
      <c r="AD172" t="e">
        <f t="shared" si="17"/>
        <v>#N/A</v>
      </c>
      <c r="AE172">
        <f t="shared" si="14"/>
        <v>539.52449911111103</v>
      </c>
    </row>
    <row r="173" spans="1:31" x14ac:dyDescent="0.25">
      <c r="A173" s="10">
        <v>38078</v>
      </c>
      <c r="B173" s="12">
        <v>457.96000000000004</v>
      </c>
      <c r="C173" t="e">
        <f>VLOOKUP(A173,'MBA CA Index'!A:B,2,0)</f>
        <v>#N/A</v>
      </c>
      <c r="D173">
        <f t="shared" si="12"/>
        <v>669.49126400000011</v>
      </c>
      <c r="E173">
        <f t="shared" si="13"/>
        <v>669.49126400000011</v>
      </c>
      <c r="F173">
        <f t="shared" si="15"/>
        <v>552.08830544444436</v>
      </c>
      <c r="AB173" s="10">
        <v>38078</v>
      </c>
      <c r="AC173">
        <f t="shared" si="16"/>
        <v>401.19972222222231</v>
      </c>
      <c r="AD173" t="e">
        <f t="shared" si="17"/>
        <v>#N/A</v>
      </c>
      <c r="AE173">
        <f t="shared" si="14"/>
        <v>552.08830544444436</v>
      </c>
    </row>
    <row r="174" spans="1:31" x14ac:dyDescent="0.25">
      <c r="A174" s="10">
        <v>38108</v>
      </c>
      <c r="B174" s="12">
        <v>464.52499999999998</v>
      </c>
      <c r="C174" t="e">
        <f>VLOOKUP(A174,'MBA CA Index'!A:B,2,0)</f>
        <v>#N/A</v>
      </c>
      <c r="D174">
        <f t="shared" si="12"/>
        <v>683.07030999999995</v>
      </c>
      <c r="E174">
        <f t="shared" si="13"/>
        <v>683.07030999999995</v>
      </c>
      <c r="F174">
        <f t="shared" si="15"/>
        <v>564.45331555555549</v>
      </c>
      <c r="AB174" s="10">
        <v>38108</v>
      </c>
      <c r="AC174">
        <f t="shared" si="16"/>
        <v>407.17777777777781</v>
      </c>
      <c r="AD174" t="e">
        <f t="shared" si="17"/>
        <v>#N/A</v>
      </c>
      <c r="AE174">
        <f t="shared" si="14"/>
        <v>564.45331555555549</v>
      </c>
    </row>
    <row r="175" spans="1:31" x14ac:dyDescent="0.25">
      <c r="A175" s="10">
        <v>38139</v>
      </c>
      <c r="B175" s="12">
        <v>442.9</v>
      </c>
      <c r="C175">
        <f>VLOOKUP(A175,'MBA CA Index'!A:B,2,0)</f>
        <v>377</v>
      </c>
      <c r="D175">
        <f t="shared" si="12"/>
        <v>638.34115999999995</v>
      </c>
      <c r="E175">
        <f t="shared" si="13"/>
        <v>377</v>
      </c>
      <c r="F175">
        <f t="shared" si="15"/>
        <v>559.73340722222213</v>
      </c>
      <c r="AB175" s="10">
        <v>38139</v>
      </c>
      <c r="AC175">
        <f t="shared" si="16"/>
        <v>411.91527777777782</v>
      </c>
      <c r="AD175" t="e">
        <f t="shared" si="17"/>
        <v>#N/A</v>
      </c>
      <c r="AE175">
        <f>F175</f>
        <v>559.73340722222213</v>
      </c>
    </row>
    <row r="176" spans="1:31" x14ac:dyDescent="0.25">
      <c r="A176" s="10">
        <v>38169</v>
      </c>
      <c r="B176" s="12">
        <v>461.36</v>
      </c>
      <c r="C176">
        <f>VLOOKUP(A176,'MBA CA Index'!A:B,2,0)</f>
        <v>383.5</v>
      </c>
      <c r="D176">
        <f t="shared" si="12"/>
        <v>676.52382399999999</v>
      </c>
      <c r="E176">
        <f t="shared" si="13"/>
        <v>383.5</v>
      </c>
      <c r="F176">
        <f t="shared" si="15"/>
        <v>554.501860111111</v>
      </c>
      <c r="AB176" s="10">
        <v>38169</v>
      </c>
      <c r="AC176">
        <f t="shared" si="16"/>
        <v>417.25638888888886</v>
      </c>
      <c r="AD176" t="e">
        <f t="shared" si="17"/>
        <v>#N/A</v>
      </c>
      <c r="AE176">
        <f>F176</f>
        <v>554.501860111111</v>
      </c>
    </row>
    <row r="177" spans="1:32" x14ac:dyDescent="0.25">
      <c r="A177" s="10">
        <v>38200</v>
      </c>
      <c r="B177" s="12">
        <v>448.47500000000002</v>
      </c>
      <c r="C177">
        <f>VLOOKUP(A177,'MBA CA Index'!A:B,2,0)</f>
        <v>390</v>
      </c>
      <c r="D177">
        <f t="shared" si="12"/>
        <v>649.87249000000008</v>
      </c>
      <c r="E177">
        <f t="shared" si="13"/>
        <v>390</v>
      </c>
      <c r="F177">
        <f t="shared" si="15"/>
        <v>553.74179455555554</v>
      </c>
      <c r="AB177" s="10">
        <v>38200</v>
      </c>
      <c r="AC177">
        <f t="shared" si="16"/>
        <v>423.86888888888893</v>
      </c>
      <c r="AD177" t="e">
        <f t="shared" si="17"/>
        <v>#N/A</v>
      </c>
      <c r="AE177">
        <f>F177</f>
        <v>553.74179455555554</v>
      </c>
    </row>
    <row r="178" spans="1:32" x14ac:dyDescent="0.25">
      <c r="A178" s="10">
        <v>38231</v>
      </c>
      <c r="B178" s="12">
        <v>464.35</v>
      </c>
      <c r="C178">
        <f>VLOOKUP(A178,'MBA CA Index'!A:B,2,0)</f>
        <v>396.5</v>
      </c>
      <c r="D178">
        <f t="shared" si="12"/>
        <v>682.70834000000002</v>
      </c>
      <c r="E178">
        <f t="shared" si="13"/>
        <v>396.5</v>
      </c>
      <c r="F178">
        <f t="shared" si="15"/>
        <v>549.81219622222216</v>
      </c>
      <c r="AB178" s="10">
        <v>38231</v>
      </c>
      <c r="AC178">
        <f t="shared" si="16"/>
        <v>429.6563888888889</v>
      </c>
      <c r="AD178" t="e">
        <f t="shared" si="17"/>
        <v>#N/A</v>
      </c>
      <c r="AE178">
        <f>F178</f>
        <v>549.81219622222216</v>
      </c>
    </row>
    <row r="179" spans="1:32" x14ac:dyDescent="0.25">
      <c r="A179" s="10">
        <v>38261</v>
      </c>
      <c r="B179" s="12">
        <v>458.82</v>
      </c>
      <c r="C179">
        <f>VLOOKUP(A179,'MBA CA Index'!A:B,2,0)</f>
        <v>403</v>
      </c>
      <c r="D179">
        <f t="shared" si="12"/>
        <v>671.27008799999999</v>
      </c>
      <c r="E179">
        <f t="shared" si="13"/>
        <v>403</v>
      </c>
      <c r="F179">
        <f t="shared" si="15"/>
        <v>544.74699177777768</v>
      </c>
      <c r="AB179" s="10">
        <v>38261</v>
      </c>
      <c r="AC179">
        <f t="shared" si="16"/>
        <v>434.41305555555556</v>
      </c>
      <c r="AD179" t="e">
        <f t="shared" si="17"/>
        <v>#N/A</v>
      </c>
      <c r="AE179">
        <f>F179</f>
        <v>544.74699177777768</v>
      </c>
    </row>
    <row r="180" spans="1:32" x14ac:dyDescent="0.25">
      <c r="A180" s="10">
        <v>38292</v>
      </c>
      <c r="B180" s="12">
        <v>471.72499999999997</v>
      </c>
      <c r="C180">
        <f>VLOOKUP(A180,'MBA CA Index'!A:B,2,0)</f>
        <v>409.5</v>
      </c>
      <c r="D180">
        <f t="shared" si="12"/>
        <v>697.96278999999993</v>
      </c>
      <c r="E180">
        <f t="shared" si="13"/>
        <v>409.5</v>
      </c>
      <c r="F180">
        <f t="shared" si="15"/>
        <v>535.0511597777778</v>
      </c>
      <c r="AB180" s="10">
        <v>38292</v>
      </c>
      <c r="AC180">
        <f t="shared" si="16"/>
        <v>437.47333333333336</v>
      </c>
      <c r="AD180" t="e">
        <f t="shared" si="17"/>
        <v>#N/A</v>
      </c>
      <c r="AE180">
        <f>F180</f>
        <v>535.0511597777778</v>
      </c>
    </row>
    <row r="181" spans="1:32" x14ac:dyDescent="0.25">
      <c r="A181" s="10">
        <v>38322</v>
      </c>
      <c r="B181" s="12">
        <v>470.4</v>
      </c>
      <c r="C181">
        <f>VLOOKUP(A181,'MBA CA Index'!A:B,2,0)</f>
        <v>416</v>
      </c>
      <c r="D181">
        <f t="shared" si="12"/>
        <v>695.22215999999992</v>
      </c>
      <c r="E181">
        <f t="shared" si="13"/>
        <v>416</v>
      </c>
      <c r="F181">
        <f t="shared" si="15"/>
        <v>525.11200644444443</v>
      </c>
      <c r="AB181" s="10">
        <v>38322</v>
      </c>
      <c r="AC181">
        <f t="shared" si="16"/>
        <v>440.16777777777776</v>
      </c>
      <c r="AD181" t="e">
        <f t="shared" si="17"/>
        <v>#N/A</v>
      </c>
      <c r="AE181">
        <f>F181</f>
        <v>525.11200644444443</v>
      </c>
    </row>
    <row r="182" spans="1:32" x14ac:dyDescent="0.25">
      <c r="A182" s="10">
        <v>38353</v>
      </c>
      <c r="B182" s="12">
        <v>430.125</v>
      </c>
      <c r="C182">
        <f>VLOOKUP(A182,'MBA CA Index'!A:B,2,0)</f>
        <v>480.83333333333331</v>
      </c>
      <c r="D182">
        <f t="shared" si="12"/>
        <v>611.91735000000006</v>
      </c>
      <c r="E182">
        <f t="shared" si="13"/>
        <v>480.83333333333331</v>
      </c>
      <c r="F182">
        <f t="shared" si="15"/>
        <v>517.53941051851859</v>
      </c>
      <c r="AB182" s="10">
        <v>38353</v>
      </c>
      <c r="AC182">
        <f t="shared" si="16"/>
        <v>440.02749999999992</v>
      </c>
      <c r="AD182" t="e">
        <f t="shared" si="17"/>
        <v>#N/A</v>
      </c>
      <c r="AE182">
        <f>F182</f>
        <v>517.53941051851859</v>
      </c>
    </row>
    <row r="183" spans="1:32" x14ac:dyDescent="0.25">
      <c r="A183" s="10">
        <v>38384</v>
      </c>
      <c r="B183" s="12">
        <v>431.42500000000001</v>
      </c>
      <c r="C183">
        <f>VLOOKUP(A183,'MBA CA Index'!A:B,2,0)</f>
        <v>545.66666666666663</v>
      </c>
      <c r="D183">
        <f t="shared" si="12"/>
        <v>614.60626999999999</v>
      </c>
      <c r="E183">
        <f t="shared" si="13"/>
        <v>545.66666666666663</v>
      </c>
      <c r="F183">
        <f t="shared" si="15"/>
        <v>516.69769599999995</v>
      </c>
      <c r="AB183" s="10">
        <v>38384</v>
      </c>
      <c r="AC183">
        <f t="shared" si="16"/>
        <v>441.47222222222229</v>
      </c>
      <c r="AD183" t="e">
        <f t="shared" si="17"/>
        <v>#N/A</v>
      </c>
      <c r="AE183">
        <f>F183</f>
        <v>516.69769599999995</v>
      </c>
    </row>
    <row r="184" spans="1:32" x14ac:dyDescent="0.25">
      <c r="A184" s="10">
        <v>38412</v>
      </c>
      <c r="B184" s="12">
        <v>457.95000000000005</v>
      </c>
      <c r="C184">
        <f>VLOOKUP(A184,'MBA CA Index'!A:B,2,0)</f>
        <v>610.5</v>
      </c>
      <c r="D184">
        <f t="shared" si="12"/>
        <v>669.47058000000015</v>
      </c>
      <c r="E184">
        <f t="shared" si="13"/>
        <v>610.5</v>
      </c>
      <c r="F184">
        <f t="shared" si="15"/>
        <v>518.89993988888887</v>
      </c>
      <c r="AB184" s="10">
        <v>38412</v>
      </c>
      <c r="AC184">
        <f t="shared" si="16"/>
        <v>444.12083333333334</v>
      </c>
      <c r="AD184" t="e">
        <f t="shared" si="17"/>
        <v>#N/A</v>
      </c>
      <c r="AE184">
        <f>F184</f>
        <v>518.89993988888887</v>
      </c>
    </row>
    <row r="185" spans="1:32" x14ac:dyDescent="0.25">
      <c r="A185" s="10">
        <v>38443</v>
      </c>
      <c r="B185" s="12">
        <v>470.34</v>
      </c>
      <c r="C185">
        <f>VLOOKUP(A185,'MBA CA Index'!A:B,2,0)</f>
        <v>675.33333333333337</v>
      </c>
      <c r="D185">
        <f t="shared" si="12"/>
        <v>695.09805599999993</v>
      </c>
      <c r="E185">
        <f t="shared" si="13"/>
        <v>675.33333333333337</v>
      </c>
      <c r="F185">
        <f t="shared" si="15"/>
        <v>526.93273662962963</v>
      </c>
      <c r="AB185" s="10">
        <v>38443</v>
      </c>
      <c r="AC185">
        <f t="shared" si="16"/>
        <v>448.53527777777776</v>
      </c>
      <c r="AD185" t="e">
        <f t="shared" si="17"/>
        <v>#N/A</v>
      </c>
      <c r="AE185">
        <f>F185</f>
        <v>526.93273662962963</v>
      </c>
    </row>
    <row r="186" spans="1:32" x14ac:dyDescent="0.25">
      <c r="A186" s="10">
        <v>38473</v>
      </c>
      <c r="B186" s="12">
        <v>485.125</v>
      </c>
      <c r="C186">
        <f>VLOOKUP(A186,'MBA CA Index'!A:B,2,0)</f>
        <v>740.16666666666674</v>
      </c>
      <c r="D186">
        <f t="shared" si="12"/>
        <v>725.67935</v>
      </c>
      <c r="E186">
        <f t="shared" si="13"/>
        <v>740.16666666666674</v>
      </c>
      <c r="F186">
        <f t="shared" si="15"/>
        <v>534.5604347777778</v>
      </c>
      <c r="AB186" s="10">
        <v>38473</v>
      </c>
      <c r="AC186">
        <f t="shared" si="16"/>
        <v>451.83388888888891</v>
      </c>
      <c r="AD186" t="e">
        <f t="shared" si="17"/>
        <v>#N/A</v>
      </c>
      <c r="AE186">
        <f>F186</f>
        <v>534.5604347777778</v>
      </c>
    </row>
    <row r="187" spans="1:32" x14ac:dyDescent="0.25">
      <c r="A187" s="10">
        <v>38504</v>
      </c>
      <c r="B187" s="12">
        <v>491.35</v>
      </c>
      <c r="C187">
        <f>VLOOKUP(A187,'MBA CA Index'!A:B,2,0)</f>
        <v>805</v>
      </c>
      <c r="D187">
        <f t="shared" si="12"/>
        <v>738.55514000000005</v>
      </c>
      <c r="E187">
        <f t="shared" si="13"/>
        <v>805</v>
      </c>
      <c r="F187">
        <f t="shared" si="15"/>
        <v>547.63718088888891</v>
      </c>
      <c r="AB187" s="10">
        <v>38504</v>
      </c>
      <c r="AC187">
        <f t="shared" si="16"/>
        <v>456.37138888888887</v>
      </c>
      <c r="AD187" t="e">
        <f t="shared" si="17"/>
        <v>#N/A</v>
      </c>
      <c r="AE187">
        <f>F187</f>
        <v>547.63718088888891</v>
      </c>
    </row>
    <row r="188" spans="1:32" x14ac:dyDescent="0.25">
      <c r="A188" s="10">
        <v>38534</v>
      </c>
      <c r="B188" s="12">
        <v>495.62</v>
      </c>
      <c r="C188">
        <f>VLOOKUP(A188,'MBA CA Index'!A:B,2,0)</f>
        <v>812.16666666666663</v>
      </c>
      <c r="D188">
        <f t="shared" si="12"/>
        <v>747.38720799999999</v>
      </c>
      <c r="E188">
        <f t="shared" si="13"/>
        <v>812.16666666666663</v>
      </c>
      <c r="F188">
        <f t="shared" si="15"/>
        <v>556.60698503703702</v>
      </c>
      <c r="AB188" s="10">
        <v>38534</v>
      </c>
      <c r="AC188">
        <f t="shared" si="16"/>
        <v>458.96805555555562</v>
      </c>
      <c r="AD188" t="e">
        <f t="shared" si="17"/>
        <v>#N/A</v>
      </c>
      <c r="AE188">
        <f>F188</f>
        <v>556.60698503703702</v>
      </c>
    </row>
    <row r="189" spans="1:32" x14ac:dyDescent="0.25">
      <c r="A189" s="10">
        <v>38565</v>
      </c>
      <c r="B189" s="12">
        <v>489.27499999999998</v>
      </c>
      <c r="C189">
        <f>VLOOKUP(A189,'MBA CA Index'!A:B,2,0)</f>
        <v>819.33333333333326</v>
      </c>
      <c r="D189">
        <f t="shared" si="12"/>
        <v>734.26320999999996</v>
      </c>
      <c r="E189">
        <f t="shared" si="13"/>
        <v>819.33333333333326</v>
      </c>
      <c r="F189">
        <f t="shared" si="15"/>
        <v>569.80492466666669</v>
      </c>
      <c r="AB189" s="10">
        <v>38565</v>
      </c>
      <c r="AC189">
        <f t="shared" si="16"/>
        <v>463.06388888888887</v>
      </c>
      <c r="AD189" t="e">
        <f t="shared" si="17"/>
        <v>#N/A</v>
      </c>
      <c r="AE189">
        <f>F189</f>
        <v>569.80492466666669</v>
      </c>
    </row>
    <row r="190" spans="1:32" x14ac:dyDescent="0.25">
      <c r="A190" s="10">
        <v>38596</v>
      </c>
      <c r="B190" s="12">
        <v>493.94000000000005</v>
      </c>
      <c r="C190">
        <f>VLOOKUP(A190,'MBA CA Index'!A:B,2,0)</f>
        <v>826.49999999999989</v>
      </c>
      <c r="D190">
        <f t="shared" si="12"/>
        <v>743.91229600000008</v>
      </c>
      <c r="E190">
        <f t="shared" si="13"/>
        <v>826.49999999999989</v>
      </c>
      <c r="F190">
        <f t="shared" si="15"/>
        <v>580.19786522222228</v>
      </c>
      <c r="AB190" s="10">
        <v>38596</v>
      </c>
      <c r="AC190">
        <f t="shared" si="16"/>
        <v>465.87027777777774</v>
      </c>
      <c r="AD190" t="e">
        <f t="shared" si="17"/>
        <v>#N/A</v>
      </c>
      <c r="AE190">
        <f>F190</f>
        <v>580.19786522222228</v>
      </c>
    </row>
    <row r="191" spans="1:32" x14ac:dyDescent="0.25">
      <c r="A191" s="10">
        <v>38626</v>
      </c>
      <c r="B191" s="12">
        <v>469.35</v>
      </c>
      <c r="C191">
        <f>VLOOKUP(A191,'MBA CA Index'!A:B,2,0)</f>
        <v>833.66666666666652</v>
      </c>
      <c r="D191">
        <f t="shared" si="12"/>
        <v>693.05034000000001</v>
      </c>
      <c r="E191">
        <f t="shared" si="13"/>
        <v>833.66666666666652</v>
      </c>
      <c r="F191">
        <f t="shared" si="15"/>
        <v>589.31872092592596</v>
      </c>
      <c r="AB191" s="10">
        <v>38626</v>
      </c>
      <c r="AC191">
        <f t="shared" si="16"/>
        <v>466.50305555555559</v>
      </c>
      <c r="AD191" t="e">
        <f t="shared" si="17"/>
        <v>#N/A</v>
      </c>
      <c r="AE191">
        <f>F191</f>
        <v>589.31872092592596</v>
      </c>
    </row>
    <row r="192" spans="1:32" x14ac:dyDescent="0.25">
      <c r="A192" s="10">
        <v>38657</v>
      </c>
      <c r="B192" s="12">
        <v>473.02499999999998</v>
      </c>
      <c r="C192">
        <f>VLOOKUP(A192,'MBA CA Index'!A:B,2,0)</f>
        <v>840.83333333333314</v>
      </c>
      <c r="D192">
        <f t="shared" si="12"/>
        <v>700.65170999999998</v>
      </c>
      <c r="E192">
        <f t="shared" si="13"/>
        <v>840.83333333333314</v>
      </c>
      <c r="F192">
        <f t="shared" si="15"/>
        <v>598.08333333333337</v>
      </c>
      <c r="AB192" s="10">
        <v>38657</v>
      </c>
      <c r="AC192">
        <f t="shared" si="16"/>
        <v>466.97527777777782</v>
      </c>
      <c r="AD192">
        <f>AVERAGE($C$175:C192)</f>
        <v>598.08333333333337</v>
      </c>
      <c r="AF192">
        <v>598.08333333333337</v>
      </c>
    </row>
    <row r="193" spans="1:32" x14ac:dyDescent="0.25">
      <c r="A193" s="10">
        <v>38687</v>
      </c>
      <c r="B193" s="12">
        <v>455.46000000000004</v>
      </c>
      <c r="C193">
        <f>VLOOKUP(A193,'MBA CA Index'!A:B,2,0)</f>
        <v>848</v>
      </c>
      <c r="D193">
        <f t="shared" si="12"/>
        <v>664.32026400000007</v>
      </c>
      <c r="E193">
        <f t="shared" si="13"/>
        <v>848</v>
      </c>
      <c r="F193">
        <f t="shared" si="15"/>
        <v>624.25</v>
      </c>
      <c r="AB193" s="10">
        <v>38687</v>
      </c>
      <c r="AC193">
        <f t="shared" si="16"/>
        <v>467.67305555555566</v>
      </c>
      <c r="AD193">
        <f t="shared" si="17"/>
        <v>624.25</v>
      </c>
      <c r="AF193">
        <v>624.25</v>
      </c>
    </row>
    <row r="194" spans="1:32" x14ac:dyDescent="0.25">
      <c r="A194" s="10">
        <v>38718</v>
      </c>
      <c r="B194" s="12">
        <v>452.67500000000001</v>
      </c>
      <c r="C194">
        <f>VLOOKUP(A194,'MBA CA Index'!A:B,2,0)</f>
        <v>851.83333333333337</v>
      </c>
      <c r="D194">
        <f t="shared" si="12"/>
        <v>658.55977000000007</v>
      </c>
      <c r="E194">
        <f t="shared" si="13"/>
        <v>851.83333333333337</v>
      </c>
      <c r="F194">
        <f t="shared" si="15"/>
        <v>650.26851851851859</v>
      </c>
      <c r="AB194" s="10">
        <v>38718</v>
      </c>
      <c r="AC194">
        <f t="shared" si="16"/>
        <v>467.19055555555559</v>
      </c>
      <c r="AD194">
        <f t="shared" si="17"/>
        <v>650.26851851851859</v>
      </c>
      <c r="AF194">
        <v>650.26851851851859</v>
      </c>
    </row>
    <row r="195" spans="1:32" x14ac:dyDescent="0.25">
      <c r="A195" s="10">
        <v>38749</v>
      </c>
      <c r="B195" s="12">
        <v>406.57499999999999</v>
      </c>
      <c r="C195">
        <f>VLOOKUP(A195,'MBA CA Index'!A:B,2,0)</f>
        <v>855.66666666666674</v>
      </c>
      <c r="D195">
        <f t="shared" ref="D195:D258" si="18">$J$2+$K$2*B195</f>
        <v>563.20653000000004</v>
      </c>
      <c r="E195">
        <f t="shared" ref="E195:E258" si="19">IF(ISNA(C195),D195,C195)</f>
        <v>855.66666666666674</v>
      </c>
      <c r="F195">
        <f t="shared" si="15"/>
        <v>676.13888888888891</v>
      </c>
      <c r="AB195" s="10">
        <v>38749</v>
      </c>
      <c r="AC195">
        <f t="shared" si="16"/>
        <v>464.86277777777781</v>
      </c>
      <c r="AD195">
        <f t="shared" si="17"/>
        <v>676.13888888888891</v>
      </c>
      <c r="AF195">
        <v>676.13888888888891</v>
      </c>
    </row>
    <row r="196" spans="1:32" x14ac:dyDescent="0.25">
      <c r="A196" s="10">
        <v>38777</v>
      </c>
      <c r="B196" s="12">
        <v>407.58</v>
      </c>
      <c r="C196">
        <f>VLOOKUP(A196,'MBA CA Index'!A:B,2,0)</f>
        <v>859.50000000000011</v>
      </c>
      <c r="D196">
        <f t="shared" si="18"/>
        <v>565.28527199999996</v>
      </c>
      <c r="E196">
        <f t="shared" si="19"/>
        <v>859.50000000000011</v>
      </c>
      <c r="F196">
        <f t="shared" si="15"/>
        <v>701.86111111111109</v>
      </c>
      <c r="AB196" s="10">
        <v>38777</v>
      </c>
      <c r="AC196">
        <f t="shared" si="16"/>
        <v>461.70888888888891</v>
      </c>
      <c r="AD196">
        <f t="shared" si="17"/>
        <v>701.86111111111109</v>
      </c>
      <c r="AF196">
        <v>701.86111111111109</v>
      </c>
    </row>
    <row r="197" spans="1:32" x14ac:dyDescent="0.25">
      <c r="A197" s="10">
        <v>38808</v>
      </c>
      <c r="B197" s="12">
        <v>411.95</v>
      </c>
      <c r="C197">
        <f>VLOOKUP(A197,'MBA CA Index'!A:B,2,0)</f>
        <v>863.33333333333348</v>
      </c>
      <c r="D197">
        <f t="shared" si="18"/>
        <v>574.32417999999996</v>
      </c>
      <c r="E197">
        <f t="shared" si="19"/>
        <v>863.33333333333348</v>
      </c>
      <c r="F197">
        <f t="shared" si="15"/>
        <v>727.43518518518522</v>
      </c>
      <c r="AB197" s="10">
        <v>38808</v>
      </c>
      <c r="AC197">
        <f t="shared" si="16"/>
        <v>459.10499999999996</v>
      </c>
      <c r="AD197">
        <f t="shared" si="17"/>
        <v>727.43518518518522</v>
      </c>
      <c r="AF197">
        <v>727.43518518518522</v>
      </c>
    </row>
    <row r="198" spans="1:32" x14ac:dyDescent="0.25">
      <c r="A198" s="10">
        <v>38838</v>
      </c>
      <c r="B198" s="12">
        <v>408.77499999999998</v>
      </c>
      <c r="C198">
        <f>VLOOKUP(A198,'MBA CA Index'!A:B,2,0)</f>
        <v>867.16666666666686</v>
      </c>
      <c r="D198">
        <f t="shared" si="18"/>
        <v>567.75700999999992</v>
      </c>
      <c r="E198">
        <f t="shared" si="19"/>
        <v>867.16666666666686</v>
      </c>
      <c r="F198">
        <f t="shared" si="15"/>
        <v>752.86111111111109</v>
      </c>
      <c r="AB198" s="10">
        <v>38838</v>
      </c>
      <c r="AC198">
        <f t="shared" si="16"/>
        <v>455.6077777777777</v>
      </c>
      <c r="AD198">
        <f t="shared" si="17"/>
        <v>752.86111111111109</v>
      </c>
      <c r="AF198">
        <v>752.86111111111109</v>
      </c>
    </row>
    <row r="199" spans="1:32" x14ac:dyDescent="0.25">
      <c r="A199" s="10">
        <v>38869</v>
      </c>
      <c r="B199" s="12">
        <v>405.64</v>
      </c>
      <c r="C199">
        <f>VLOOKUP(A199,'MBA CA Index'!A:B,2,0)</f>
        <v>871</v>
      </c>
      <c r="D199">
        <f t="shared" si="18"/>
        <v>561.27257599999996</v>
      </c>
      <c r="E199">
        <f t="shared" si="19"/>
        <v>871</v>
      </c>
      <c r="F199">
        <f t="shared" si="15"/>
        <v>778.13888888888891</v>
      </c>
      <c r="AB199" s="10">
        <v>38869</v>
      </c>
      <c r="AC199">
        <f t="shared" si="16"/>
        <v>452.01</v>
      </c>
      <c r="AD199">
        <f t="shared" si="17"/>
        <v>778.13888888888891</v>
      </c>
      <c r="AF199">
        <v>778.13888888888891</v>
      </c>
    </row>
    <row r="200" spans="1:32" x14ac:dyDescent="0.25">
      <c r="A200" s="10">
        <v>38899</v>
      </c>
      <c r="B200" s="12">
        <v>397.17500000000001</v>
      </c>
      <c r="C200">
        <f>VLOOKUP(A200,'MBA CA Index'!A:B,2,0)</f>
        <v>846.83333333333337</v>
      </c>
      <c r="D200">
        <f t="shared" si="18"/>
        <v>543.76357000000007</v>
      </c>
      <c r="E200">
        <f t="shared" si="19"/>
        <v>846.83333333333337</v>
      </c>
      <c r="F200">
        <f t="shared" si="15"/>
        <v>798.47222222222229</v>
      </c>
      <c r="AB200" s="10">
        <v>38899</v>
      </c>
      <c r="AC200">
        <f t="shared" si="16"/>
        <v>450.17944444444441</v>
      </c>
      <c r="AD200">
        <f t="shared" si="17"/>
        <v>798.47222222222229</v>
      </c>
      <c r="AF200">
        <v>798.47222222222229</v>
      </c>
    </row>
    <row r="201" spans="1:32" x14ac:dyDescent="0.25">
      <c r="A201" s="10">
        <v>38930</v>
      </c>
      <c r="B201" s="12">
        <v>383.22500000000002</v>
      </c>
      <c r="C201">
        <f>VLOOKUP(A201,'MBA CA Index'!A:B,2,0)</f>
        <v>822.66666666666674</v>
      </c>
      <c r="D201">
        <f t="shared" si="18"/>
        <v>514.90939000000003</v>
      </c>
      <c r="E201">
        <f t="shared" si="19"/>
        <v>822.66666666666674</v>
      </c>
      <c r="F201">
        <f t="shared" si="15"/>
        <v>813.86111111111097</v>
      </c>
      <c r="AB201" s="10">
        <v>38930</v>
      </c>
      <c r="AC201">
        <f t="shared" si="16"/>
        <v>447.50166666666667</v>
      </c>
      <c r="AD201">
        <f t="shared" si="17"/>
        <v>813.86111111111097</v>
      </c>
      <c r="AF201">
        <v>813.86111111111097</v>
      </c>
    </row>
    <row r="202" spans="1:32" x14ac:dyDescent="0.25">
      <c r="A202" s="10">
        <v>38961</v>
      </c>
      <c r="B202" s="12">
        <v>395.65999999999997</v>
      </c>
      <c r="C202">
        <f>VLOOKUP(A202,'MBA CA Index'!A:B,2,0)</f>
        <v>798.50000000000011</v>
      </c>
      <c r="D202">
        <f t="shared" si="18"/>
        <v>540.62994399999991</v>
      </c>
      <c r="E202">
        <f t="shared" si="19"/>
        <v>798.50000000000011</v>
      </c>
      <c r="F202">
        <f t="shared" si="15"/>
        <v>824.30555555555543</v>
      </c>
      <c r="AB202" s="10">
        <v>38961</v>
      </c>
      <c r="AC202">
        <f t="shared" si="16"/>
        <v>444.04111111111115</v>
      </c>
      <c r="AD202">
        <f t="shared" si="17"/>
        <v>824.30555555555543</v>
      </c>
      <c r="AF202">
        <v>824.30555555555543</v>
      </c>
    </row>
    <row r="203" spans="1:32" x14ac:dyDescent="0.25">
      <c r="A203" s="10">
        <v>38991</v>
      </c>
      <c r="B203" s="12">
        <v>381.5</v>
      </c>
      <c r="C203">
        <f>VLOOKUP(A203,'MBA CA Index'!A:B,2,0)</f>
        <v>774.33333333333348</v>
      </c>
      <c r="D203">
        <f t="shared" si="18"/>
        <v>511.34140000000002</v>
      </c>
      <c r="E203">
        <f t="shared" si="19"/>
        <v>774.33333333333348</v>
      </c>
      <c r="F203">
        <f t="shared" si="15"/>
        <v>829.80555555555554</v>
      </c>
      <c r="AB203" s="10">
        <v>38991</v>
      </c>
      <c r="AC203">
        <f t="shared" si="16"/>
        <v>439.10555555555555</v>
      </c>
      <c r="AD203">
        <f t="shared" si="17"/>
        <v>829.80555555555554</v>
      </c>
      <c r="AF203">
        <v>829.80555555555554</v>
      </c>
    </row>
    <row r="204" spans="1:32" x14ac:dyDescent="0.25">
      <c r="A204" s="10">
        <v>39022</v>
      </c>
      <c r="B204" s="12">
        <v>405.8</v>
      </c>
      <c r="C204">
        <f>VLOOKUP(A204,'MBA CA Index'!A:B,2,0)</f>
        <v>750.16666666666686</v>
      </c>
      <c r="D204">
        <f t="shared" si="18"/>
        <v>561.60352</v>
      </c>
      <c r="E204">
        <f t="shared" si="19"/>
        <v>750.16666666666686</v>
      </c>
      <c r="F204">
        <f t="shared" si="15"/>
        <v>830.36111111111109</v>
      </c>
      <c r="AB204" s="10">
        <v>39022</v>
      </c>
      <c r="AC204">
        <f t="shared" si="16"/>
        <v>434.69861111111118</v>
      </c>
      <c r="AD204">
        <f t="shared" si="17"/>
        <v>830.36111111111109</v>
      </c>
      <c r="AF204">
        <v>830.36111111111109</v>
      </c>
    </row>
    <row r="205" spans="1:32" x14ac:dyDescent="0.25">
      <c r="A205" s="10">
        <v>39052</v>
      </c>
      <c r="B205" s="12">
        <v>424.8</v>
      </c>
      <c r="C205">
        <f>VLOOKUP(A205,'MBA CA Index'!A:B,2,0)</f>
        <v>726</v>
      </c>
      <c r="D205">
        <f t="shared" si="18"/>
        <v>600.90312000000006</v>
      </c>
      <c r="E205">
        <f t="shared" si="19"/>
        <v>726</v>
      </c>
      <c r="F205">
        <f t="shared" si="15"/>
        <v>825.97222222222217</v>
      </c>
      <c r="AB205" s="10">
        <v>39052</v>
      </c>
      <c r="AC205">
        <f t="shared" si="16"/>
        <v>431.00138888888893</v>
      </c>
      <c r="AD205">
        <f t="shared" si="17"/>
        <v>825.97222222222217</v>
      </c>
      <c r="AF205">
        <v>825.97222222222217</v>
      </c>
    </row>
    <row r="206" spans="1:32" x14ac:dyDescent="0.25">
      <c r="A206" s="10">
        <v>39083</v>
      </c>
      <c r="B206" s="12">
        <v>430.8</v>
      </c>
      <c r="C206">
        <f>VLOOKUP(A206,'MBA CA Index'!A:B,2,0)</f>
        <v>696.33333333333337</v>
      </c>
      <c r="D206">
        <f t="shared" si="18"/>
        <v>613.31352000000004</v>
      </c>
      <c r="E206">
        <f t="shared" si="19"/>
        <v>696.33333333333337</v>
      </c>
      <c r="F206">
        <f t="shared" si="15"/>
        <v>819.53703703703695</v>
      </c>
      <c r="AB206" s="10">
        <v>39083</v>
      </c>
      <c r="AC206">
        <f t="shared" si="16"/>
        <v>427.40027777777783</v>
      </c>
      <c r="AD206">
        <f t="shared" si="17"/>
        <v>819.53703703703695</v>
      </c>
      <c r="AF206">
        <v>819.53703703703695</v>
      </c>
    </row>
    <row r="207" spans="1:32" x14ac:dyDescent="0.25">
      <c r="A207" s="10">
        <v>39114</v>
      </c>
      <c r="B207" s="12">
        <v>397.02499999999998</v>
      </c>
      <c r="C207">
        <f>VLOOKUP(A207,'MBA CA Index'!A:B,2,0)</f>
        <v>666.66666666666674</v>
      </c>
      <c r="D207">
        <f t="shared" si="18"/>
        <v>543.45330999999999</v>
      </c>
      <c r="E207">
        <f t="shared" si="19"/>
        <v>666.66666666666674</v>
      </c>
      <c r="F207">
        <f t="shared" si="15"/>
        <v>811.05555555555554</v>
      </c>
      <c r="AB207" s="10">
        <v>39114</v>
      </c>
      <c r="AC207">
        <f t="shared" si="16"/>
        <v>422.27527777777783</v>
      </c>
      <c r="AD207">
        <f t="shared" si="17"/>
        <v>811.05555555555554</v>
      </c>
      <c r="AF207">
        <v>811.05555555555554</v>
      </c>
    </row>
    <row r="208" spans="1:32" x14ac:dyDescent="0.25">
      <c r="A208" s="10">
        <v>39142</v>
      </c>
      <c r="B208" s="12">
        <v>408.84000000000003</v>
      </c>
      <c r="C208">
        <f>VLOOKUP(A208,'MBA CA Index'!A:B,2,0)</f>
        <v>637.00000000000011</v>
      </c>
      <c r="D208">
        <f t="shared" si="18"/>
        <v>567.89145600000006</v>
      </c>
      <c r="E208">
        <f t="shared" si="19"/>
        <v>637.00000000000011</v>
      </c>
      <c r="F208">
        <f t="shared" si="15"/>
        <v>800.52777777777783</v>
      </c>
      <c r="AB208" s="10">
        <v>39142</v>
      </c>
      <c r="AC208">
        <f t="shared" si="16"/>
        <v>417.54750000000001</v>
      </c>
      <c r="AD208">
        <f t="shared" si="17"/>
        <v>800.52777777777783</v>
      </c>
      <c r="AF208">
        <v>800.52777777777783</v>
      </c>
    </row>
    <row r="209" spans="1:32" x14ac:dyDescent="0.25">
      <c r="A209" s="10">
        <v>39173</v>
      </c>
      <c r="B209" s="12">
        <v>412.15</v>
      </c>
      <c r="C209">
        <f>VLOOKUP(A209,'MBA CA Index'!A:B,2,0)</f>
        <v>607.33333333333348</v>
      </c>
      <c r="D209">
        <f t="shared" si="18"/>
        <v>574.73785999999996</v>
      </c>
      <c r="E209">
        <f t="shared" si="19"/>
        <v>607.33333333333348</v>
      </c>
      <c r="F209">
        <f t="shared" si="15"/>
        <v>787.9537037037037</v>
      </c>
      <c r="AB209" s="10">
        <v>39173</v>
      </c>
      <c r="AC209">
        <f t="shared" si="16"/>
        <v>414.36972222222221</v>
      </c>
      <c r="AD209">
        <f t="shared" si="17"/>
        <v>787.9537037037037</v>
      </c>
      <c r="AF209">
        <v>787.9537037037037</v>
      </c>
    </row>
    <row r="210" spans="1:32" x14ac:dyDescent="0.25">
      <c r="A210" s="10">
        <v>39203</v>
      </c>
      <c r="B210" s="12">
        <v>433.92500000000001</v>
      </c>
      <c r="C210">
        <f>VLOOKUP(A210,'MBA CA Index'!A:B,2,0)</f>
        <v>577.66666666666686</v>
      </c>
      <c r="D210">
        <f t="shared" si="18"/>
        <v>619.77727000000004</v>
      </c>
      <c r="E210">
        <f t="shared" si="19"/>
        <v>577.66666666666686</v>
      </c>
      <c r="F210">
        <f t="shared" si="15"/>
        <v>773.33333333333348</v>
      </c>
      <c r="AB210" s="10">
        <v>39203</v>
      </c>
      <c r="AC210">
        <f t="shared" si="16"/>
        <v>412.19749999999999</v>
      </c>
      <c r="AD210">
        <f t="shared" si="17"/>
        <v>773.33333333333348</v>
      </c>
      <c r="AF210">
        <v>773.33333333333348</v>
      </c>
    </row>
    <row r="211" spans="1:32" x14ac:dyDescent="0.25">
      <c r="A211" s="10">
        <v>39234</v>
      </c>
      <c r="B211" s="12">
        <v>443.08000000000004</v>
      </c>
      <c r="C211">
        <f>VLOOKUP(A211,'MBA CA Index'!A:B,2,0)</f>
        <v>548</v>
      </c>
      <c r="D211">
        <f t="shared" si="18"/>
        <v>638.71347200000014</v>
      </c>
      <c r="E211">
        <f t="shared" si="19"/>
        <v>548</v>
      </c>
      <c r="F211">
        <f t="shared" si="15"/>
        <v>756.66666666666663</v>
      </c>
      <c r="AB211" s="10">
        <v>39234</v>
      </c>
      <c r="AC211">
        <f t="shared" si="16"/>
        <v>411.50972222222219</v>
      </c>
      <c r="AD211">
        <f t="shared" si="17"/>
        <v>756.66666666666663</v>
      </c>
      <c r="AF211">
        <v>756.66666666666663</v>
      </c>
    </row>
    <row r="212" spans="1:32" x14ac:dyDescent="0.25">
      <c r="A212" s="10">
        <v>39264</v>
      </c>
      <c r="B212" s="12">
        <v>435.29999999999995</v>
      </c>
      <c r="C212">
        <f>VLOOKUP(A212,'MBA CA Index'!A:B,2,0)</f>
        <v>509.5</v>
      </c>
      <c r="D212">
        <f t="shared" si="18"/>
        <v>622.62131999999997</v>
      </c>
      <c r="E212">
        <f t="shared" si="19"/>
        <v>509.5</v>
      </c>
      <c r="F212">
        <f t="shared" si="15"/>
        <v>737.64814814814827</v>
      </c>
      <c r="AB212" s="10">
        <v>39264</v>
      </c>
      <c r="AC212">
        <f t="shared" si="16"/>
        <v>410.54444444444448</v>
      </c>
      <c r="AD212">
        <f t="shared" si="17"/>
        <v>737.64814814814827</v>
      </c>
      <c r="AF212">
        <v>737.64814814814827</v>
      </c>
    </row>
    <row r="213" spans="1:32" x14ac:dyDescent="0.25">
      <c r="A213" s="10">
        <v>39295</v>
      </c>
      <c r="B213" s="12">
        <v>440.71999999999997</v>
      </c>
      <c r="C213">
        <f>VLOOKUP(A213,'MBA CA Index'!A:B,2,0)</f>
        <v>471</v>
      </c>
      <c r="D213">
        <f t="shared" si="18"/>
        <v>633.83204799999999</v>
      </c>
      <c r="E213">
        <f t="shared" si="19"/>
        <v>471</v>
      </c>
      <c r="F213">
        <f t="shared" ref="F213:F276" si="20">AVERAGE(E196:E213)</f>
        <v>716.27777777777783</v>
      </c>
      <c r="AB213" s="10">
        <v>39295</v>
      </c>
      <c r="AC213">
        <f t="shared" ref="AC213:AC276" si="21">AVERAGE(B196:B213)</f>
        <v>412.44138888888887</v>
      </c>
      <c r="AD213">
        <f t="shared" ref="AD213:AD276" si="22">AVERAGE(C196:C213)</f>
        <v>716.27777777777783</v>
      </c>
      <c r="AF213">
        <v>716.27777777777783</v>
      </c>
    </row>
    <row r="214" spans="1:32" x14ac:dyDescent="0.25">
      <c r="A214" s="10">
        <v>39326</v>
      </c>
      <c r="B214" s="12">
        <v>432.54999999999995</v>
      </c>
      <c r="C214">
        <f>VLOOKUP(A214,'MBA CA Index'!A:B,2,0)</f>
        <v>432.5</v>
      </c>
      <c r="D214">
        <f t="shared" si="18"/>
        <v>616.93321999999989</v>
      </c>
      <c r="E214">
        <f t="shared" si="19"/>
        <v>432.5</v>
      </c>
      <c r="F214">
        <f t="shared" si="20"/>
        <v>692.55555555555554</v>
      </c>
      <c r="AB214" s="10">
        <v>39326</v>
      </c>
      <c r="AC214">
        <f t="shared" si="21"/>
        <v>413.82861111111117</v>
      </c>
      <c r="AD214">
        <f t="shared" si="22"/>
        <v>692.55555555555554</v>
      </c>
      <c r="AF214">
        <v>692.55555555555554</v>
      </c>
    </row>
    <row r="215" spans="1:32" x14ac:dyDescent="0.25">
      <c r="A215" s="10">
        <v>39356</v>
      </c>
      <c r="B215" s="12">
        <v>419.52499999999998</v>
      </c>
      <c r="C215">
        <f>VLOOKUP(A215,'MBA CA Index'!A:B,2,0)</f>
        <v>394</v>
      </c>
      <c r="D215">
        <f t="shared" si="18"/>
        <v>589.99230999999997</v>
      </c>
      <c r="E215">
        <f t="shared" si="19"/>
        <v>394</v>
      </c>
      <c r="F215">
        <f t="shared" si="20"/>
        <v>666.48148148148152</v>
      </c>
      <c r="AB215" s="10">
        <v>39356</v>
      </c>
      <c r="AC215">
        <f t="shared" si="21"/>
        <v>414.24944444444446</v>
      </c>
      <c r="AD215">
        <f t="shared" si="22"/>
        <v>666.48148148148152</v>
      </c>
      <c r="AF215">
        <v>666.48148148148152</v>
      </c>
    </row>
    <row r="216" spans="1:32" x14ac:dyDescent="0.25">
      <c r="A216" s="10">
        <v>39387</v>
      </c>
      <c r="B216" s="12">
        <v>427.38</v>
      </c>
      <c r="C216">
        <f>VLOOKUP(A216,'MBA CA Index'!A:B,2,0)</f>
        <v>355.5</v>
      </c>
      <c r="D216">
        <f t="shared" si="18"/>
        <v>606.23959200000002</v>
      </c>
      <c r="E216">
        <f t="shared" si="19"/>
        <v>355.5</v>
      </c>
      <c r="F216">
        <f t="shared" si="20"/>
        <v>638.05555555555554</v>
      </c>
      <c r="AB216" s="10">
        <v>39387</v>
      </c>
      <c r="AC216">
        <f t="shared" si="21"/>
        <v>415.28305555555562</v>
      </c>
      <c r="AD216">
        <f t="shared" si="22"/>
        <v>638.05555555555554</v>
      </c>
      <c r="AF216">
        <v>638.05555555555554</v>
      </c>
    </row>
    <row r="217" spans="1:32" x14ac:dyDescent="0.25">
      <c r="A217" s="10">
        <v>39417</v>
      </c>
      <c r="B217" s="12">
        <v>412.375</v>
      </c>
      <c r="C217">
        <f>VLOOKUP(A217,'MBA CA Index'!A:B,2,0)</f>
        <v>317</v>
      </c>
      <c r="D217">
        <f t="shared" si="18"/>
        <v>575.20325000000003</v>
      </c>
      <c r="E217">
        <f t="shared" si="19"/>
        <v>317</v>
      </c>
      <c r="F217">
        <f t="shared" si="20"/>
        <v>607.27777777777783</v>
      </c>
      <c r="AB217" s="10">
        <v>39417</v>
      </c>
      <c r="AC217">
        <f t="shared" si="21"/>
        <v>415.65722222222229</v>
      </c>
      <c r="AD217">
        <f t="shared" si="22"/>
        <v>607.27777777777783</v>
      </c>
      <c r="AF217">
        <v>607.27777777777783</v>
      </c>
    </row>
    <row r="218" spans="1:32" x14ac:dyDescent="0.25">
      <c r="A218" s="10">
        <v>39448</v>
      </c>
      <c r="B218" s="12">
        <v>419.27499999999998</v>
      </c>
      <c r="C218">
        <f>VLOOKUP(A218,'MBA CA Index'!A:B,2,0)</f>
        <v>283.83333333333331</v>
      </c>
      <c r="D218">
        <f t="shared" si="18"/>
        <v>589.47520999999995</v>
      </c>
      <c r="E218">
        <f t="shared" si="19"/>
        <v>283.83333333333331</v>
      </c>
      <c r="F218">
        <f t="shared" si="20"/>
        <v>576.00000000000011</v>
      </c>
      <c r="AB218" s="10">
        <v>39448</v>
      </c>
      <c r="AC218">
        <f t="shared" si="21"/>
        <v>416.88499999999999</v>
      </c>
      <c r="AD218">
        <f t="shared" si="22"/>
        <v>576.00000000000011</v>
      </c>
      <c r="AF218">
        <v>576.00000000000011</v>
      </c>
    </row>
    <row r="219" spans="1:32" x14ac:dyDescent="0.25">
      <c r="A219" s="10">
        <v>39479</v>
      </c>
      <c r="B219" s="12">
        <v>377.62000000000006</v>
      </c>
      <c r="C219">
        <f>VLOOKUP(A219,'MBA CA Index'!A:B,2,0)</f>
        <v>250.66666666666666</v>
      </c>
      <c r="D219">
        <f t="shared" si="18"/>
        <v>503.31600800000012</v>
      </c>
      <c r="E219">
        <f t="shared" si="19"/>
        <v>250.66666666666666</v>
      </c>
      <c r="F219">
        <f t="shared" si="20"/>
        <v>544.22222222222217</v>
      </c>
      <c r="AB219" s="10">
        <v>39479</v>
      </c>
      <c r="AC219">
        <f t="shared" si="21"/>
        <v>416.57361111111118</v>
      </c>
      <c r="AD219">
        <f t="shared" si="22"/>
        <v>544.22222222222217</v>
      </c>
      <c r="AF219">
        <v>544.22222222222217</v>
      </c>
    </row>
    <row r="220" spans="1:32" x14ac:dyDescent="0.25">
      <c r="A220" s="10">
        <v>39508</v>
      </c>
      <c r="B220" s="12">
        <v>373.375</v>
      </c>
      <c r="C220">
        <f>VLOOKUP(A220,'MBA CA Index'!A:B,2,0)</f>
        <v>217.5</v>
      </c>
      <c r="D220">
        <f t="shared" si="18"/>
        <v>494.53565000000003</v>
      </c>
      <c r="E220">
        <f t="shared" si="19"/>
        <v>217.5</v>
      </c>
      <c r="F220">
        <f t="shared" si="20"/>
        <v>511.94444444444446</v>
      </c>
      <c r="AB220" s="10">
        <v>39508</v>
      </c>
      <c r="AC220">
        <f t="shared" si="21"/>
        <v>415.33555555555557</v>
      </c>
      <c r="AD220">
        <f t="shared" si="22"/>
        <v>511.94444444444446</v>
      </c>
      <c r="AF220">
        <v>511.94444444444446</v>
      </c>
    </row>
    <row r="221" spans="1:32" x14ac:dyDescent="0.25">
      <c r="A221" s="10">
        <v>39539</v>
      </c>
      <c r="B221" s="12">
        <v>365.92499999999995</v>
      </c>
      <c r="C221">
        <f>VLOOKUP(A221,'MBA CA Index'!A:B,2,0)</f>
        <v>184.33333333333334</v>
      </c>
      <c r="D221">
        <f t="shared" si="18"/>
        <v>479.12606999999991</v>
      </c>
      <c r="E221">
        <f t="shared" si="19"/>
        <v>184.33333333333334</v>
      </c>
      <c r="F221">
        <f t="shared" si="20"/>
        <v>479.16666666666669</v>
      </c>
      <c r="AB221" s="10">
        <v>39539</v>
      </c>
      <c r="AC221">
        <f t="shared" si="21"/>
        <v>414.47027777777777</v>
      </c>
      <c r="AD221">
        <f t="shared" si="22"/>
        <v>479.16666666666669</v>
      </c>
      <c r="AF221">
        <v>479.16666666666669</v>
      </c>
    </row>
    <row r="222" spans="1:32" x14ac:dyDescent="0.25">
      <c r="A222" s="10">
        <v>39569</v>
      </c>
      <c r="B222" s="12">
        <v>359.71999999999997</v>
      </c>
      <c r="C222">
        <f>VLOOKUP(A222,'MBA CA Index'!A:B,2,0)</f>
        <v>151.16666666666669</v>
      </c>
      <c r="D222">
        <f t="shared" si="18"/>
        <v>466.2916479999999</v>
      </c>
      <c r="E222">
        <f t="shared" si="19"/>
        <v>151.16666666666669</v>
      </c>
      <c r="F222">
        <f t="shared" si="20"/>
        <v>445.88888888888891</v>
      </c>
      <c r="AB222" s="10">
        <v>39569</v>
      </c>
      <c r="AC222">
        <f t="shared" si="21"/>
        <v>411.91027777777776</v>
      </c>
      <c r="AD222">
        <f t="shared" si="22"/>
        <v>445.88888888888891</v>
      </c>
      <c r="AF222">
        <v>445.88888888888891</v>
      </c>
    </row>
    <row r="223" spans="1:32" x14ac:dyDescent="0.25">
      <c r="A223" s="10">
        <v>39600</v>
      </c>
      <c r="B223" s="12">
        <v>353.15</v>
      </c>
      <c r="C223">
        <f>VLOOKUP(A223,'MBA CA Index'!A:B,2,0)</f>
        <v>118</v>
      </c>
      <c r="D223">
        <f t="shared" si="18"/>
        <v>452.70225999999991</v>
      </c>
      <c r="E223">
        <f t="shared" si="19"/>
        <v>118</v>
      </c>
      <c r="F223">
        <f t="shared" si="20"/>
        <v>412.11111111111109</v>
      </c>
      <c r="AB223" s="10">
        <v>39600</v>
      </c>
      <c r="AC223">
        <f t="shared" si="21"/>
        <v>407.92972222222215</v>
      </c>
      <c r="AD223">
        <f t="shared" si="22"/>
        <v>412.11111111111109</v>
      </c>
      <c r="AF223">
        <v>412.11111111111109</v>
      </c>
    </row>
    <row r="224" spans="1:32" x14ac:dyDescent="0.25">
      <c r="A224" s="10">
        <v>39630</v>
      </c>
      <c r="B224" s="12">
        <v>342.65</v>
      </c>
      <c r="C224">
        <f>VLOOKUP(A224,'MBA CA Index'!A:B,2,0)</f>
        <v>112.33333333333333</v>
      </c>
      <c r="D224">
        <f t="shared" si="18"/>
        <v>430.98406</v>
      </c>
      <c r="E224">
        <f t="shared" si="19"/>
        <v>112.33333333333333</v>
      </c>
      <c r="F224">
        <f t="shared" si="20"/>
        <v>379.66666666666674</v>
      </c>
      <c r="AB224" s="10">
        <v>39630</v>
      </c>
      <c r="AC224">
        <f t="shared" si="21"/>
        <v>403.03249999999991</v>
      </c>
      <c r="AD224">
        <f t="shared" si="22"/>
        <v>379.66666666666674</v>
      </c>
      <c r="AF224">
        <v>379.66666666666674</v>
      </c>
    </row>
    <row r="225" spans="1:32" x14ac:dyDescent="0.25">
      <c r="A225" s="10">
        <v>39661</v>
      </c>
      <c r="B225" s="12">
        <v>321.86</v>
      </c>
      <c r="C225">
        <f>VLOOKUP(A225,'MBA CA Index'!A:B,2,0)</f>
        <v>106.66666666666666</v>
      </c>
      <c r="D225">
        <f t="shared" si="18"/>
        <v>387.98202400000002</v>
      </c>
      <c r="E225">
        <f t="shared" si="19"/>
        <v>106.66666666666666</v>
      </c>
      <c r="F225">
        <f t="shared" si="20"/>
        <v>348.55555555555554</v>
      </c>
      <c r="AB225" s="10">
        <v>39661</v>
      </c>
      <c r="AC225">
        <f t="shared" si="21"/>
        <v>398.85666666666657</v>
      </c>
      <c r="AD225">
        <f t="shared" si="22"/>
        <v>348.55555555555554</v>
      </c>
      <c r="AF225">
        <v>348.55555555555554</v>
      </c>
    </row>
    <row r="226" spans="1:32" x14ac:dyDescent="0.25">
      <c r="A226" s="10">
        <v>39692</v>
      </c>
      <c r="B226" s="12">
        <v>349.72499999999997</v>
      </c>
      <c r="C226">
        <f>VLOOKUP(A226,'MBA CA Index'!A:B,2,0)</f>
        <v>100.99999999999999</v>
      </c>
      <c r="D226">
        <f t="shared" si="18"/>
        <v>445.61798999999996</v>
      </c>
      <c r="E226">
        <f t="shared" si="19"/>
        <v>100.99999999999999</v>
      </c>
      <c r="F226">
        <f t="shared" si="20"/>
        <v>318.77777777777777</v>
      </c>
      <c r="AB226" s="10">
        <v>39692</v>
      </c>
      <c r="AC226">
        <f t="shared" si="21"/>
        <v>395.57249999999999</v>
      </c>
      <c r="AD226">
        <f t="shared" si="22"/>
        <v>318.77777777777777</v>
      </c>
      <c r="AF226">
        <v>318.77777777777777</v>
      </c>
    </row>
    <row r="227" spans="1:32" x14ac:dyDescent="0.25">
      <c r="A227" s="10">
        <v>39722</v>
      </c>
      <c r="B227" s="12">
        <v>294.26000000000005</v>
      </c>
      <c r="C227">
        <f>VLOOKUP(A227,'MBA CA Index'!A:B,2,0)</f>
        <v>95.333333333333314</v>
      </c>
      <c r="D227">
        <f t="shared" si="18"/>
        <v>330.89418400000011</v>
      </c>
      <c r="E227">
        <f t="shared" si="19"/>
        <v>95.333333333333314</v>
      </c>
      <c r="F227">
        <f t="shared" si="20"/>
        <v>290.33333333333331</v>
      </c>
      <c r="AB227" s="10">
        <v>39722</v>
      </c>
      <c r="AC227">
        <f t="shared" si="21"/>
        <v>389.02305555555557</v>
      </c>
      <c r="AD227">
        <f t="shared" si="22"/>
        <v>290.33333333333331</v>
      </c>
      <c r="AF227">
        <v>290.33333333333331</v>
      </c>
    </row>
    <row r="228" spans="1:32" x14ac:dyDescent="0.25">
      <c r="A228" s="10">
        <v>39753</v>
      </c>
      <c r="B228" s="12">
        <v>288.89999999999998</v>
      </c>
      <c r="C228">
        <f>VLOOKUP(A228,'MBA CA Index'!A:B,2,0)</f>
        <v>89.666666666666643</v>
      </c>
      <c r="D228">
        <f t="shared" si="18"/>
        <v>319.80755999999997</v>
      </c>
      <c r="E228">
        <f t="shared" si="19"/>
        <v>89.666666666666643</v>
      </c>
      <c r="F228">
        <f t="shared" si="20"/>
        <v>263.22222222222223</v>
      </c>
      <c r="AB228" s="10">
        <v>39753</v>
      </c>
      <c r="AC228">
        <f t="shared" si="21"/>
        <v>380.9661111111111</v>
      </c>
      <c r="AD228">
        <f t="shared" si="22"/>
        <v>263.22222222222223</v>
      </c>
      <c r="AF228">
        <v>263.22222222222223</v>
      </c>
    </row>
    <row r="229" spans="1:32" x14ac:dyDescent="0.25">
      <c r="A229" s="10">
        <v>39783</v>
      </c>
      <c r="B229" s="12">
        <v>305.77499999999998</v>
      </c>
      <c r="C229">
        <f>VLOOKUP(A229,'MBA CA Index'!A:B,2,0)</f>
        <v>84</v>
      </c>
      <c r="D229">
        <f t="shared" si="18"/>
        <v>354.71181000000001</v>
      </c>
      <c r="E229">
        <f t="shared" si="19"/>
        <v>84</v>
      </c>
      <c r="F229">
        <f t="shared" si="20"/>
        <v>237.44444444444446</v>
      </c>
      <c r="AB229" s="10">
        <v>39783</v>
      </c>
      <c r="AC229">
        <f t="shared" si="21"/>
        <v>373.33805555555551</v>
      </c>
      <c r="AD229">
        <f t="shared" si="22"/>
        <v>237.44444444444446</v>
      </c>
      <c r="AF229">
        <v>237.44444444444446</v>
      </c>
    </row>
    <row r="230" spans="1:32" x14ac:dyDescent="0.25">
      <c r="A230" s="10">
        <v>39814</v>
      </c>
      <c r="B230" s="12">
        <v>299.76000000000005</v>
      </c>
      <c r="C230">
        <f>VLOOKUP(A230,'MBA CA Index'!A:B,2,0)</f>
        <v>91.166666666666671</v>
      </c>
      <c r="D230">
        <f t="shared" si="18"/>
        <v>342.27038400000015</v>
      </c>
      <c r="E230">
        <f t="shared" si="19"/>
        <v>91.166666666666671</v>
      </c>
      <c r="F230">
        <f t="shared" si="20"/>
        <v>214.2037037037037</v>
      </c>
      <c r="AB230" s="10">
        <v>39814</v>
      </c>
      <c r="AC230">
        <f t="shared" si="21"/>
        <v>365.80805555555548</v>
      </c>
      <c r="AD230">
        <f t="shared" si="22"/>
        <v>214.2037037037037</v>
      </c>
      <c r="AF230">
        <v>214.2037037037037</v>
      </c>
    </row>
    <row r="231" spans="1:32" x14ac:dyDescent="0.25">
      <c r="A231" s="10">
        <v>39845</v>
      </c>
      <c r="B231" s="12">
        <v>245.02500000000001</v>
      </c>
      <c r="C231">
        <f>VLOOKUP(A231,'MBA CA Index'!A:B,2,0)</f>
        <v>98.333333333333343</v>
      </c>
      <c r="D231">
        <f t="shared" si="18"/>
        <v>229.05651</v>
      </c>
      <c r="E231">
        <f t="shared" si="19"/>
        <v>98.333333333333343</v>
      </c>
      <c r="F231">
        <f t="shared" si="20"/>
        <v>193.5</v>
      </c>
      <c r="AB231" s="10">
        <v>39845</v>
      </c>
      <c r="AC231">
        <f t="shared" si="21"/>
        <v>354.93611111111102</v>
      </c>
      <c r="AD231">
        <f t="shared" si="22"/>
        <v>193.5</v>
      </c>
      <c r="AF231">
        <v>193.5</v>
      </c>
    </row>
    <row r="232" spans="1:32" x14ac:dyDescent="0.25">
      <c r="A232" s="10">
        <v>39873</v>
      </c>
      <c r="B232" s="12">
        <v>261.55</v>
      </c>
      <c r="C232">
        <f>VLOOKUP(A232,'MBA CA Index'!A:B,2,0)</f>
        <v>105.50000000000001</v>
      </c>
      <c r="D232">
        <f t="shared" si="18"/>
        <v>263.23682000000008</v>
      </c>
      <c r="E232">
        <f t="shared" si="19"/>
        <v>105.50000000000001</v>
      </c>
      <c r="F232">
        <f t="shared" si="20"/>
        <v>175.33333333333334</v>
      </c>
      <c r="AB232" s="10">
        <v>39873</v>
      </c>
      <c r="AC232">
        <f t="shared" si="21"/>
        <v>345.43611111111107</v>
      </c>
      <c r="AD232">
        <f t="shared" si="22"/>
        <v>175.33333333333334</v>
      </c>
      <c r="AF232">
        <v>175.33333333333334</v>
      </c>
    </row>
    <row r="233" spans="1:32" x14ac:dyDescent="0.25">
      <c r="A233" s="10">
        <v>39904</v>
      </c>
      <c r="B233" s="12">
        <v>266.59999999999997</v>
      </c>
      <c r="C233">
        <f>VLOOKUP(A233,'MBA CA Index'!A:B,2,0)</f>
        <v>112.66666666666669</v>
      </c>
      <c r="D233">
        <f t="shared" si="18"/>
        <v>273.68223999999998</v>
      </c>
      <c r="E233">
        <f t="shared" si="19"/>
        <v>112.66666666666669</v>
      </c>
      <c r="F233">
        <f t="shared" si="20"/>
        <v>159.7037037037037</v>
      </c>
      <c r="AB233" s="10">
        <v>39904</v>
      </c>
      <c r="AC233">
        <f t="shared" si="21"/>
        <v>336.94027777777779</v>
      </c>
      <c r="AD233">
        <f t="shared" si="22"/>
        <v>159.7037037037037</v>
      </c>
      <c r="AF233">
        <v>159.7037037037037</v>
      </c>
    </row>
    <row r="234" spans="1:32" x14ac:dyDescent="0.25">
      <c r="A234" s="10">
        <v>39934</v>
      </c>
      <c r="B234" s="12">
        <v>261.65999999999997</v>
      </c>
      <c r="C234">
        <f>VLOOKUP(A234,'MBA CA Index'!A:B,2,0)</f>
        <v>119.83333333333336</v>
      </c>
      <c r="D234">
        <f t="shared" si="18"/>
        <v>263.46434399999998</v>
      </c>
      <c r="E234">
        <f t="shared" si="19"/>
        <v>119.83333333333336</v>
      </c>
      <c r="F234">
        <f t="shared" si="20"/>
        <v>146.61111111111111</v>
      </c>
      <c r="AB234" s="10">
        <v>39934</v>
      </c>
      <c r="AC234">
        <f t="shared" si="21"/>
        <v>327.73361111111109</v>
      </c>
      <c r="AD234">
        <f t="shared" si="22"/>
        <v>146.61111111111111</v>
      </c>
      <c r="AF234">
        <v>146.61111111111111</v>
      </c>
    </row>
    <row r="235" spans="1:32" x14ac:dyDescent="0.25">
      <c r="A235" s="10">
        <v>39965</v>
      </c>
      <c r="B235" s="12">
        <v>269.97500000000002</v>
      </c>
      <c r="C235">
        <f>VLOOKUP(A235,'MBA CA Index'!A:B,2,0)</f>
        <v>127</v>
      </c>
      <c r="D235">
        <f t="shared" si="18"/>
        <v>280.66309000000001</v>
      </c>
      <c r="E235">
        <f t="shared" si="19"/>
        <v>127</v>
      </c>
      <c r="F235">
        <f t="shared" si="20"/>
        <v>136.05555555555554</v>
      </c>
      <c r="AB235" s="10">
        <v>39965</v>
      </c>
      <c r="AC235">
        <f t="shared" si="21"/>
        <v>319.82250000000005</v>
      </c>
      <c r="AD235">
        <f t="shared" si="22"/>
        <v>136.05555555555554</v>
      </c>
      <c r="AF235">
        <v>136.05555555555554</v>
      </c>
    </row>
    <row r="236" spans="1:32" x14ac:dyDescent="0.25">
      <c r="A236" s="10">
        <v>39995</v>
      </c>
      <c r="B236" s="12">
        <v>266.58000000000004</v>
      </c>
      <c r="C236">
        <f>VLOOKUP(A236,'MBA CA Index'!A:B,2,0)</f>
        <v>121.5</v>
      </c>
      <c r="D236">
        <f t="shared" si="18"/>
        <v>273.64087200000006</v>
      </c>
      <c r="E236">
        <f t="shared" si="19"/>
        <v>121.5</v>
      </c>
      <c r="F236">
        <f t="shared" si="20"/>
        <v>127.03703703703705</v>
      </c>
      <c r="AB236" s="10">
        <v>39995</v>
      </c>
      <c r="AC236">
        <f t="shared" si="21"/>
        <v>311.33944444444455</v>
      </c>
      <c r="AD236">
        <f t="shared" si="22"/>
        <v>127.03703703703705</v>
      </c>
      <c r="AF236">
        <v>127.03703703703705</v>
      </c>
    </row>
    <row r="237" spans="1:32" x14ac:dyDescent="0.25">
      <c r="A237" s="10">
        <v>40026</v>
      </c>
      <c r="B237" s="12">
        <v>275.72500000000002</v>
      </c>
      <c r="C237">
        <f>VLOOKUP(A237,'MBA CA Index'!A:B,2,0)</f>
        <v>116</v>
      </c>
      <c r="D237">
        <f t="shared" si="18"/>
        <v>292.55639000000008</v>
      </c>
      <c r="E237">
        <f t="shared" si="19"/>
        <v>116</v>
      </c>
      <c r="F237">
        <f t="shared" si="20"/>
        <v>119.55555555555556</v>
      </c>
      <c r="AB237" s="10">
        <v>40026</v>
      </c>
      <c r="AC237">
        <f t="shared" si="21"/>
        <v>305.67861111111119</v>
      </c>
      <c r="AD237">
        <f t="shared" si="22"/>
        <v>119.55555555555556</v>
      </c>
      <c r="AF237">
        <v>119.55555555555556</v>
      </c>
    </row>
    <row r="238" spans="1:32" x14ac:dyDescent="0.25">
      <c r="A238" s="10">
        <v>40057</v>
      </c>
      <c r="B238" s="12">
        <v>283.92499999999995</v>
      </c>
      <c r="C238">
        <f>VLOOKUP(A238,'MBA CA Index'!A:B,2,0)</f>
        <v>110.5</v>
      </c>
      <c r="D238">
        <f t="shared" si="18"/>
        <v>309.51726999999994</v>
      </c>
      <c r="E238">
        <f t="shared" si="19"/>
        <v>110.5</v>
      </c>
      <c r="F238">
        <f t="shared" si="20"/>
        <v>113.61111111111111</v>
      </c>
      <c r="AB238" s="10">
        <v>40057</v>
      </c>
      <c r="AC238">
        <f t="shared" si="21"/>
        <v>300.70916666666676</v>
      </c>
      <c r="AD238">
        <f t="shared" si="22"/>
        <v>113.61111111111111</v>
      </c>
      <c r="AF238">
        <v>113.61111111111111</v>
      </c>
    </row>
    <row r="239" spans="1:32" x14ac:dyDescent="0.25">
      <c r="A239" s="10">
        <v>40087</v>
      </c>
      <c r="B239" s="12">
        <v>274.2</v>
      </c>
      <c r="C239">
        <f>VLOOKUP(A239,'MBA CA Index'!A:B,2,0)</f>
        <v>105</v>
      </c>
      <c r="D239">
        <f t="shared" si="18"/>
        <v>289.40207999999996</v>
      </c>
      <c r="E239">
        <f t="shared" si="19"/>
        <v>105</v>
      </c>
      <c r="F239">
        <f t="shared" si="20"/>
        <v>109.2037037037037</v>
      </c>
      <c r="AB239" s="10">
        <v>40087</v>
      </c>
      <c r="AC239">
        <f t="shared" si="21"/>
        <v>295.6133333333334</v>
      </c>
      <c r="AD239">
        <f t="shared" si="22"/>
        <v>109.2037037037037</v>
      </c>
      <c r="AF239">
        <v>109.2037037037037</v>
      </c>
    </row>
    <row r="240" spans="1:32" x14ac:dyDescent="0.25">
      <c r="A240" s="10">
        <v>40118</v>
      </c>
      <c r="B240" s="12">
        <v>219.97500000000002</v>
      </c>
      <c r="C240">
        <f>VLOOKUP(A240,'MBA CA Index'!A:B,2,0)</f>
        <v>99.5</v>
      </c>
      <c r="D240">
        <f t="shared" si="18"/>
        <v>177.24309000000005</v>
      </c>
      <c r="E240">
        <f t="shared" si="19"/>
        <v>99.5</v>
      </c>
      <c r="F240">
        <f t="shared" si="20"/>
        <v>106.33333333333331</v>
      </c>
      <c r="AB240" s="10">
        <v>40118</v>
      </c>
      <c r="AC240">
        <f t="shared" si="21"/>
        <v>287.84972222222228</v>
      </c>
      <c r="AD240">
        <f t="shared" si="22"/>
        <v>106.33333333333331</v>
      </c>
      <c r="AF240">
        <v>106.33333333333331</v>
      </c>
    </row>
    <row r="241" spans="1:32" x14ac:dyDescent="0.25">
      <c r="A241" s="10">
        <v>40148</v>
      </c>
      <c r="B241" s="12">
        <v>225.17500000000001</v>
      </c>
      <c r="C241">
        <f>VLOOKUP(A241,'MBA CA Index'!A:B,2,0)</f>
        <v>94</v>
      </c>
      <c r="D241">
        <f t="shared" si="18"/>
        <v>187.99877000000004</v>
      </c>
      <c r="E241">
        <f t="shared" si="19"/>
        <v>94</v>
      </c>
      <c r="F241">
        <f t="shared" si="20"/>
        <v>105</v>
      </c>
      <c r="AB241" s="10">
        <v>40148</v>
      </c>
      <c r="AC241">
        <f t="shared" si="21"/>
        <v>280.74</v>
      </c>
      <c r="AD241">
        <f t="shared" si="22"/>
        <v>105</v>
      </c>
      <c r="AF241">
        <v>105</v>
      </c>
    </row>
    <row r="242" spans="1:32" x14ac:dyDescent="0.25">
      <c r="A242" s="10">
        <v>40179</v>
      </c>
      <c r="B242" s="12">
        <v>220.44</v>
      </c>
      <c r="C242">
        <f>VLOOKUP(A242,'MBA CA Index'!A:B,2,0)</f>
        <v>94.666666666666671</v>
      </c>
      <c r="D242">
        <f t="shared" si="18"/>
        <v>178.20489600000002</v>
      </c>
      <c r="E242">
        <f t="shared" si="19"/>
        <v>94.666666666666671</v>
      </c>
      <c r="F242">
        <f t="shared" si="20"/>
        <v>104.01851851851852</v>
      </c>
      <c r="AB242" s="10">
        <v>40179</v>
      </c>
      <c r="AC242">
        <f t="shared" si="21"/>
        <v>273.95055555555552</v>
      </c>
      <c r="AD242">
        <f t="shared" si="22"/>
        <v>104.01851851851852</v>
      </c>
      <c r="AF242">
        <v>104.01851851851852</v>
      </c>
    </row>
    <row r="243" spans="1:32" x14ac:dyDescent="0.25">
      <c r="A243" s="10">
        <v>40210</v>
      </c>
      <c r="B243" s="12">
        <v>211.2</v>
      </c>
      <c r="C243">
        <f>VLOOKUP(A243,'MBA CA Index'!A:B,2,0)</f>
        <v>95.333333333333343</v>
      </c>
      <c r="D243">
        <f t="shared" si="18"/>
        <v>159.09287999999998</v>
      </c>
      <c r="E243">
        <f t="shared" si="19"/>
        <v>95.333333333333343</v>
      </c>
      <c r="F243">
        <f t="shared" si="20"/>
        <v>103.38888888888889</v>
      </c>
      <c r="AB243" s="10">
        <v>40210</v>
      </c>
      <c r="AC243">
        <f t="shared" si="21"/>
        <v>267.80277777777769</v>
      </c>
      <c r="AD243">
        <f t="shared" si="22"/>
        <v>103.38888888888889</v>
      </c>
      <c r="AF243">
        <v>103.38888888888889</v>
      </c>
    </row>
    <row r="244" spans="1:32" x14ac:dyDescent="0.25">
      <c r="A244" s="10">
        <v>40238</v>
      </c>
      <c r="B244" s="12">
        <v>229.7</v>
      </c>
      <c r="C244">
        <f>VLOOKUP(A244,'MBA CA Index'!A:B,2,0)</f>
        <v>96.000000000000014</v>
      </c>
      <c r="D244">
        <f t="shared" si="18"/>
        <v>197.35827999999998</v>
      </c>
      <c r="E244">
        <f t="shared" si="19"/>
        <v>96.000000000000014</v>
      </c>
      <c r="F244">
        <f t="shared" si="20"/>
        <v>103.11111111111111</v>
      </c>
      <c r="AB244" s="10">
        <v>40238</v>
      </c>
      <c r="AC244">
        <f t="shared" si="21"/>
        <v>261.13472222222219</v>
      </c>
      <c r="AD244">
        <f t="shared" si="22"/>
        <v>103.11111111111111</v>
      </c>
      <c r="AF244">
        <v>103.11111111111111</v>
      </c>
    </row>
    <row r="245" spans="1:32" x14ac:dyDescent="0.25">
      <c r="A245" s="10">
        <v>40269</v>
      </c>
      <c r="B245" s="12">
        <v>250.18</v>
      </c>
      <c r="C245">
        <f>VLOOKUP(A245,'MBA CA Index'!A:B,2,0)</f>
        <v>96.666666666666686</v>
      </c>
      <c r="D245">
        <f t="shared" si="18"/>
        <v>239.719112</v>
      </c>
      <c r="E245">
        <f t="shared" si="19"/>
        <v>96.666666666666686</v>
      </c>
      <c r="F245">
        <f t="shared" si="20"/>
        <v>103.18518518518518</v>
      </c>
      <c r="AB245" s="10">
        <v>40269</v>
      </c>
      <c r="AC245">
        <f t="shared" si="21"/>
        <v>258.68583333333328</v>
      </c>
      <c r="AD245">
        <f t="shared" si="22"/>
        <v>103.18518518518518</v>
      </c>
      <c r="AF245">
        <v>103.18518518518518</v>
      </c>
    </row>
    <row r="246" spans="1:32" x14ac:dyDescent="0.25">
      <c r="A246" s="10">
        <v>40299</v>
      </c>
      <c r="B246" s="12">
        <v>204.85000000000002</v>
      </c>
      <c r="C246">
        <f>VLOOKUP(A246,'MBA CA Index'!A:B,2,0)</f>
        <v>97.333333333333357</v>
      </c>
      <c r="D246">
        <f t="shared" si="18"/>
        <v>145.95854000000008</v>
      </c>
      <c r="E246">
        <f t="shared" si="19"/>
        <v>97.333333333333357</v>
      </c>
      <c r="F246">
        <f t="shared" si="20"/>
        <v>103.61111111111111</v>
      </c>
      <c r="AB246" s="10">
        <v>40299</v>
      </c>
      <c r="AC246">
        <f t="shared" si="21"/>
        <v>254.01638888888888</v>
      </c>
      <c r="AD246">
        <f t="shared" si="22"/>
        <v>103.61111111111111</v>
      </c>
      <c r="AF246">
        <v>103.61111111111111</v>
      </c>
    </row>
    <row r="247" spans="1:32" x14ac:dyDescent="0.25">
      <c r="A247" s="10">
        <v>40330</v>
      </c>
      <c r="B247" s="12">
        <v>174.45000000000002</v>
      </c>
      <c r="C247">
        <f>VLOOKUP(A247,'MBA CA Index'!A:B,2,0)</f>
        <v>98</v>
      </c>
      <c r="D247">
        <f t="shared" si="18"/>
        <v>83.079180000000065</v>
      </c>
      <c r="E247">
        <f t="shared" si="19"/>
        <v>98</v>
      </c>
      <c r="F247">
        <f t="shared" si="20"/>
        <v>104.38888888888889</v>
      </c>
      <c r="AB247" s="10">
        <v>40330</v>
      </c>
      <c r="AC247">
        <f t="shared" si="21"/>
        <v>246.72055555555548</v>
      </c>
      <c r="AD247">
        <f t="shared" si="22"/>
        <v>104.38888888888889</v>
      </c>
      <c r="AF247">
        <v>104.38888888888889</v>
      </c>
    </row>
    <row r="248" spans="1:32" x14ac:dyDescent="0.25">
      <c r="A248" s="10">
        <v>40360</v>
      </c>
      <c r="B248" s="12">
        <v>169.59999999999997</v>
      </c>
      <c r="C248">
        <f>VLOOKUP(A248,'MBA CA Index'!A:B,2,0)</f>
        <v>101.16666666666667</v>
      </c>
      <c r="D248">
        <f t="shared" si="18"/>
        <v>73.047439999999938</v>
      </c>
      <c r="E248">
        <f t="shared" si="19"/>
        <v>101.16666666666667</v>
      </c>
      <c r="F248">
        <f t="shared" si="20"/>
        <v>104.94444444444446</v>
      </c>
      <c r="AB248" s="10">
        <v>40360</v>
      </c>
      <c r="AC248">
        <f t="shared" si="21"/>
        <v>239.48944444444442</v>
      </c>
      <c r="AD248">
        <f t="shared" si="22"/>
        <v>104.94444444444446</v>
      </c>
      <c r="AF248">
        <v>104.94444444444446</v>
      </c>
    </row>
    <row r="249" spans="1:32" x14ac:dyDescent="0.25">
      <c r="A249" s="10">
        <v>40391</v>
      </c>
      <c r="B249" s="12">
        <v>172.22499999999999</v>
      </c>
      <c r="C249">
        <f>VLOOKUP(A249,'MBA CA Index'!A:B,2,0)</f>
        <v>104.33333333333334</v>
      </c>
      <c r="D249">
        <f t="shared" si="18"/>
        <v>78.476990000000001</v>
      </c>
      <c r="E249">
        <f t="shared" si="19"/>
        <v>104.33333333333334</v>
      </c>
      <c r="F249">
        <f t="shared" si="20"/>
        <v>105.27777777777777</v>
      </c>
      <c r="AB249" s="10">
        <v>40391</v>
      </c>
      <c r="AC249">
        <f t="shared" si="21"/>
        <v>235.44499999999996</v>
      </c>
      <c r="AD249">
        <f t="shared" si="22"/>
        <v>105.27777777777777</v>
      </c>
      <c r="AF249">
        <v>105.27777777777777</v>
      </c>
    </row>
    <row r="250" spans="1:32" x14ac:dyDescent="0.25">
      <c r="A250" s="10">
        <v>40422</v>
      </c>
      <c r="B250" s="12">
        <v>181.89999999999998</v>
      </c>
      <c r="C250">
        <f>VLOOKUP(A250,'MBA CA Index'!A:B,2,0)</f>
        <v>107.50000000000001</v>
      </c>
      <c r="D250">
        <f t="shared" si="18"/>
        <v>98.488759999999957</v>
      </c>
      <c r="E250">
        <f t="shared" si="19"/>
        <v>107.50000000000001</v>
      </c>
      <c r="F250">
        <f t="shared" si="20"/>
        <v>105.38888888888889</v>
      </c>
      <c r="AB250" s="10">
        <v>40422</v>
      </c>
      <c r="AC250">
        <f t="shared" si="21"/>
        <v>231.01999999999992</v>
      </c>
      <c r="AD250">
        <f t="shared" si="22"/>
        <v>105.38888888888889</v>
      </c>
      <c r="AF250">
        <v>105.38888888888889</v>
      </c>
    </row>
    <row r="251" spans="1:32" x14ac:dyDescent="0.25">
      <c r="A251" s="10">
        <v>40452</v>
      </c>
      <c r="B251" s="12">
        <v>181.1</v>
      </c>
      <c r="C251">
        <f>VLOOKUP(A251,'MBA CA Index'!A:B,2,0)</f>
        <v>110.66666666666669</v>
      </c>
      <c r="D251">
        <f t="shared" si="18"/>
        <v>96.834040000000016</v>
      </c>
      <c r="E251">
        <f t="shared" si="19"/>
        <v>110.66666666666669</v>
      </c>
      <c r="F251">
        <f t="shared" si="20"/>
        <v>105.27777777777777</v>
      </c>
      <c r="AB251" s="10">
        <v>40452</v>
      </c>
      <c r="AC251">
        <f t="shared" si="21"/>
        <v>226.26999999999995</v>
      </c>
      <c r="AD251">
        <f t="shared" si="22"/>
        <v>105.27777777777777</v>
      </c>
      <c r="AF251">
        <v>105.27777777777777</v>
      </c>
    </row>
    <row r="252" spans="1:32" x14ac:dyDescent="0.25">
      <c r="A252" s="10">
        <v>40483</v>
      </c>
      <c r="B252" s="12">
        <v>195.02499999999998</v>
      </c>
      <c r="C252">
        <f>VLOOKUP(A252,'MBA CA Index'!A:B,2,0)</f>
        <v>113.83333333333336</v>
      </c>
      <c r="D252">
        <f t="shared" si="18"/>
        <v>125.63650999999999</v>
      </c>
      <c r="E252">
        <f t="shared" si="19"/>
        <v>113.83333333333336</v>
      </c>
      <c r="F252">
        <f t="shared" si="20"/>
        <v>104.94444444444444</v>
      </c>
      <c r="AB252" s="10">
        <v>40483</v>
      </c>
      <c r="AC252">
        <f t="shared" si="21"/>
        <v>222.56805555555553</v>
      </c>
      <c r="AD252">
        <f t="shared" si="22"/>
        <v>104.94444444444444</v>
      </c>
      <c r="AF252">
        <v>104.94444444444444</v>
      </c>
    </row>
    <row r="253" spans="1:32" x14ac:dyDescent="0.25">
      <c r="A253" s="10">
        <v>40513</v>
      </c>
      <c r="B253" s="12">
        <v>201.54000000000002</v>
      </c>
      <c r="C253">
        <f>VLOOKUP(A253,'MBA CA Index'!A:B,2,0)</f>
        <v>117</v>
      </c>
      <c r="D253">
        <f t="shared" si="18"/>
        <v>139.11213600000008</v>
      </c>
      <c r="E253">
        <f t="shared" si="19"/>
        <v>117</v>
      </c>
      <c r="F253">
        <f t="shared" si="20"/>
        <v>104.38888888888889</v>
      </c>
      <c r="AB253" s="10">
        <v>40513</v>
      </c>
      <c r="AC253">
        <f t="shared" si="21"/>
        <v>218.76611111111109</v>
      </c>
      <c r="AD253">
        <f t="shared" si="22"/>
        <v>104.38888888888889</v>
      </c>
      <c r="AF253">
        <v>104.38888888888889</v>
      </c>
    </row>
    <row r="254" spans="1:32" x14ac:dyDescent="0.25">
      <c r="A254" s="10">
        <v>40544</v>
      </c>
      <c r="B254" s="12">
        <v>185.55</v>
      </c>
      <c r="C254">
        <f>VLOOKUP(A254,'MBA CA Index'!A:B,2,0)</f>
        <v>115.83333333333333</v>
      </c>
      <c r="D254">
        <f t="shared" si="18"/>
        <v>106.03842000000003</v>
      </c>
      <c r="E254">
        <f t="shared" si="19"/>
        <v>115.83333333333333</v>
      </c>
      <c r="F254">
        <f t="shared" si="20"/>
        <v>104.07407407407408</v>
      </c>
      <c r="AB254" s="10">
        <v>40544</v>
      </c>
      <c r="AC254">
        <f t="shared" si="21"/>
        <v>214.26444444444442</v>
      </c>
      <c r="AD254">
        <f t="shared" si="22"/>
        <v>104.07407407407408</v>
      </c>
      <c r="AF254">
        <v>104.07407407407408</v>
      </c>
    </row>
    <row r="255" spans="1:32" x14ac:dyDescent="0.25">
      <c r="A255" s="10">
        <v>40575</v>
      </c>
      <c r="B255" s="12">
        <v>179.52499999999998</v>
      </c>
      <c r="C255">
        <f>VLOOKUP(A255,'MBA CA Index'!A:B,2,0)</f>
        <v>114.66666666666666</v>
      </c>
      <c r="D255">
        <f t="shared" si="18"/>
        <v>93.576309999999978</v>
      </c>
      <c r="E255">
        <f t="shared" si="19"/>
        <v>114.66666666666666</v>
      </c>
      <c r="F255">
        <f t="shared" si="20"/>
        <v>104</v>
      </c>
      <c r="AB255" s="10">
        <v>40575</v>
      </c>
      <c r="AC255">
        <f t="shared" si="21"/>
        <v>208.92000000000002</v>
      </c>
      <c r="AD255">
        <f t="shared" si="22"/>
        <v>104</v>
      </c>
      <c r="AF255">
        <v>104</v>
      </c>
    </row>
    <row r="256" spans="1:32" x14ac:dyDescent="0.25">
      <c r="A256" s="10">
        <v>40603</v>
      </c>
      <c r="B256" s="12">
        <v>190.3</v>
      </c>
      <c r="C256">
        <f>VLOOKUP(A256,'MBA CA Index'!A:B,2,0)</f>
        <v>112.08</v>
      </c>
      <c r="D256">
        <f t="shared" si="18"/>
        <v>115.86332000000004</v>
      </c>
      <c r="E256">
        <f t="shared" si="19"/>
        <v>112.08</v>
      </c>
      <c r="F256">
        <f t="shared" si="20"/>
        <v>104.08777777777777</v>
      </c>
      <c r="AB256" s="10">
        <v>40603</v>
      </c>
      <c r="AC256">
        <f t="shared" si="21"/>
        <v>203.71861111111116</v>
      </c>
      <c r="AD256">
        <f t="shared" si="22"/>
        <v>104.08777777777777</v>
      </c>
      <c r="AF256">
        <v>104.08777777777777</v>
      </c>
    </row>
    <row r="257" spans="1:32" x14ac:dyDescent="0.25">
      <c r="A257" s="10">
        <v>40634</v>
      </c>
      <c r="B257" s="12">
        <v>193.7</v>
      </c>
      <c r="C257">
        <f>VLOOKUP(A257,'MBA CA Index'!A:B,2,0)</f>
        <v>107.04</v>
      </c>
      <c r="D257">
        <f t="shared" si="18"/>
        <v>122.89587999999998</v>
      </c>
      <c r="E257">
        <f t="shared" si="19"/>
        <v>107.04</v>
      </c>
      <c r="F257">
        <f t="shared" si="20"/>
        <v>104.20111111111112</v>
      </c>
      <c r="AB257" s="10">
        <v>40634</v>
      </c>
      <c r="AC257">
        <f t="shared" si="21"/>
        <v>199.2463888888889</v>
      </c>
      <c r="AD257">
        <f t="shared" si="22"/>
        <v>104.20111111111112</v>
      </c>
      <c r="AF257">
        <v>104.20111111111112</v>
      </c>
    </row>
    <row r="258" spans="1:32" x14ac:dyDescent="0.25">
      <c r="A258" s="10">
        <v>40664</v>
      </c>
      <c r="B258" s="12">
        <v>191.57499999999999</v>
      </c>
      <c r="C258">
        <f>VLOOKUP(A258,'MBA CA Index'!A:B,2,0)</f>
        <v>109.28</v>
      </c>
      <c r="D258">
        <f t="shared" si="18"/>
        <v>118.50052999999997</v>
      </c>
      <c r="E258">
        <f t="shared" si="19"/>
        <v>109.28</v>
      </c>
      <c r="F258">
        <f t="shared" si="20"/>
        <v>104.74444444444444</v>
      </c>
      <c r="AB258" s="10">
        <v>40664</v>
      </c>
      <c r="AC258">
        <f t="shared" si="21"/>
        <v>197.66861111111109</v>
      </c>
      <c r="AD258">
        <f t="shared" si="22"/>
        <v>104.74444444444444</v>
      </c>
      <c r="AF258">
        <v>104.74444444444444</v>
      </c>
    </row>
    <row r="259" spans="1:32" x14ac:dyDescent="0.25">
      <c r="A259" s="10">
        <v>40695</v>
      </c>
      <c r="B259" s="12">
        <v>185.02499999999998</v>
      </c>
      <c r="C259">
        <f>VLOOKUP(A259,'MBA CA Index'!A:B,2,0)</f>
        <v>110.55</v>
      </c>
      <c r="D259">
        <f t="shared" ref="D259:D319" si="23">$J$2+$K$2*B259</f>
        <v>104.95250999999996</v>
      </c>
      <c r="E259">
        <f t="shared" ref="E259:E319" si="24">IF(ISNA(C259),D259,C259)</f>
        <v>110.55</v>
      </c>
      <c r="F259">
        <f t="shared" si="20"/>
        <v>105.66388888888888</v>
      </c>
      <c r="AB259" s="10">
        <v>40695</v>
      </c>
      <c r="AC259">
        <f t="shared" si="21"/>
        <v>195.43805555555554</v>
      </c>
      <c r="AD259">
        <f t="shared" si="22"/>
        <v>105.66388888888888</v>
      </c>
      <c r="AF259">
        <v>105.66388888888888</v>
      </c>
    </row>
    <row r="260" spans="1:32" x14ac:dyDescent="0.25">
      <c r="A260" s="10">
        <v>40725</v>
      </c>
      <c r="B260" s="12">
        <v>183.8</v>
      </c>
      <c r="C260">
        <f>VLOOKUP(A260,'MBA CA Index'!A:B,2,0)</f>
        <v>109.95</v>
      </c>
      <c r="D260">
        <f t="shared" si="23"/>
        <v>102.41872000000001</v>
      </c>
      <c r="E260">
        <f t="shared" si="24"/>
        <v>109.95</v>
      </c>
      <c r="F260">
        <f t="shared" si="20"/>
        <v>106.51296296296296</v>
      </c>
      <c r="AB260" s="10">
        <v>40725</v>
      </c>
      <c r="AC260">
        <f t="shared" si="21"/>
        <v>193.4025</v>
      </c>
      <c r="AD260">
        <f t="shared" si="22"/>
        <v>106.51296296296296</v>
      </c>
      <c r="AF260">
        <v>106.51296296296296</v>
      </c>
    </row>
    <row r="261" spans="1:32" x14ac:dyDescent="0.25">
      <c r="A261" s="10">
        <v>40756</v>
      </c>
      <c r="B261" s="12">
        <v>167.22500000000002</v>
      </c>
      <c r="C261">
        <f>VLOOKUP(A261,'MBA CA Index'!A:B,2,0)</f>
        <v>107.75</v>
      </c>
      <c r="D261">
        <f t="shared" si="23"/>
        <v>68.134990000000073</v>
      </c>
      <c r="E261">
        <f t="shared" si="24"/>
        <v>107.75</v>
      </c>
      <c r="F261">
        <f t="shared" si="20"/>
        <v>107.20277777777777</v>
      </c>
      <c r="AB261" s="10">
        <v>40756</v>
      </c>
      <c r="AC261">
        <f t="shared" si="21"/>
        <v>190.95944444444444</v>
      </c>
      <c r="AD261">
        <f t="shared" si="22"/>
        <v>107.20277777777777</v>
      </c>
      <c r="AF261">
        <v>107.20277777777777</v>
      </c>
    </row>
    <row r="262" spans="1:32" x14ac:dyDescent="0.25">
      <c r="A262" s="10">
        <v>40787</v>
      </c>
      <c r="B262" s="12">
        <v>170.87599999999998</v>
      </c>
      <c r="C262">
        <f>VLOOKUP(A262,'MBA CA Index'!A:B,2,0)</f>
        <v>111.19</v>
      </c>
      <c r="D262">
        <f t="shared" si="23"/>
        <v>75.686718399999961</v>
      </c>
      <c r="E262">
        <f t="shared" si="24"/>
        <v>111.19</v>
      </c>
      <c r="F262">
        <f t="shared" si="20"/>
        <v>108.04666666666668</v>
      </c>
      <c r="AB262" s="10">
        <v>40787</v>
      </c>
      <c r="AC262">
        <f t="shared" si="21"/>
        <v>187.69144444444444</v>
      </c>
      <c r="AD262">
        <f t="shared" si="22"/>
        <v>108.04666666666668</v>
      </c>
      <c r="AF262">
        <v>108.04666666666668</v>
      </c>
    </row>
    <row r="263" spans="1:32" x14ac:dyDescent="0.25">
      <c r="A263" s="10">
        <v>40817</v>
      </c>
      <c r="B263" s="12">
        <v>171.25</v>
      </c>
      <c r="C263">
        <f>VLOOKUP(A263,'MBA CA Index'!A:B,2,0)</f>
        <v>107.1</v>
      </c>
      <c r="D263">
        <f t="shared" si="23"/>
        <v>76.460300000000018</v>
      </c>
      <c r="E263">
        <f t="shared" si="24"/>
        <v>107.1</v>
      </c>
      <c r="F263">
        <f t="shared" si="20"/>
        <v>108.62629629629629</v>
      </c>
      <c r="AB263" s="10">
        <v>40817</v>
      </c>
      <c r="AC263">
        <f t="shared" si="21"/>
        <v>183.30644444444442</v>
      </c>
      <c r="AD263">
        <f t="shared" si="22"/>
        <v>108.62629629629629</v>
      </c>
      <c r="AF263">
        <v>108.62629629629629</v>
      </c>
    </row>
    <row r="264" spans="1:32" x14ac:dyDescent="0.25">
      <c r="A264" s="10">
        <v>40848</v>
      </c>
      <c r="B264" s="12">
        <v>186.92750000000001</v>
      </c>
      <c r="C264">
        <f>VLOOKUP(A264,'MBA CA Index'!A:B,2,0)</f>
        <v>106.28</v>
      </c>
      <c r="D264">
        <f t="shared" si="23"/>
        <v>108.88764100000003</v>
      </c>
      <c r="E264">
        <f t="shared" si="24"/>
        <v>106.28</v>
      </c>
      <c r="F264">
        <f t="shared" si="20"/>
        <v>109.12333333333333</v>
      </c>
      <c r="AB264" s="10">
        <v>40848</v>
      </c>
      <c r="AC264">
        <f t="shared" si="21"/>
        <v>182.31074999999998</v>
      </c>
      <c r="AD264">
        <f t="shared" si="22"/>
        <v>109.12333333333333</v>
      </c>
      <c r="AF264">
        <v>109.12333333333333</v>
      </c>
    </row>
    <row r="265" spans="1:32" x14ac:dyDescent="0.25">
      <c r="A265" s="10">
        <v>40878</v>
      </c>
      <c r="B265" s="12">
        <v>185.166</v>
      </c>
      <c r="C265">
        <f>VLOOKUP(A265,'MBA CA Index'!A:B,2,0)</f>
        <v>104.92</v>
      </c>
      <c r="D265">
        <f t="shared" si="23"/>
        <v>105.24415440000001</v>
      </c>
      <c r="E265">
        <f t="shared" si="24"/>
        <v>104.92</v>
      </c>
      <c r="F265">
        <f t="shared" si="20"/>
        <v>109.50777777777779</v>
      </c>
      <c r="AB265" s="10">
        <v>40878</v>
      </c>
      <c r="AC265">
        <f t="shared" si="21"/>
        <v>182.9060833333333</v>
      </c>
      <c r="AD265">
        <f t="shared" si="22"/>
        <v>109.50777777777779</v>
      </c>
      <c r="AF265">
        <v>109.50777777777779</v>
      </c>
    </row>
    <row r="266" spans="1:32" x14ac:dyDescent="0.25">
      <c r="A266" s="10">
        <v>40909</v>
      </c>
      <c r="B266" s="12">
        <v>184.7475</v>
      </c>
      <c r="C266">
        <f>VLOOKUP(A266,'MBA CA Index'!A:B,2,0)</f>
        <v>102.38</v>
      </c>
      <c r="D266">
        <f t="shared" si="23"/>
        <v>104.37852900000001</v>
      </c>
      <c r="E266">
        <f t="shared" si="24"/>
        <v>102.38</v>
      </c>
      <c r="F266">
        <f t="shared" si="20"/>
        <v>109.57518518518519</v>
      </c>
      <c r="AB266" s="10">
        <v>40909</v>
      </c>
      <c r="AC266">
        <f t="shared" si="21"/>
        <v>183.7476111111111</v>
      </c>
      <c r="AD266">
        <f t="shared" si="22"/>
        <v>109.57518518518519</v>
      </c>
      <c r="AF266">
        <v>109.57518518518519</v>
      </c>
    </row>
    <row r="267" spans="1:32" x14ac:dyDescent="0.25">
      <c r="A267" s="10">
        <v>40940</v>
      </c>
      <c r="B267" s="12">
        <v>171.35</v>
      </c>
      <c r="C267">
        <f>VLOOKUP(A267,'MBA CA Index'!A:B,2,0)</f>
        <v>99.04</v>
      </c>
      <c r="D267">
        <f t="shared" si="23"/>
        <v>76.667140000000018</v>
      </c>
      <c r="E267">
        <f t="shared" si="24"/>
        <v>99.04</v>
      </c>
      <c r="F267">
        <f t="shared" si="20"/>
        <v>109.2811111111111</v>
      </c>
      <c r="AB267" s="10">
        <v>40940</v>
      </c>
      <c r="AC267">
        <f t="shared" si="21"/>
        <v>183.69899999999996</v>
      </c>
      <c r="AD267">
        <f t="shared" si="22"/>
        <v>109.2811111111111</v>
      </c>
      <c r="AF267">
        <v>109.2811111111111</v>
      </c>
    </row>
    <row r="268" spans="1:32" x14ac:dyDescent="0.25">
      <c r="A268" s="10">
        <v>40969</v>
      </c>
      <c r="B268" s="12">
        <v>188.95999999999998</v>
      </c>
      <c r="C268">
        <f>VLOOKUP(A268,'MBA CA Index'!A:B,2,0)</f>
        <v>100</v>
      </c>
      <c r="D268">
        <f t="shared" si="23"/>
        <v>113.09166399999998</v>
      </c>
      <c r="E268">
        <f t="shared" si="24"/>
        <v>100</v>
      </c>
      <c r="F268">
        <f t="shared" si="20"/>
        <v>108.86444444444444</v>
      </c>
      <c r="AB268" s="10">
        <v>40969</v>
      </c>
      <c r="AC268">
        <f t="shared" si="21"/>
        <v>184.0912222222222</v>
      </c>
      <c r="AD268">
        <f t="shared" si="22"/>
        <v>108.86444444444444</v>
      </c>
      <c r="AF268">
        <v>108.86444444444444</v>
      </c>
    </row>
    <row r="269" spans="1:32" x14ac:dyDescent="0.25">
      <c r="A269" s="10">
        <v>41000</v>
      </c>
      <c r="B269" s="12">
        <v>189.97500000000002</v>
      </c>
      <c r="C269">
        <f>VLOOKUP(A269,'MBA CA Index'!A:B,2,0)</f>
        <v>101.71</v>
      </c>
      <c r="D269">
        <f t="shared" si="23"/>
        <v>115.19109000000003</v>
      </c>
      <c r="E269">
        <f t="shared" si="24"/>
        <v>101.71</v>
      </c>
      <c r="F269">
        <f t="shared" si="20"/>
        <v>108.36685185185186</v>
      </c>
      <c r="AB269" s="10">
        <v>41000</v>
      </c>
      <c r="AC269">
        <f t="shared" si="21"/>
        <v>184.5842777777778</v>
      </c>
      <c r="AD269">
        <f t="shared" si="22"/>
        <v>108.36685185185186</v>
      </c>
      <c r="AF269">
        <v>108.36685185185186</v>
      </c>
    </row>
    <row r="270" spans="1:32" x14ac:dyDescent="0.25">
      <c r="A270" s="10">
        <v>41030</v>
      </c>
      <c r="B270" s="12">
        <v>190.45000000000002</v>
      </c>
      <c r="C270">
        <f>VLOOKUP(A270,'MBA CA Index'!A:B,2,0)</f>
        <v>101.55</v>
      </c>
      <c r="D270">
        <f t="shared" si="23"/>
        <v>116.17358000000007</v>
      </c>
      <c r="E270">
        <f t="shared" si="24"/>
        <v>101.55</v>
      </c>
      <c r="F270">
        <f t="shared" si="20"/>
        <v>107.68444444444444</v>
      </c>
      <c r="AB270" s="10">
        <v>41030</v>
      </c>
      <c r="AC270">
        <f t="shared" si="21"/>
        <v>184.33011111111111</v>
      </c>
      <c r="AD270">
        <f t="shared" si="22"/>
        <v>107.68444444444444</v>
      </c>
      <c r="AF270">
        <v>107.68444444444444</v>
      </c>
    </row>
    <row r="271" spans="1:32" x14ac:dyDescent="0.25">
      <c r="A271" s="10">
        <v>41061</v>
      </c>
      <c r="B271" s="12">
        <v>189.56</v>
      </c>
      <c r="C271">
        <f>VLOOKUP(A271,'MBA CA Index'!A:B,2,0)</f>
        <v>103.01</v>
      </c>
      <c r="D271">
        <f t="shared" si="23"/>
        <v>114.33270400000004</v>
      </c>
      <c r="E271">
        <f t="shared" si="24"/>
        <v>103.01</v>
      </c>
      <c r="F271">
        <f t="shared" si="20"/>
        <v>106.90722222222222</v>
      </c>
      <c r="AB271" s="10">
        <v>41061</v>
      </c>
      <c r="AC271">
        <f t="shared" si="21"/>
        <v>183.66455555555555</v>
      </c>
      <c r="AD271">
        <f t="shared" si="22"/>
        <v>106.90722222222222</v>
      </c>
      <c r="AF271">
        <v>106.90722222222222</v>
      </c>
    </row>
    <row r="272" spans="1:32" x14ac:dyDescent="0.25">
      <c r="A272" s="10">
        <v>41091</v>
      </c>
      <c r="B272" s="12">
        <v>188.3</v>
      </c>
      <c r="C272">
        <f>VLOOKUP(A272,'MBA CA Index'!A:B,2,0)</f>
        <v>99.67</v>
      </c>
      <c r="D272">
        <f t="shared" si="23"/>
        <v>111.72652000000005</v>
      </c>
      <c r="E272">
        <f t="shared" si="24"/>
        <v>99.67</v>
      </c>
      <c r="F272">
        <f t="shared" si="20"/>
        <v>106.00925925925928</v>
      </c>
      <c r="AB272" s="10">
        <v>41091</v>
      </c>
      <c r="AC272">
        <f t="shared" si="21"/>
        <v>183.81733333333332</v>
      </c>
      <c r="AD272">
        <f t="shared" si="22"/>
        <v>106.00925925925928</v>
      </c>
      <c r="AF272">
        <v>106.00925925925928</v>
      </c>
    </row>
    <row r="273" spans="1:32" x14ac:dyDescent="0.25">
      <c r="A273" s="10">
        <v>41122</v>
      </c>
      <c r="B273" s="12">
        <v>178.21999999999997</v>
      </c>
      <c r="C273">
        <f>VLOOKUP(A273,'MBA CA Index'!A:B,2,0)</f>
        <v>103.93</v>
      </c>
      <c r="D273">
        <f t="shared" si="23"/>
        <v>90.877047999999945</v>
      </c>
      <c r="E273">
        <f t="shared" si="24"/>
        <v>103.93</v>
      </c>
      <c r="F273">
        <f t="shared" si="20"/>
        <v>105.41277777777778</v>
      </c>
      <c r="AB273" s="10">
        <v>41122</v>
      </c>
      <c r="AC273">
        <f t="shared" si="21"/>
        <v>183.7448333333333</v>
      </c>
      <c r="AD273">
        <f t="shared" si="22"/>
        <v>105.41277777777778</v>
      </c>
      <c r="AF273">
        <v>105.41277777777778</v>
      </c>
    </row>
    <row r="274" spans="1:32" x14ac:dyDescent="0.25">
      <c r="A274" s="10">
        <v>41153</v>
      </c>
      <c r="B274" s="12">
        <v>189.97500000000002</v>
      </c>
      <c r="C274">
        <f>VLOOKUP(A274,'MBA CA Index'!A:B,2,0)</f>
        <v>103.92</v>
      </c>
      <c r="D274">
        <f t="shared" si="23"/>
        <v>115.19109000000003</v>
      </c>
      <c r="E274">
        <f t="shared" si="24"/>
        <v>103.92</v>
      </c>
      <c r="F274">
        <f t="shared" si="20"/>
        <v>104.95944444444446</v>
      </c>
      <c r="AB274" s="10">
        <v>41153</v>
      </c>
      <c r="AC274">
        <f t="shared" si="21"/>
        <v>183.72677777777776</v>
      </c>
      <c r="AD274">
        <f t="shared" si="22"/>
        <v>104.95944444444446</v>
      </c>
      <c r="AF274">
        <v>104.95944444444446</v>
      </c>
    </row>
    <row r="275" spans="1:32" x14ac:dyDescent="0.25">
      <c r="A275" s="10">
        <v>41183</v>
      </c>
      <c r="B275" s="12">
        <v>192.375</v>
      </c>
      <c r="C275">
        <f>VLOOKUP(A275,'MBA CA Index'!A:B,2,0)</f>
        <v>101.4</v>
      </c>
      <c r="D275">
        <f t="shared" si="23"/>
        <v>120.15525000000002</v>
      </c>
      <c r="E275">
        <f t="shared" si="24"/>
        <v>101.4</v>
      </c>
      <c r="F275">
        <f t="shared" si="20"/>
        <v>104.64611111111113</v>
      </c>
      <c r="AB275" s="10">
        <v>41183</v>
      </c>
      <c r="AC275">
        <f t="shared" si="21"/>
        <v>183.65316666666664</v>
      </c>
      <c r="AD275">
        <f t="shared" si="22"/>
        <v>104.64611111111113</v>
      </c>
      <c r="AF275">
        <v>104.64611111111113</v>
      </c>
    </row>
    <row r="276" spans="1:32" x14ac:dyDescent="0.25">
      <c r="A276" s="10">
        <v>41214</v>
      </c>
      <c r="B276" s="12">
        <v>197.2</v>
      </c>
      <c r="C276">
        <f>VLOOKUP(A276,'MBA CA Index'!A:B,2,0)</f>
        <v>105.95</v>
      </c>
      <c r="D276">
        <f t="shared" si="23"/>
        <v>130.13527999999997</v>
      </c>
      <c r="E276">
        <f t="shared" si="24"/>
        <v>105.95</v>
      </c>
      <c r="F276">
        <f t="shared" si="20"/>
        <v>104.46111111111112</v>
      </c>
      <c r="AB276" s="10">
        <v>41214</v>
      </c>
      <c r="AC276">
        <f t="shared" si="21"/>
        <v>183.96566666666661</v>
      </c>
      <c r="AD276">
        <f t="shared" si="22"/>
        <v>104.46111111111112</v>
      </c>
      <c r="AF276">
        <v>104.46111111111112</v>
      </c>
    </row>
    <row r="277" spans="1:32" x14ac:dyDescent="0.25">
      <c r="A277" s="10">
        <v>41244</v>
      </c>
      <c r="B277" s="12">
        <v>191.22499999999999</v>
      </c>
      <c r="C277">
        <f>VLOOKUP(A277,'MBA CA Index'!A:B,2,0)</f>
        <v>108.16</v>
      </c>
      <c r="D277">
        <f t="shared" si="23"/>
        <v>117.77659</v>
      </c>
      <c r="E277">
        <f t="shared" si="24"/>
        <v>108.16</v>
      </c>
      <c r="F277">
        <f t="shared" ref="F277:F319" si="25">AVERAGE(E260:E277)</f>
        <v>104.32833333333335</v>
      </c>
      <c r="AB277" s="10">
        <v>41244</v>
      </c>
      <c r="AC277">
        <f t="shared" ref="AC277:AC319" si="26">AVERAGE(B260:B277)</f>
        <v>184.3101111111111</v>
      </c>
      <c r="AD277">
        <f t="shared" ref="AD277:AD319" si="27">AVERAGE(C260:C277)</f>
        <v>104.32833333333335</v>
      </c>
      <c r="AF277">
        <v>104.32833333333335</v>
      </c>
    </row>
    <row r="278" spans="1:32" x14ac:dyDescent="0.25">
      <c r="A278" s="10">
        <v>41275</v>
      </c>
      <c r="B278" s="12">
        <v>205.32499999999999</v>
      </c>
      <c r="C278">
        <f>VLOOKUP(A278,'MBA CA Index'!A:B,2,0)</f>
        <v>108.21</v>
      </c>
      <c r="D278">
        <f t="shared" si="23"/>
        <v>146.94103000000001</v>
      </c>
      <c r="E278">
        <f t="shared" si="24"/>
        <v>108.21</v>
      </c>
      <c r="F278">
        <f t="shared" si="25"/>
        <v>104.23166666666668</v>
      </c>
      <c r="AB278" s="10">
        <v>41275</v>
      </c>
      <c r="AC278">
        <f t="shared" si="26"/>
        <v>185.5059444444444</v>
      </c>
      <c r="AD278">
        <f t="shared" si="27"/>
        <v>104.23166666666668</v>
      </c>
      <c r="AF278">
        <v>104.23166666666668</v>
      </c>
    </row>
    <row r="279" spans="1:32" x14ac:dyDescent="0.25">
      <c r="A279" s="10">
        <v>41306</v>
      </c>
      <c r="B279" s="12">
        <v>196.375</v>
      </c>
      <c r="C279">
        <f>VLOOKUP(A279,'MBA CA Index'!A:B,2,0)</f>
        <v>109.13</v>
      </c>
      <c r="D279">
        <f t="shared" si="23"/>
        <v>128.42885000000001</v>
      </c>
      <c r="E279">
        <f t="shared" si="24"/>
        <v>109.13</v>
      </c>
      <c r="F279">
        <f t="shared" si="25"/>
        <v>104.30833333333337</v>
      </c>
      <c r="AB279" s="10">
        <v>41306</v>
      </c>
      <c r="AC279">
        <f t="shared" si="26"/>
        <v>187.12538888888884</v>
      </c>
      <c r="AD279">
        <f t="shared" si="27"/>
        <v>104.30833333333337</v>
      </c>
      <c r="AF279">
        <v>104.30833333333337</v>
      </c>
    </row>
    <row r="280" spans="1:32" x14ac:dyDescent="0.25">
      <c r="A280" s="10">
        <v>41334</v>
      </c>
      <c r="B280" s="12">
        <v>206.44</v>
      </c>
      <c r="C280">
        <f>VLOOKUP(A280,'MBA CA Index'!A:B,2,0)</f>
        <v>108.01</v>
      </c>
      <c r="D280">
        <f t="shared" si="23"/>
        <v>149.24729600000001</v>
      </c>
      <c r="E280">
        <f t="shared" si="24"/>
        <v>108.01</v>
      </c>
      <c r="F280">
        <f t="shared" si="25"/>
        <v>104.1316666666667</v>
      </c>
      <c r="AB280" s="10">
        <v>41334</v>
      </c>
      <c r="AC280">
        <f t="shared" si="26"/>
        <v>189.10116666666664</v>
      </c>
      <c r="AD280">
        <f t="shared" si="27"/>
        <v>104.1316666666667</v>
      </c>
      <c r="AF280">
        <v>104.1316666666667</v>
      </c>
    </row>
    <row r="281" spans="1:32" x14ac:dyDescent="0.25">
      <c r="A281" s="10">
        <v>41365</v>
      </c>
      <c r="B281" s="12">
        <v>215.375</v>
      </c>
      <c r="C281">
        <f>VLOOKUP(A281,'MBA CA Index'!A:B,2,0)</f>
        <v>108.56</v>
      </c>
      <c r="D281">
        <f t="shared" si="23"/>
        <v>167.72845000000001</v>
      </c>
      <c r="E281">
        <f t="shared" si="24"/>
        <v>108.56</v>
      </c>
      <c r="F281">
        <f t="shared" si="25"/>
        <v>104.21277777777779</v>
      </c>
      <c r="AB281" s="10">
        <v>41365</v>
      </c>
      <c r="AC281">
        <f t="shared" si="26"/>
        <v>191.55255555555556</v>
      </c>
      <c r="AD281">
        <f t="shared" si="27"/>
        <v>104.21277777777779</v>
      </c>
      <c r="AF281">
        <v>104.21277777777779</v>
      </c>
    </row>
    <row r="282" spans="1:32" x14ac:dyDescent="0.25">
      <c r="A282" s="10">
        <v>41395</v>
      </c>
      <c r="B282" s="12">
        <v>211.08</v>
      </c>
      <c r="C282">
        <f>VLOOKUP(A282,'MBA CA Index'!A:B,2,0)</f>
        <v>108.87</v>
      </c>
      <c r="D282">
        <f t="shared" si="23"/>
        <v>158.84467200000006</v>
      </c>
      <c r="E282">
        <f t="shared" si="24"/>
        <v>108.87</v>
      </c>
      <c r="F282">
        <f t="shared" si="25"/>
        <v>104.35666666666667</v>
      </c>
      <c r="AB282" s="10">
        <v>41395</v>
      </c>
      <c r="AC282">
        <f t="shared" si="26"/>
        <v>192.8943611111111</v>
      </c>
      <c r="AD282">
        <f t="shared" si="27"/>
        <v>104.35666666666667</v>
      </c>
      <c r="AF282">
        <v>104.35666666666667</v>
      </c>
    </row>
    <row r="283" spans="1:32" x14ac:dyDescent="0.25">
      <c r="A283" s="10">
        <v>41426</v>
      </c>
      <c r="B283" s="12">
        <v>212.60000000000002</v>
      </c>
      <c r="C283">
        <f>VLOOKUP(A283,'MBA CA Index'!A:B,2,0)</f>
        <v>109.81</v>
      </c>
      <c r="D283">
        <f t="shared" si="23"/>
        <v>161.98864000000003</v>
      </c>
      <c r="E283">
        <f t="shared" si="24"/>
        <v>109.81</v>
      </c>
      <c r="F283">
        <f t="shared" si="25"/>
        <v>104.62833333333333</v>
      </c>
      <c r="AB283" s="10">
        <v>41426</v>
      </c>
      <c r="AC283">
        <f t="shared" si="26"/>
        <v>194.41847222222219</v>
      </c>
      <c r="AD283">
        <f t="shared" si="27"/>
        <v>104.62833333333333</v>
      </c>
      <c r="AF283">
        <v>104.62833333333333</v>
      </c>
    </row>
    <row r="284" spans="1:32" x14ac:dyDescent="0.25">
      <c r="A284" s="10">
        <v>41456</v>
      </c>
      <c r="B284" s="12">
        <v>198.64999999999998</v>
      </c>
      <c r="C284">
        <f>VLOOKUP(A284,'MBA CA Index'!A:B,2,0)</f>
        <v>112.3</v>
      </c>
      <c r="D284">
        <f t="shared" si="23"/>
        <v>133.13445999999999</v>
      </c>
      <c r="E284">
        <f t="shared" si="24"/>
        <v>112.3</v>
      </c>
      <c r="F284">
        <f t="shared" si="25"/>
        <v>105.17944444444446</v>
      </c>
      <c r="AB284" s="10">
        <v>41456</v>
      </c>
      <c r="AC284">
        <f t="shared" si="26"/>
        <v>195.19083333333333</v>
      </c>
      <c r="AD284">
        <f t="shared" si="27"/>
        <v>105.17944444444446</v>
      </c>
      <c r="AF284">
        <v>105.17944444444446</v>
      </c>
    </row>
    <row r="285" spans="1:32" x14ac:dyDescent="0.25">
      <c r="A285" s="10">
        <v>41487</v>
      </c>
      <c r="B285" s="12">
        <v>187.73999999999998</v>
      </c>
      <c r="C285">
        <f>VLOOKUP(A285,'MBA CA Index'!A:B,2,0)</f>
        <v>111.5</v>
      </c>
      <c r="D285">
        <f t="shared" si="23"/>
        <v>110.56821599999995</v>
      </c>
      <c r="E285">
        <f t="shared" si="24"/>
        <v>111.5</v>
      </c>
      <c r="F285">
        <f t="shared" si="25"/>
        <v>105.87166666666666</v>
      </c>
      <c r="AB285" s="10">
        <v>41487</v>
      </c>
      <c r="AC285">
        <f t="shared" si="26"/>
        <v>196.10138888888889</v>
      </c>
      <c r="AD285">
        <f t="shared" si="27"/>
        <v>105.87166666666666</v>
      </c>
      <c r="AF285">
        <v>105.87166666666666</v>
      </c>
    </row>
    <row r="286" spans="1:32" x14ac:dyDescent="0.25">
      <c r="A286" s="10">
        <v>41518</v>
      </c>
      <c r="B286" s="12">
        <v>190.42499999999998</v>
      </c>
      <c r="C286">
        <f>VLOOKUP(A286,'MBA CA Index'!A:B,2,0)</f>
        <v>110.7</v>
      </c>
      <c r="D286">
        <f t="shared" si="23"/>
        <v>116.12187</v>
      </c>
      <c r="E286">
        <f t="shared" si="24"/>
        <v>110.7</v>
      </c>
      <c r="F286">
        <f t="shared" si="25"/>
        <v>106.4661111111111</v>
      </c>
      <c r="AB286" s="10">
        <v>41518</v>
      </c>
      <c r="AC286">
        <f t="shared" si="26"/>
        <v>196.18277777777777</v>
      </c>
      <c r="AD286">
        <f t="shared" si="27"/>
        <v>106.4661111111111</v>
      </c>
      <c r="AF286">
        <v>106.4661111111111</v>
      </c>
    </row>
    <row r="287" spans="1:32" x14ac:dyDescent="0.25">
      <c r="A287" s="10">
        <v>41548</v>
      </c>
      <c r="B287" s="12">
        <v>182.97500000000002</v>
      </c>
      <c r="C287">
        <f>VLOOKUP(A287,'MBA CA Index'!A:B,2,0)</f>
        <v>111.5</v>
      </c>
      <c r="D287">
        <f t="shared" si="23"/>
        <v>100.71229000000005</v>
      </c>
      <c r="E287">
        <f t="shared" si="24"/>
        <v>111.5</v>
      </c>
      <c r="F287">
        <f t="shared" si="25"/>
        <v>107.00999999999999</v>
      </c>
      <c r="AB287" s="10">
        <v>41548</v>
      </c>
      <c r="AC287">
        <f t="shared" si="26"/>
        <v>195.79388888888889</v>
      </c>
      <c r="AD287">
        <f t="shared" si="27"/>
        <v>107.00999999999999</v>
      </c>
      <c r="AF287">
        <v>107.00999999999999</v>
      </c>
    </row>
    <row r="288" spans="1:32" x14ac:dyDescent="0.25">
      <c r="A288" s="10">
        <v>41579</v>
      </c>
      <c r="B288" s="12">
        <v>187.02</v>
      </c>
      <c r="C288">
        <f>VLOOKUP(A288,'MBA CA Index'!A:B,2,0)</f>
        <v>110.2</v>
      </c>
      <c r="D288">
        <f t="shared" si="23"/>
        <v>109.07896800000003</v>
      </c>
      <c r="E288">
        <f t="shared" si="24"/>
        <v>110.2</v>
      </c>
      <c r="F288">
        <f t="shared" si="25"/>
        <v>107.49055555555556</v>
      </c>
      <c r="AB288" s="10">
        <v>41579</v>
      </c>
      <c r="AC288">
        <f t="shared" si="26"/>
        <v>195.60333333333332</v>
      </c>
      <c r="AD288">
        <f t="shared" si="27"/>
        <v>107.49055555555556</v>
      </c>
      <c r="AF288">
        <v>107.49055555555556</v>
      </c>
    </row>
    <row r="289" spans="1:32" x14ac:dyDescent="0.25">
      <c r="A289" s="10">
        <v>41609</v>
      </c>
      <c r="B289" s="12">
        <v>175.52499999999998</v>
      </c>
      <c r="C289">
        <f>VLOOKUP(A289,'MBA CA Index'!A:B,2,0)</f>
        <v>110.9</v>
      </c>
      <c r="D289">
        <f t="shared" si="23"/>
        <v>85.30270999999999</v>
      </c>
      <c r="E289">
        <f t="shared" si="24"/>
        <v>110.9</v>
      </c>
      <c r="F289">
        <f t="shared" si="25"/>
        <v>107.92888888888889</v>
      </c>
      <c r="AB289" s="10">
        <v>41609</v>
      </c>
      <c r="AC289">
        <f t="shared" si="26"/>
        <v>194.82361111111109</v>
      </c>
      <c r="AD289">
        <f t="shared" si="27"/>
        <v>107.92888888888889</v>
      </c>
      <c r="AF289">
        <v>107.92888888888889</v>
      </c>
    </row>
    <row r="290" spans="1:32" x14ac:dyDescent="0.25">
      <c r="A290" s="10">
        <v>41640</v>
      </c>
      <c r="B290" s="12">
        <v>183.3</v>
      </c>
      <c r="C290">
        <f>VLOOKUP(A290,'MBA CA Index'!A:B,2,0)</f>
        <v>113</v>
      </c>
      <c r="D290">
        <f t="shared" si="23"/>
        <v>101.38452000000001</v>
      </c>
      <c r="E290">
        <f t="shared" si="24"/>
        <v>113</v>
      </c>
      <c r="F290">
        <f t="shared" si="25"/>
        <v>108.66944444444444</v>
      </c>
      <c r="AB290" s="10">
        <v>41640</v>
      </c>
      <c r="AC290">
        <f t="shared" si="26"/>
        <v>194.54583333333335</v>
      </c>
      <c r="AD290">
        <f t="shared" si="27"/>
        <v>108.66944444444444</v>
      </c>
      <c r="AF290">
        <v>108.66944444444444</v>
      </c>
    </row>
    <row r="291" spans="1:32" x14ac:dyDescent="0.25">
      <c r="A291" s="10">
        <v>41671</v>
      </c>
      <c r="B291" s="12">
        <v>164.2</v>
      </c>
      <c r="C291">
        <f>VLOOKUP(A291,'MBA CA Index'!A:B,2,0)</f>
        <v>113.5</v>
      </c>
      <c r="D291">
        <f t="shared" si="23"/>
        <v>61.878080000000011</v>
      </c>
      <c r="E291">
        <f t="shared" si="24"/>
        <v>113.5</v>
      </c>
      <c r="F291">
        <f t="shared" si="25"/>
        <v>109.20111111111112</v>
      </c>
      <c r="AB291" s="10">
        <v>41671</v>
      </c>
      <c r="AC291">
        <f t="shared" si="26"/>
        <v>193.76694444444445</v>
      </c>
      <c r="AD291">
        <f t="shared" si="27"/>
        <v>109.20111111111112</v>
      </c>
      <c r="AF291">
        <v>109.20111111111112</v>
      </c>
    </row>
    <row r="292" spans="1:32" x14ac:dyDescent="0.25">
      <c r="A292" s="10">
        <v>41699</v>
      </c>
      <c r="B292" s="12">
        <v>171.9</v>
      </c>
      <c r="C292">
        <f>VLOOKUP(A292,'MBA CA Index'!A:B,2,0)</f>
        <v>114</v>
      </c>
      <c r="D292">
        <f t="shared" si="23"/>
        <v>77.804760000000044</v>
      </c>
      <c r="E292">
        <f t="shared" si="24"/>
        <v>114</v>
      </c>
      <c r="F292">
        <f t="shared" si="25"/>
        <v>109.76111111111112</v>
      </c>
      <c r="AB292" s="10">
        <v>41699</v>
      </c>
      <c r="AC292">
        <f t="shared" si="26"/>
        <v>192.76277777777779</v>
      </c>
      <c r="AD292">
        <f t="shared" si="27"/>
        <v>109.76111111111112</v>
      </c>
      <c r="AF292">
        <v>109.76111111111112</v>
      </c>
    </row>
    <row r="293" spans="1:32" x14ac:dyDescent="0.25">
      <c r="A293" s="10">
        <v>41730</v>
      </c>
      <c r="B293" s="12">
        <v>177.77500000000001</v>
      </c>
      <c r="C293">
        <f>VLOOKUP(A293,'MBA CA Index'!A:B,2,0)</f>
        <v>113.8</v>
      </c>
      <c r="D293">
        <f t="shared" si="23"/>
        <v>89.956610000000012</v>
      </c>
      <c r="E293">
        <f t="shared" si="24"/>
        <v>113.8</v>
      </c>
      <c r="F293">
        <f t="shared" si="25"/>
        <v>110.45</v>
      </c>
      <c r="AB293" s="10">
        <v>41730</v>
      </c>
      <c r="AC293">
        <f t="shared" si="26"/>
        <v>191.95166666666668</v>
      </c>
      <c r="AD293">
        <f t="shared" si="27"/>
        <v>110.45</v>
      </c>
      <c r="AF293">
        <v>110.45</v>
      </c>
    </row>
    <row r="294" spans="1:32" x14ac:dyDescent="0.25">
      <c r="A294" s="10">
        <v>41760</v>
      </c>
      <c r="B294" s="12">
        <v>180</v>
      </c>
      <c r="C294">
        <f>VLOOKUP(A294,'MBA CA Index'!A:B,2,0)</f>
        <v>115.1</v>
      </c>
      <c r="D294">
        <f t="shared" si="23"/>
        <v>94.558800000000019</v>
      </c>
      <c r="E294">
        <f t="shared" si="24"/>
        <v>115.1</v>
      </c>
      <c r="F294">
        <f t="shared" si="25"/>
        <v>110.95833333333333</v>
      </c>
      <c r="AB294" s="10">
        <v>41760</v>
      </c>
      <c r="AC294">
        <f t="shared" si="26"/>
        <v>190.99611111111113</v>
      </c>
      <c r="AD294">
        <f t="shared" si="27"/>
        <v>110.95833333333333</v>
      </c>
      <c r="AF294">
        <v>110.95833333333333</v>
      </c>
    </row>
    <row r="295" spans="1:32" x14ac:dyDescent="0.25">
      <c r="A295" s="10">
        <v>41791</v>
      </c>
      <c r="B295" s="12">
        <v>179.42500000000001</v>
      </c>
      <c r="C295">
        <f>VLOOKUP(A295,'MBA CA Index'!A:B,2,0)</f>
        <v>115.8</v>
      </c>
      <c r="D295">
        <f t="shared" si="23"/>
        <v>93.369470000000035</v>
      </c>
      <c r="E295">
        <f t="shared" si="24"/>
        <v>115.8</v>
      </c>
      <c r="F295">
        <f t="shared" si="25"/>
        <v>111.38277777777778</v>
      </c>
      <c r="AB295" s="10">
        <v>41791</v>
      </c>
      <c r="AC295">
        <f t="shared" si="26"/>
        <v>190.3405555555556</v>
      </c>
      <c r="AD295">
        <f t="shared" si="27"/>
        <v>111.38277777777778</v>
      </c>
      <c r="AF295">
        <v>111.38277777777778</v>
      </c>
    </row>
    <row r="296" spans="1:32" x14ac:dyDescent="0.25">
      <c r="A296" s="10">
        <v>41821</v>
      </c>
      <c r="B296" s="12">
        <v>171.625</v>
      </c>
      <c r="C296">
        <f>VLOOKUP(A296,'MBA CA Index'!A:B,2,0)</f>
        <v>116.4</v>
      </c>
      <c r="D296">
        <f t="shared" si="23"/>
        <v>77.235950000000003</v>
      </c>
      <c r="E296">
        <f t="shared" si="24"/>
        <v>116.4</v>
      </c>
      <c r="F296">
        <f t="shared" si="25"/>
        <v>111.83777777777777</v>
      </c>
      <c r="AB296" s="10">
        <v>41821</v>
      </c>
      <c r="AC296">
        <f t="shared" si="26"/>
        <v>188.46833333333336</v>
      </c>
      <c r="AD296">
        <f t="shared" si="27"/>
        <v>111.83777777777777</v>
      </c>
      <c r="AF296">
        <v>111.83777777777777</v>
      </c>
    </row>
    <row r="297" spans="1:32" x14ac:dyDescent="0.25">
      <c r="A297" s="10">
        <v>41852</v>
      </c>
      <c r="B297" s="12">
        <v>165.92</v>
      </c>
      <c r="C297">
        <f>VLOOKUP(A297,'MBA CA Index'!A:B,2,0)</f>
        <v>116.1</v>
      </c>
      <c r="D297">
        <f t="shared" si="23"/>
        <v>65.435727999999983</v>
      </c>
      <c r="E297">
        <f t="shared" si="24"/>
        <v>116.1</v>
      </c>
      <c r="F297">
        <f t="shared" si="25"/>
        <v>112.22499999999999</v>
      </c>
      <c r="AB297" s="10">
        <v>41852</v>
      </c>
      <c r="AC297">
        <f t="shared" si="26"/>
        <v>186.7763888888889</v>
      </c>
      <c r="AD297">
        <f t="shared" si="27"/>
        <v>112.22499999999999</v>
      </c>
      <c r="AF297">
        <v>112.22499999999999</v>
      </c>
    </row>
    <row r="298" spans="1:32" x14ac:dyDescent="0.25">
      <c r="A298" s="10">
        <v>41883</v>
      </c>
      <c r="B298" s="12">
        <v>167.10000000000002</v>
      </c>
      <c r="C298">
        <f>VLOOKUP(A298,'MBA CA Index'!A:B,2,0)</f>
        <v>116.1</v>
      </c>
      <c r="D298">
        <f t="shared" si="23"/>
        <v>67.876440000000059</v>
      </c>
      <c r="E298">
        <f t="shared" si="24"/>
        <v>116.1</v>
      </c>
      <c r="F298">
        <f t="shared" si="25"/>
        <v>112.67444444444443</v>
      </c>
      <c r="AB298" s="10">
        <v>41883</v>
      </c>
      <c r="AC298">
        <f t="shared" si="26"/>
        <v>184.59083333333334</v>
      </c>
      <c r="AD298">
        <f t="shared" si="27"/>
        <v>112.67444444444443</v>
      </c>
      <c r="AF298">
        <v>112.67444444444443</v>
      </c>
    </row>
    <row r="299" spans="1:32" x14ac:dyDescent="0.25">
      <c r="A299" s="10">
        <v>41913</v>
      </c>
      <c r="B299" s="12">
        <v>164.48000000000002</v>
      </c>
      <c r="C299">
        <f>VLOOKUP(A299,'MBA CA Index'!A:B,2,0)</f>
        <v>113.2</v>
      </c>
      <c r="D299">
        <f t="shared" si="23"/>
        <v>62.457232000000033</v>
      </c>
      <c r="E299">
        <f t="shared" si="24"/>
        <v>113.2</v>
      </c>
      <c r="F299">
        <f t="shared" si="25"/>
        <v>112.93222222222222</v>
      </c>
      <c r="AB299" s="10">
        <v>41913</v>
      </c>
      <c r="AC299">
        <f t="shared" si="26"/>
        <v>181.76333333333335</v>
      </c>
      <c r="AD299">
        <f t="shared" si="27"/>
        <v>112.93222222222222</v>
      </c>
      <c r="AF299">
        <v>112.93222222222222</v>
      </c>
    </row>
    <row r="300" spans="1:32" x14ac:dyDescent="0.25">
      <c r="A300" s="10">
        <v>41944</v>
      </c>
      <c r="B300" s="12">
        <v>171.85000000000002</v>
      </c>
      <c r="C300">
        <f>VLOOKUP(A300,'MBA CA Index'!A:B,2,0)</f>
        <v>114.6</v>
      </c>
      <c r="D300">
        <f t="shared" si="23"/>
        <v>77.701340000000073</v>
      </c>
      <c r="E300">
        <f t="shared" si="24"/>
        <v>114.6</v>
      </c>
      <c r="F300">
        <f t="shared" si="25"/>
        <v>113.25055555555554</v>
      </c>
      <c r="AB300" s="10">
        <v>41944</v>
      </c>
      <c r="AC300">
        <f t="shared" si="26"/>
        <v>179.58388888888891</v>
      </c>
      <c r="AD300">
        <f t="shared" si="27"/>
        <v>113.25055555555554</v>
      </c>
      <c r="AF300">
        <v>113.25055555555554</v>
      </c>
    </row>
    <row r="301" spans="1:32" x14ac:dyDescent="0.25">
      <c r="A301" s="10">
        <v>41974</v>
      </c>
      <c r="B301" s="12">
        <v>165.82499999999999</v>
      </c>
      <c r="C301">
        <f>VLOOKUP(A301,'MBA CA Index'!A:B,2,0)</f>
        <v>115.7</v>
      </c>
      <c r="D301">
        <f t="shared" si="23"/>
        <v>65.239229999999964</v>
      </c>
      <c r="E301">
        <f t="shared" si="24"/>
        <v>115.7</v>
      </c>
      <c r="F301">
        <f t="shared" si="25"/>
        <v>113.57777777777777</v>
      </c>
      <c r="AB301" s="10">
        <v>41974</v>
      </c>
      <c r="AC301">
        <f t="shared" si="26"/>
        <v>176.98527777777778</v>
      </c>
      <c r="AD301">
        <f t="shared" si="27"/>
        <v>113.57777777777777</v>
      </c>
      <c r="AF301">
        <v>113.57777777777777</v>
      </c>
    </row>
    <row r="302" spans="1:32" x14ac:dyDescent="0.25">
      <c r="A302" s="10">
        <v>42005</v>
      </c>
      <c r="B302" s="12">
        <v>184.51999999999998</v>
      </c>
      <c r="C302">
        <f>VLOOKUP(A302,'MBA CA Index'!A:B,2,0)</f>
        <v>117.8</v>
      </c>
      <c r="D302">
        <f t="shared" si="23"/>
        <v>103.90796799999998</v>
      </c>
      <c r="E302">
        <f t="shared" si="24"/>
        <v>117.8</v>
      </c>
      <c r="F302">
        <f t="shared" si="25"/>
        <v>113.88333333333331</v>
      </c>
      <c r="AB302" s="10">
        <v>42005</v>
      </c>
      <c r="AC302">
        <f t="shared" si="26"/>
        <v>176.20027777777776</v>
      </c>
      <c r="AD302">
        <f t="shared" si="27"/>
        <v>113.88333333333331</v>
      </c>
      <c r="AF302">
        <v>113.88333333333331</v>
      </c>
    </row>
    <row r="303" spans="1:32" x14ac:dyDescent="0.25">
      <c r="A303" s="10">
        <v>42036</v>
      </c>
      <c r="B303" s="12">
        <v>169.45</v>
      </c>
      <c r="C303">
        <f>VLOOKUP(A303,'MBA CA Index'!A:B,2,0)</f>
        <v>118.6</v>
      </c>
      <c r="D303">
        <f t="shared" si="23"/>
        <v>72.737179999999967</v>
      </c>
      <c r="E303">
        <f t="shared" si="24"/>
        <v>118.6</v>
      </c>
      <c r="F303">
        <f t="shared" si="25"/>
        <v>114.27777777777777</v>
      </c>
      <c r="AB303" s="10">
        <v>42036</v>
      </c>
      <c r="AC303">
        <f t="shared" si="26"/>
        <v>175.18416666666664</v>
      </c>
      <c r="AD303">
        <f t="shared" si="27"/>
        <v>114.27777777777777</v>
      </c>
      <c r="AF303">
        <v>114.27777777777777</v>
      </c>
    </row>
    <row r="304" spans="1:32" x14ac:dyDescent="0.25">
      <c r="A304" s="10">
        <v>42064</v>
      </c>
      <c r="B304" s="12">
        <v>177.74999999999997</v>
      </c>
      <c r="C304">
        <f>VLOOKUP(A304,'MBA CA Index'!A:B,2,0)</f>
        <v>121.35899999999999</v>
      </c>
      <c r="D304">
        <f t="shared" si="23"/>
        <v>89.904899999999941</v>
      </c>
      <c r="E304">
        <f t="shared" si="24"/>
        <v>121.35899999999999</v>
      </c>
      <c r="F304">
        <f t="shared" si="25"/>
        <v>114.86994444444443</v>
      </c>
      <c r="AB304" s="10">
        <v>42064</v>
      </c>
      <c r="AC304">
        <f t="shared" si="26"/>
        <v>174.48</v>
      </c>
      <c r="AD304">
        <f t="shared" si="27"/>
        <v>114.86994444444443</v>
      </c>
      <c r="AF304">
        <v>114.86994444444443</v>
      </c>
    </row>
    <row r="305" spans="1:32" x14ac:dyDescent="0.25">
      <c r="A305" s="10">
        <v>42095</v>
      </c>
      <c r="B305" s="12">
        <v>202.04999999999998</v>
      </c>
      <c r="C305">
        <f>VLOOKUP(A305,'MBA CA Index'!A:B,2,0)</f>
        <v>122</v>
      </c>
      <c r="D305">
        <f t="shared" si="23"/>
        <v>140.16701999999998</v>
      </c>
      <c r="E305">
        <f t="shared" si="24"/>
        <v>122</v>
      </c>
      <c r="F305">
        <f t="shared" si="25"/>
        <v>115.45327777777776</v>
      </c>
      <c r="AB305" s="10">
        <v>42095</v>
      </c>
      <c r="AC305">
        <f t="shared" si="26"/>
        <v>175.5397222222222</v>
      </c>
      <c r="AD305">
        <f t="shared" si="27"/>
        <v>115.45327777777776</v>
      </c>
      <c r="AF305">
        <v>115.45327777777776</v>
      </c>
    </row>
    <row r="306" spans="1:32" x14ac:dyDescent="0.25">
      <c r="A306" s="10">
        <v>42125</v>
      </c>
      <c r="B306" s="12">
        <v>201.95999999999998</v>
      </c>
      <c r="C306">
        <f>VLOOKUP(A306,'MBA CA Index'!A:B,2,0)</f>
        <v>122.6</v>
      </c>
      <c r="D306">
        <f t="shared" si="23"/>
        <v>139.980864</v>
      </c>
      <c r="E306">
        <f t="shared" si="24"/>
        <v>122.6</v>
      </c>
      <c r="F306">
        <f t="shared" si="25"/>
        <v>116.14216666666665</v>
      </c>
      <c r="AB306" s="10">
        <v>42125</v>
      </c>
      <c r="AC306">
        <f t="shared" si="26"/>
        <v>176.36972222222221</v>
      </c>
      <c r="AD306">
        <f t="shared" si="27"/>
        <v>116.14216666666665</v>
      </c>
      <c r="AF306">
        <v>116.14216666666665</v>
      </c>
    </row>
    <row r="307" spans="1:32" x14ac:dyDescent="0.25">
      <c r="A307" s="10">
        <v>42156</v>
      </c>
      <c r="B307" s="12">
        <v>206.67500000000001</v>
      </c>
      <c r="C307">
        <f>VLOOKUP(A307,'MBA CA Index'!A:B,2,0)</f>
        <v>122</v>
      </c>
      <c r="D307">
        <f t="shared" si="23"/>
        <v>149.73337000000004</v>
      </c>
      <c r="E307">
        <f t="shared" si="24"/>
        <v>122</v>
      </c>
      <c r="F307">
        <f t="shared" si="25"/>
        <v>116.75883333333331</v>
      </c>
      <c r="AB307" s="10">
        <v>42156</v>
      </c>
      <c r="AC307">
        <f t="shared" si="26"/>
        <v>178.10027777777776</v>
      </c>
      <c r="AD307">
        <f t="shared" si="27"/>
        <v>116.75883333333331</v>
      </c>
      <c r="AF307">
        <v>116.75883333333331</v>
      </c>
    </row>
    <row r="308" spans="1:32" x14ac:dyDescent="0.25">
      <c r="A308" s="10">
        <v>42186</v>
      </c>
      <c r="B308" s="12">
        <v>201.96</v>
      </c>
      <c r="C308">
        <f>VLOOKUP(A308,'MBA CA Index'!A:B,2,0)</f>
        <v>125.5</v>
      </c>
      <c r="D308">
        <f t="shared" si="23"/>
        <v>139.98086400000005</v>
      </c>
      <c r="E308">
        <f t="shared" si="24"/>
        <v>125.5</v>
      </c>
      <c r="F308">
        <f t="shared" si="25"/>
        <v>117.45327777777776</v>
      </c>
      <c r="AB308" s="10">
        <v>42186</v>
      </c>
      <c r="AC308">
        <f t="shared" si="26"/>
        <v>179.13694444444445</v>
      </c>
      <c r="AD308">
        <f t="shared" si="27"/>
        <v>117.45327777777776</v>
      </c>
      <c r="AF308">
        <v>117.45327777777776</v>
      </c>
    </row>
    <row r="309" spans="1:32" x14ac:dyDescent="0.25">
      <c r="A309" s="10">
        <v>42217</v>
      </c>
      <c r="B309" s="12">
        <v>199.57500000000002</v>
      </c>
      <c r="C309">
        <f>VLOOKUP(A309,'MBA CA Index'!A:B,2,0)</f>
        <v>126.1</v>
      </c>
      <c r="D309">
        <f t="shared" si="23"/>
        <v>135.04773000000006</v>
      </c>
      <c r="E309">
        <f t="shared" si="24"/>
        <v>126.1</v>
      </c>
      <c r="F309">
        <f t="shared" si="25"/>
        <v>118.15327777777777</v>
      </c>
      <c r="AB309" s="10">
        <v>42217</v>
      </c>
      <c r="AC309">
        <f t="shared" si="26"/>
        <v>181.10222222222222</v>
      </c>
      <c r="AD309">
        <f t="shared" si="27"/>
        <v>118.15327777777777</v>
      </c>
      <c r="AF309">
        <v>118.15327777777777</v>
      </c>
    </row>
    <row r="310" spans="1:32" x14ac:dyDescent="0.25">
      <c r="A310" s="10">
        <v>42248</v>
      </c>
      <c r="B310" s="12">
        <v>204.4</v>
      </c>
      <c r="C310">
        <f>VLOOKUP(A310,'MBA CA Index'!A:B,2,0)</f>
        <v>126.5</v>
      </c>
      <c r="D310">
        <f t="shared" si="23"/>
        <v>145.02776</v>
      </c>
      <c r="E310">
        <f t="shared" si="24"/>
        <v>126.5</v>
      </c>
      <c r="F310">
        <f t="shared" si="25"/>
        <v>118.84772222222222</v>
      </c>
      <c r="AB310" s="10">
        <v>42248</v>
      </c>
      <c r="AC310">
        <f t="shared" si="26"/>
        <v>182.90777777777782</v>
      </c>
      <c r="AD310">
        <f t="shared" si="27"/>
        <v>118.84772222222222</v>
      </c>
      <c r="AF310">
        <v>118.84772222222222</v>
      </c>
    </row>
    <row r="311" spans="1:32" x14ac:dyDescent="0.25">
      <c r="A311" s="10">
        <v>42278</v>
      </c>
      <c r="B311" s="12">
        <v>201.11999999999998</v>
      </c>
      <c r="C311">
        <f>VLOOKUP(A311,'MBA CA Index'!A:B,2,0)</f>
        <v>128.4</v>
      </c>
      <c r="D311">
        <f t="shared" si="23"/>
        <v>138.24340799999999</v>
      </c>
      <c r="E311">
        <f t="shared" si="24"/>
        <v>128.4</v>
      </c>
      <c r="F311">
        <f t="shared" si="25"/>
        <v>119.65883333333333</v>
      </c>
      <c r="AB311" s="10">
        <v>42278</v>
      </c>
      <c r="AC311">
        <f t="shared" si="26"/>
        <v>184.20472222222224</v>
      </c>
      <c r="AD311">
        <f t="shared" si="27"/>
        <v>119.65883333333333</v>
      </c>
      <c r="AF311">
        <v>119.65883333333333</v>
      </c>
    </row>
    <row r="312" spans="1:32" x14ac:dyDescent="0.25">
      <c r="A312" s="10">
        <v>42309</v>
      </c>
      <c r="B312" s="12">
        <v>210.67499999999998</v>
      </c>
      <c r="C312">
        <f>VLOOKUP(A312,'MBA CA Index'!A:B,2,0)</f>
        <v>127.4</v>
      </c>
      <c r="D312">
        <f t="shared" si="23"/>
        <v>158.00696999999997</v>
      </c>
      <c r="E312">
        <f t="shared" si="24"/>
        <v>127.4</v>
      </c>
      <c r="F312">
        <f t="shared" si="25"/>
        <v>120.34216666666664</v>
      </c>
      <c r="AB312" s="10">
        <v>42309</v>
      </c>
      <c r="AC312">
        <f t="shared" si="26"/>
        <v>185.9088888888889</v>
      </c>
      <c r="AD312">
        <f t="shared" si="27"/>
        <v>120.34216666666664</v>
      </c>
      <c r="AF312">
        <v>120.34216666666664</v>
      </c>
    </row>
    <row r="313" spans="1:32" x14ac:dyDescent="0.25">
      <c r="A313" s="10">
        <v>42339</v>
      </c>
      <c r="B313" s="12">
        <v>225.375</v>
      </c>
      <c r="C313">
        <f>VLOOKUP(A313,'MBA CA Index'!A:B,2,0)</f>
        <v>124.346</v>
      </c>
      <c r="D313">
        <f t="shared" si="23"/>
        <v>188.41245000000004</v>
      </c>
      <c r="E313">
        <f t="shared" si="24"/>
        <v>124.346</v>
      </c>
      <c r="F313">
        <f t="shared" si="25"/>
        <v>120.81694444444445</v>
      </c>
      <c r="AB313" s="10">
        <v>42339</v>
      </c>
      <c r="AC313">
        <f t="shared" si="26"/>
        <v>188.46166666666667</v>
      </c>
      <c r="AD313">
        <f t="shared" si="27"/>
        <v>120.81694444444445</v>
      </c>
      <c r="AF313">
        <v>120.81694444444445</v>
      </c>
    </row>
    <row r="314" spans="1:32" x14ac:dyDescent="0.25">
      <c r="A314" s="10">
        <v>42370</v>
      </c>
      <c r="B314" s="12">
        <v>222.69999999999996</v>
      </c>
      <c r="C314">
        <f>VLOOKUP(A314,'MBA CA Index'!A:B,2,0)</f>
        <v>123.8</v>
      </c>
      <c r="D314">
        <f t="shared" si="23"/>
        <v>182.87947999999994</v>
      </c>
      <c r="E314">
        <f t="shared" si="24"/>
        <v>123.8</v>
      </c>
      <c r="F314">
        <f t="shared" si="25"/>
        <v>121.22805555555558</v>
      </c>
      <c r="AB314" s="10">
        <v>42370</v>
      </c>
      <c r="AC314">
        <f t="shared" si="26"/>
        <v>191.29916666666665</v>
      </c>
      <c r="AD314">
        <f t="shared" si="27"/>
        <v>121.22805555555558</v>
      </c>
      <c r="AF314">
        <v>121.22805555555558</v>
      </c>
    </row>
    <row r="315" spans="1:32" x14ac:dyDescent="0.25">
      <c r="A315" s="10">
        <v>42401</v>
      </c>
      <c r="B315" s="12">
        <v>217.375</v>
      </c>
      <c r="C315">
        <f>VLOOKUP(A315,'MBA CA Index'!A:B,2,0)</f>
        <v>123.8</v>
      </c>
      <c r="D315">
        <f t="shared" si="23"/>
        <v>171.86525</v>
      </c>
      <c r="E315">
        <f t="shared" si="24"/>
        <v>123.8</v>
      </c>
      <c r="F315">
        <f t="shared" si="25"/>
        <v>121.65583333333335</v>
      </c>
      <c r="AB315" s="10">
        <v>42401</v>
      </c>
      <c r="AC315">
        <f t="shared" si="26"/>
        <v>194.1577777777778</v>
      </c>
      <c r="AD315">
        <f t="shared" si="27"/>
        <v>121.65583333333335</v>
      </c>
      <c r="AF315">
        <v>121.65583333333335</v>
      </c>
    </row>
    <row r="316" spans="1:32" x14ac:dyDescent="0.25">
      <c r="A316" s="10">
        <v>42430</v>
      </c>
      <c r="B316" s="12">
        <v>226.15</v>
      </c>
      <c r="C316">
        <f>VLOOKUP(A316,'MBA CA Index'!A:B,2,0)</f>
        <v>123.5</v>
      </c>
      <c r="D316">
        <f t="shared" si="23"/>
        <v>190.01546000000002</v>
      </c>
      <c r="E316">
        <f t="shared" si="24"/>
        <v>123.5</v>
      </c>
      <c r="F316">
        <f t="shared" si="25"/>
        <v>122.06694444444445</v>
      </c>
      <c r="AB316" s="10">
        <v>42430</v>
      </c>
      <c r="AC316">
        <f t="shared" si="26"/>
        <v>197.43833333333333</v>
      </c>
      <c r="AD316">
        <f t="shared" si="27"/>
        <v>122.06694444444445</v>
      </c>
      <c r="AF316">
        <v>122.06694444444445</v>
      </c>
    </row>
    <row r="317" spans="1:32" x14ac:dyDescent="0.25">
      <c r="A317" s="10">
        <v>42461</v>
      </c>
      <c r="B317" s="12">
        <v>235.1</v>
      </c>
      <c r="C317">
        <f>VLOOKUP(A317,'MBA CA Index'!A:B,2,0)</f>
        <v>122.4</v>
      </c>
      <c r="D317">
        <f t="shared" si="23"/>
        <v>208.52764000000002</v>
      </c>
      <c r="E317">
        <f t="shared" si="24"/>
        <v>122.4</v>
      </c>
      <c r="F317">
        <f t="shared" si="25"/>
        <v>122.57805555555557</v>
      </c>
      <c r="AB317" s="10">
        <v>42461</v>
      </c>
      <c r="AC317">
        <f t="shared" si="26"/>
        <v>201.36166666666665</v>
      </c>
      <c r="AD317">
        <f t="shared" si="27"/>
        <v>122.57805555555557</v>
      </c>
      <c r="AF317">
        <v>122.57805555555557</v>
      </c>
    </row>
    <row r="318" spans="1:32" x14ac:dyDescent="0.25">
      <c r="A318" s="10">
        <v>42491</v>
      </c>
      <c r="B318" s="12">
        <v>229.60000000000002</v>
      </c>
      <c r="C318" t="e">
        <f>VLOOKUP(A318,'MBA CA Index'!A:B,2,0)</f>
        <v>#N/A</v>
      </c>
      <c r="D318">
        <f t="shared" si="23"/>
        <v>197.15144000000004</v>
      </c>
      <c r="E318">
        <f t="shared" si="24"/>
        <v>197.15144000000004</v>
      </c>
      <c r="F318">
        <f t="shared" si="25"/>
        <v>127.16424666666668</v>
      </c>
      <c r="AB318" s="10">
        <v>42491</v>
      </c>
      <c r="AC318">
        <f t="shared" si="26"/>
        <v>204.57</v>
      </c>
      <c r="AD318" t="e">
        <f t="shared" si="27"/>
        <v>#N/A</v>
      </c>
      <c r="AF318">
        <v>127.16424666666668</v>
      </c>
    </row>
    <row r="319" spans="1:32" x14ac:dyDescent="0.25">
      <c r="A319" s="10">
        <v>42522</v>
      </c>
      <c r="B319" s="12">
        <v>239.79999999999998</v>
      </c>
      <c r="C319" t="e">
        <f>VLOOKUP(A319,'MBA CA Index'!A:B,2,0)</f>
        <v>#N/A</v>
      </c>
      <c r="D319">
        <f t="shared" si="23"/>
        <v>218.24911999999995</v>
      </c>
      <c r="E319">
        <f t="shared" si="24"/>
        <v>218.24911999999995</v>
      </c>
      <c r="F319">
        <f t="shared" si="25"/>
        <v>132.86142000000001</v>
      </c>
      <c r="AB319" s="10">
        <v>42522</v>
      </c>
      <c r="AC319">
        <f t="shared" si="26"/>
        <v>208.67972222222221</v>
      </c>
      <c r="AD319" t="e">
        <f t="shared" si="27"/>
        <v>#N/A</v>
      </c>
      <c r="AF319">
        <v>132.86142000000001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Result</vt:lpstr>
      <vt:lpstr>HPA2Yr</vt:lpstr>
      <vt:lpstr>MBA CA Index</vt:lpstr>
      <vt:lpstr>Purchase Index</vt:lpstr>
      <vt:lpstr>Hosing Inventory</vt:lpstr>
      <vt:lpstr>Cello</vt:lpstr>
      <vt:lpstr>Tracking Diff</vt:lpstr>
      <vt:lpstr>Regression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cp:lastPrinted>2016-06-24T15:04:14Z</cp:lastPrinted>
  <dcterms:created xsi:type="dcterms:W3CDTF">2016-06-23T19:09:22Z</dcterms:created>
  <dcterms:modified xsi:type="dcterms:W3CDTF">2016-07-07T13:32:23Z</dcterms:modified>
</cp:coreProperties>
</file>