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0195" windowHeight="18135" activeTab="3"/>
  </bookViews>
  <sheets>
    <sheet name="step1 Raw" sheetId="2" r:id="rId1"/>
    <sheet name="step2 %Chg" sheetId="4" r:id="rId2"/>
    <sheet name="step3 Regression" sheetId="5" r:id="rId3"/>
    <sheet name="step4 Pred. Chg" sheetId="6" r:id="rId4"/>
    <sheet name="step5 Pred. Level" sheetId="7" r:id="rId5"/>
    <sheet name="Appendix-Adj Purch" sheetId="3" r:id="rId6"/>
  </sheets>
  <calcPr calcId="145621"/>
</workbook>
</file>

<file path=xl/calcChain.xml><?xml version="1.0" encoding="utf-8"?>
<calcChain xmlns="http://schemas.openxmlformats.org/spreadsheetml/2006/main">
  <c r="B14" i="4" l="1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C13" i="4"/>
  <c r="B13" i="4"/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D163" i="7"/>
  <c r="D151" i="7" s="1"/>
  <c r="D139" i="7" s="1"/>
  <c r="D127" i="7" s="1"/>
  <c r="D115" i="7" s="1"/>
  <c r="C6" i="7"/>
  <c r="C7" i="7"/>
  <c r="C8" i="7"/>
  <c r="C14" i="7"/>
  <c r="C15" i="7"/>
  <c r="C16" i="7"/>
  <c r="C22" i="7"/>
  <c r="C23" i="7"/>
  <c r="C30" i="7"/>
  <c r="C31" i="7"/>
  <c r="C32" i="7"/>
  <c r="C38" i="7"/>
  <c r="C39" i="7"/>
  <c r="C46" i="7"/>
  <c r="C47" i="7"/>
  <c r="C48" i="7"/>
  <c r="C54" i="7"/>
  <c r="C55" i="7"/>
  <c r="C62" i="7"/>
  <c r="C63" i="7"/>
  <c r="C64" i="7"/>
  <c r="C70" i="7"/>
  <c r="C71" i="7"/>
  <c r="C72" i="7"/>
  <c r="C78" i="7"/>
  <c r="C79" i="7"/>
  <c r="C80" i="7"/>
  <c r="C86" i="7"/>
  <c r="C87" i="7"/>
  <c r="C88" i="7"/>
  <c r="C94" i="7"/>
  <c r="C95" i="7"/>
  <c r="C96" i="7"/>
  <c r="C102" i="7"/>
  <c r="C103" i="7"/>
  <c r="C110" i="7"/>
  <c r="C111" i="7"/>
  <c r="C112" i="7"/>
  <c r="C118" i="7"/>
  <c r="C119" i="7"/>
  <c r="C126" i="7"/>
  <c r="C127" i="7"/>
  <c r="C128" i="7"/>
  <c r="C134" i="7"/>
  <c r="C135" i="7"/>
  <c r="C136" i="7"/>
  <c r="C142" i="7"/>
  <c r="C143" i="7"/>
  <c r="C144" i="7"/>
  <c r="C150" i="7"/>
  <c r="C151" i="7"/>
  <c r="C152" i="7"/>
  <c r="C158" i="7"/>
  <c r="C159" i="7"/>
  <c r="C160" i="7"/>
  <c r="C166" i="7"/>
  <c r="C167" i="7"/>
  <c r="C174" i="7"/>
  <c r="D174" i="7" s="1"/>
  <c r="D162" i="7" s="1"/>
  <c r="D150" i="7" s="1"/>
  <c r="D138" i="7" s="1"/>
  <c r="D126" i="7" s="1"/>
  <c r="D114" i="7" s="1"/>
  <c r="D102" i="7" s="1"/>
  <c r="D90" i="7" s="1"/>
  <c r="D78" i="7" s="1"/>
  <c r="D66" i="7" s="1"/>
  <c r="D54" i="7" s="1"/>
  <c r="D42" i="7" s="1"/>
  <c r="D30" i="7" s="1"/>
  <c r="D18" i="7" s="1"/>
  <c r="D6" i="7" s="1"/>
  <c r="C175" i="7"/>
  <c r="C182" i="7"/>
  <c r="C183" i="7"/>
  <c r="C190" i="7"/>
  <c r="C191" i="7"/>
  <c r="C192" i="7"/>
  <c r="C198" i="7"/>
  <c r="C199" i="7"/>
  <c r="C200" i="7"/>
  <c r="C206" i="7"/>
  <c r="C207" i="7"/>
  <c r="C208" i="7"/>
  <c r="C216" i="7"/>
  <c r="C222" i="7"/>
  <c r="C223" i="7"/>
  <c r="C224" i="7"/>
  <c r="C231" i="7"/>
  <c r="C238" i="7"/>
  <c r="C239" i="7"/>
  <c r="C240" i="7"/>
  <c r="C247" i="7"/>
  <c r="C254" i="7"/>
  <c r="C255" i="7"/>
  <c r="C256" i="7"/>
  <c r="C271" i="7"/>
  <c r="C272" i="7"/>
  <c r="C287" i="7"/>
  <c r="C288" i="7"/>
  <c r="C303" i="7"/>
  <c r="C304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B175" i="7"/>
  <c r="B176" i="7"/>
  <c r="B177" i="7"/>
  <c r="D165" i="7" s="1"/>
  <c r="D153" i="7" s="1"/>
  <c r="D141" i="7" s="1"/>
  <c r="D129" i="7" s="1"/>
  <c r="D117" i="7" s="1"/>
  <c r="D105" i="7" s="1"/>
  <c r="D93" i="7" s="1"/>
  <c r="D81" i="7" s="1"/>
  <c r="D69" i="7" s="1"/>
  <c r="D57" i="7" s="1"/>
  <c r="D45" i="7" s="1"/>
  <c r="D33" i="7" s="1"/>
  <c r="D21" i="7" s="1"/>
  <c r="D9" i="7" s="1"/>
  <c r="B178" i="7"/>
  <c r="D166" i="7" s="1"/>
  <c r="B179" i="7"/>
  <c r="B180" i="7"/>
  <c r="B181" i="7"/>
  <c r="B182" i="7"/>
  <c r="D170" i="7" s="1"/>
  <c r="D158" i="7" s="1"/>
  <c r="D146" i="7" s="1"/>
  <c r="D134" i="7" s="1"/>
  <c r="D122" i="7" s="1"/>
  <c r="D110" i="7" s="1"/>
  <c r="D98" i="7" s="1"/>
  <c r="D86" i="7" s="1"/>
  <c r="D74" i="7" s="1"/>
  <c r="D62" i="7" s="1"/>
  <c r="D50" i="7" s="1"/>
  <c r="D38" i="7" s="1"/>
  <c r="D26" i="7" s="1"/>
  <c r="D14" i="7" s="1"/>
  <c r="B183" i="7"/>
  <c r="B184" i="7"/>
  <c r="B185" i="7"/>
  <c r="D173" i="7" s="1"/>
  <c r="D161" i="7" s="1"/>
  <c r="D149" i="7" s="1"/>
  <c r="D137" i="7" s="1"/>
  <c r="D125" i="7" s="1"/>
  <c r="D113" i="7" s="1"/>
  <c r="D101" i="7" s="1"/>
  <c r="D89" i="7" s="1"/>
  <c r="D77" i="7" s="1"/>
  <c r="D65" i="7" s="1"/>
  <c r="D53" i="7" s="1"/>
  <c r="D41" i="7" s="1"/>
  <c r="D29" i="7" s="1"/>
  <c r="D17" i="7" s="1"/>
  <c r="D5" i="7" s="1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C212" i="6"/>
  <c r="D212" i="6" s="1"/>
  <c r="C212" i="7" s="1"/>
  <c r="C213" i="6"/>
  <c r="D213" i="6" s="1"/>
  <c r="C213" i="7" s="1"/>
  <c r="C214" i="6"/>
  <c r="D214" i="6"/>
  <c r="C214" i="7" s="1"/>
  <c r="C215" i="6"/>
  <c r="D215" i="6" s="1"/>
  <c r="C215" i="7" s="1"/>
  <c r="C216" i="6"/>
  <c r="D216" i="6" s="1"/>
  <c r="C217" i="6"/>
  <c r="D217" i="6"/>
  <c r="C217" i="7" s="1"/>
  <c r="C218" i="6"/>
  <c r="D218" i="6" s="1"/>
  <c r="C218" i="7" s="1"/>
  <c r="C219" i="6"/>
  <c r="D219" i="6" s="1"/>
  <c r="C219" i="7" s="1"/>
  <c r="C220" i="6"/>
  <c r="D220" i="6" s="1"/>
  <c r="C220" i="7" s="1"/>
  <c r="C221" i="6"/>
  <c r="D221" i="6"/>
  <c r="C221" i="7" s="1"/>
  <c r="C222" i="6"/>
  <c r="D222" i="6"/>
  <c r="C223" i="6"/>
  <c r="D223" i="6" s="1"/>
  <c r="C224" i="6"/>
  <c r="D224" i="6" s="1"/>
  <c r="C225" i="6"/>
  <c r="D225" i="6"/>
  <c r="C225" i="7" s="1"/>
  <c r="C226" i="6"/>
  <c r="D226" i="6"/>
  <c r="C226" i="7" s="1"/>
  <c r="C227" i="6"/>
  <c r="D227" i="6" s="1"/>
  <c r="C227" i="7" s="1"/>
  <c r="C228" i="6"/>
  <c r="D228" i="6" s="1"/>
  <c r="C228" i="7" s="1"/>
  <c r="C229" i="6"/>
  <c r="D229" i="6" s="1"/>
  <c r="C229" i="7" s="1"/>
  <c r="C230" i="6"/>
  <c r="D230" i="6"/>
  <c r="C230" i="7" s="1"/>
  <c r="C231" i="6"/>
  <c r="D231" i="6" s="1"/>
  <c r="C232" i="6"/>
  <c r="D232" i="6" s="1"/>
  <c r="C232" i="7" s="1"/>
  <c r="C233" i="6"/>
  <c r="D233" i="6"/>
  <c r="C233" i="7" s="1"/>
  <c r="C234" i="6"/>
  <c r="D234" i="6" s="1"/>
  <c r="C234" i="7" s="1"/>
  <c r="C235" i="6"/>
  <c r="D235" i="6" s="1"/>
  <c r="C235" i="7" s="1"/>
  <c r="C236" i="6"/>
  <c r="D236" i="6" s="1"/>
  <c r="C236" i="7" s="1"/>
  <c r="C237" i="6"/>
  <c r="D237" i="6" s="1"/>
  <c r="C237" i="7" s="1"/>
  <c r="C238" i="6"/>
  <c r="D238" i="6"/>
  <c r="C239" i="6"/>
  <c r="D239" i="6" s="1"/>
  <c r="C240" i="6"/>
  <c r="D240" i="6" s="1"/>
  <c r="C241" i="6"/>
  <c r="D241" i="6"/>
  <c r="C241" i="7" s="1"/>
  <c r="C242" i="6"/>
  <c r="D242" i="6" s="1"/>
  <c r="C242" i="7" s="1"/>
  <c r="C243" i="6"/>
  <c r="D243" i="6" s="1"/>
  <c r="C243" i="7" s="1"/>
  <c r="C244" i="6"/>
  <c r="D244" i="6" s="1"/>
  <c r="C244" i="7" s="1"/>
  <c r="C245" i="6"/>
  <c r="D245" i="6" s="1"/>
  <c r="C245" i="7" s="1"/>
  <c r="C246" i="6"/>
  <c r="D246" i="6"/>
  <c r="C246" i="7" s="1"/>
  <c r="C247" i="6"/>
  <c r="D247" i="6" s="1"/>
  <c r="C248" i="6"/>
  <c r="D248" i="6" s="1"/>
  <c r="C248" i="7" s="1"/>
  <c r="C249" i="6"/>
  <c r="D249" i="6"/>
  <c r="C249" i="7" s="1"/>
  <c r="C250" i="6"/>
  <c r="D250" i="6" s="1"/>
  <c r="C250" i="7" s="1"/>
  <c r="C251" i="6"/>
  <c r="D251" i="6" s="1"/>
  <c r="C251" i="7" s="1"/>
  <c r="C252" i="6"/>
  <c r="D252" i="6" s="1"/>
  <c r="C252" i="7" s="1"/>
  <c r="C253" i="6"/>
  <c r="D253" i="6"/>
  <c r="C253" i="7" s="1"/>
  <c r="C254" i="6"/>
  <c r="D254" i="6"/>
  <c r="C255" i="6"/>
  <c r="D255" i="6" s="1"/>
  <c r="C256" i="6"/>
  <c r="D256" i="6" s="1"/>
  <c r="C257" i="6"/>
  <c r="D257" i="6"/>
  <c r="C257" i="7" s="1"/>
  <c r="C258" i="6"/>
  <c r="D258" i="6"/>
  <c r="C258" i="7" s="1"/>
  <c r="C259" i="6"/>
  <c r="D259" i="6" s="1"/>
  <c r="C259" i="7" s="1"/>
  <c r="C260" i="6"/>
  <c r="D260" i="6" s="1"/>
  <c r="C260" i="7" s="1"/>
  <c r="C261" i="6"/>
  <c r="D261" i="6" s="1"/>
  <c r="C261" i="7" s="1"/>
  <c r="C262" i="6"/>
  <c r="D262" i="6"/>
  <c r="C262" i="7" s="1"/>
  <c r="C263" i="6"/>
  <c r="D263" i="6" s="1"/>
  <c r="C263" i="7" s="1"/>
  <c r="C264" i="6"/>
  <c r="D264" i="6" s="1"/>
  <c r="C264" i="7" s="1"/>
  <c r="C265" i="6"/>
  <c r="D265" i="6" s="1"/>
  <c r="C265" i="7" s="1"/>
  <c r="C266" i="6"/>
  <c r="D266" i="6" s="1"/>
  <c r="C266" i="7" s="1"/>
  <c r="C267" i="6"/>
  <c r="D267" i="6" s="1"/>
  <c r="C267" i="7" s="1"/>
  <c r="C268" i="6"/>
  <c r="D268" i="6" s="1"/>
  <c r="C268" i="7" s="1"/>
  <c r="C269" i="6"/>
  <c r="D269" i="6" s="1"/>
  <c r="C269" i="7" s="1"/>
  <c r="C270" i="6"/>
  <c r="D270" i="6" s="1"/>
  <c r="C270" i="7" s="1"/>
  <c r="C271" i="6"/>
  <c r="D271" i="6" s="1"/>
  <c r="C272" i="6"/>
  <c r="D272" i="6" s="1"/>
  <c r="C273" i="6"/>
  <c r="D273" i="6"/>
  <c r="C273" i="7" s="1"/>
  <c r="C274" i="6"/>
  <c r="D274" i="6"/>
  <c r="C274" i="7" s="1"/>
  <c r="C275" i="6"/>
  <c r="D275" i="6" s="1"/>
  <c r="C275" i="7" s="1"/>
  <c r="C276" i="6"/>
  <c r="D276" i="6" s="1"/>
  <c r="C276" i="7" s="1"/>
  <c r="C277" i="6"/>
  <c r="D277" i="6" s="1"/>
  <c r="C277" i="7" s="1"/>
  <c r="C278" i="6"/>
  <c r="D278" i="6"/>
  <c r="C278" i="7" s="1"/>
  <c r="C279" i="6"/>
  <c r="D279" i="6" s="1"/>
  <c r="C279" i="7" s="1"/>
  <c r="C280" i="6"/>
  <c r="D280" i="6" s="1"/>
  <c r="C280" i="7" s="1"/>
  <c r="C281" i="6"/>
  <c r="D281" i="6" s="1"/>
  <c r="C281" i="7" s="1"/>
  <c r="C282" i="6"/>
  <c r="D282" i="6" s="1"/>
  <c r="C282" i="7" s="1"/>
  <c r="C283" i="6"/>
  <c r="D283" i="6" s="1"/>
  <c r="C283" i="7" s="1"/>
  <c r="C284" i="6"/>
  <c r="D284" i="6" s="1"/>
  <c r="C284" i="7" s="1"/>
  <c r="C285" i="6"/>
  <c r="D285" i="6"/>
  <c r="C285" i="7" s="1"/>
  <c r="C286" i="6"/>
  <c r="D286" i="6" s="1"/>
  <c r="C286" i="7" s="1"/>
  <c r="C287" i="6"/>
  <c r="D287" i="6" s="1"/>
  <c r="C288" i="6"/>
  <c r="D288" i="6" s="1"/>
  <c r="C289" i="6"/>
  <c r="D289" i="6"/>
  <c r="C289" i="7" s="1"/>
  <c r="C290" i="6"/>
  <c r="D290" i="6"/>
  <c r="C290" i="7" s="1"/>
  <c r="C291" i="6"/>
  <c r="D291" i="6" s="1"/>
  <c r="C291" i="7" s="1"/>
  <c r="C292" i="6"/>
  <c r="D292" i="6" s="1"/>
  <c r="C292" i="7" s="1"/>
  <c r="C293" i="6"/>
  <c r="D293" i="6" s="1"/>
  <c r="C293" i="7" s="1"/>
  <c r="C294" i="6"/>
  <c r="D294" i="6"/>
  <c r="C294" i="7" s="1"/>
  <c r="C295" i="6"/>
  <c r="D295" i="6" s="1"/>
  <c r="C295" i="7" s="1"/>
  <c r="C296" i="6"/>
  <c r="D296" i="6" s="1"/>
  <c r="C296" i="7" s="1"/>
  <c r="C297" i="6"/>
  <c r="D297" i="6" s="1"/>
  <c r="C297" i="7" s="1"/>
  <c r="C298" i="6"/>
  <c r="D298" i="6" s="1"/>
  <c r="C298" i="7" s="1"/>
  <c r="C299" i="6"/>
  <c r="D299" i="6" s="1"/>
  <c r="C299" i="7" s="1"/>
  <c r="C300" i="6"/>
  <c r="D300" i="6" s="1"/>
  <c r="C300" i="7" s="1"/>
  <c r="C301" i="6"/>
  <c r="D301" i="6" s="1"/>
  <c r="C301" i="7" s="1"/>
  <c r="C302" i="6"/>
  <c r="D302" i="6" s="1"/>
  <c r="C302" i="7" s="1"/>
  <c r="C303" i="6"/>
  <c r="D303" i="6" s="1"/>
  <c r="C304" i="6"/>
  <c r="D304" i="6" s="1"/>
  <c r="C305" i="6"/>
  <c r="D305" i="6"/>
  <c r="C305" i="7" s="1"/>
  <c r="C306" i="6"/>
  <c r="D306" i="6"/>
  <c r="C306" i="7" s="1"/>
  <c r="C307" i="6"/>
  <c r="D307" i="6" s="1"/>
  <c r="C307" i="7" s="1"/>
  <c r="D160" i="6"/>
  <c r="D161" i="6"/>
  <c r="C161" i="7" s="1"/>
  <c r="D165" i="6"/>
  <c r="C165" i="7" s="1"/>
  <c r="D177" i="6"/>
  <c r="C177" i="7" s="1"/>
  <c r="D184" i="6"/>
  <c r="C184" i="7" s="1"/>
  <c r="D185" i="6"/>
  <c r="C185" i="7" s="1"/>
  <c r="D200" i="6"/>
  <c r="D201" i="6"/>
  <c r="C201" i="7" s="1"/>
  <c r="D205" i="6"/>
  <c r="C205" i="7" s="1"/>
  <c r="D208" i="6"/>
  <c r="D16" i="6"/>
  <c r="D24" i="6"/>
  <c r="C24" i="7" s="1"/>
  <c r="D29" i="6"/>
  <c r="C29" i="7" s="1"/>
  <c r="D48" i="6"/>
  <c r="D56" i="6"/>
  <c r="C56" i="7" s="1"/>
  <c r="D61" i="6"/>
  <c r="C61" i="7" s="1"/>
  <c r="D80" i="6"/>
  <c r="D88" i="6"/>
  <c r="D93" i="6"/>
  <c r="C93" i="7" s="1"/>
  <c r="D112" i="6"/>
  <c r="D120" i="6"/>
  <c r="C120" i="7" s="1"/>
  <c r="D125" i="6"/>
  <c r="C125" i="7" s="1"/>
  <c r="D144" i="6"/>
  <c r="C3" i="6"/>
  <c r="D3" i="6" s="1"/>
  <c r="C3" i="7" s="1"/>
  <c r="C4" i="6"/>
  <c r="D4" i="6" s="1"/>
  <c r="C4" i="7" s="1"/>
  <c r="C5" i="6"/>
  <c r="D5" i="6" s="1"/>
  <c r="C5" i="7" s="1"/>
  <c r="C6" i="6"/>
  <c r="D6" i="6" s="1"/>
  <c r="C7" i="6"/>
  <c r="D7" i="6" s="1"/>
  <c r="C8" i="6"/>
  <c r="D8" i="6" s="1"/>
  <c r="C9" i="6"/>
  <c r="D9" i="6" s="1"/>
  <c r="C9" i="7" s="1"/>
  <c r="C10" i="6"/>
  <c r="D10" i="6" s="1"/>
  <c r="C10" i="7" s="1"/>
  <c r="C11" i="6"/>
  <c r="D11" i="6" s="1"/>
  <c r="C11" i="7" s="1"/>
  <c r="C12" i="6"/>
  <c r="D12" i="6" s="1"/>
  <c r="C12" i="7" s="1"/>
  <c r="C13" i="6"/>
  <c r="D13" i="6" s="1"/>
  <c r="C13" i="7" s="1"/>
  <c r="C14" i="6"/>
  <c r="D14" i="6" s="1"/>
  <c r="C15" i="6"/>
  <c r="D15" i="6" s="1"/>
  <c r="C16" i="6"/>
  <c r="C17" i="6"/>
  <c r="D17" i="6" s="1"/>
  <c r="C17" i="7" s="1"/>
  <c r="C18" i="6"/>
  <c r="D18" i="6" s="1"/>
  <c r="C18" i="7" s="1"/>
  <c r="C19" i="6"/>
  <c r="D19" i="6" s="1"/>
  <c r="C19" i="7" s="1"/>
  <c r="C20" i="6"/>
  <c r="D20" i="6" s="1"/>
  <c r="C20" i="7" s="1"/>
  <c r="C21" i="6"/>
  <c r="D21" i="6" s="1"/>
  <c r="C21" i="7" s="1"/>
  <c r="C22" i="6"/>
  <c r="D22" i="6" s="1"/>
  <c r="C23" i="6"/>
  <c r="D23" i="6" s="1"/>
  <c r="C24" i="6"/>
  <c r="C25" i="6"/>
  <c r="D25" i="6" s="1"/>
  <c r="C25" i="7" s="1"/>
  <c r="C26" i="6"/>
  <c r="D26" i="6" s="1"/>
  <c r="C26" i="7" s="1"/>
  <c r="C27" i="6"/>
  <c r="D27" i="6" s="1"/>
  <c r="C27" i="7" s="1"/>
  <c r="C28" i="6"/>
  <c r="D28" i="6" s="1"/>
  <c r="C28" i="7" s="1"/>
  <c r="C29" i="6"/>
  <c r="C30" i="6"/>
  <c r="D30" i="6" s="1"/>
  <c r="C31" i="6"/>
  <c r="D31" i="6" s="1"/>
  <c r="C32" i="6"/>
  <c r="D32" i="6" s="1"/>
  <c r="C33" i="6"/>
  <c r="D33" i="6" s="1"/>
  <c r="C33" i="7" s="1"/>
  <c r="C34" i="6"/>
  <c r="D34" i="6" s="1"/>
  <c r="C34" i="7" s="1"/>
  <c r="C35" i="6"/>
  <c r="D35" i="6" s="1"/>
  <c r="C35" i="7" s="1"/>
  <c r="C36" i="6"/>
  <c r="D36" i="6" s="1"/>
  <c r="C36" i="7" s="1"/>
  <c r="C37" i="6"/>
  <c r="D37" i="6" s="1"/>
  <c r="C37" i="7" s="1"/>
  <c r="C38" i="6"/>
  <c r="D38" i="6" s="1"/>
  <c r="C39" i="6"/>
  <c r="D39" i="6" s="1"/>
  <c r="C40" i="6"/>
  <c r="D40" i="6" s="1"/>
  <c r="C40" i="7" s="1"/>
  <c r="C41" i="6"/>
  <c r="D41" i="6" s="1"/>
  <c r="C41" i="7" s="1"/>
  <c r="C42" i="6"/>
  <c r="D42" i="6" s="1"/>
  <c r="C42" i="7" s="1"/>
  <c r="C43" i="6"/>
  <c r="D43" i="6" s="1"/>
  <c r="C43" i="7" s="1"/>
  <c r="C44" i="6"/>
  <c r="D44" i="6" s="1"/>
  <c r="C44" i="7" s="1"/>
  <c r="C45" i="6"/>
  <c r="D45" i="6" s="1"/>
  <c r="C45" i="7" s="1"/>
  <c r="C46" i="6"/>
  <c r="D46" i="6" s="1"/>
  <c r="C47" i="6"/>
  <c r="D47" i="6" s="1"/>
  <c r="C48" i="6"/>
  <c r="C49" i="6"/>
  <c r="D49" i="6" s="1"/>
  <c r="C49" i="7" s="1"/>
  <c r="C50" i="6"/>
  <c r="D50" i="6" s="1"/>
  <c r="C50" i="7" s="1"/>
  <c r="C51" i="6"/>
  <c r="D51" i="6" s="1"/>
  <c r="C51" i="7" s="1"/>
  <c r="C52" i="6"/>
  <c r="D52" i="6" s="1"/>
  <c r="C52" i="7" s="1"/>
  <c r="C53" i="6"/>
  <c r="D53" i="6" s="1"/>
  <c r="C53" i="7" s="1"/>
  <c r="C54" i="6"/>
  <c r="D54" i="6" s="1"/>
  <c r="C55" i="6"/>
  <c r="D55" i="6" s="1"/>
  <c r="C56" i="6"/>
  <c r="C57" i="6"/>
  <c r="D57" i="6" s="1"/>
  <c r="C57" i="7" s="1"/>
  <c r="C58" i="6"/>
  <c r="D58" i="6" s="1"/>
  <c r="C58" i="7" s="1"/>
  <c r="C59" i="6"/>
  <c r="D59" i="6" s="1"/>
  <c r="C59" i="7" s="1"/>
  <c r="C60" i="6"/>
  <c r="D60" i="6" s="1"/>
  <c r="C60" i="7" s="1"/>
  <c r="C61" i="6"/>
  <c r="C62" i="6"/>
  <c r="D62" i="6" s="1"/>
  <c r="C63" i="6"/>
  <c r="D63" i="6" s="1"/>
  <c r="C64" i="6"/>
  <c r="D64" i="6" s="1"/>
  <c r="C65" i="6"/>
  <c r="D65" i="6" s="1"/>
  <c r="C65" i="7" s="1"/>
  <c r="C66" i="6"/>
  <c r="D66" i="6" s="1"/>
  <c r="C66" i="7" s="1"/>
  <c r="C67" i="6"/>
  <c r="D67" i="6" s="1"/>
  <c r="C67" i="7" s="1"/>
  <c r="C68" i="6"/>
  <c r="D68" i="6" s="1"/>
  <c r="C68" i="7" s="1"/>
  <c r="C69" i="6"/>
  <c r="D69" i="6" s="1"/>
  <c r="C69" i="7" s="1"/>
  <c r="C70" i="6"/>
  <c r="D70" i="6" s="1"/>
  <c r="C71" i="6"/>
  <c r="D71" i="6" s="1"/>
  <c r="C72" i="6"/>
  <c r="D72" i="6" s="1"/>
  <c r="C73" i="6"/>
  <c r="D73" i="6" s="1"/>
  <c r="C73" i="7" s="1"/>
  <c r="C74" i="6"/>
  <c r="D74" i="6" s="1"/>
  <c r="C74" i="7" s="1"/>
  <c r="C75" i="6"/>
  <c r="D75" i="6" s="1"/>
  <c r="C75" i="7" s="1"/>
  <c r="C76" i="6"/>
  <c r="D76" i="6" s="1"/>
  <c r="C76" i="7" s="1"/>
  <c r="C77" i="6"/>
  <c r="D77" i="6" s="1"/>
  <c r="C77" i="7" s="1"/>
  <c r="C78" i="6"/>
  <c r="D78" i="6" s="1"/>
  <c r="C79" i="6"/>
  <c r="D79" i="6" s="1"/>
  <c r="C80" i="6"/>
  <c r="C81" i="6"/>
  <c r="D81" i="6" s="1"/>
  <c r="C81" i="7" s="1"/>
  <c r="C82" i="6"/>
  <c r="D82" i="6" s="1"/>
  <c r="C82" i="7" s="1"/>
  <c r="C83" i="6"/>
  <c r="D83" i="6" s="1"/>
  <c r="C83" i="7" s="1"/>
  <c r="C84" i="6"/>
  <c r="D84" i="6" s="1"/>
  <c r="C84" i="7" s="1"/>
  <c r="C85" i="6"/>
  <c r="D85" i="6" s="1"/>
  <c r="C85" i="7" s="1"/>
  <c r="C86" i="6"/>
  <c r="D86" i="6" s="1"/>
  <c r="C87" i="6"/>
  <c r="D87" i="6" s="1"/>
  <c r="C88" i="6"/>
  <c r="C89" i="6"/>
  <c r="D89" i="6" s="1"/>
  <c r="C89" i="7" s="1"/>
  <c r="C90" i="6"/>
  <c r="D90" i="6" s="1"/>
  <c r="C90" i="7" s="1"/>
  <c r="C91" i="6"/>
  <c r="D91" i="6" s="1"/>
  <c r="C91" i="7" s="1"/>
  <c r="C92" i="6"/>
  <c r="D92" i="6" s="1"/>
  <c r="C92" i="7" s="1"/>
  <c r="C93" i="6"/>
  <c r="C94" i="6"/>
  <c r="D94" i="6" s="1"/>
  <c r="C95" i="6"/>
  <c r="D95" i="6" s="1"/>
  <c r="C96" i="6"/>
  <c r="D96" i="6" s="1"/>
  <c r="C97" i="6"/>
  <c r="D97" i="6" s="1"/>
  <c r="C97" i="7" s="1"/>
  <c r="C98" i="6"/>
  <c r="D98" i="6" s="1"/>
  <c r="C98" i="7" s="1"/>
  <c r="C99" i="6"/>
  <c r="D99" i="6" s="1"/>
  <c r="C99" i="7" s="1"/>
  <c r="C100" i="6"/>
  <c r="D100" i="6" s="1"/>
  <c r="C100" i="7" s="1"/>
  <c r="C101" i="6"/>
  <c r="D101" i="6" s="1"/>
  <c r="C101" i="7" s="1"/>
  <c r="C102" i="6"/>
  <c r="D102" i="6" s="1"/>
  <c r="C103" i="6"/>
  <c r="D103" i="6" s="1"/>
  <c r="C104" i="6"/>
  <c r="D104" i="6" s="1"/>
  <c r="C104" i="7" s="1"/>
  <c r="C105" i="6"/>
  <c r="D105" i="6" s="1"/>
  <c r="C105" i="7" s="1"/>
  <c r="C106" i="6"/>
  <c r="D106" i="6" s="1"/>
  <c r="C106" i="7" s="1"/>
  <c r="C107" i="6"/>
  <c r="D107" i="6" s="1"/>
  <c r="C107" i="7" s="1"/>
  <c r="C108" i="6"/>
  <c r="D108" i="6" s="1"/>
  <c r="C108" i="7" s="1"/>
  <c r="C109" i="6"/>
  <c r="D109" i="6" s="1"/>
  <c r="C109" i="7" s="1"/>
  <c r="C110" i="6"/>
  <c r="D110" i="6" s="1"/>
  <c r="C111" i="6"/>
  <c r="D111" i="6" s="1"/>
  <c r="C112" i="6"/>
  <c r="C113" i="6"/>
  <c r="D113" i="6" s="1"/>
  <c r="C113" i="7" s="1"/>
  <c r="C114" i="6"/>
  <c r="D114" i="6" s="1"/>
  <c r="C114" i="7" s="1"/>
  <c r="C115" i="6"/>
  <c r="D115" i="6" s="1"/>
  <c r="C115" i="7" s="1"/>
  <c r="C116" i="6"/>
  <c r="D116" i="6" s="1"/>
  <c r="C116" i="7" s="1"/>
  <c r="C117" i="6"/>
  <c r="D117" i="6" s="1"/>
  <c r="C117" i="7" s="1"/>
  <c r="C118" i="6"/>
  <c r="D118" i="6" s="1"/>
  <c r="C119" i="6"/>
  <c r="D119" i="6" s="1"/>
  <c r="C120" i="6"/>
  <c r="C121" i="6"/>
  <c r="D121" i="6" s="1"/>
  <c r="C121" i="7" s="1"/>
  <c r="C122" i="6"/>
  <c r="D122" i="6" s="1"/>
  <c r="C122" i="7" s="1"/>
  <c r="C123" i="6"/>
  <c r="D123" i="6" s="1"/>
  <c r="C123" i="7" s="1"/>
  <c r="C124" i="6"/>
  <c r="D124" i="6" s="1"/>
  <c r="C124" i="7" s="1"/>
  <c r="C125" i="6"/>
  <c r="C126" i="6"/>
  <c r="D126" i="6" s="1"/>
  <c r="C127" i="6"/>
  <c r="D127" i="6" s="1"/>
  <c r="C128" i="6"/>
  <c r="D128" i="6" s="1"/>
  <c r="C129" i="6"/>
  <c r="D129" i="6" s="1"/>
  <c r="C129" i="7" s="1"/>
  <c r="C130" i="6"/>
  <c r="D130" i="6" s="1"/>
  <c r="C130" i="7" s="1"/>
  <c r="C131" i="6"/>
  <c r="D131" i="6" s="1"/>
  <c r="C131" i="7" s="1"/>
  <c r="C132" i="6"/>
  <c r="D132" i="6" s="1"/>
  <c r="C132" i="7" s="1"/>
  <c r="C133" i="6"/>
  <c r="D133" i="6" s="1"/>
  <c r="C133" i="7" s="1"/>
  <c r="C134" i="6"/>
  <c r="D134" i="6" s="1"/>
  <c r="C135" i="6"/>
  <c r="D135" i="6" s="1"/>
  <c r="C136" i="6"/>
  <c r="D136" i="6" s="1"/>
  <c r="C137" i="6"/>
  <c r="D137" i="6" s="1"/>
  <c r="C137" i="7" s="1"/>
  <c r="C138" i="6"/>
  <c r="D138" i="6" s="1"/>
  <c r="C138" i="7" s="1"/>
  <c r="C139" i="6"/>
  <c r="D139" i="6" s="1"/>
  <c r="C139" i="7" s="1"/>
  <c r="C140" i="6"/>
  <c r="D140" i="6" s="1"/>
  <c r="C140" i="7" s="1"/>
  <c r="C141" i="6"/>
  <c r="D141" i="6" s="1"/>
  <c r="C141" i="7" s="1"/>
  <c r="C142" i="6"/>
  <c r="D142" i="6" s="1"/>
  <c r="C143" i="6"/>
  <c r="D143" i="6" s="1"/>
  <c r="C144" i="6"/>
  <c r="C145" i="6"/>
  <c r="D145" i="6" s="1"/>
  <c r="C145" i="7" s="1"/>
  <c r="C146" i="6"/>
  <c r="D146" i="6" s="1"/>
  <c r="C146" i="7" s="1"/>
  <c r="C147" i="6"/>
  <c r="D147" i="6" s="1"/>
  <c r="C147" i="7" s="1"/>
  <c r="C148" i="6"/>
  <c r="D148" i="6" s="1"/>
  <c r="C148" i="7" s="1"/>
  <c r="C149" i="6"/>
  <c r="D149" i="6" s="1"/>
  <c r="C149" i="7" s="1"/>
  <c r="C150" i="6"/>
  <c r="D150" i="6" s="1"/>
  <c r="C151" i="6"/>
  <c r="D151" i="6" s="1"/>
  <c r="C152" i="6"/>
  <c r="D152" i="6" s="1"/>
  <c r="C153" i="6"/>
  <c r="D153" i="6" s="1"/>
  <c r="C153" i="7" s="1"/>
  <c r="C154" i="6"/>
  <c r="D154" i="6" s="1"/>
  <c r="C154" i="7" s="1"/>
  <c r="D154" i="7" s="1"/>
  <c r="D142" i="7" s="1"/>
  <c r="D130" i="7" s="1"/>
  <c r="D118" i="7" s="1"/>
  <c r="D106" i="7" s="1"/>
  <c r="D94" i="7" s="1"/>
  <c r="D82" i="7" s="1"/>
  <c r="D70" i="7" s="1"/>
  <c r="D58" i="7" s="1"/>
  <c r="D46" i="7" s="1"/>
  <c r="D34" i="7" s="1"/>
  <c r="D22" i="7" s="1"/>
  <c r="D10" i="7" s="1"/>
  <c r="C155" i="6"/>
  <c r="D155" i="6" s="1"/>
  <c r="C155" i="7" s="1"/>
  <c r="C156" i="6"/>
  <c r="D156" i="6" s="1"/>
  <c r="C156" i="7" s="1"/>
  <c r="C157" i="6"/>
  <c r="D157" i="6" s="1"/>
  <c r="C157" i="7" s="1"/>
  <c r="C158" i="6"/>
  <c r="D158" i="6" s="1"/>
  <c r="C159" i="6"/>
  <c r="D159" i="6" s="1"/>
  <c r="C160" i="6"/>
  <c r="C161" i="6"/>
  <c r="C162" i="6"/>
  <c r="D162" i="6" s="1"/>
  <c r="C162" i="7" s="1"/>
  <c r="C163" i="6"/>
  <c r="D163" i="6" s="1"/>
  <c r="C163" i="7" s="1"/>
  <c r="C164" i="6"/>
  <c r="D164" i="6" s="1"/>
  <c r="C164" i="7" s="1"/>
  <c r="C165" i="6"/>
  <c r="C166" i="6"/>
  <c r="D166" i="6" s="1"/>
  <c r="C167" i="6"/>
  <c r="D167" i="6" s="1"/>
  <c r="C168" i="6"/>
  <c r="D168" i="6" s="1"/>
  <c r="C168" i="7" s="1"/>
  <c r="C169" i="6"/>
  <c r="D169" i="6" s="1"/>
  <c r="C169" i="7" s="1"/>
  <c r="C170" i="6"/>
  <c r="D170" i="6" s="1"/>
  <c r="C170" i="7" s="1"/>
  <c r="C171" i="6"/>
  <c r="D171" i="6" s="1"/>
  <c r="C171" i="7" s="1"/>
  <c r="D171" i="7" s="1"/>
  <c r="D159" i="7" s="1"/>
  <c r="D147" i="7" s="1"/>
  <c r="D135" i="7" s="1"/>
  <c r="D123" i="7" s="1"/>
  <c r="D111" i="7" s="1"/>
  <c r="D99" i="7" s="1"/>
  <c r="D87" i="7" s="1"/>
  <c r="D75" i="7" s="1"/>
  <c r="D63" i="7" s="1"/>
  <c r="D51" i="7" s="1"/>
  <c r="D39" i="7" s="1"/>
  <c r="D27" i="7" s="1"/>
  <c r="D15" i="7" s="1"/>
  <c r="D3" i="7" s="1"/>
  <c r="C172" i="6"/>
  <c r="D172" i="6" s="1"/>
  <c r="C172" i="7" s="1"/>
  <c r="C173" i="6"/>
  <c r="D173" i="6" s="1"/>
  <c r="C173" i="7" s="1"/>
  <c r="C174" i="6"/>
  <c r="D174" i="6" s="1"/>
  <c r="C175" i="6"/>
  <c r="D175" i="6" s="1"/>
  <c r="C176" i="6"/>
  <c r="D176" i="6" s="1"/>
  <c r="C176" i="7" s="1"/>
  <c r="C177" i="6"/>
  <c r="C178" i="6"/>
  <c r="D178" i="6" s="1"/>
  <c r="C178" i="7" s="1"/>
  <c r="C179" i="6"/>
  <c r="D179" i="6" s="1"/>
  <c r="C179" i="7" s="1"/>
  <c r="C180" i="6"/>
  <c r="D180" i="6" s="1"/>
  <c r="C180" i="7" s="1"/>
  <c r="C181" i="6"/>
  <c r="D181" i="6" s="1"/>
  <c r="C181" i="7" s="1"/>
  <c r="C182" i="6"/>
  <c r="D182" i="6" s="1"/>
  <c r="C183" i="6"/>
  <c r="D183" i="6" s="1"/>
  <c r="C184" i="6"/>
  <c r="C185" i="6"/>
  <c r="C186" i="6"/>
  <c r="D186" i="6" s="1"/>
  <c r="C186" i="7" s="1"/>
  <c r="C187" i="6"/>
  <c r="D187" i="6" s="1"/>
  <c r="C187" i="7" s="1"/>
  <c r="C188" i="6"/>
  <c r="D188" i="6" s="1"/>
  <c r="C188" i="7" s="1"/>
  <c r="C189" i="6"/>
  <c r="D189" i="6" s="1"/>
  <c r="C189" i="7" s="1"/>
  <c r="C190" i="6"/>
  <c r="D190" i="6" s="1"/>
  <c r="C191" i="6"/>
  <c r="D191" i="6" s="1"/>
  <c r="C192" i="6"/>
  <c r="D192" i="6" s="1"/>
  <c r="C193" i="6"/>
  <c r="D193" i="6" s="1"/>
  <c r="C193" i="7" s="1"/>
  <c r="C194" i="6"/>
  <c r="D194" i="6" s="1"/>
  <c r="C194" i="7" s="1"/>
  <c r="C195" i="6"/>
  <c r="D195" i="6" s="1"/>
  <c r="C195" i="7" s="1"/>
  <c r="C196" i="6"/>
  <c r="D196" i="6" s="1"/>
  <c r="C196" i="7" s="1"/>
  <c r="C197" i="6"/>
  <c r="D197" i="6" s="1"/>
  <c r="C197" i="7" s="1"/>
  <c r="C198" i="6"/>
  <c r="D198" i="6" s="1"/>
  <c r="C199" i="6"/>
  <c r="D199" i="6" s="1"/>
  <c r="C200" i="6"/>
  <c r="C201" i="6"/>
  <c r="C202" i="6"/>
  <c r="D202" i="6" s="1"/>
  <c r="C202" i="7" s="1"/>
  <c r="C203" i="6"/>
  <c r="D203" i="6" s="1"/>
  <c r="C203" i="7" s="1"/>
  <c r="C204" i="6"/>
  <c r="D204" i="6" s="1"/>
  <c r="C204" i="7" s="1"/>
  <c r="C205" i="6"/>
  <c r="C206" i="6"/>
  <c r="D206" i="6" s="1"/>
  <c r="C207" i="6"/>
  <c r="D207" i="6" s="1"/>
  <c r="C208" i="6"/>
  <c r="C209" i="6"/>
  <c r="D209" i="6" s="1"/>
  <c r="C209" i="7" s="1"/>
  <c r="C210" i="6"/>
  <c r="D210" i="6" s="1"/>
  <c r="C210" i="7" s="1"/>
  <c r="C211" i="6"/>
  <c r="D211" i="6" s="1"/>
  <c r="C211" i="7" s="1"/>
  <c r="C2" i="6"/>
  <c r="D2" i="6" s="1"/>
  <c r="C2" i="7" s="1"/>
  <c r="J319" i="3"/>
  <c r="C15" i="5"/>
  <c r="B16" i="5"/>
  <c r="C16" i="5"/>
  <c r="B17" i="5"/>
  <c r="C17" i="5"/>
  <c r="B20" i="5"/>
  <c r="C20" i="5"/>
  <c r="B21" i="5"/>
  <c r="C21" i="5"/>
  <c r="C23" i="5"/>
  <c r="B24" i="5"/>
  <c r="C24" i="5"/>
  <c r="B25" i="5"/>
  <c r="B28" i="5"/>
  <c r="C28" i="5"/>
  <c r="B29" i="5"/>
  <c r="C31" i="5"/>
  <c r="B32" i="5"/>
  <c r="C32" i="5"/>
  <c r="C33" i="5"/>
  <c r="B36" i="5"/>
  <c r="C36" i="5"/>
  <c r="B37" i="5"/>
  <c r="C37" i="5"/>
  <c r="C39" i="5"/>
  <c r="B40" i="5"/>
  <c r="C40" i="5"/>
  <c r="B41" i="5"/>
  <c r="C41" i="5"/>
  <c r="B44" i="5"/>
  <c r="C44" i="5"/>
  <c r="B45" i="5"/>
  <c r="C45" i="5"/>
  <c r="C47" i="5"/>
  <c r="B48" i="5"/>
  <c r="C48" i="5"/>
  <c r="B49" i="5"/>
  <c r="C49" i="5"/>
  <c r="B52" i="5"/>
  <c r="C52" i="5"/>
  <c r="B53" i="5"/>
  <c r="C53" i="5"/>
  <c r="C55" i="5"/>
  <c r="B56" i="5"/>
  <c r="C56" i="5"/>
  <c r="B57" i="5"/>
  <c r="B60" i="5"/>
  <c r="C60" i="5"/>
  <c r="B61" i="5"/>
  <c r="C63" i="5"/>
  <c r="B64" i="5"/>
  <c r="C64" i="5"/>
  <c r="B65" i="5"/>
  <c r="C65" i="5"/>
  <c r="B68" i="5"/>
  <c r="C68" i="5"/>
  <c r="B69" i="5"/>
  <c r="C69" i="5"/>
  <c r="C71" i="5"/>
  <c r="B72" i="5"/>
  <c r="C72" i="5"/>
  <c r="B73" i="5"/>
  <c r="C73" i="5"/>
  <c r="B76" i="5"/>
  <c r="C76" i="5"/>
  <c r="B77" i="5"/>
  <c r="C77" i="5"/>
  <c r="C79" i="5"/>
  <c r="B80" i="5"/>
  <c r="C80" i="5"/>
  <c r="B81" i="5"/>
  <c r="C81" i="5"/>
  <c r="B84" i="5"/>
  <c r="C84" i="5"/>
  <c r="B85" i="5"/>
  <c r="C87" i="5"/>
  <c r="B88" i="5"/>
  <c r="C88" i="5"/>
  <c r="B89" i="5"/>
  <c r="B92" i="5"/>
  <c r="C92" i="5"/>
  <c r="B93" i="5"/>
  <c r="C95" i="5"/>
  <c r="B96" i="5"/>
  <c r="C96" i="5"/>
  <c r="C97" i="5"/>
  <c r="B100" i="5"/>
  <c r="C100" i="5"/>
  <c r="B101" i="5"/>
  <c r="C101" i="5"/>
  <c r="C103" i="5"/>
  <c r="B104" i="5"/>
  <c r="C104" i="5"/>
  <c r="B105" i="5"/>
  <c r="C105" i="5"/>
  <c r="B108" i="5"/>
  <c r="C108" i="5"/>
  <c r="B109" i="5"/>
  <c r="C109" i="5"/>
  <c r="C111" i="5"/>
  <c r="B112" i="5"/>
  <c r="C112" i="5"/>
  <c r="B113" i="5"/>
  <c r="C113" i="5"/>
  <c r="B116" i="5"/>
  <c r="C116" i="5"/>
  <c r="B117" i="5"/>
  <c r="C119" i="5"/>
  <c r="B120" i="5"/>
  <c r="C120" i="5"/>
  <c r="B121" i="5"/>
  <c r="B124" i="5"/>
  <c r="C124" i="5"/>
  <c r="B125" i="5"/>
  <c r="C127" i="5"/>
  <c r="B128" i="5"/>
  <c r="C128" i="5"/>
  <c r="B129" i="5"/>
  <c r="C129" i="5"/>
  <c r="B132" i="5"/>
  <c r="C132" i="5"/>
  <c r="B133" i="5"/>
  <c r="C133" i="5"/>
  <c r="C135" i="5"/>
  <c r="B136" i="5"/>
  <c r="C136" i="5"/>
  <c r="B137" i="5"/>
  <c r="C137" i="5"/>
  <c r="B140" i="5"/>
  <c r="C140" i="5"/>
  <c r="B141" i="5"/>
  <c r="C141" i="5"/>
  <c r="C143" i="5"/>
  <c r="B144" i="5"/>
  <c r="C144" i="5"/>
  <c r="B145" i="5"/>
  <c r="C145" i="5"/>
  <c r="C4" i="5"/>
  <c r="B5" i="5"/>
  <c r="C5" i="5"/>
  <c r="B6" i="5"/>
  <c r="C6" i="5"/>
  <c r="C8" i="5"/>
  <c r="B9" i="5"/>
  <c r="C9" i="5"/>
  <c r="B12" i="5"/>
  <c r="C12" i="5"/>
  <c r="B13" i="5"/>
  <c r="C13" i="5"/>
  <c r="A3" i="5"/>
  <c r="B3" i="5"/>
  <c r="C3" i="5"/>
  <c r="A4" i="5"/>
  <c r="B4" i="5"/>
  <c r="A5" i="5"/>
  <c r="A6" i="5"/>
  <c r="A7" i="5"/>
  <c r="B7" i="5"/>
  <c r="C7" i="5"/>
  <c r="A8" i="5"/>
  <c r="B8" i="5"/>
  <c r="A9" i="5"/>
  <c r="A10" i="5"/>
  <c r="B10" i="5"/>
  <c r="C10" i="5"/>
  <c r="A11" i="5"/>
  <c r="B11" i="5"/>
  <c r="C11" i="5"/>
  <c r="A12" i="5"/>
  <c r="A13" i="5"/>
  <c r="A14" i="5"/>
  <c r="B14" i="5"/>
  <c r="C14" i="5"/>
  <c r="A15" i="5"/>
  <c r="B15" i="5"/>
  <c r="A16" i="5"/>
  <c r="A17" i="5"/>
  <c r="A18" i="5"/>
  <c r="B18" i="5"/>
  <c r="C18" i="5"/>
  <c r="A19" i="5"/>
  <c r="B19" i="5"/>
  <c r="C19" i="5"/>
  <c r="A20" i="5"/>
  <c r="A21" i="5"/>
  <c r="A22" i="5"/>
  <c r="B22" i="5"/>
  <c r="C22" i="5"/>
  <c r="A23" i="5"/>
  <c r="B23" i="5"/>
  <c r="A24" i="5"/>
  <c r="A25" i="5"/>
  <c r="C25" i="5"/>
  <c r="A26" i="5"/>
  <c r="B26" i="5"/>
  <c r="C26" i="5"/>
  <c r="A27" i="5"/>
  <c r="B27" i="5"/>
  <c r="C27" i="5"/>
  <c r="A28" i="5"/>
  <c r="A29" i="5"/>
  <c r="C29" i="5"/>
  <c r="A30" i="5"/>
  <c r="B30" i="5"/>
  <c r="C30" i="5"/>
  <c r="A31" i="5"/>
  <c r="B31" i="5"/>
  <c r="A32" i="5"/>
  <c r="A33" i="5"/>
  <c r="B33" i="5"/>
  <c r="A34" i="5"/>
  <c r="B34" i="5"/>
  <c r="C34" i="5"/>
  <c r="A35" i="5"/>
  <c r="B35" i="5"/>
  <c r="C35" i="5"/>
  <c r="A36" i="5"/>
  <c r="A37" i="5"/>
  <c r="A38" i="5"/>
  <c r="B38" i="5"/>
  <c r="C38" i="5"/>
  <c r="A39" i="5"/>
  <c r="B39" i="5"/>
  <c r="A40" i="5"/>
  <c r="A41" i="5"/>
  <c r="A42" i="5"/>
  <c r="B42" i="5"/>
  <c r="C42" i="5"/>
  <c r="A43" i="5"/>
  <c r="B43" i="5"/>
  <c r="C43" i="5"/>
  <c r="A44" i="5"/>
  <c r="A45" i="5"/>
  <c r="A46" i="5"/>
  <c r="B46" i="5"/>
  <c r="C46" i="5"/>
  <c r="A47" i="5"/>
  <c r="B47" i="5"/>
  <c r="A48" i="5"/>
  <c r="A49" i="5"/>
  <c r="A50" i="5"/>
  <c r="B50" i="5"/>
  <c r="C50" i="5"/>
  <c r="A51" i="5"/>
  <c r="B51" i="5"/>
  <c r="C51" i="5"/>
  <c r="A52" i="5"/>
  <c r="A53" i="5"/>
  <c r="A54" i="5"/>
  <c r="B54" i="5"/>
  <c r="C54" i="5"/>
  <c r="A55" i="5"/>
  <c r="B55" i="5"/>
  <c r="A56" i="5"/>
  <c r="A57" i="5"/>
  <c r="C57" i="5"/>
  <c r="A58" i="5"/>
  <c r="B58" i="5"/>
  <c r="C58" i="5"/>
  <c r="A59" i="5"/>
  <c r="B59" i="5"/>
  <c r="C59" i="5"/>
  <c r="A60" i="5"/>
  <c r="A61" i="5"/>
  <c r="C61" i="5"/>
  <c r="A62" i="5"/>
  <c r="B62" i="5"/>
  <c r="C62" i="5"/>
  <c r="A63" i="5"/>
  <c r="B63" i="5"/>
  <c r="A64" i="5"/>
  <c r="A65" i="5"/>
  <c r="A66" i="5"/>
  <c r="B66" i="5"/>
  <c r="C66" i="5"/>
  <c r="A67" i="5"/>
  <c r="B67" i="5"/>
  <c r="C67" i="5"/>
  <c r="A68" i="5"/>
  <c r="A69" i="5"/>
  <c r="A70" i="5"/>
  <c r="B70" i="5"/>
  <c r="C70" i="5"/>
  <c r="A71" i="5"/>
  <c r="B71" i="5"/>
  <c r="A72" i="5"/>
  <c r="A73" i="5"/>
  <c r="A74" i="5"/>
  <c r="B74" i="5"/>
  <c r="C74" i="5"/>
  <c r="A75" i="5"/>
  <c r="B75" i="5"/>
  <c r="C75" i="5"/>
  <c r="A76" i="5"/>
  <c r="A77" i="5"/>
  <c r="A78" i="5"/>
  <c r="B78" i="5"/>
  <c r="C78" i="5"/>
  <c r="A79" i="5"/>
  <c r="B79" i="5"/>
  <c r="A80" i="5"/>
  <c r="A81" i="5"/>
  <c r="A82" i="5"/>
  <c r="B82" i="5"/>
  <c r="C82" i="5"/>
  <c r="A83" i="5"/>
  <c r="B83" i="5"/>
  <c r="C83" i="5"/>
  <c r="A84" i="5"/>
  <c r="A85" i="5"/>
  <c r="C85" i="5"/>
  <c r="A86" i="5"/>
  <c r="B86" i="5"/>
  <c r="C86" i="5"/>
  <c r="A87" i="5"/>
  <c r="B87" i="5"/>
  <c r="A88" i="5"/>
  <c r="A89" i="5"/>
  <c r="C89" i="5"/>
  <c r="A90" i="5"/>
  <c r="B90" i="5"/>
  <c r="C90" i="5"/>
  <c r="A91" i="5"/>
  <c r="B91" i="5"/>
  <c r="C91" i="5"/>
  <c r="A92" i="5"/>
  <c r="A93" i="5"/>
  <c r="C93" i="5"/>
  <c r="A94" i="5"/>
  <c r="B94" i="5"/>
  <c r="C94" i="5"/>
  <c r="A95" i="5"/>
  <c r="B95" i="5"/>
  <c r="A96" i="5"/>
  <c r="A97" i="5"/>
  <c r="B97" i="5"/>
  <c r="A98" i="5"/>
  <c r="B98" i="5"/>
  <c r="C98" i="5"/>
  <c r="A99" i="5"/>
  <c r="B99" i="5"/>
  <c r="C99" i="5"/>
  <c r="A100" i="5"/>
  <c r="A101" i="5"/>
  <c r="A102" i="5"/>
  <c r="B102" i="5"/>
  <c r="C102" i="5"/>
  <c r="A103" i="5"/>
  <c r="B103" i="5"/>
  <c r="A104" i="5"/>
  <c r="A105" i="5"/>
  <c r="A106" i="5"/>
  <c r="B106" i="5"/>
  <c r="C106" i="5"/>
  <c r="A107" i="5"/>
  <c r="B107" i="5"/>
  <c r="C107" i="5"/>
  <c r="A108" i="5"/>
  <c r="A109" i="5"/>
  <c r="A110" i="5"/>
  <c r="B110" i="5"/>
  <c r="C110" i="5"/>
  <c r="A111" i="5"/>
  <c r="B111" i="5"/>
  <c r="A112" i="5"/>
  <c r="A113" i="5"/>
  <c r="A114" i="5"/>
  <c r="B114" i="5"/>
  <c r="C114" i="5"/>
  <c r="A115" i="5"/>
  <c r="B115" i="5"/>
  <c r="C115" i="5"/>
  <c r="A116" i="5"/>
  <c r="A117" i="5"/>
  <c r="C117" i="5"/>
  <c r="A118" i="5"/>
  <c r="B118" i="5"/>
  <c r="C118" i="5"/>
  <c r="A119" i="5"/>
  <c r="B119" i="5"/>
  <c r="A120" i="5"/>
  <c r="A121" i="5"/>
  <c r="C121" i="5"/>
  <c r="A122" i="5"/>
  <c r="B122" i="5"/>
  <c r="C122" i="5"/>
  <c r="A123" i="5"/>
  <c r="B123" i="5"/>
  <c r="C123" i="5"/>
  <c r="A124" i="5"/>
  <c r="A125" i="5"/>
  <c r="C125" i="5"/>
  <c r="A126" i="5"/>
  <c r="B126" i="5"/>
  <c r="C126" i="5"/>
  <c r="A127" i="5"/>
  <c r="B127" i="5"/>
  <c r="A128" i="5"/>
  <c r="A129" i="5"/>
  <c r="A130" i="5"/>
  <c r="B130" i="5"/>
  <c r="C130" i="5"/>
  <c r="A131" i="5"/>
  <c r="B131" i="5"/>
  <c r="C131" i="5"/>
  <c r="A132" i="5"/>
  <c r="A133" i="5"/>
  <c r="A134" i="5"/>
  <c r="B134" i="5"/>
  <c r="C134" i="5"/>
  <c r="A135" i="5"/>
  <c r="B135" i="5"/>
  <c r="A136" i="5"/>
  <c r="A137" i="5"/>
  <c r="A138" i="5"/>
  <c r="B138" i="5"/>
  <c r="C138" i="5"/>
  <c r="A139" i="5"/>
  <c r="B139" i="5"/>
  <c r="C139" i="5"/>
  <c r="A140" i="5"/>
  <c r="A141" i="5"/>
  <c r="A142" i="5"/>
  <c r="B142" i="5"/>
  <c r="C142" i="5"/>
  <c r="A143" i="5"/>
  <c r="B143" i="5"/>
  <c r="A144" i="5"/>
  <c r="A145" i="5"/>
  <c r="A146" i="5"/>
  <c r="B146" i="5"/>
  <c r="C146" i="5"/>
  <c r="A2" i="5"/>
  <c r="B2" i="5"/>
  <c r="C2" i="5"/>
  <c r="C1" i="5"/>
  <c r="D146" i="3"/>
  <c r="D2" i="7" l="1"/>
  <c r="D168" i="7"/>
  <c r="D156" i="7" s="1"/>
  <c r="D144" i="7" s="1"/>
  <c r="D132" i="7" s="1"/>
  <c r="D120" i="7" s="1"/>
  <c r="D108" i="7" s="1"/>
  <c r="D96" i="7" s="1"/>
  <c r="D84" i="7" s="1"/>
  <c r="D72" i="7" s="1"/>
  <c r="D60" i="7" s="1"/>
  <c r="D48" i="7" s="1"/>
  <c r="D36" i="7" s="1"/>
  <c r="D24" i="7" s="1"/>
  <c r="D12" i="7" s="1"/>
  <c r="D167" i="7"/>
  <c r="D155" i="7" s="1"/>
  <c r="D143" i="7" s="1"/>
  <c r="D131" i="7" s="1"/>
  <c r="D119" i="7" s="1"/>
  <c r="D107" i="7" s="1"/>
  <c r="D95" i="7" s="1"/>
  <c r="D83" i="7" s="1"/>
  <c r="D71" i="7" s="1"/>
  <c r="D59" i="7" s="1"/>
  <c r="D47" i="7" s="1"/>
  <c r="D35" i="7" s="1"/>
  <c r="D23" i="7" s="1"/>
  <c r="D11" i="7" s="1"/>
  <c r="D172" i="7"/>
  <c r="D160" i="7" s="1"/>
  <c r="D148" i="7" s="1"/>
  <c r="D136" i="7" s="1"/>
  <c r="D124" i="7" s="1"/>
  <c r="D112" i="7" s="1"/>
  <c r="D100" i="7" s="1"/>
  <c r="D88" i="7" s="1"/>
  <c r="D76" i="7" s="1"/>
  <c r="D64" i="7" s="1"/>
  <c r="D52" i="7" s="1"/>
  <c r="D40" i="7" s="1"/>
  <c r="D28" i="7" s="1"/>
  <c r="D16" i="7" s="1"/>
  <c r="D4" i="7" s="1"/>
  <c r="D164" i="7"/>
  <c r="D152" i="7" s="1"/>
  <c r="D140" i="7" s="1"/>
  <c r="D128" i="7" s="1"/>
  <c r="D116" i="7" s="1"/>
  <c r="D104" i="7" s="1"/>
  <c r="D92" i="7" s="1"/>
  <c r="D80" i="7" s="1"/>
  <c r="D68" i="7" s="1"/>
  <c r="D56" i="7" s="1"/>
  <c r="D44" i="7" s="1"/>
  <c r="D32" i="7" s="1"/>
  <c r="D20" i="7" s="1"/>
  <c r="D8" i="7" s="1"/>
  <c r="D103" i="7"/>
  <c r="D91" i="7" s="1"/>
  <c r="D79" i="7" s="1"/>
  <c r="D67" i="7" s="1"/>
  <c r="D55" i="7" s="1"/>
  <c r="D43" i="7" s="1"/>
  <c r="D31" i="7" s="1"/>
  <c r="D19" i="7" s="1"/>
  <c r="D7" i="7" s="1"/>
  <c r="D169" i="7"/>
  <c r="D157" i="7" s="1"/>
  <c r="D145" i="7" s="1"/>
  <c r="D133" i="7" s="1"/>
  <c r="D121" i="7" s="1"/>
  <c r="D109" i="7" s="1"/>
  <c r="D97" i="7" s="1"/>
  <c r="D85" i="7" s="1"/>
  <c r="D73" i="7" s="1"/>
  <c r="D61" i="7" s="1"/>
  <c r="D49" i="7" s="1"/>
  <c r="D37" i="7" s="1"/>
  <c r="D25" i="7" s="1"/>
  <c r="D13" i="7" s="1"/>
  <c r="G2" i="4"/>
</calcChain>
</file>

<file path=xl/sharedStrings.xml><?xml version="1.0" encoding="utf-8"?>
<sst xmlns="http://schemas.openxmlformats.org/spreadsheetml/2006/main" count="20" uniqueCount="17">
  <si>
    <t>MBACAI</t>
  </si>
  <si>
    <t>Purchase Chg</t>
  </si>
  <si>
    <t>MBACAI Chg</t>
  </si>
  <si>
    <t>MBAVPRCH</t>
  </si>
  <si>
    <t>Inventory</t>
  </si>
  <si>
    <t>Inventory Adj</t>
  </si>
  <si>
    <t>Adj.</t>
  </si>
  <si>
    <t>PRCH</t>
  </si>
  <si>
    <t>Correlation</t>
  </si>
  <si>
    <t>Adj. Purchase</t>
  </si>
  <si>
    <t>Excel Version</t>
  </si>
  <si>
    <t>R version</t>
  </si>
  <si>
    <t>MBACAI Predict</t>
  </si>
  <si>
    <t>Adj. Purchase Chg</t>
  </si>
  <si>
    <t>MCAI Raw</t>
  </si>
  <si>
    <t>Predicted Chgs</t>
  </si>
  <si>
    <t>Predicted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</si>
</sst>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 Numbers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'step1 Raw'!$C$1</c:f>
              <c:strCache>
                <c:ptCount val="1"/>
                <c:pt idx="0">
                  <c:v>MBACAI</c:v>
                </c:pt>
              </c:strCache>
            </c:strRef>
          </c:tx>
          <c:marker>
            <c:symbol val="none"/>
          </c:marker>
          <c:cat>
            <c:numRef>
              <c:f>'step1 Raw'!$A$2:$A$146</c:f>
              <c:numCache>
                <c:formatCode>m/d/yyyy</c:formatCode>
                <c:ptCount val="145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  <c:pt idx="143">
                  <c:v>42491</c:v>
                </c:pt>
                <c:pt idx="144">
                  <c:v>42522</c:v>
                </c:pt>
              </c:numCache>
            </c:numRef>
          </c:cat>
          <c:val>
            <c:numRef>
              <c:f>'step1 Raw'!$C$2:$C$146</c:f>
              <c:numCache>
                <c:formatCode>General</c:formatCode>
                <c:ptCount val="145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480.83333329999999</c:v>
                </c:pt>
                <c:pt idx="8">
                  <c:v>545.66666669999995</c:v>
                </c:pt>
                <c:pt idx="9">
                  <c:v>610.5</c:v>
                </c:pt>
                <c:pt idx="10">
                  <c:v>675.33333330000005</c:v>
                </c:pt>
                <c:pt idx="11">
                  <c:v>740.16666669999995</c:v>
                </c:pt>
                <c:pt idx="12">
                  <c:v>805</c:v>
                </c:pt>
                <c:pt idx="13">
                  <c:v>812.16666669999995</c:v>
                </c:pt>
                <c:pt idx="14">
                  <c:v>819.33333330000005</c:v>
                </c:pt>
                <c:pt idx="15">
                  <c:v>826.5</c:v>
                </c:pt>
                <c:pt idx="16">
                  <c:v>833.66666669999995</c:v>
                </c:pt>
                <c:pt idx="17">
                  <c:v>840.83333330000005</c:v>
                </c:pt>
                <c:pt idx="18">
                  <c:v>848</c:v>
                </c:pt>
                <c:pt idx="19">
                  <c:v>851.83333330000005</c:v>
                </c:pt>
                <c:pt idx="20">
                  <c:v>855.66666669999995</c:v>
                </c:pt>
                <c:pt idx="21">
                  <c:v>859.5</c:v>
                </c:pt>
                <c:pt idx="22">
                  <c:v>863.33333330000005</c:v>
                </c:pt>
                <c:pt idx="23">
                  <c:v>867.16666669999995</c:v>
                </c:pt>
                <c:pt idx="24">
                  <c:v>871</c:v>
                </c:pt>
                <c:pt idx="25">
                  <c:v>846.83333330000005</c:v>
                </c:pt>
                <c:pt idx="26">
                  <c:v>822.66666669999995</c:v>
                </c:pt>
                <c:pt idx="27">
                  <c:v>798.5</c:v>
                </c:pt>
                <c:pt idx="28">
                  <c:v>774.33333330000005</c:v>
                </c:pt>
                <c:pt idx="29">
                  <c:v>750.16666669999995</c:v>
                </c:pt>
                <c:pt idx="30">
                  <c:v>726</c:v>
                </c:pt>
                <c:pt idx="31">
                  <c:v>696.33333330000005</c:v>
                </c:pt>
                <c:pt idx="32">
                  <c:v>666.66666669999995</c:v>
                </c:pt>
                <c:pt idx="33">
                  <c:v>637</c:v>
                </c:pt>
                <c:pt idx="34">
                  <c:v>607.33333330000005</c:v>
                </c:pt>
                <c:pt idx="35">
                  <c:v>577.66666669999995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283.83333329999999</c:v>
                </c:pt>
                <c:pt idx="44">
                  <c:v>250.66666670000001</c:v>
                </c:pt>
                <c:pt idx="45">
                  <c:v>217.5</c:v>
                </c:pt>
                <c:pt idx="46">
                  <c:v>184.33333329999999</c:v>
                </c:pt>
                <c:pt idx="47">
                  <c:v>151.16666670000001</c:v>
                </c:pt>
                <c:pt idx="48">
                  <c:v>118</c:v>
                </c:pt>
                <c:pt idx="49">
                  <c:v>112.33333330000001</c:v>
                </c:pt>
                <c:pt idx="50">
                  <c:v>106.66666669999999</c:v>
                </c:pt>
                <c:pt idx="51">
                  <c:v>101</c:v>
                </c:pt>
                <c:pt idx="52">
                  <c:v>95.333333330000002</c:v>
                </c:pt>
                <c:pt idx="53">
                  <c:v>89.666666669999998</c:v>
                </c:pt>
                <c:pt idx="54">
                  <c:v>84</c:v>
                </c:pt>
                <c:pt idx="55">
                  <c:v>91.166666669999998</c:v>
                </c:pt>
                <c:pt idx="56">
                  <c:v>98.333333330000002</c:v>
                </c:pt>
                <c:pt idx="57">
                  <c:v>105.5</c:v>
                </c:pt>
                <c:pt idx="58">
                  <c:v>112.66666669999999</c:v>
                </c:pt>
                <c:pt idx="59">
                  <c:v>119.83333330000001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94.666666669999998</c:v>
                </c:pt>
                <c:pt idx="68">
                  <c:v>95.333333330000002</c:v>
                </c:pt>
                <c:pt idx="69">
                  <c:v>96</c:v>
                </c:pt>
                <c:pt idx="70">
                  <c:v>96.666666669999998</c:v>
                </c:pt>
                <c:pt idx="71">
                  <c:v>97.333333330000002</c:v>
                </c:pt>
                <c:pt idx="72">
                  <c:v>98</c:v>
                </c:pt>
                <c:pt idx="73">
                  <c:v>101.16666669999999</c:v>
                </c:pt>
                <c:pt idx="74">
                  <c:v>104.33333330000001</c:v>
                </c:pt>
                <c:pt idx="75">
                  <c:v>107.5</c:v>
                </c:pt>
                <c:pt idx="76">
                  <c:v>110.66666669999999</c:v>
                </c:pt>
                <c:pt idx="77">
                  <c:v>113.83333330000001</c:v>
                </c:pt>
                <c:pt idx="78">
                  <c:v>117</c:v>
                </c:pt>
                <c:pt idx="79">
                  <c:v>115.83333330000001</c:v>
                </c:pt>
                <c:pt idx="80">
                  <c:v>114.66666669999999</c:v>
                </c:pt>
                <c:pt idx="81">
                  <c:v>112.08</c:v>
                </c:pt>
                <c:pt idx="82">
                  <c:v>107.04</c:v>
                </c:pt>
                <c:pt idx="83">
                  <c:v>109.28</c:v>
                </c:pt>
                <c:pt idx="84">
                  <c:v>110.55</c:v>
                </c:pt>
                <c:pt idx="85">
                  <c:v>109.95</c:v>
                </c:pt>
                <c:pt idx="86">
                  <c:v>107.75</c:v>
                </c:pt>
                <c:pt idx="87">
                  <c:v>111.19</c:v>
                </c:pt>
                <c:pt idx="88">
                  <c:v>107.1</c:v>
                </c:pt>
                <c:pt idx="89">
                  <c:v>106.28</c:v>
                </c:pt>
                <c:pt idx="90">
                  <c:v>104.92</c:v>
                </c:pt>
                <c:pt idx="91">
                  <c:v>102.38</c:v>
                </c:pt>
                <c:pt idx="92">
                  <c:v>99.04</c:v>
                </c:pt>
                <c:pt idx="93">
                  <c:v>100</c:v>
                </c:pt>
                <c:pt idx="94">
                  <c:v>101.71</c:v>
                </c:pt>
                <c:pt idx="95">
                  <c:v>101.55</c:v>
                </c:pt>
                <c:pt idx="96">
                  <c:v>103.01</c:v>
                </c:pt>
                <c:pt idx="97">
                  <c:v>99.67</c:v>
                </c:pt>
                <c:pt idx="98">
                  <c:v>103.93</c:v>
                </c:pt>
                <c:pt idx="99">
                  <c:v>103.92</c:v>
                </c:pt>
                <c:pt idx="100">
                  <c:v>101.4</c:v>
                </c:pt>
                <c:pt idx="101">
                  <c:v>105.95</c:v>
                </c:pt>
                <c:pt idx="102">
                  <c:v>108.16</c:v>
                </c:pt>
                <c:pt idx="103">
                  <c:v>108.21</c:v>
                </c:pt>
                <c:pt idx="104">
                  <c:v>109.13</c:v>
                </c:pt>
                <c:pt idx="105">
                  <c:v>108.01</c:v>
                </c:pt>
                <c:pt idx="106">
                  <c:v>108.56</c:v>
                </c:pt>
                <c:pt idx="107">
                  <c:v>108.87</c:v>
                </c:pt>
                <c:pt idx="108">
                  <c:v>109.81</c:v>
                </c:pt>
                <c:pt idx="109">
                  <c:v>112.3</c:v>
                </c:pt>
                <c:pt idx="110">
                  <c:v>111.5</c:v>
                </c:pt>
                <c:pt idx="111">
                  <c:v>110.7</c:v>
                </c:pt>
                <c:pt idx="112">
                  <c:v>111.5</c:v>
                </c:pt>
                <c:pt idx="113">
                  <c:v>110.2</c:v>
                </c:pt>
                <c:pt idx="114">
                  <c:v>110.9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113.8</c:v>
                </c:pt>
                <c:pt idx="119">
                  <c:v>115.1</c:v>
                </c:pt>
                <c:pt idx="120">
                  <c:v>115.8</c:v>
                </c:pt>
                <c:pt idx="121">
                  <c:v>116.4</c:v>
                </c:pt>
                <c:pt idx="122">
                  <c:v>116.1</c:v>
                </c:pt>
                <c:pt idx="123">
                  <c:v>116.1</c:v>
                </c:pt>
                <c:pt idx="124">
                  <c:v>113.2</c:v>
                </c:pt>
                <c:pt idx="125">
                  <c:v>114.6</c:v>
                </c:pt>
                <c:pt idx="126">
                  <c:v>115.7</c:v>
                </c:pt>
                <c:pt idx="127">
                  <c:v>117.8</c:v>
                </c:pt>
                <c:pt idx="128">
                  <c:v>118.6</c:v>
                </c:pt>
                <c:pt idx="129">
                  <c:v>121.35899999999999</c:v>
                </c:pt>
                <c:pt idx="130">
                  <c:v>122</c:v>
                </c:pt>
                <c:pt idx="131">
                  <c:v>122.6</c:v>
                </c:pt>
                <c:pt idx="132">
                  <c:v>122</c:v>
                </c:pt>
                <c:pt idx="133">
                  <c:v>125.5</c:v>
                </c:pt>
                <c:pt idx="134">
                  <c:v>126.1</c:v>
                </c:pt>
                <c:pt idx="135">
                  <c:v>126.5</c:v>
                </c:pt>
                <c:pt idx="136">
                  <c:v>128.4</c:v>
                </c:pt>
                <c:pt idx="137">
                  <c:v>127.4</c:v>
                </c:pt>
                <c:pt idx="138">
                  <c:v>124.346</c:v>
                </c:pt>
                <c:pt idx="139">
                  <c:v>123.8</c:v>
                </c:pt>
                <c:pt idx="140">
                  <c:v>123.8</c:v>
                </c:pt>
                <c:pt idx="141">
                  <c:v>123.5</c:v>
                </c:pt>
                <c:pt idx="142">
                  <c:v>122.4</c:v>
                </c:pt>
                <c:pt idx="143">
                  <c:v>121.4</c:v>
                </c:pt>
                <c:pt idx="144">
                  <c:v>119.8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49600"/>
        <c:axId val="411646208"/>
      </c:lineChart>
      <c:lineChart>
        <c:grouping val="standard"/>
        <c:varyColors val="0"/>
        <c:ser>
          <c:idx val="0"/>
          <c:order val="0"/>
          <c:tx>
            <c:strRef>
              <c:f>'step1 Raw'!$B$1</c:f>
              <c:strCache>
                <c:ptCount val="1"/>
                <c:pt idx="0">
                  <c:v>Adj. Purchase</c:v>
                </c:pt>
              </c:strCache>
            </c:strRef>
          </c:tx>
          <c:marker>
            <c:symbol val="none"/>
          </c:marker>
          <c:cat>
            <c:numRef>
              <c:f>'step1 Raw'!$A$2:$A$146</c:f>
              <c:numCache>
                <c:formatCode>m/d/yyyy</c:formatCode>
                <c:ptCount val="145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  <c:pt idx="143">
                  <c:v>42491</c:v>
                </c:pt>
                <c:pt idx="144">
                  <c:v>42522</c:v>
                </c:pt>
              </c:numCache>
            </c:numRef>
          </c:cat>
          <c:val>
            <c:numRef>
              <c:f>'step1 Raw'!$B$2:$B$146</c:f>
              <c:numCache>
                <c:formatCode>0.00</c:formatCode>
                <c:ptCount val="145"/>
                <c:pt idx="0">
                  <c:v>427.11407768159006</c:v>
                </c:pt>
                <c:pt idx="1">
                  <c:v>444.14164651271381</c:v>
                </c:pt>
                <c:pt idx="2">
                  <c:v>430.98729559748432</c:v>
                </c:pt>
                <c:pt idx="3">
                  <c:v>445.4691787102426</c:v>
                </c:pt>
                <c:pt idx="4">
                  <c:v>439.40180873628231</c:v>
                </c:pt>
                <c:pt idx="5">
                  <c:v>450.9796897908526</c:v>
                </c:pt>
                <c:pt idx="6">
                  <c:v>448.93688821721412</c:v>
                </c:pt>
                <c:pt idx="7">
                  <c:v>409.7923496432212</c:v>
                </c:pt>
                <c:pt idx="8">
                  <c:v>410.57609613543951</c:v>
                </c:pt>
                <c:pt idx="9">
                  <c:v>435.33756204399367</c:v>
                </c:pt>
                <c:pt idx="10">
                  <c:v>446.62213886574688</c:v>
                </c:pt>
                <c:pt idx="11">
                  <c:v>460.15354494526463</c:v>
                </c:pt>
                <c:pt idx="12">
                  <c:v>465.54470246342044</c:v>
                </c:pt>
                <c:pt idx="13">
                  <c:v>469.07370841434437</c:v>
                </c:pt>
                <c:pt idx="14">
                  <c:v>462.55955755912362</c:v>
                </c:pt>
                <c:pt idx="15">
                  <c:v>466.45711371872778</c:v>
                </c:pt>
                <c:pt idx="16">
                  <c:v>442.74917337855027</c:v>
                </c:pt>
                <c:pt idx="17">
                  <c:v>445.72702547385404</c:v>
                </c:pt>
                <c:pt idx="18">
                  <c:v>428.70600995011517</c:v>
                </c:pt>
                <c:pt idx="19">
                  <c:v>425.61881446756001</c:v>
                </c:pt>
                <c:pt idx="20">
                  <c:v>381.9211439221944</c:v>
                </c:pt>
                <c:pt idx="21">
                  <c:v>382.5119360028562</c:v>
                </c:pt>
                <c:pt idx="22">
                  <c:v>386.25676450228895</c:v>
                </c:pt>
                <c:pt idx="23">
                  <c:v>382.92679064618727</c:v>
                </c:pt>
                <c:pt idx="24">
                  <c:v>379.64038109818853</c:v>
                </c:pt>
                <c:pt idx="25">
                  <c:v>371.37622771504607</c:v>
                </c:pt>
                <c:pt idx="26">
                  <c:v>358.00324724435683</c:v>
                </c:pt>
                <c:pt idx="27">
                  <c:v>369.28067648116178</c:v>
                </c:pt>
                <c:pt idx="28">
                  <c:v>355.73831781917107</c:v>
                </c:pt>
                <c:pt idx="29">
                  <c:v>378.05081725007915</c:v>
                </c:pt>
                <c:pt idx="30">
                  <c:v>395.38942054788305</c:v>
                </c:pt>
                <c:pt idx="31">
                  <c:v>400.60742371981962</c:v>
                </c:pt>
                <c:pt idx="32">
                  <c:v>369.28976534242139</c:v>
                </c:pt>
                <c:pt idx="33">
                  <c:v>380.37235157357776</c:v>
                </c:pt>
                <c:pt idx="34">
                  <c:v>383.54562809700661</c:v>
                </c:pt>
                <c:pt idx="35">
                  <c:v>403.90813599121816</c:v>
                </c:pt>
                <c:pt idx="36">
                  <c:v>412.53072385453618</c:v>
                </c:pt>
                <c:pt idx="37">
                  <c:v>405.38629989570808</c:v>
                </c:pt>
                <c:pt idx="38">
                  <c:v>410.534286970398</c:v>
                </c:pt>
                <c:pt idx="39">
                  <c:v>403.0224993132415</c:v>
                </c:pt>
                <c:pt idx="40">
                  <c:v>390.9823460979801</c:v>
                </c:pt>
                <c:pt idx="41">
                  <c:v>398.40047688812547</c:v>
                </c:pt>
                <c:pt idx="42">
                  <c:v>384.50709876303716</c:v>
                </c:pt>
                <c:pt idx="43">
                  <c:v>391.03659807873976</c:v>
                </c:pt>
                <c:pt idx="44">
                  <c:v>352.02822703822949</c:v>
                </c:pt>
                <c:pt idx="45">
                  <c:v>347.91398514714388</c:v>
                </c:pt>
                <c:pt idx="46">
                  <c:v>340.81835119899807</c:v>
                </c:pt>
                <c:pt idx="47">
                  <c:v>334.88816613837184</c:v>
                </c:pt>
                <c:pt idx="48">
                  <c:v>328.62367051904823</c:v>
                </c:pt>
                <c:pt idx="49">
                  <c:v>318.70939857356109</c:v>
                </c:pt>
                <c:pt idx="50">
                  <c:v>299.23730354117185</c:v>
                </c:pt>
                <c:pt idx="51">
                  <c:v>324.99754729529678</c:v>
                </c:pt>
                <c:pt idx="52">
                  <c:v>273.3313220498448</c:v>
                </c:pt>
                <c:pt idx="53">
                  <c:v>268.23198753170601</c:v>
                </c:pt>
                <c:pt idx="54">
                  <c:v>283.77226244917995</c:v>
                </c:pt>
                <c:pt idx="55">
                  <c:v>278.06522404255884</c:v>
                </c:pt>
                <c:pt idx="56">
                  <c:v>227.43005064883474</c:v>
                </c:pt>
                <c:pt idx="57">
                  <c:v>242.91637318811777</c:v>
                </c:pt>
                <c:pt idx="58">
                  <c:v>247.75759929999467</c:v>
                </c:pt>
                <c:pt idx="59">
                  <c:v>243.31512854527602</c:v>
                </c:pt>
                <c:pt idx="60">
                  <c:v>251.20045628915793</c:v>
                </c:pt>
                <c:pt idx="61">
                  <c:v>248.19309682560768</c:v>
                </c:pt>
                <c:pt idx="62">
                  <c:v>256.8642725665834</c:v>
                </c:pt>
                <c:pt idx="63">
                  <c:v>264.66516031011457</c:v>
                </c:pt>
                <c:pt idx="64">
                  <c:v>255.75629923355334</c:v>
                </c:pt>
                <c:pt idx="65">
                  <c:v>205.30433753628208</c:v>
                </c:pt>
                <c:pt idx="66">
                  <c:v>210.28633060218493</c:v>
                </c:pt>
                <c:pt idx="67">
                  <c:v>205.99065081184844</c:v>
                </c:pt>
                <c:pt idx="68">
                  <c:v>197.4052156520676</c:v>
                </c:pt>
                <c:pt idx="69">
                  <c:v>214.75007924670066</c:v>
                </c:pt>
                <c:pt idx="70">
                  <c:v>233.95513449153361</c:v>
                </c:pt>
                <c:pt idx="71">
                  <c:v>191.61241420876348</c:v>
                </c:pt>
                <c:pt idx="72">
                  <c:v>163.21736293633415</c:v>
                </c:pt>
                <c:pt idx="73">
                  <c:v>158.71901738927269</c:v>
                </c:pt>
                <c:pt idx="74">
                  <c:v>161.21560359534257</c:v>
                </c:pt>
                <c:pt idx="75">
                  <c:v>170.314399633119</c:v>
                </c:pt>
                <c:pt idx="76">
                  <c:v>169.60745389746381</c:v>
                </c:pt>
                <c:pt idx="77">
                  <c:v>182.69413823671565</c:v>
                </c:pt>
                <c:pt idx="78">
                  <c:v>188.84411261926115</c:v>
                </c:pt>
                <c:pt idx="79">
                  <c:v>173.90459213006915</c:v>
                </c:pt>
                <c:pt idx="80">
                  <c:v>168.20150669642857</c:v>
                </c:pt>
                <c:pt idx="81">
                  <c:v>178.23731778036105</c:v>
                </c:pt>
                <c:pt idx="82">
                  <c:v>181.36121737504342</c:v>
                </c:pt>
                <c:pt idx="83">
                  <c:v>179.31170334219067</c:v>
                </c:pt>
                <c:pt idx="84">
                  <c:v>173.12319698061827</c:v>
                </c:pt>
                <c:pt idx="85">
                  <c:v>171.91962477148692</c:v>
                </c:pt>
                <c:pt idx="86">
                  <c:v>156.36382926926876</c:v>
                </c:pt>
                <c:pt idx="87">
                  <c:v>159.72443322532033</c:v>
                </c:pt>
                <c:pt idx="88">
                  <c:v>160.02067892182998</c:v>
                </c:pt>
                <c:pt idx="89">
                  <c:v>174.61197168881012</c:v>
                </c:pt>
                <c:pt idx="90">
                  <c:v>172.908921509072</c:v>
                </c:pt>
                <c:pt idx="91">
                  <c:v>172.46068779880412</c:v>
                </c:pt>
                <c:pt idx="92">
                  <c:v>160.02932420234291</c:v>
                </c:pt>
                <c:pt idx="93">
                  <c:v>176.55879552922198</c:v>
                </c:pt>
                <c:pt idx="94">
                  <c:v>177.59062715667417</c:v>
                </c:pt>
                <c:pt idx="95">
                  <c:v>178.11839426284192</c:v>
                </c:pt>
                <c:pt idx="96">
                  <c:v>177.36944086444927</c:v>
                </c:pt>
                <c:pt idx="97">
                  <c:v>176.27341395174915</c:v>
                </c:pt>
                <c:pt idx="98">
                  <c:v>166.91579299678997</c:v>
                </c:pt>
                <c:pt idx="99">
                  <c:v>178.00903066475962</c:v>
                </c:pt>
                <c:pt idx="100">
                  <c:v>180.34283923168226</c:v>
                </c:pt>
                <c:pt idx="101">
                  <c:v>184.95324899482864</c:v>
                </c:pt>
                <c:pt idx="102">
                  <c:v>179.43394464096272</c:v>
                </c:pt>
                <c:pt idx="103">
                  <c:v>192.75548461188191</c:v>
                </c:pt>
                <c:pt idx="104">
                  <c:v>184.40298121738158</c:v>
                </c:pt>
                <c:pt idx="105">
                  <c:v>193.90653639057814</c:v>
                </c:pt>
                <c:pt idx="106">
                  <c:v>202.35352728101302</c:v>
                </c:pt>
                <c:pt idx="107">
                  <c:v>198.37159977297409</c:v>
                </c:pt>
                <c:pt idx="108">
                  <c:v>199.85389808574104</c:v>
                </c:pt>
                <c:pt idx="109">
                  <c:v>186.79055702739862</c:v>
                </c:pt>
                <c:pt idx="110">
                  <c:v>176.57945717962849</c:v>
                </c:pt>
                <c:pt idx="111">
                  <c:v>179.15311993897691</c:v>
                </c:pt>
                <c:pt idx="112">
                  <c:v>172.19052354597602</c:v>
                </c:pt>
                <c:pt idx="113">
                  <c:v>176.04457812503497</c:v>
                </c:pt>
                <c:pt idx="114">
                  <c:v>165.26874357065702</c:v>
                </c:pt>
                <c:pt idx="115">
                  <c:v>172.6360070941997</c:v>
                </c:pt>
                <c:pt idx="116">
                  <c:v>154.59890866719721</c:v>
                </c:pt>
                <c:pt idx="117">
                  <c:v>161.79814699188302</c:v>
                </c:pt>
                <c:pt idx="118">
                  <c:v>167.27567544892901</c:v>
                </c:pt>
                <c:pt idx="119">
                  <c:v>169.31642512077295</c:v>
                </c:pt>
                <c:pt idx="120">
                  <c:v>168.7229122019767</c:v>
                </c:pt>
                <c:pt idx="121">
                  <c:v>161.33783434920505</c:v>
                </c:pt>
                <c:pt idx="122">
                  <c:v>155.92617269799135</c:v>
                </c:pt>
                <c:pt idx="123">
                  <c:v>156.98616460938445</c:v>
                </c:pt>
                <c:pt idx="124">
                  <c:v>154.4766056708369</c:v>
                </c:pt>
                <c:pt idx="125">
                  <c:v>161.34811310014135</c:v>
                </c:pt>
                <c:pt idx="126">
                  <c:v>155.64283619711378</c:v>
                </c:pt>
                <c:pt idx="127">
                  <c:v>173.13600567558157</c:v>
                </c:pt>
                <c:pt idx="128">
                  <c:v>158.99575201456375</c:v>
                </c:pt>
                <c:pt idx="129">
                  <c:v>166.78368203357155</c:v>
                </c:pt>
                <c:pt idx="130">
                  <c:v>189.58448919765479</c:v>
                </c:pt>
                <c:pt idx="131">
                  <c:v>189.50004176371374</c:v>
                </c:pt>
                <c:pt idx="132">
                  <c:v>193.92414899740317</c:v>
                </c:pt>
                <c:pt idx="133">
                  <c:v>189.50004176371374</c:v>
                </c:pt>
                <c:pt idx="134">
                  <c:v>187.26218476427596</c:v>
                </c:pt>
                <c:pt idx="135">
                  <c:v>191.78950552833774</c:v>
                </c:pt>
                <c:pt idx="136">
                  <c:v>188.71186571359726</c:v>
                </c:pt>
                <c:pt idx="137">
                  <c:v>197.67736828367197</c:v>
                </c:pt>
                <c:pt idx="138">
                  <c:v>211.47044916070996</c:v>
                </c:pt>
                <c:pt idx="139">
                  <c:v>208.96048376301763</c:v>
                </c:pt>
                <c:pt idx="140">
                  <c:v>203.9640105881723</c:v>
                </c:pt>
                <c:pt idx="141">
                  <c:v>212.19763539742456</c:v>
                </c:pt>
                <c:pt idx="142">
                  <c:v>220.59546355045109</c:v>
                </c:pt>
                <c:pt idx="143">
                  <c:v>215.43478703183146</c:v>
                </c:pt>
                <c:pt idx="144">
                  <c:v>225.00549621181696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61376"/>
        <c:axId val="411864064"/>
      </c:lineChart>
      <c:dateAx>
        <c:axId val="411449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1646208"/>
        <c:crosses val="autoZero"/>
        <c:auto val="1"/>
        <c:lblOffset val="100"/>
        <c:baseTimeUnit val="months"/>
      </c:dateAx>
      <c:valAx>
        <c:axId val="411646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MCAI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11449600"/>
        <c:crosses val="autoZero"/>
        <c:crossBetween val="between"/>
      </c:valAx>
      <c:valAx>
        <c:axId val="411864064"/>
        <c:scaling>
          <c:orientation val="minMax"/>
          <c:min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Purchase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412261376"/>
        <c:crosses val="max"/>
        <c:crossBetween val="between"/>
      </c:valAx>
      <c:dateAx>
        <c:axId val="412261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11864064"/>
        <c:crosses val="autoZero"/>
        <c:auto val="1"/>
        <c:lblOffset val="100"/>
        <c:baseTimeUnit val="month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Changes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09998414627701"/>
          <c:y val="0.12357576894197533"/>
          <c:w val="0.78571502052176367"/>
          <c:h val="0.64106590792468054"/>
        </c:manualLayout>
      </c:layout>
      <c:lineChart>
        <c:grouping val="standard"/>
        <c:varyColors val="0"/>
        <c:ser>
          <c:idx val="1"/>
          <c:order val="1"/>
          <c:tx>
            <c:strRef>
              <c:f>'step2 %Chg'!$C$1</c:f>
              <c:strCache>
                <c:ptCount val="1"/>
                <c:pt idx="0">
                  <c:v>MBACAI Chg</c:v>
                </c:pt>
              </c:strCache>
            </c:strRef>
          </c:tx>
          <c:marker>
            <c:symbol val="none"/>
          </c:marker>
          <c:cat>
            <c:numRef>
              <c:f>'step2 %Chg'!$A$13:$A$145</c:f>
              <c:numCache>
                <c:formatCode>m/d/yyyy</c:formatCode>
                <c:ptCount val="133"/>
                <c:pt idx="0">
                  <c:v>38473</c:v>
                </c:pt>
                <c:pt idx="1">
                  <c:v>38504</c:v>
                </c:pt>
                <c:pt idx="2">
                  <c:v>38534</c:v>
                </c:pt>
                <c:pt idx="3">
                  <c:v>38565</c:v>
                </c:pt>
                <c:pt idx="4">
                  <c:v>38596</c:v>
                </c:pt>
                <c:pt idx="5">
                  <c:v>38626</c:v>
                </c:pt>
                <c:pt idx="6">
                  <c:v>38657</c:v>
                </c:pt>
                <c:pt idx="7">
                  <c:v>38687</c:v>
                </c:pt>
                <c:pt idx="8">
                  <c:v>38718</c:v>
                </c:pt>
                <c:pt idx="9">
                  <c:v>38749</c:v>
                </c:pt>
                <c:pt idx="10">
                  <c:v>38777</c:v>
                </c:pt>
                <c:pt idx="11">
                  <c:v>38808</c:v>
                </c:pt>
                <c:pt idx="12">
                  <c:v>38838</c:v>
                </c:pt>
                <c:pt idx="13">
                  <c:v>38869</c:v>
                </c:pt>
                <c:pt idx="14">
                  <c:v>38899</c:v>
                </c:pt>
                <c:pt idx="15">
                  <c:v>38930</c:v>
                </c:pt>
                <c:pt idx="16">
                  <c:v>38961</c:v>
                </c:pt>
                <c:pt idx="17">
                  <c:v>38991</c:v>
                </c:pt>
                <c:pt idx="18">
                  <c:v>39022</c:v>
                </c:pt>
                <c:pt idx="19">
                  <c:v>39052</c:v>
                </c:pt>
                <c:pt idx="20">
                  <c:v>39083</c:v>
                </c:pt>
                <c:pt idx="21">
                  <c:v>39114</c:v>
                </c:pt>
                <c:pt idx="22">
                  <c:v>39142</c:v>
                </c:pt>
                <c:pt idx="23">
                  <c:v>39173</c:v>
                </c:pt>
                <c:pt idx="24">
                  <c:v>39203</c:v>
                </c:pt>
                <c:pt idx="25">
                  <c:v>39234</c:v>
                </c:pt>
                <c:pt idx="26">
                  <c:v>39264</c:v>
                </c:pt>
                <c:pt idx="27">
                  <c:v>39295</c:v>
                </c:pt>
                <c:pt idx="28">
                  <c:v>39326</c:v>
                </c:pt>
                <c:pt idx="29">
                  <c:v>39356</c:v>
                </c:pt>
                <c:pt idx="30">
                  <c:v>39387</c:v>
                </c:pt>
                <c:pt idx="31">
                  <c:v>39417</c:v>
                </c:pt>
                <c:pt idx="32">
                  <c:v>39448</c:v>
                </c:pt>
                <c:pt idx="33">
                  <c:v>39479</c:v>
                </c:pt>
                <c:pt idx="34">
                  <c:v>39508</c:v>
                </c:pt>
                <c:pt idx="35">
                  <c:v>39539</c:v>
                </c:pt>
                <c:pt idx="36">
                  <c:v>39569</c:v>
                </c:pt>
                <c:pt idx="37">
                  <c:v>39600</c:v>
                </c:pt>
                <c:pt idx="38">
                  <c:v>39630</c:v>
                </c:pt>
                <c:pt idx="39">
                  <c:v>39661</c:v>
                </c:pt>
                <c:pt idx="40">
                  <c:v>39692</c:v>
                </c:pt>
                <c:pt idx="41">
                  <c:v>39722</c:v>
                </c:pt>
                <c:pt idx="42">
                  <c:v>39753</c:v>
                </c:pt>
                <c:pt idx="43">
                  <c:v>39783</c:v>
                </c:pt>
                <c:pt idx="44">
                  <c:v>39814</c:v>
                </c:pt>
                <c:pt idx="45">
                  <c:v>39845</c:v>
                </c:pt>
                <c:pt idx="46">
                  <c:v>39873</c:v>
                </c:pt>
                <c:pt idx="47">
                  <c:v>39904</c:v>
                </c:pt>
                <c:pt idx="48">
                  <c:v>39934</c:v>
                </c:pt>
                <c:pt idx="49">
                  <c:v>39965</c:v>
                </c:pt>
                <c:pt idx="50">
                  <c:v>39995</c:v>
                </c:pt>
                <c:pt idx="51">
                  <c:v>40026</c:v>
                </c:pt>
                <c:pt idx="52">
                  <c:v>40057</c:v>
                </c:pt>
                <c:pt idx="53">
                  <c:v>40087</c:v>
                </c:pt>
                <c:pt idx="54">
                  <c:v>40118</c:v>
                </c:pt>
                <c:pt idx="55">
                  <c:v>40148</c:v>
                </c:pt>
                <c:pt idx="56">
                  <c:v>40179</c:v>
                </c:pt>
                <c:pt idx="57">
                  <c:v>40210</c:v>
                </c:pt>
                <c:pt idx="58">
                  <c:v>40238</c:v>
                </c:pt>
                <c:pt idx="59">
                  <c:v>40269</c:v>
                </c:pt>
                <c:pt idx="60">
                  <c:v>40299</c:v>
                </c:pt>
                <c:pt idx="61">
                  <c:v>40330</c:v>
                </c:pt>
                <c:pt idx="62">
                  <c:v>40360</c:v>
                </c:pt>
                <c:pt idx="63">
                  <c:v>40391</c:v>
                </c:pt>
                <c:pt idx="64">
                  <c:v>40422</c:v>
                </c:pt>
                <c:pt idx="65">
                  <c:v>40452</c:v>
                </c:pt>
                <c:pt idx="66">
                  <c:v>40483</c:v>
                </c:pt>
                <c:pt idx="67">
                  <c:v>40513</c:v>
                </c:pt>
                <c:pt idx="68">
                  <c:v>40544</c:v>
                </c:pt>
                <c:pt idx="69">
                  <c:v>40575</c:v>
                </c:pt>
                <c:pt idx="70">
                  <c:v>40603</c:v>
                </c:pt>
                <c:pt idx="71">
                  <c:v>40634</c:v>
                </c:pt>
                <c:pt idx="72">
                  <c:v>40664</c:v>
                </c:pt>
                <c:pt idx="73">
                  <c:v>40695</c:v>
                </c:pt>
                <c:pt idx="74">
                  <c:v>40725</c:v>
                </c:pt>
                <c:pt idx="75">
                  <c:v>40756</c:v>
                </c:pt>
                <c:pt idx="76">
                  <c:v>40787</c:v>
                </c:pt>
                <c:pt idx="77">
                  <c:v>40817</c:v>
                </c:pt>
                <c:pt idx="78">
                  <c:v>40848</c:v>
                </c:pt>
                <c:pt idx="79">
                  <c:v>40878</c:v>
                </c:pt>
                <c:pt idx="80">
                  <c:v>40909</c:v>
                </c:pt>
                <c:pt idx="81">
                  <c:v>40940</c:v>
                </c:pt>
                <c:pt idx="82">
                  <c:v>40969</c:v>
                </c:pt>
                <c:pt idx="83">
                  <c:v>41000</c:v>
                </c:pt>
                <c:pt idx="84">
                  <c:v>41030</c:v>
                </c:pt>
                <c:pt idx="85">
                  <c:v>41061</c:v>
                </c:pt>
                <c:pt idx="86">
                  <c:v>41091</c:v>
                </c:pt>
                <c:pt idx="87">
                  <c:v>41122</c:v>
                </c:pt>
                <c:pt idx="88">
                  <c:v>41153</c:v>
                </c:pt>
                <c:pt idx="89">
                  <c:v>41183</c:v>
                </c:pt>
                <c:pt idx="90">
                  <c:v>41214</c:v>
                </c:pt>
                <c:pt idx="91">
                  <c:v>41244</c:v>
                </c:pt>
                <c:pt idx="92">
                  <c:v>41275</c:v>
                </c:pt>
                <c:pt idx="93">
                  <c:v>41306</c:v>
                </c:pt>
                <c:pt idx="94">
                  <c:v>41334</c:v>
                </c:pt>
                <c:pt idx="95">
                  <c:v>41365</c:v>
                </c:pt>
                <c:pt idx="96">
                  <c:v>41395</c:v>
                </c:pt>
                <c:pt idx="97">
                  <c:v>41426</c:v>
                </c:pt>
                <c:pt idx="98">
                  <c:v>41456</c:v>
                </c:pt>
                <c:pt idx="99">
                  <c:v>41487</c:v>
                </c:pt>
                <c:pt idx="100">
                  <c:v>41518</c:v>
                </c:pt>
                <c:pt idx="101">
                  <c:v>41548</c:v>
                </c:pt>
                <c:pt idx="102">
                  <c:v>41579</c:v>
                </c:pt>
                <c:pt idx="103">
                  <c:v>41609</c:v>
                </c:pt>
                <c:pt idx="104">
                  <c:v>41640</c:v>
                </c:pt>
                <c:pt idx="105">
                  <c:v>41671</c:v>
                </c:pt>
                <c:pt idx="106">
                  <c:v>41699</c:v>
                </c:pt>
                <c:pt idx="107">
                  <c:v>41730</c:v>
                </c:pt>
                <c:pt idx="108">
                  <c:v>41760</c:v>
                </c:pt>
                <c:pt idx="109">
                  <c:v>41791</c:v>
                </c:pt>
                <c:pt idx="110">
                  <c:v>41821</c:v>
                </c:pt>
                <c:pt idx="111">
                  <c:v>41852</c:v>
                </c:pt>
                <c:pt idx="112">
                  <c:v>41883</c:v>
                </c:pt>
                <c:pt idx="113">
                  <c:v>41913</c:v>
                </c:pt>
                <c:pt idx="114">
                  <c:v>41944</c:v>
                </c:pt>
                <c:pt idx="115">
                  <c:v>41974</c:v>
                </c:pt>
                <c:pt idx="116">
                  <c:v>42005</c:v>
                </c:pt>
                <c:pt idx="117">
                  <c:v>42036</c:v>
                </c:pt>
                <c:pt idx="118">
                  <c:v>42064</c:v>
                </c:pt>
                <c:pt idx="119">
                  <c:v>42095</c:v>
                </c:pt>
                <c:pt idx="120">
                  <c:v>42125</c:v>
                </c:pt>
                <c:pt idx="121">
                  <c:v>42156</c:v>
                </c:pt>
                <c:pt idx="122">
                  <c:v>42186</c:v>
                </c:pt>
                <c:pt idx="123">
                  <c:v>42217</c:v>
                </c:pt>
                <c:pt idx="124">
                  <c:v>42248</c:v>
                </c:pt>
                <c:pt idx="125">
                  <c:v>42278</c:v>
                </c:pt>
                <c:pt idx="126">
                  <c:v>42309</c:v>
                </c:pt>
                <c:pt idx="127">
                  <c:v>42339</c:v>
                </c:pt>
                <c:pt idx="128">
                  <c:v>42370</c:v>
                </c:pt>
                <c:pt idx="129">
                  <c:v>42401</c:v>
                </c:pt>
                <c:pt idx="130">
                  <c:v>42430</c:v>
                </c:pt>
                <c:pt idx="131">
                  <c:v>42461</c:v>
                </c:pt>
                <c:pt idx="132">
                  <c:v>42491</c:v>
                </c:pt>
              </c:numCache>
            </c:numRef>
          </c:cat>
          <c:val>
            <c:numRef>
              <c:f>'step2 %Chg'!$C$13:$C$145</c:f>
              <c:numCache>
                <c:formatCode>0%</c:formatCode>
                <c:ptCount val="133"/>
                <c:pt idx="0">
                  <c:v>1.1352785145888593</c:v>
                </c:pt>
                <c:pt idx="1">
                  <c:v>1.1177748805736636</c:v>
                </c:pt>
                <c:pt idx="2">
                  <c:v>1.1008547007692309</c:v>
                </c:pt>
                <c:pt idx="3">
                  <c:v>1.0844892812105926</c:v>
                </c:pt>
                <c:pt idx="4">
                  <c:v>1.0686517784119105</c:v>
                </c:pt>
                <c:pt idx="5">
                  <c:v>1.0533170532356533</c:v>
                </c:pt>
                <c:pt idx="6">
                  <c:v>1.0384615384615385</c:v>
                </c:pt>
                <c:pt idx="7">
                  <c:v>0.77157712310374893</c:v>
                </c:pt>
                <c:pt idx="8">
                  <c:v>0.56811240069834379</c:v>
                </c:pt>
                <c:pt idx="9">
                  <c:v>0.40786240786240785</c:v>
                </c:pt>
                <c:pt idx="10">
                  <c:v>0.27838104641058148</c:v>
                </c:pt>
                <c:pt idx="11">
                  <c:v>0.17158297679929824</c:v>
                </c:pt>
                <c:pt idx="12">
                  <c:v>8.1987577639751549E-2</c:v>
                </c:pt>
                <c:pt idx="13">
                  <c:v>4.2684178040522013E-2</c:v>
                </c:pt>
                <c:pt idx="14">
                  <c:v>4.0683483321426114E-3</c:v>
                </c:pt>
                <c:pt idx="15">
                  <c:v>-3.3877797943133697E-2</c:v>
                </c:pt>
                <c:pt idx="16">
                  <c:v>-7.11715314645672E-2</c:v>
                </c:pt>
                <c:pt idx="17">
                  <c:v>-0.10782953411725797</c:v>
                </c:pt>
                <c:pt idx="18">
                  <c:v>-0.14386792452830188</c:v>
                </c:pt>
                <c:pt idx="19">
                  <c:v>-0.18254744669076686</c:v>
                </c:pt>
                <c:pt idx="20">
                  <c:v>-0.22088040513358473</c:v>
                </c:pt>
                <c:pt idx="21">
                  <c:v>-0.25887143688190811</c:v>
                </c:pt>
                <c:pt idx="22">
                  <c:v>-0.29652509653654535</c:v>
                </c:pt>
                <c:pt idx="23">
                  <c:v>-0.33384585814592177</c:v>
                </c:pt>
                <c:pt idx="24">
                  <c:v>-0.37083811710677383</c:v>
                </c:pt>
                <c:pt idx="25">
                  <c:v>-0.39834678210581964</c:v>
                </c:pt>
                <c:pt idx="26">
                  <c:v>-0.42747163697619639</c:v>
                </c:pt>
                <c:pt idx="27">
                  <c:v>-0.45835942391984974</c:v>
                </c:pt>
                <c:pt idx="28">
                  <c:v>-0.49117520445506568</c:v>
                </c:pt>
                <c:pt idx="29">
                  <c:v>-0.52610530995218374</c:v>
                </c:pt>
                <c:pt idx="30">
                  <c:v>-0.5633608815426997</c:v>
                </c:pt>
                <c:pt idx="31">
                  <c:v>-0.59238870275693578</c:v>
                </c:pt>
                <c:pt idx="32">
                  <c:v>-0.62399999996879996</c:v>
                </c:pt>
                <c:pt idx="33">
                  <c:v>-0.65855572998430145</c:v>
                </c:pt>
                <c:pt idx="34">
                  <c:v>-0.69648737654755699</c:v>
                </c:pt>
                <c:pt idx="35">
                  <c:v>-0.7383150605459714</c:v>
                </c:pt>
                <c:pt idx="36">
                  <c:v>-0.78467153284671531</c:v>
                </c:pt>
                <c:pt idx="37">
                  <c:v>-0.77952240765456327</c:v>
                </c:pt>
                <c:pt idx="38">
                  <c:v>-0.77353149320594483</c:v>
                </c:pt>
                <c:pt idx="39">
                  <c:v>-0.76647398843930636</c:v>
                </c:pt>
                <c:pt idx="40">
                  <c:v>-0.75803722505076143</c:v>
                </c:pt>
                <c:pt idx="41">
                  <c:v>-0.74777308953586508</c:v>
                </c:pt>
                <c:pt idx="42">
                  <c:v>-0.73501577287066244</c:v>
                </c:pt>
                <c:pt idx="43">
                  <c:v>-0.67880211386715239</c:v>
                </c:pt>
                <c:pt idx="44">
                  <c:v>-0.60771276602291047</c:v>
                </c:pt>
                <c:pt idx="45">
                  <c:v>-0.51494252873563218</c:v>
                </c:pt>
                <c:pt idx="46">
                  <c:v>-0.38878842647175199</c:v>
                </c:pt>
                <c:pt idx="47">
                  <c:v>-0.20727673688924436</c:v>
                </c:pt>
                <c:pt idx="48">
                  <c:v>7.6271186440677971E-2</c:v>
                </c:pt>
                <c:pt idx="49">
                  <c:v>8.1602374208190553E-2</c:v>
                </c:pt>
                <c:pt idx="50">
                  <c:v>8.7499999660156313E-2</c:v>
                </c:pt>
                <c:pt idx="51">
                  <c:v>9.405940594059406E-2</c:v>
                </c:pt>
                <c:pt idx="52">
                  <c:v>0.10139860143711181</c:v>
                </c:pt>
                <c:pt idx="53">
                  <c:v>0.1096654274680422</c:v>
                </c:pt>
                <c:pt idx="54">
                  <c:v>0.11904761904761904</c:v>
                </c:pt>
                <c:pt idx="55">
                  <c:v>3.8391224861484781E-2</c:v>
                </c:pt>
                <c:pt idx="56">
                  <c:v>-3.0508474577305371E-2</c:v>
                </c:pt>
                <c:pt idx="57">
                  <c:v>-9.004739336492891E-2</c:v>
                </c:pt>
                <c:pt idx="58">
                  <c:v>-0.14201183454378344</c:v>
                </c:pt>
                <c:pt idx="59">
                  <c:v>-0.18776077866140775</c:v>
                </c:pt>
                <c:pt idx="60">
                  <c:v>-0.2283464566929134</c:v>
                </c:pt>
                <c:pt idx="61">
                  <c:v>-0.16735253744855971</c:v>
                </c:pt>
                <c:pt idx="62">
                  <c:v>-0.10057471293103443</c:v>
                </c:pt>
                <c:pt idx="63">
                  <c:v>-2.7149321266968326E-2</c:v>
                </c:pt>
                <c:pt idx="64">
                  <c:v>5.3968254285714223E-2</c:v>
                </c:pt>
                <c:pt idx="65">
                  <c:v>0.14405360100502521</c:v>
                </c:pt>
                <c:pt idx="66">
                  <c:v>0.24468085106382978</c:v>
                </c:pt>
                <c:pt idx="67">
                  <c:v>0.22359154890057786</c:v>
                </c:pt>
                <c:pt idx="68">
                  <c:v>0.2027972031889089</c:v>
                </c:pt>
                <c:pt idx="69">
                  <c:v>0.16749999999999998</c:v>
                </c:pt>
                <c:pt idx="70">
                  <c:v>0.10731034478940318</c:v>
                </c:pt>
                <c:pt idx="71">
                  <c:v>0.12273972606584724</c:v>
                </c:pt>
                <c:pt idx="72">
                  <c:v>0.1280612244897959</c:v>
                </c:pt>
                <c:pt idx="73">
                  <c:v>8.6820427977983491E-2</c:v>
                </c:pt>
                <c:pt idx="74">
                  <c:v>3.2747604163817057E-2</c:v>
                </c:pt>
                <c:pt idx="75">
                  <c:v>3.4325581395348817E-2</c:v>
                </c:pt>
                <c:pt idx="76">
                  <c:v>-3.222891595414791E-2</c:v>
                </c:pt>
                <c:pt idx="77">
                  <c:v>-6.6354318906692383E-2</c:v>
                </c:pt>
                <c:pt idx="78">
                  <c:v>-0.10324786324786324</c:v>
                </c:pt>
                <c:pt idx="79">
                  <c:v>-0.11614388463773934</c:v>
                </c:pt>
                <c:pt idx="80">
                  <c:v>-0.13627907001852341</c:v>
                </c:pt>
                <c:pt idx="81">
                  <c:v>-0.10778015703069235</c:v>
                </c:pt>
                <c:pt idx="82">
                  <c:v>-4.9794469357249738E-2</c:v>
                </c:pt>
                <c:pt idx="83">
                  <c:v>-7.0735724743777484E-2</c:v>
                </c:pt>
                <c:pt idx="84">
                  <c:v>-6.8204432383536795E-2</c:v>
                </c:pt>
                <c:pt idx="85">
                  <c:v>-9.3497044110959535E-2</c:v>
                </c:pt>
                <c:pt idx="86">
                  <c:v>-3.5452436194895527E-2</c:v>
                </c:pt>
                <c:pt idx="87">
                  <c:v>-6.5383577659861469E-2</c:v>
                </c:pt>
                <c:pt idx="88">
                  <c:v>-5.3221288515406057E-2</c:v>
                </c:pt>
                <c:pt idx="89">
                  <c:v>-3.1050056454647937E-3</c:v>
                </c:pt>
                <c:pt idx="90">
                  <c:v>3.0880670987418937E-2</c:v>
                </c:pt>
                <c:pt idx="91">
                  <c:v>5.6944715764797801E-2</c:v>
                </c:pt>
                <c:pt idx="92">
                  <c:v>0.10187802907915983</c:v>
                </c:pt>
                <c:pt idx="93">
                  <c:v>8.0100000000000046E-2</c:v>
                </c:pt>
                <c:pt idx="94">
                  <c:v>6.7348343329072941E-2</c:v>
                </c:pt>
                <c:pt idx="95">
                  <c:v>7.2082717872969049E-2</c:v>
                </c:pt>
                <c:pt idx="96">
                  <c:v>6.6013008445781937E-2</c:v>
                </c:pt>
                <c:pt idx="97">
                  <c:v>0.12671816996087082</c:v>
                </c:pt>
                <c:pt idx="98">
                  <c:v>7.2837486769941243E-2</c:v>
                </c:pt>
                <c:pt idx="99">
                  <c:v>6.5242494226327954E-2</c:v>
                </c:pt>
                <c:pt idx="100">
                  <c:v>9.9605522682445699E-2</c:v>
                </c:pt>
                <c:pt idx="101">
                  <c:v>4.0113260972156679E-2</c:v>
                </c:pt>
                <c:pt idx="102">
                  <c:v>2.5332840236686475E-2</c:v>
                </c:pt>
                <c:pt idx="103">
                  <c:v>4.4265779502818653E-2</c:v>
                </c:pt>
                <c:pt idx="104">
                  <c:v>4.0043984238981076E-2</c:v>
                </c:pt>
                <c:pt idx="105">
                  <c:v>5.5457827978890796E-2</c:v>
                </c:pt>
                <c:pt idx="106">
                  <c:v>4.8268238761974898E-2</c:v>
                </c:pt>
                <c:pt idx="107">
                  <c:v>5.7224212363369061E-2</c:v>
                </c:pt>
                <c:pt idx="108">
                  <c:v>5.4548766050450732E-2</c:v>
                </c:pt>
                <c:pt idx="109">
                  <c:v>3.6509349955476479E-2</c:v>
                </c:pt>
                <c:pt idx="110">
                  <c:v>4.125560538116587E-2</c:v>
                </c:pt>
                <c:pt idx="111">
                  <c:v>4.8780487804877967E-2</c:v>
                </c:pt>
                <c:pt idx="112">
                  <c:v>1.5246636771300474E-2</c:v>
                </c:pt>
                <c:pt idx="113">
                  <c:v>3.9927404718693209E-2</c:v>
                </c:pt>
                <c:pt idx="114">
                  <c:v>4.3282236248872834E-2</c:v>
                </c:pt>
                <c:pt idx="115">
                  <c:v>4.2477876106194662E-2</c:v>
                </c:pt>
                <c:pt idx="116">
                  <c:v>4.4933920704845767E-2</c:v>
                </c:pt>
                <c:pt idx="117">
                  <c:v>6.455263157894732E-2</c:v>
                </c:pt>
                <c:pt idx="118">
                  <c:v>7.2056239015817244E-2</c:v>
                </c:pt>
                <c:pt idx="119">
                  <c:v>6.5160729800173761E-2</c:v>
                </c:pt>
                <c:pt idx="120">
                  <c:v>5.3540587219343724E-2</c:v>
                </c:pt>
                <c:pt idx="121">
                  <c:v>7.8178694158075546E-2</c:v>
                </c:pt>
                <c:pt idx="122">
                  <c:v>8.6132644272179162E-2</c:v>
                </c:pt>
                <c:pt idx="123">
                  <c:v>8.9577950043066373E-2</c:v>
                </c:pt>
                <c:pt idx="124">
                  <c:v>0.13427561837455831</c:v>
                </c:pt>
                <c:pt idx="125">
                  <c:v>0.11169284467713797</c:v>
                </c:pt>
                <c:pt idx="126">
                  <c:v>7.4727744165946422E-2</c:v>
                </c:pt>
                <c:pt idx="127">
                  <c:v>5.0933786078098474E-2</c:v>
                </c:pt>
                <c:pt idx="128">
                  <c:v>4.384485666104556E-2</c:v>
                </c:pt>
                <c:pt idx="129">
                  <c:v>1.7641872461045371E-2</c:v>
                </c:pt>
                <c:pt idx="130">
                  <c:v>3.2786885245902103E-3</c:v>
                </c:pt>
                <c:pt idx="131">
                  <c:v>-9.7879282218596136E-3</c:v>
                </c:pt>
                <c:pt idx="132">
                  <c:v>-1.8032786885245924E-2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791936"/>
        <c:axId val="414798208"/>
      </c:lineChart>
      <c:lineChart>
        <c:grouping val="standard"/>
        <c:varyColors val="0"/>
        <c:ser>
          <c:idx val="0"/>
          <c:order val="0"/>
          <c:tx>
            <c:strRef>
              <c:f>'step2 %Chg'!$B$1</c:f>
              <c:strCache>
                <c:ptCount val="1"/>
                <c:pt idx="0">
                  <c:v>Purchase Chg</c:v>
                </c:pt>
              </c:strCache>
            </c:strRef>
          </c:tx>
          <c:marker>
            <c:symbol val="none"/>
          </c:marker>
          <c:cat>
            <c:numRef>
              <c:f>'step2 %Chg'!$A$13:$A$145</c:f>
              <c:numCache>
                <c:formatCode>m/d/yyyy</c:formatCode>
                <c:ptCount val="133"/>
                <c:pt idx="0">
                  <c:v>38473</c:v>
                </c:pt>
                <c:pt idx="1">
                  <c:v>38504</c:v>
                </c:pt>
                <c:pt idx="2">
                  <c:v>38534</c:v>
                </c:pt>
                <c:pt idx="3">
                  <c:v>38565</c:v>
                </c:pt>
                <c:pt idx="4">
                  <c:v>38596</c:v>
                </c:pt>
                <c:pt idx="5">
                  <c:v>38626</c:v>
                </c:pt>
                <c:pt idx="6">
                  <c:v>38657</c:v>
                </c:pt>
                <c:pt idx="7">
                  <c:v>38687</c:v>
                </c:pt>
                <c:pt idx="8">
                  <c:v>38718</c:v>
                </c:pt>
                <c:pt idx="9">
                  <c:v>38749</c:v>
                </c:pt>
                <c:pt idx="10">
                  <c:v>38777</c:v>
                </c:pt>
                <c:pt idx="11">
                  <c:v>38808</c:v>
                </c:pt>
                <c:pt idx="12">
                  <c:v>38838</c:v>
                </c:pt>
                <c:pt idx="13">
                  <c:v>38869</c:v>
                </c:pt>
                <c:pt idx="14">
                  <c:v>38899</c:v>
                </c:pt>
                <c:pt idx="15">
                  <c:v>38930</c:v>
                </c:pt>
                <c:pt idx="16">
                  <c:v>38961</c:v>
                </c:pt>
                <c:pt idx="17">
                  <c:v>38991</c:v>
                </c:pt>
                <c:pt idx="18">
                  <c:v>39022</c:v>
                </c:pt>
                <c:pt idx="19">
                  <c:v>39052</c:v>
                </c:pt>
                <c:pt idx="20">
                  <c:v>39083</c:v>
                </c:pt>
                <c:pt idx="21">
                  <c:v>39114</c:v>
                </c:pt>
                <c:pt idx="22">
                  <c:v>39142</c:v>
                </c:pt>
                <c:pt idx="23">
                  <c:v>39173</c:v>
                </c:pt>
                <c:pt idx="24">
                  <c:v>39203</c:v>
                </c:pt>
                <c:pt idx="25">
                  <c:v>39234</c:v>
                </c:pt>
                <c:pt idx="26">
                  <c:v>39264</c:v>
                </c:pt>
                <c:pt idx="27">
                  <c:v>39295</c:v>
                </c:pt>
                <c:pt idx="28">
                  <c:v>39326</c:v>
                </c:pt>
                <c:pt idx="29">
                  <c:v>39356</c:v>
                </c:pt>
                <c:pt idx="30">
                  <c:v>39387</c:v>
                </c:pt>
                <c:pt idx="31">
                  <c:v>39417</c:v>
                </c:pt>
                <c:pt idx="32">
                  <c:v>39448</c:v>
                </c:pt>
                <c:pt idx="33">
                  <c:v>39479</c:v>
                </c:pt>
                <c:pt idx="34">
                  <c:v>39508</c:v>
                </c:pt>
                <c:pt idx="35">
                  <c:v>39539</c:v>
                </c:pt>
                <c:pt idx="36">
                  <c:v>39569</c:v>
                </c:pt>
                <c:pt idx="37">
                  <c:v>39600</c:v>
                </c:pt>
                <c:pt idx="38">
                  <c:v>39630</c:v>
                </c:pt>
                <c:pt idx="39">
                  <c:v>39661</c:v>
                </c:pt>
                <c:pt idx="40">
                  <c:v>39692</c:v>
                </c:pt>
                <c:pt idx="41">
                  <c:v>39722</c:v>
                </c:pt>
                <c:pt idx="42">
                  <c:v>39753</c:v>
                </c:pt>
                <c:pt idx="43">
                  <c:v>39783</c:v>
                </c:pt>
                <c:pt idx="44">
                  <c:v>39814</c:v>
                </c:pt>
                <c:pt idx="45">
                  <c:v>39845</c:v>
                </c:pt>
                <c:pt idx="46">
                  <c:v>39873</c:v>
                </c:pt>
                <c:pt idx="47">
                  <c:v>39904</c:v>
                </c:pt>
                <c:pt idx="48">
                  <c:v>39934</c:v>
                </c:pt>
                <c:pt idx="49">
                  <c:v>39965</c:v>
                </c:pt>
                <c:pt idx="50">
                  <c:v>39995</c:v>
                </c:pt>
                <c:pt idx="51">
                  <c:v>40026</c:v>
                </c:pt>
                <c:pt idx="52">
                  <c:v>40057</c:v>
                </c:pt>
                <c:pt idx="53">
                  <c:v>40087</c:v>
                </c:pt>
                <c:pt idx="54">
                  <c:v>40118</c:v>
                </c:pt>
                <c:pt idx="55">
                  <c:v>40148</c:v>
                </c:pt>
                <c:pt idx="56">
                  <c:v>40179</c:v>
                </c:pt>
                <c:pt idx="57">
                  <c:v>40210</c:v>
                </c:pt>
                <c:pt idx="58">
                  <c:v>40238</c:v>
                </c:pt>
                <c:pt idx="59">
                  <c:v>40269</c:v>
                </c:pt>
                <c:pt idx="60">
                  <c:v>40299</c:v>
                </c:pt>
                <c:pt idx="61">
                  <c:v>40330</c:v>
                </c:pt>
                <c:pt idx="62">
                  <c:v>40360</c:v>
                </c:pt>
                <c:pt idx="63">
                  <c:v>40391</c:v>
                </c:pt>
                <c:pt idx="64">
                  <c:v>40422</c:v>
                </c:pt>
                <c:pt idx="65">
                  <c:v>40452</c:v>
                </c:pt>
                <c:pt idx="66">
                  <c:v>40483</c:v>
                </c:pt>
                <c:pt idx="67">
                  <c:v>40513</c:v>
                </c:pt>
                <c:pt idx="68">
                  <c:v>40544</c:v>
                </c:pt>
                <c:pt idx="69">
                  <c:v>40575</c:v>
                </c:pt>
                <c:pt idx="70">
                  <c:v>40603</c:v>
                </c:pt>
                <c:pt idx="71">
                  <c:v>40634</c:v>
                </c:pt>
                <c:pt idx="72">
                  <c:v>40664</c:v>
                </c:pt>
                <c:pt idx="73">
                  <c:v>40695</c:v>
                </c:pt>
                <c:pt idx="74">
                  <c:v>40725</c:v>
                </c:pt>
                <c:pt idx="75">
                  <c:v>40756</c:v>
                </c:pt>
                <c:pt idx="76">
                  <c:v>40787</c:v>
                </c:pt>
                <c:pt idx="77">
                  <c:v>40817</c:v>
                </c:pt>
                <c:pt idx="78">
                  <c:v>40848</c:v>
                </c:pt>
                <c:pt idx="79">
                  <c:v>40878</c:v>
                </c:pt>
                <c:pt idx="80">
                  <c:v>40909</c:v>
                </c:pt>
                <c:pt idx="81">
                  <c:v>40940</c:v>
                </c:pt>
                <c:pt idx="82">
                  <c:v>40969</c:v>
                </c:pt>
                <c:pt idx="83">
                  <c:v>41000</c:v>
                </c:pt>
                <c:pt idx="84">
                  <c:v>41030</c:v>
                </c:pt>
                <c:pt idx="85">
                  <c:v>41061</c:v>
                </c:pt>
                <c:pt idx="86">
                  <c:v>41091</c:v>
                </c:pt>
                <c:pt idx="87">
                  <c:v>41122</c:v>
                </c:pt>
                <c:pt idx="88">
                  <c:v>41153</c:v>
                </c:pt>
                <c:pt idx="89">
                  <c:v>41183</c:v>
                </c:pt>
                <c:pt idx="90">
                  <c:v>41214</c:v>
                </c:pt>
                <c:pt idx="91">
                  <c:v>41244</c:v>
                </c:pt>
                <c:pt idx="92">
                  <c:v>41275</c:v>
                </c:pt>
                <c:pt idx="93">
                  <c:v>41306</c:v>
                </c:pt>
                <c:pt idx="94">
                  <c:v>41334</c:v>
                </c:pt>
                <c:pt idx="95">
                  <c:v>41365</c:v>
                </c:pt>
                <c:pt idx="96">
                  <c:v>41395</c:v>
                </c:pt>
                <c:pt idx="97">
                  <c:v>41426</c:v>
                </c:pt>
                <c:pt idx="98">
                  <c:v>41456</c:v>
                </c:pt>
                <c:pt idx="99">
                  <c:v>41487</c:v>
                </c:pt>
                <c:pt idx="100">
                  <c:v>41518</c:v>
                </c:pt>
                <c:pt idx="101">
                  <c:v>41548</c:v>
                </c:pt>
                <c:pt idx="102">
                  <c:v>41579</c:v>
                </c:pt>
                <c:pt idx="103">
                  <c:v>41609</c:v>
                </c:pt>
                <c:pt idx="104">
                  <c:v>41640</c:v>
                </c:pt>
                <c:pt idx="105">
                  <c:v>41671</c:v>
                </c:pt>
                <c:pt idx="106">
                  <c:v>41699</c:v>
                </c:pt>
                <c:pt idx="107">
                  <c:v>41730</c:v>
                </c:pt>
                <c:pt idx="108">
                  <c:v>41760</c:v>
                </c:pt>
                <c:pt idx="109">
                  <c:v>41791</c:v>
                </c:pt>
                <c:pt idx="110">
                  <c:v>41821</c:v>
                </c:pt>
                <c:pt idx="111">
                  <c:v>41852</c:v>
                </c:pt>
                <c:pt idx="112">
                  <c:v>41883</c:v>
                </c:pt>
                <c:pt idx="113">
                  <c:v>41913</c:v>
                </c:pt>
                <c:pt idx="114">
                  <c:v>41944</c:v>
                </c:pt>
                <c:pt idx="115">
                  <c:v>41974</c:v>
                </c:pt>
                <c:pt idx="116">
                  <c:v>42005</c:v>
                </c:pt>
                <c:pt idx="117">
                  <c:v>42036</c:v>
                </c:pt>
                <c:pt idx="118">
                  <c:v>42064</c:v>
                </c:pt>
                <c:pt idx="119">
                  <c:v>42095</c:v>
                </c:pt>
                <c:pt idx="120">
                  <c:v>42125</c:v>
                </c:pt>
                <c:pt idx="121">
                  <c:v>42156</c:v>
                </c:pt>
                <c:pt idx="122">
                  <c:v>42186</c:v>
                </c:pt>
                <c:pt idx="123">
                  <c:v>42217</c:v>
                </c:pt>
                <c:pt idx="124">
                  <c:v>42248</c:v>
                </c:pt>
                <c:pt idx="125">
                  <c:v>42278</c:v>
                </c:pt>
                <c:pt idx="126">
                  <c:v>42309</c:v>
                </c:pt>
                <c:pt idx="127">
                  <c:v>42339</c:v>
                </c:pt>
                <c:pt idx="128">
                  <c:v>42370</c:v>
                </c:pt>
                <c:pt idx="129">
                  <c:v>42401</c:v>
                </c:pt>
                <c:pt idx="130">
                  <c:v>42430</c:v>
                </c:pt>
                <c:pt idx="131">
                  <c:v>42461</c:v>
                </c:pt>
                <c:pt idx="132">
                  <c:v>42491</c:v>
                </c:pt>
              </c:numCache>
            </c:numRef>
          </c:cat>
          <c:val>
            <c:numRef>
              <c:f>'step2 %Chg'!$B$13:$B$145</c:f>
              <c:numCache>
                <c:formatCode>0%</c:formatCode>
                <c:ptCount val="133"/>
                <c:pt idx="0">
                  <c:v>8.9977424744309364E-2</c:v>
                </c:pt>
                <c:pt idx="1">
                  <c:v>5.6135384054593195E-2</c:v>
                </c:pt>
                <c:pt idx="2">
                  <c:v>7.3255667357596199E-2</c:v>
                </c:pt>
                <c:pt idx="3">
                  <c:v>4.7114224757930728E-2</c:v>
                </c:pt>
                <c:pt idx="4">
                  <c:v>7.618003785407639E-3</c:v>
                </c:pt>
                <c:pt idx="5">
                  <c:v>-1.164723032080347E-2</c:v>
                </c:pt>
                <c:pt idx="6">
                  <c:v>-4.5063969564716221E-2</c:v>
                </c:pt>
                <c:pt idx="7">
                  <c:v>3.8620693719923903E-2</c:v>
                </c:pt>
                <c:pt idx="8">
                  <c:v>-6.9792061649376944E-2</c:v>
                </c:pt>
                <c:pt idx="9">
                  <c:v>-0.12134405722564114</c:v>
                </c:pt>
                <c:pt idx="10">
                  <c:v>-0.13515983447834315</c:v>
                </c:pt>
                <c:pt idx="11">
                  <c:v>-0.16782822852807425</c:v>
                </c:pt>
                <c:pt idx="12">
                  <c:v>-0.18452432368077848</c:v>
                </c:pt>
                <c:pt idx="13">
                  <c:v>-0.20827746033678721</c:v>
                </c:pt>
                <c:pt idx="14">
                  <c:v>-0.22603859028770057</c:v>
                </c:pt>
                <c:pt idx="15">
                  <c:v>-0.20832877102644662</c:v>
                </c:pt>
                <c:pt idx="16">
                  <c:v>-0.19652403841979613</c:v>
                </c:pt>
                <c:pt idx="17">
                  <c:v>-0.15183330683578827</c:v>
                </c:pt>
                <c:pt idx="18">
                  <c:v>-7.7714304509304388E-2</c:v>
                </c:pt>
                <c:pt idx="19">
                  <c:v>-5.8764767668997679E-2</c:v>
                </c:pt>
                <c:pt idx="20">
                  <c:v>-3.3073263370687583E-2</c:v>
                </c:pt>
                <c:pt idx="21">
                  <c:v>-5.5935102356190706E-3</c:v>
                </c:pt>
                <c:pt idx="22">
                  <c:v>-7.0190004536898297E-3</c:v>
                </c:pt>
                <c:pt idx="23">
                  <c:v>5.4792053879607013E-2</c:v>
                </c:pt>
                <c:pt idx="24">
                  <c:v>8.6635522441541948E-2</c:v>
                </c:pt>
                <c:pt idx="25">
                  <c:v>9.157848468092486E-2</c:v>
                </c:pt>
                <c:pt idx="26">
                  <c:v>0.14673341689045033</c:v>
                </c:pt>
                <c:pt idx="27">
                  <c:v>9.137175319760063E-2</c:v>
                </c:pt>
                <c:pt idx="28">
                  <c:v>9.9072904192244682E-2</c:v>
                </c:pt>
                <c:pt idx="29">
                  <c:v>5.3827841944817427E-2</c:v>
                </c:pt>
                <c:pt idx="30">
                  <c:v>-2.7523047454750999E-2</c:v>
                </c:pt>
                <c:pt idx="31">
                  <c:v>-2.3890784529678594E-2</c:v>
                </c:pt>
                <c:pt idx="32">
                  <c:v>-4.6742530999163381E-2</c:v>
                </c:pt>
                <c:pt idx="33">
                  <c:v>-8.5333138153063842E-2</c:v>
                </c:pt>
                <c:pt idx="34">
                  <c:v>-0.11140076634428989</c:v>
                </c:pt>
                <c:pt idx="35">
                  <c:v>-0.17088036536690848</c:v>
                </c:pt>
                <c:pt idx="36">
                  <c:v>-0.20339588904189035</c:v>
                </c:pt>
                <c:pt idx="37">
                  <c:v>-0.21381309961497458</c:v>
                </c:pt>
                <c:pt idx="38">
                  <c:v>-0.27110277256148235</c:v>
                </c:pt>
                <c:pt idx="39">
                  <c:v>-0.19359949419920924</c:v>
                </c:pt>
                <c:pt idx="40">
                  <c:v>-0.30091134605512848</c:v>
                </c:pt>
                <c:pt idx="41">
                  <c:v>-0.32672774483895001</c:v>
                </c:pt>
                <c:pt idx="42">
                  <c:v>-0.26198433432808421</c:v>
                </c:pt>
                <c:pt idx="43">
                  <c:v>-0.28890230375171383</c:v>
                </c:pt>
                <c:pt idx="44">
                  <c:v>-0.35394370911018924</c:v>
                </c:pt>
                <c:pt idx="45">
                  <c:v>-0.30179186937432045</c:v>
                </c:pt>
                <c:pt idx="46">
                  <c:v>-0.27305088347389722</c:v>
                </c:pt>
                <c:pt idx="47">
                  <c:v>-0.27344363537545524</c:v>
                </c:pt>
                <c:pt idx="48">
                  <c:v>-0.23559840990030745</c:v>
                </c:pt>
                <c:pt idx="49">
                  <c:v>-0.22125579623180641</c:v>
                </c:pt>
                <c:pt idx="50">
                  <c:v>-0.14160343805115991</c:v>
                </c:pt>
                <c:pt idx="51">
                  <c:v>-0.18563951478182528</c:v>
                </c:pt>
                <c:pt idx="52">
                  <c:v>-6.4299337099340839E-2</c:v>
                </c:pt>
                <c:pt idx="53">
                  <c:v>-0.23460158713541074</c:v>
                </c:pt>
                <c:pt idx="54">
                  <c:v>-0.25896094006071302</c:v>
                </c:pt>
                <c:pt idx="55">
                  <c:v>-0.25920024152203636</c:v>
                </c:pt>
                <c:pt idx="56">
                  <c:v>-0.13201788818632079</c:v>
                </c:pt>
                <c:pt idx="57">
                  <c:v>-0.1159505782658987</c:v>
                </c:pt>
                <c:pt idx="58">
                  <c:v>-5.5709551785527618E-2</c:v>
                </c:pt>
                <c:pt idx="59">
                  <c:v>-0.21249280571097623</c:v>
                </c:pt>
                <c:pt idx="60">
                  <c:v>-0.35025053159754638</c:v>
                </c:pt>
                <c:pt idx="61">
                  <c:v>-0.36050188575230097</c:v>
                </c:pt>
                <c:pt idx="62">
                  <c:v>-0.37237046637712973</c:v>
                </c:pt>
                <c:pt idx="63">
                  <c:v>-0.35649104916734226</c:v>
                </c:pt>
                <c:pt idx="64">
                  <c:v>-0.33683958359680327</c:v>
                </c:pt>
                <c:pt idx="65">
                  <c:v>-0.11013015882127031</c:v>
                </c:pt>
                <c:pt idx="66">
                  <c:v>-0.10196677036268086</c:v>
                </c:pt>
                <c:pt idx="67">
                  <c:v>-0.15576463570226132</c:v>
                </c:pt>
                <c:pt idx="68">
                  <c:v>-0.14793787924586255</c:v>
                </c:pt>
                <c:pt idx="69">
                  <c:v>-0.17002443768318459</c:v>
                </c:pt>
                <c:pt idx="70">
                  <c:v>-0.22480343178103435</c:v>
                </c:pt>
                <c:pt idx="71">
                  <c:v>-6.4195792936312973E-2</c:v>
                </c:pt>
                <c:pt idx="72">
                  <c:v>6.0691055571998595E-2</c:v>
                </c:pt>
                <c:pt idx="73">
                  <c:v>8.3169664223906772E-2</c:v>
                </c:pt>
                <c:pt idx="74">
                  <c:v>-3.0094942535785499E-2</c:v>
                </c:pt>
                <c:pt idx="75">
                  <c:v>-6.2178925743277942E-2</c:v>
                </c:pt>
                <c:pt idx="76">
                  <c:v>-5.6523311654861082E-2</c:v>
                </c:pt>
                <c:pt idx="77">
                  <c:v>-4.4238784155370754E-2</c:v>
                </c:pt>
                <c:pt idx="78">
                  <c:v>-8.438277947439618E-2</c:v>
                </c:pt>
                <c:pt idx="79">
                  <c:v>-8.302853384027295E-3</c:v>
                </c:pt>
                <c:pt idx="80">
                  <c:v>-4.858566759948757E-2</c:v>
                </c:pt>
                <c:pt idx="81">
                  <c:v>-9.4173446506162477E-3</c:v>
                </c:pt>
                <c:pt idx="82">
                  <c:v>-2.0790499054557571E-2</c:v>
                </c:pt>
                <c:pt idx="83">
                  <c:v>-6.6549425224715622E-3</c:v>
                </c:pt>
                <c:pt idx="84">
                  <c:v>2.4527295925030661E-2</c:v>
                </c:pt>
                <c:pt idx="85">
                  <c:v>2.5324561905304407E-2</c:v>
                </c:pt>
                <c:pt idx="86">
                  <c:v>6.7483405700880086E-2</c:v>
                </c:pt>
                <c:pt idx="87">
                  <c:v>0.11447589495368908</c:v>
                </c:pt>
                <c:pt idx="88">
                  <c:v>0.12699708841867646</c:v>
                </c:pt>
                <c:pt idx="89">
                  <c:v>5.9224331562148208E-2</c:v>
                </c:pt>
                <c:pt idx="90">
                  <c:v>3.7736763811509699E-2</c:v>
                </c:pt>
                <c:pt idx="91">
                  <c:v>0.11767781441735921</c:v>
                </c:pt>
                <c:pt idx="92">
                  <c:v>0.1523074420049437</c:v>
                </c:pt>
                <c:pt idx="93">
                  <c:v>9.8254753094330891E-2</c:v>
                </c:pt>
                <c:pt idx="94">
                  <c:v>0.13943810279183536</c:v>
                </c:pt>
                <c:pt idx="95">
                  <c:v>0.11370642315720274</c:v>
                </c:pt>
                <c:pt idx="96">
                  <c:v>0.1267662406314683</c:v>
                </c:pt>
                <c:pt idx="97">
                  <c:v>5.9663807717074684E-2</c:v>
                </c:pt>
                <c:pt idx="98">
                  <c:v>5.7895445417944141E-2</c:v>
                </c:pt>
                <c:pt idx="99">
                  <c:v>6.4271417576107744E-3</c:v>
                </c:pt>
                <c:pt idx="100">
                  <c:v>-4.5204543304506538E-2</c:v>
                </c:pt>
                <c:pt idx="101">
                  <c:v>-4.8167149905232305E-2</c:v>
                </c:pt>
                <c:pt idx="102">
                  <c:v>-7.8943820237856746E-2</c:v>
                </c:pt>
                <c:pt idx="103">
                  <c:v>-0.10437823628309874</c:v>
                </c:pt>
                <c:pt idx="104">
                  <c:v>-0.16162467848093054</c:v>
                </c:pt>
                <c:pt idx="105">
                  <c:v>-0.16558693686333753</c:v>
                </c:pt>
                <c:pt idx="106">
                  <c:v>-0.17334934707300942</c:v>
                </c:pt>
                <c:pt idx="107">
                  <c:v>-0.14646841929718402</c:v>
                </c:pt>
                <c:pt idx="108">
                  <c:v>-0.15576871995966057</c:v>
                </c:pt>
                <c:pt idx="109">
                  <c:v>-0.13626343367272115</c:v>
                </c:pt>
                <c:pt idx="110">
                  <c:v>-0.11696312137049575</c:v>
                </c:pt>
                <c:pt idx="111">
                  <c:v>-0.12373189669899676</c:v>
                </c:pt>
                <c:pt idx="112">
                  <c:v>-0.10287394166851106</c:v>
                </c:pt>
                <c:pt idx="113">
                  <c:v>-8.3481497592362772E-2</c:v>
                </c:pt>
                <c:pt idx="114">
                  <c:v>-5.8243967767733995E-2</c:v>
                </c:pt>
                <c:pt idx="115">
                  <c:v>2.896258954304053E-3</c:v>
                </c:pt>
                <c:pt idx="116">
                  <c:v>2.8440325907031862E-2</c:v>
                </c:pt>
                <c:pt idx="117">
                  <c:v>3.0813301229825871E-2</c:v>
                </c:pt>
                <c:pt idx="118">
                  <c:v>0.13336555771694908</c:v>
                </c:pt>
                <c:pt idx="119">
                  <c:v>0.11920648943859918</c:v>
                </c:pt>
                <c:pt idx="120">
                  <c:v>0.14936463854570203</c:v>
                </c:pt>
                <c:pt idx="121">
                  <c:v>0.17455426700195723</c:v>
                </c:pt>
                <c:pt idx="122">
                  <c:v>0.20096698023223064</c:v>
                </c:pt>
                <c:pt idx="123">
                  <c:v>0.22169686739943956</c:v>
                </c:pt>
                <c:pt idx="124">
                  <c:v>0.22162100140722807</c:v>
                </c:pt>
                <c:pt idx="125">
                  <c:v>0.22516070678175656</c:v>
                </c:pt>
                <c:pt idx="126">
                  <c:v>0.35869054000592315</c:v>
                </c:pt>
                <c:pt idx="127">
                  <c:v>0.20691523954042915</c:v>
                </c:pt>
                <c:pt idx="128">
                  <c:v>0.28282679256417825</c:v>
                </c:pt>
                <c:pt idx="129">
                  <c:v>0.27229254571026756</c:v>
                </c:pt>
                <c:pt idx="130">
                  <c:v>0.16357337292749322</c:v>
                </c:pt>
                <c:pt idx="131">
                  <c:v>0.13685878391760764</c:v>
                </c:pt>
                <c:pt idx="132">
                  <c:v>0.16027579533083322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31904"/>
        <c:axId val="415129600"/>
      </c:lineChart>
      <c:dateAx>
        <c:axId val="414791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14798208"/>
        <c:crosses val="autoZero"/>
        <c:auto val="1"/>
        <c:lblOffset val="100"/>
        <c:baseTimeUnit val="months"/>
      </c:dateAx>
      <c:valAx>
        <c:axId val="414798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MCAI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414791936"/>
        <c:crosses val="autoZero"/>
        <c:crossBetween val="between"/>
      </c:valAx>
      <c:valAx>
        <c:axId val="41512960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Purchase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415131904"/>
        <c:crosses val="max"/>
        <c:crossBetween val="between"/>
      </c:valAx>
      <c:dateAx>
        <c:axId val="4151319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15129600"/>
        <c:crosses val="autoZero"/>
        <c:auto val="1"/>
        <c:lblOffset val="100"/>
        <c:baseTimeUnit val="month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Regression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'step3 Regression'!$C$1</c:f>
              <c:strCache>
                <c:ptCount val="1"/>
                <c:pt idx="0">
                  <c:v>MBACAI Chg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19050">
                <a:solidFill>
                  <a:schemeClr val="accent2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1.3098656785548866E-2"/>
                  <c:y val="-0.36435606133174958"/>
                </c:manualLayout>
              </c:layout>
              <c:numFmt formatCode="General" sourceLinked="0"/>
            </c:trendlineLbl>
          </c:trendline>
          <c:xVal>
            <c:numRef>
              <c:f>'step3 Regression'!$B$13:$B$145</c:f>
              <c:numCache>
                <c:formatCode>General</c:formatCode>
                <c:ptCount val="133"/>
                <c:pt idx="0">
                  <c:v>8.9977424744309364E-2</c:v>
                </c:pt>
                <c:pt idx="1">
                  <c:v>5.6135384054593195E-2</c:v>
                </c:pt>
                <c:pt idx="2">
                  <c:v>7.3255667357596199E-2</c:v>
                </c:pt>
                <c:pt idx="3">
                  <c:v>4.7114224757930728E-2</c:v>
                </c:pt>
                <c:pt idx="4">
                  <c:v>7.618003785407639E-3</c:v>
                </c:pt>
                <c:pt idx="5">
                  <c:v>-1.164723032080347E-2</c:v>
                </c:pt>
                <c:pt idx="6">
                  <c:v>-4.5063969564716221E-2</c:v>
                </c:pt>
                <c:pt idx="7">
                  <c:v>3.8620693719923903E-2</c:v>
                </c:pt>
                <c:pt idx="8">
                  <c:v>-6.9792061649376944E-2</c:v>
                </c:pt>
                <c:pt idx="9">
                  <c:v>-0.12134405722564114</c:v>
                </c:pt>
                <c:pt idx="10">
                  <c:v>-0.13515983447834315</c:v>
                </c:pt>
                <c:pt idx="11">
                  <c:v>-0.16782822852807425</c:v>
                </c:pt>
                <c:pt idx="12">
                  <c:v>-0.18452432368077848</c:v>
                </c:pt>
                <c:pt idx="13">
                  <c:v>-0.20827746033678721</c:v>
                </c:pt>
                <c:pt idx="14">
                  <c:v>-0.22603859028770057</c:v>
                </c:pt>
                <c:pt idx="15">
                  <c:v>-0.20832877102644662</c:v>
                </c:pt>
                <c:pt idx="16">
                  <c:v>-0.19652403841979613</c:v>
                </c:pt>
                <c:pt idx="17">
                  <c:v>-0.15183330683578827</c:v>
                </c:pt>
                <c:pt idx="18">
                  <c:v>-7.7714304509304388E-2</c:v>
                </c:pt>
                <c:pt idx="19">
                  <c:v>-5.8764767668997679E-2</c:v>
                </c:pt>
                <c:pt idx="20">
                  <c:v>-3.3073263370687583E-2</c:v>
                </c:pt>
                <c:pt idx="21">
                  <c:v>-5.5935102356190706E-3</c:v>
                </c:pt>
                <c:pt idx="22">
                  <c:v>-7.0190004536898297E-3</c:v>
                </c:pt>
                <c:pt idx="23">
                  <c:v>5.4792053879607013E-2</c:v>
                </c:pt>
                <c:pt idx="24">
                  <c:v>8.6635522441541948E-2</c:v>
                </c:pt>
                <c:pt idx="25">
                  <c:v>9.157848468092486E-2</c:v>
                </c:pt>
                <c:pt idx="26">
                  <c:v>0.14673341689045033</c:v>
                </c:pt>
                <c:pt idx="27">
                  <c:v>9.137175319760063E-2</c:v>
                </c:pt>
                <c:pt idx="28">
                  <c:v>9.9072904192244682E-2</c:v>
                </c:pt>
                <c:pt idx="29">
                  <c:v>5.3827841944817427E-2</c:v>
                </c:pt>
                <c:pt idx="30">
                  <c:v>-2.7523047454750999E-2</c:v>
                </c:pt>
                <c:pt idx="31">
                  <c:v>-2.3890784529678594E-2</c:v>
                </c:pt>
                <c:pt idx="32">
                  <c:v>-4.6742530999163381E-2</c:v>
                </c:pt>
                <c:pt idx="33">
                  <c:v>-8.5333138153063842E-2</c:v>
                </c:pt>
                <c:pt idx="34">
                  <c:v>-0.11140076634428989</c:v>
                </c:pt>
                <c:pt idx="35">
                  <c:v>-0.17088036536690848</c:v>
                </c:pt>
                <c:pt idx="36">
                  <c:v>-0.20339588904189035</c:v>
                </c:pt>
                <c:pt idx="37">
                  <c:v>-0.21381309961497458</c:v>
                </c:pt>
                <c:pt idx="38">
                  <c:v>-0.27110277256148235</c:v>
                </c:pt>
                <c:pt idx="39">
                  <c:v>-0.19359949419920924</c:v>
                </c:pt>
                <c:pt idx="40">
                  <c:v>-0.30091134605512848</c:v>
                </c:pt>
                <c:pt idx="41">
                  <c:v>-0.32672774483895001</c:v>
                </c:pt>
                <c:pt idx="42">
                  <c:v>-0.26198433432808421</c:v>
                </c:pt>
                <c:pt idx="43">
                  <c:v>-0.28890230375171383</c:v>
                </c:pt>
                <c:pt idx="44">
                  <c:v>-0.35394370911018924</c:v>
                </c:pt>
                <c:pt idx="45">
                  <c:v>-0.30179186937432045</c:v>
                </c:pt>
                <c:pt idx="46">
                  <c:v>-0.27305088347389722</c:v>
                </c:pt>
                <c:pt idx="47">
                  <c:v>-0.27344363537545524</c:v>
                </c:pt>
                <c:pt idx="48">
                  <c:v>-0.23559840990030745</c:v>
                </c:pt>
                <c:pt idx="49">
                  <c:v>-0.22125579623180641</c:v>
                </c:pt>
                <c:pt idx="50">
                  <c:v>-0.14160343805115991</c:v>
                </c:pt>
                <c:pt idx="51">
                  <c:v>-0.18563951478182528</c:v>
                </c:pt>
                <c:pt idx="52">
                  <c:v>-6.4299337099340839E-2</c:v>
                </c:pt>
                <c:pt idx="53">
                  <c:v>-0.23460158713541074</c:v>
                </c:pt>
                <c:pt idx="54">
                  <c:v>-0.25896094006071302</c:v>
                </c:pt>
                <c:pt idx="55">
                  <c:v>-0.25920024152203636</c:v>
                </c:pt>
                <c:pt idx="56">
                  <c:v>-0.13201788818632079</c:v>
                </c:pt>
                <c:pt idx="57">
                  <c:v>-0.1159505782658987</c:v>
                </c:pt>
                <c:pt idx="58">
                  <c:v>-5.5709551785527618E-2</c:v>
                </c:pt>
                <c:pt idx="59">
                  <c:v>-0.21249280571097623</c:v>
                </c:pt>
                <c:pt idx="60">
                  <c:v>-0.35025053159754638</c:v>
                </c:pt>
                <c:pt idx="61">
                  <c:v>-0.36050188575230097</c:v>
                </c:pt>
                <c:pt idx="62">
                  <c:v>-0.37237046637712973</c:v>
                </c:pt>
                <c:pt idx="63">
                  <c:v>-0.35649104916734226</c:v>
                </c:pt>
                <c:pt idx="64">
                  <c:v>-0.33683958359680327</c:v>
                </c:pt>
                <c:pt idx="65">
                  <c:v>-0.11013015882127031</c:v>
                </c:pt>
                <c:pt idx="66">
                  <c:v>-0.10196677036268086</c:v>
                </c:pt>
                <c:pt idx="67">
                  <c:v>-0.15576463570226132</c:v>
                </c:pt>
                <c:pt idx="68">
                  <c:v>-0.14793787924586255</c:v>
                </c:pt>
                <c:pt idx="69">
                  <c:v>-0.17002443768318459</c:v>
                </c:pt>
                <c:pt idx="70">
                  <c:v>-0.22480343178103435</c:v>
                </c:pt>
                <c:pt idx="71">
                  <c:v>-6.4195792936312973E-2</c:v>
                </c:pt>
                <c:pt idx="72">
                  <c:v>6.0691055571998595E-2</c:v>
                </c:pt>
                <c:pt idx="73">
                  <c:v>8.3169664223906772E-2</c:v>
                </c:pt>
                <c:pt idx="74">
                  <c:v>-3.0094942535785499E-2</c:v>
                </c:pt>
                <c:pt idx="75">
                  <c:v>-6.2178925743277942E-2</c:v>
                </c:pt>
                <c:pt idx="76">
                  <c:v>-5.6523311654861082E-2</c:v>
                </c:pt>
                <c:pt idx="77">
                  <c:v>-4.4238784155370754E-2</c:v>
                </c:pt>
                <c:pt idx="78">
                  <c:v>-8.438277947439618E-2</c:v>
                </c:pt>
                <c:pt idx="79">
                  <c:v>-8.302853384027295E-3</c:v>
                </c:pt>
                <c:pt idx="80">
                  <c:v>-4.858566759948757E-2</c:v>
                </c:pt>
                <c:pt idx="81">
                  <c:v>-9.4173446506162477E-3</c:v>
                </c:pt>
                <c:pt idx="82">
                  <c:v>-2.0790499054557571E-2</c:v>
                </c:pt>
                <c:pt idx="83">
                  <c:v>-6.6549425224715622E-3</c:v>
                </c:pt>
                <c:pt idx="84">
                  <c:v>2.4527295925030661E-2</c:v>
                </c:pt>
                <c:pt idx="85">
                  <c:v>2.5324561905304407E-2</c:v>
                </c:pt>
                <c:pt idx="86">
                  <c:v>6.7483405700880086E-2</c:v>
                </c:pt>
                <c:pt idx="87">
                  <c:v>0.11447589495368908</c:v>
                </c:pt>
                <c:pt idx="88">
                  <c:v>0.12699708841867646</c:v>
                </c:pt>
                <c:pt idx="89">
                  <c:v>5.9224331562148208E-2</c:v>
                </c:pt>
                <c:pt idx="90">
                  <c:v>3.7736763811509699E-2</c:v>
                </c:pt>
                <c:pt idx="91">
                  <c:v>0.11767781441735921</c:v>
                </c:pt>
                <c:pt idx="92">
                  <c:v>0.1523074420049437</c:v>
                </c:pt>
                <c:pt idx="93">
                  <c:v>9.8254753094330891E-2</c:v>
                </c:pt>
                <c:pt idx="94">
                  <c:v>0.13943810279183536</c:v>
                </c:pt>
                <c:pt idx="95">
                  <c:v>0.11370642315720274</c:v>
                </c:pt>
                <c:pt idx="96">
                  <c:v>0.1267662406314683</c:v>
                </c:pt>
                <c:pt idx="97">
                  <c:v>5.9663807717074684E-2</c:v>
                </c:pt>
                <c:pt idx="98">
                  <c:v>5.7895445417944141E-2</c:v>
                </c:pt>
                <c:pt idx="99">
                  <c:v>6.4271417576107744E-3</c:v>
                </c:pt>
                <c:pt idx="100">
                  <c:v>-4.5204543304506538E-2</c:v>
                </c:pt>
                <c:pt idx="101">
                  <c:v>-4.8167149905232305E-2</c:v>
                </c:pt>
                <c:pt idx="102">
                  <c:v>-7.8943820237856746E-2</c:v>
                </c:pt>
                <c:pt idx="103">
                  <c:v>-0.10437823628309874</c:v>
                </c:pt>
                <c:pt idx="104">
                  <c:v>-0.16162467848093054</c:v>
                </c:pt>
                <c:pt idx="105">
                  <c:v>-0.16558693686333753</c:v>
                </c:pt>
                <c:pt idx="106">
                  <c:v>-0.17334934707300942</c:v>
                </c:pt>
                <c:pt idx="107">
                  <c:v>-0.14646841929718402</c:v>
                </c:pt>
                <c:pt idx="108">
                  <c:v>-0.15576871995966057</c:v>
                </c:pt>
                <c:pt idx="109">
                  <c:v>-0.13626343367272115</c:v>
                </c:pt>
                <c:pt idx="110">
                  <c:v>-0.11696312137049575</c:v>
                </c:pt>
                <c:pt idx="111">
                  <c:v>-0.12373189669899676</c:v>
                </c:pt>
                <c:pt idx="112">
                  <c:v>-0.10287394166851106</c:v>
                </c:pt>
                <c:pt idx="113">
                  <c:v>-8.3481497592362772E-2</c:v>
                </c:pt>
                <c:pt idx="114">
                  <c:v>-5.8243967767733995E-2</c:v>
                </c:pt>
                <c:pt idx="115">
                  <c:v>2.896258954304053E-3</c:v>
                </c:pt>
                <c:pt idx="116">
                  <c:v>2.8440325907031862E-2</c:v>
                </c:pt>
                <c:pt idx="117">
                  <c:v>3.0813301229825871E-2</c:v>
                </c:pt>
                <c:pt idx="118">
                  <c:v>0.13336555771694908</c:v>
                </c:pt>
                <c:pt idx="119">
                  <c:v>0.11920648943859918</c:v>
                </c:pt>
                <c:pt idx="120">
                  <c:v>0.14936463854570203</c:v>
                </c:pt>
                <c:pt idx="121">
                  <c:v>0.17455426700195723</c:v>
                </c:pt>
                <c:pt idx="122">
                  <c:v>0.20096698023223064</c:v>
                </c:pt>
                <c:pt idx="123">
                  <c:v>0.22169686739943956</c:v>
                </c:pt>
                <c:pt idx="124">
                  <c:v>0.22162100140722807</c:v>
                </c:pt>
                <c:pt idx="125">
                  <c:v>0.22516070678175656</c:v>
                </c:pt>
                <c:pt idx="126">
                  <c:v>0.35869054000592315</c:v>
                </c:pt>
                <c:pt idx="127">
                  <c:v>0.20691523954042915</c:v>
                </c:pt>
                <c:pt idx="128">
                  <c:v>0.28282679256417825</c:v>
                </c:pt>
                <c:pt idx="129">
                  <c:v>0.27229254571026756</c:v>
                </c:pt>
                <c:pt idx="130">
                  <c:v>0.16357337292749322</c:v>
                </c:pt>
                <c:pt idx="131">
                  <c:v>0.13685878391760764</c:v>
                </c:pt>
                <c:pt idx="132">
                  <c:v>0.16027579533083322</c:v>
                </c:pt>
              </c:numCache>
            </c:numRef>
          </c:xVal>
          <c:yVal>
            <c:numRef>
              <c:f>'step3 Regression'!$C$13:$C$145</c:f>
              <c:numCache>
                <c:formatCode>General</c:formatCode>
                <c:ptCount val="133"/>
                <c:pt idx="0">
                  <c:v>1.1352785145888593</c:v>
                </c:pt>
                <c:pt idx="1">
                  <c:v>1.1177748805736636</c:v>
                </c:pt>
                <c:pt idx="2">
                  <c:v>1.1008547007692309</c:v>
                </c:pt>
                <c:pt idx="3">
                  <c:v>1.0844892812105926</c:v>
                </c:pt>
                <c:pt idx="4">
                  <c:v>1.0686517784119105</c:v>
                </c:pt>
                <c:pt idx="5">
                  <c:v>1.0533170532356533</c:v>
                </c:pt>
                <c:pt idx="6">
                  <c:v>1.0384615384615385</c:v>
                </c:pt>
                <c:pt idx="7">
                  <c:v>0.77157712310374893</c:v>
                </c:pt>
                <c:pt idx="8">
                  <c:v>0.56811240069834379</c:v>
                </c:pt>
                <c:pt idx="9">
                  <c:v>0.40786240786240785</c:v>
                </c:pt>
                <c:pt idx="10">
                  <c:v>0.27838104641058148</c:v>
                </c:pt>
                <c:pt idx="11">
                  <c:v>0.17158297679929824</c:v>
                </c:pt>
                <c:pt idx="12">
                  <c:v>8.1987577639751549E-2</c:v>
                </c:pt>
                <c:pt idx="13">
                  <c:v>4.2684178040522013E-2</c:v>
                </c:pt>
                <c:pt idx="14">
                  <c:v>4.0683483321426114E-3</c:v>
                </c:pt>
                <c:pt idx="15">
                  <c:v>-3.3877797943133697E-2</c:v>
                </c:pt>
                <c:pt idx="16">
                  <c:v>-7.11715314645672E-2</c:v>
                </c:pt>
                <c:pt idx="17">
                  <c:v>-0.10782953411725797</c:v>
                </c:pt>
                <c:pt idx="18">
                  <c:v>-0.14386792452830188</c:v>
                </c:pt>
                <c:pt idx="19">
                  <c:v>-0.18254744669076686</c:v>
                </c:pt>
                <c:pt idx="20">
                  <c:v>-0.22088040513358473</c:v>
                </c:pt>
                <c:pt idx="21">
                  <c:v>-0.25887143688190811</c:v>
                </c:pt>
                <c:pt idx="22">
                  <c:v>-0.29652509653654535</c:v>
                </c:pt>
                <c:pt idx="23">
                  <c:v>-0.33384585814592177</c:v>
                </c:pt>
                <c:pt idx="24">
                  <c:v>-0.37083811710677383</c:v>
                </c:pt>
                <c:pt idx="25">
                  <c:v>-0.39834678210581964</c:v>
                </c:pt>
                <c:pt idx="26">
                  <c:v>-0.42747163697619639</c:v>
                </c:pt>
                <c:pt idx="27">
                  <c:v>-0.45835942391984974</c:v>
                </c:pt>
                <c:pt idx="28">
                  <c:v>-0.49117520445506568</c:v>
                </c:pt>
                <c:pt idx="29">
                  <c:v>-0.52610530995218374</c:v>
                </c:pt>
                <c:pt idx="30">
                  <c:v>-0.5633608815426997</c:v>
                </c:pt>
                <c:pt idx="31">
                  <c:v>-0.59238870275693578</c:v>
                </c:pt>
                <c:pt idx="32">
                  <c:v>-0.62399999996879996</c:v>
                </c:pt>
                <c:pt idx="33">
                  <c:v>-0.65855572998430145</c:v>
                </c:pt>
                <c:pt idx="34">
                  <c:v>-0.69648737654755699</c:v>
                </c:pt>
                <c:pt idx="35">
                  <c:v>-0.7383150605459714</c:v>
                </c:pt>
                <c:pt idx="36">
                  <c:v>-0.78467153284671531</c:v>
                </c:pt>
                <c:pt idx="37">
                  <c:v>-0.77952240765456327</c:v>
                </c:pt>
                <c:pt idx="38">
                  <c:v>-0.77353149320594483</c:v>
                </c:pt>
                <c:pt idx="39">
                  <c:v>-0.76647398843930636</c:v>
                </c:pt>
                <c:pt idx="40">
                  <c:v>-0.75803722505076143</c:v>
                </c:pt>
                <c:pt idx="41">
                  <c:v>-0.74777308953586508</c:v>
                </c:pt>
                <c:pt idx="42">
                  <c:v>-0.73501577287066244</c:v>
                </c:pt>
                <c:pt idx="43">
                  <c:v>-0.67880211386715239</c:v>
                </c:pt>
                <c:pt idx="44">
                  <c:v>-0.60771276602291047</c:v>
                </c:pt>
                <c:pt idx="45">
                  <c:v>-0.51494252873563218</c:v>
                </c:pt>
                <c:pt idx="46">
                  <c:v>-0.38878842647175199</c:v>
                </c:pt>
                <c:pt idx="47">
                  <c:v>-0.20727673688924436</c:v>
                </c:pt>
                <c:pt idx="48">
                  <c:v>7.6271186440677971E-2</c:v>
                </c:pt>
                <c:pt idx="49">
                  <c:v>8.1602374208190553E-2</c:v>
                </c:pt>
                <c:pt idx="50">
                  <c:v>8.7499999660156313E-2</c:v>
                </c:pt>
                <c:pt idx="51">
                  <c:v>9.405940594059406E-2</c:v>
                </c:pt>
                <c:pt idx="52">
                  <c:v>0.10139860143711181</c:v>
                </c:pt>
                <c:pt idx="53">
                  <c:v>0.1096654274680422</c:v>
                </c:pt>
                <c:pt idx="54">
                  <c:v>0.11904761904761904</c:v>
                </c:pt>
                <c:pt idx="55">
                  <c:v>3.8391224861484781E-2</c:v>
                </c:pt>
                <c:pt idx="56">
                  <c:v>-3.0508474577305371E-2</c:v>
                </c:pt>
                <c:pt idx="57">
                  <c:v>-9.004739336492891E-2</c:v>
                </c:pt>
                <c:pt idx="58">
                  <c:v>-0.14201183454378344</c:v>
                </c:pt>
                <c:pt idx="59">
                  <c:v>-0.18776077866140775</c:v>
                </c:pt>
                <c:pt idx="60">
                  <c:v>-0.2283464566929134</c:v>
                </c:pt>
                <c:pt idx="61">
                  <c:v>-0.16735253744855971</c:v>
                </c:pt>
                <c:pt idx="62">
                  <c:v>-0.10057471293103443</c:v>
                </c:pt>
                <c:pt idx="63">
                  <c:v>-2.7149321266968326E-2</c:v>
                </c:pt>
                <c:pt idx="64">
                  <c:v>5.3968254285714223E-2</c:v>
                </c:pt>
                <c:pt idx="65">
                  <c:v>0.14405360100502521</c:v>
                </c:pt>
                <c:pt idx="66">
                  <c:v>0.24468085106382978</c:v>
                </c:pt>
                <c:pt idx="67">
                  <c:v>0.22359154890057786</c:v>
                </c:pt>
                <c:pt idx="68">
                  <c:v>0.2027972031889089</c:v>
                </c:pt>
                <c:pt idx="69">
                  <c:v>0.16749999999999998</c:v>
                </c:pt>
                <c:pt idx="70">
                  <c:v>0.10731034478940318</c:v>
                </c:pt>
                <c:pt idx="71">
                  <c:v>0.12273972606584724</c:v>
                </c:pt>
                <c:pt idx="72">
                  <c:v>0.1280612244897959</c:v>
                </c:pt>
                <c:pt idx="73">
                  <c:v>8.6820427977983491E-2</c:v>
                </c:pt>
                <c:pt idx="74">
                  <c:v>3.2747604163817057E-2</c:v>
                </c:pt>
                <c:pt idx="75">
                  <c:v>3.4325581395348817E-2</c:v>
                </c:pt>
                <c:pt idx="76">
                  <c:v>-3.222891595414791E-2</c:v>
                </c:pt>
                <c:pt idx="77">
                  <c:v>-6.6354318906692383E-2</c:v>
                </c:pt>
                <c:pt idx="78">
                  <c:v>-0.10324786324786324</c:v>
                </c:pt>
                <c:pt idx="79">
                  <c:v>-0.11614388463773934</c:v>
                </c:pt>
                <c:pt idx="80">
                  <c:v>-0.13627907001852341</c:v>
                </c:pt>
                <c:pt idx="81">
                  <c:v>-0.10778015703069235</c:v>
                </c:pt>
                <c:pt idx="82">
                  <c:v>-4.9794469357249738E-2</c:v>
                </c:pt>
                <c:pt idx="83">
                  <c:v>-7.0735724743777484E-2</c:v>
                </c:pt>
                <c:pt idx="84">
                  <c:v>-6.8204432383536795E-2</c:v>
                </c:pt>
                <c:pt idx="85">
                  <c:v>-9.3497044110959535E-2</c:v>
                </c:pt>
                <c:pt idx="86">
                  <c:v>-3.5452436194895527E-2</c:v>
                </c:pt>
                <c:pt idx="87">
                  <c:v>-6.5383577659861469E-2</c:v>
                </c:pt>
                <c:pt idx="88">
                  <c:v>-5.3221288515406057E-2</c:v>
                </c:pt>
                <c:pt idx="89">
                  <c:v>-3.1050056454647937E-3</c:v>
                </c:pt>
                <c:pt idx="90">
                  <c:v>3.0880670987418937E-2</c:v>
                </c:pt>
                <c:pt idx="91">
                  <c:v>5.6944715764797801E-2</c:v>
                </c:pt>
                <c:pt idx="92">
                  <c:v>0.10187802907915983</c:v>
                </c:pt>
                <c:pt idx="93">
                  <c:v>8.0100000000000046E-2</c:v>
                </c:pt>
                <c:pt idx="94">
                  <c:v>6.7348343329072941E-2</c:v>
                </c:pt>
                <c:pt idx="95">
                  <c:v>7.2082717872969049E-2</c:v>
                </c:pt>
                <c:pt idx="96">
                  <c:v>6.6013008445781937E-2</c:v>
                </c:pt>
                <c:pt idx="97">
                  <c:v>0.12671816996087082</c:v>
                </c:pt>
                <c:pt idx="98">
                  <c:v>7.2837486769941243E-2</c:v>
                </c:pt>
                <c:pt idx="99">
                  <c:v>6.5242494226327954E-2</c:v>
                </c:pt>
                <c:pt idx="100">
                  <c:v>9.9605522682445699E-2</c:v>
                </c:pt>
                <c:pt idx="101">
                  <c:v>4.0113260972156679E-2</c:v>
                </c:pt>
                <c:pt idx="102">
                  <c:v>2.5332840236686475E-2</c:v>
                </c:pt>
                <c:pt idx="103">
                  <c:v>4.4265779502818653E-2</c:v>
                </c:pt>
                <c:pt idx="104">
                  <c:v>4.0043984238981076E-2</c:v>
                </c:pt>
                <c:pt idx="105">
                  <c:v>5.5457827978890796E-2</c:v>
                </c:pt>
                <c:pt idx="106">
                  <c:v>4.8268238761974898E-2</c:v>
                </c:pt>
                <c:pt idx="107">
                  <c:v>5.7224212363369061E-2</c:v>
                </c:pt>
                <c:pt idx="108">
                  <c:v>5.4548766050450732E-2</c:v>
                </c:pt>
                <c:pt idx="109">
                  <c:v>3.6509349955476479E-2</c:v>
                </c:pt>
                <c:pt idx="110">
                  <c:v>4.125560538116587E-2</c:v>
                </c:pt>
                <c:pt idx="111">
                  <c:v>4.8780487804877967E-2</c:v>
                </c:pt>
                <c:pt idx="112">
                  <c:v>1.5246636771300474E-2</c:v>
                </c:pt>
                <c:pt idx="113">
                  <c:v>3.9927404718693209E-2</c:v>
                </c:pt>
                <c:pt idx="114">
                  <c:v>4.3282236248872834E-2</c:v>
                </c:pt>
                <c:pt idx="115">
                  <c:v>4.2477876106194662E-2</c:v>
                </c:pt>
                <c:pt idx="116">
                  <c:v>4.4933920704845767E-2</c:v>
                </c:pt>
                <c:pt idx="117">
                  <c:v>6.455263157894732E-2</c:v>
                </c:pt>
                <c:pt idx="118">
                  <c:v>7.2056239015817244E-2</c:v>
                </c:pt>
                <c:pt idx="119">
                  <c:v>6.5160729800173761E-2</c:v>
                </c:pt>
                <c:pt idx="120">
                  <c:v>5.3540587219343724E-2</c:v>
                </c:pt>
                <c:pt idx="121">
                  <c:v>7.8178694158075546E-2</c:v>
                </c:pt>
                <c:pt idx="122">
                  <c:v>8.6132644272179162E-2</c:v>
                </c:pt>
                <c:pt idx="123">
                  <c:v>8.9577950043066373E-2</c:v>
                </c:pt>
                <c:pt idx="124">
                  <c:v>0.13427561837455831</c:v>
                </c:pt>
                <c:pt idx="125">
                  <c:v>0.11169284467713797</c:v>
                </c:pt>
                <c:pt idx="126">
                  <c:v>7.4727744165946422E-2</c:v>
                </c:pt>
                <c:pt idx="127">
                  <c:v>5.0933786078098474E-2</c:v>
                </c:pt>
                <c:pt idx="128">
                  <c:v>4.384485666104556E-2</c:v>
                </c:pt>
                <c:pt idx="129">
                  <c:v>1.7641872461045371E-2</c:v>
                </c:pt>
                <c:pt idx="130">
                  <c:v>3.2786885245902103E-3</c:v>
                </c:pt>
                <c:pt idx="131">
                  <c:v>-9.7879282218596136E-3</c:v>
                </c:pt>
                <c:pt idx="132">
                  <c:v>-1.8032786885245924E-2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236608"/>
        <c:axId val="434088960"/>
      </c:scatterChart>
      <c:valAx>
        <c:axId val="42923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Purchase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34088960"/>
        <c:crosses val="autoZero"/>
        <c:crossBetween val="midCat"/>
      </c:valAx>
      <c:valAx>
        <c:axId val="4340889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MCAI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29236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Prediction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'step4 Pred. Chg'!$C$1</c:f>
              <c:strCache>
                <c:ptCount val="1"/>
                <c:pt idx="0">
                  <c:v>Purchase Chg</c:v>
                </c:pt>
              </c:strCache>
            </c:strRef>
          </c:tx>
          <c:marker>
            <c:symbol val="none"/>
          </c:marker>
          <c:cat>
            <c:numRef>
              <c:f>'step4 Pred. Chg'!$A$2:$A$307</c:f>
              <c:numCache>
                <c:formatCode>m/d/yyyy</c:formatCode>
                <c:ptCount val="306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</c:numCache>
            </c:numRef>
          </c:cat>
          <c:val>
            <c:numRef>
              <c:f>'step4 Pred. Chg'!$C$2:$C$307</c:f>
              <c:numCache>
                <c:formatCode>0%</c:formatCode>
                <c:ptCount val="306"/>
                <c:pt idx="0">
                  <c:v>5.4383116883116943E-2</c:v>
                </c:pt>
                <c:pt idx="1">
                  <c:v>1.372597953581233E-2</c:v>
                </c:pt>
                <c:pt idx="2">
                  <c:v>-0.24187256176853048</c:v>
                </c:pt>
                <c:pt idx="3">
                  <c:v>-0.22739726027397261</c:v>
                </c:pt>
                <c:pt idx="4">
                  <c:v>-0.37216374269005859</c:v>
                </c:pt>
                <c:pt idx="5">
                  <c:v>-0.23777173913043478</c:v>
                </c:pt>
                <c:pt idx="6">
                  <c:v>-0.31838691483361525</c:v>
                </c:pt>
                <c:pt idx="7">
                  <c:v>-0.1803094864319354</c:v>
                </c:pt>
                <c:pt idx="8">
                  <c:v>-0.32877563704164064</c:v>
                </c:pt>
                <c:pt idx="9">
                  <c:v>-0.49733155436957988</c:v>
                </c:pt>
                <c:pt idx="10">
                  <c:v>-0.2646627565982404</c:v>
                </c:pt>
                <c:pt idx="11">
                  <c:v>-0.27059569074778211</c:v>
                </c:pt>
                <c:pt idx="12">
                  <c:v>-0.52034334763948464</c:v>
                </c:pt>
                <c:pt idx="13">
                  <c:v>-0.30946356275303649</c:v>
                </c:pt>
                <c:pt idx="14">
                  <c:v>-1.1561954624782E-2</c:v>
                </c:pt>
                <c:pt idx="15">
                  <c:v>-5.3124999999999901E-2</c:v>
                </c:pt>
                <c:pt idx="16">
                  <c:v>-2.8980565973406357E-3</c:v>
                </c:pt>
                <c:pt idx="17">
                  <c:v>-2.7881448957189751E-2</c:v>
                </c:pt>
                <c:pt idx="18">
                  <c:v>-0.1845133689839572</c:v>
                </c:pt>
                <c:pt idx="19">
                  <c:v>-0.35616568497054923</c:v>
                </c:pt>
                <c:pt idx="20">
                  <c:v>-0.37675397567820412</c:v>
                </c:pt>
                <c:pt idx="21">
                  <c:v>-0.23751392292269996</c:v>
                </c:pt>
                <c:pt idx="22">
                  <c:v>-0.33502415458937207</c:v>
                </c:pt>
                <c:pt idx="23">
                  <c:v>-0.34887780548628433</c:v>
                </c:pt>
                <c:pt idx="24">
                  <c:v>-3.8843721770551232E-2</c:v>
                </c:pt>
                <c:pt idx="25">
                  <c:v>-0.1905314009661834</c:v>
                </c:pt>
                <c:pt idx="26">
                  <c:v>-0.29695924088850534</c:v>
                </c:pt>
                <c:pt idx="27">
                  <c:v>-0.41331072488342546</c:v>
                </c:pt>
                <c:pt idx="28">
                  <c:v>-0.2763471018187999</c:v>
                </c:pt>
                <c:pt idx="29">
                  <c:v>-0.34856898761213173</c:v>
                </c:pt>
                <c:pt idx="30">
                  <c:v>-0.20037561398439765</c:v>
                </c:pt>
                <c:pt idx="31">
                  <c:v>-6.199649737302973E-2</c:v>
                </c:pt>
                <c:pt idx="32">
                  <c:v>-0.2026499065738066</c:v>
                </c:pt>
                <c:pt idx="33">
                  <c:v>-0.18073156682027647</c:v>
                </c:pt>
                <c:pt idx="34">
                  <c:v>-0.17405464085398958</c:v>
                </c:pt>
                <c:pt idx="35">
                  <c:v>-0.11961545572194476</c:v>
                </c:pt>
                <c:pt idx="36">
                  <c:v>2.3369565217391263E-2</c:v>
                </c:pt>
                <c:pt idx="37">
                  <c:v>-6.6547638370394796E-3</c:v>
                </c:pt>
                <c:pt idx="38">
                  <c:v>-3.3255736614566014E-3</c:v>
                </c:pt>
                <c:pt idx="39">
                  <c:v>3.3713257348530319E-2</c:v>
                </c:pt>
                <c:pt idx="40">
                  <c:v>2.8466788746462496E-2</c:v>
                </c:pt>
                <c:pt idx="41">
                  <c:v>8.0297751029458242E-2</c:v>
                </c:pt>
                <c:pt idx="42">
                  <c:v>0.13298832591166218</c:v>
                </c:pt>
                <c:pt idx="43">
                  <c:v>6.4973614775725552E-2</c:v>
                </c:pt>
                <c:pt idx="44">
                  <c:v>0.21988700564971761</c:v>
                </c:pt>
                <c:pt idx="45">
                  <c:v>0.17505183558970616</c:v>
                </c:pt>
                <c:pt idx="46">
                  <c:v>0.16366158113730933</c:v>
                </c:pt>
                <c:pt idx="47">
                  <c:v>0.17754293262879786</c:v>
                </c:pt>
                <c:pt idx="48">
                  <c:v>3.8026340196624001E-2</c:v>
                </c:pt>
                <c:pt idx="49">
                  <c:v>0.10238632699129314</c:v>
                </c:pt>
                <c:pt idx="50">
                  <c:v>7.5505469008949389E-2</c:v>
                </c:pt>
                <c:pt idx="51">
                  <c:v>6.8630494164390404E-2</c:v>
                </c:pt>
                <c:pt idx="52">
                  <c:v>-7.02535983550375E-2</c:v>
                </c:pt>
                <c:pt idx="53">
                  <c:v>-0.18643017048389832</c:v>
                </c:pt>
                <c:pt idx="54">
                  <c:v>-0.12246668517490292</c:v>
                </c:pt>
                <c:pt idx="55">
                  <c:v>-8.8888888888888851E-2</c:v>
                </c:pt>
                <c:pt idx="56">
                  <c:v>-0.36659907300115885</c:v>
                </c:pt>
                <c:pt idx="57">
                  <c:v>-0.38218443910552596</c:v>
                </c:pt>
                <c:pt idx="58">
                  <c:v>-0.38842822922424902</c:v>
                </c:pt>
                <c:pt idx="59">
                  <c:v>-0.64375200770960483</c:v>
                </c:pt>
                <c:pt idx="60">
                  <c:v>-0.36309294253760133</c:v>
                </c:pt>
                <c:pt idx="61">
                  <c:v>-0.24591341835818234</c:v>
                </c:pt>
                <c:pt idx="62">
                  <c:v>-0.28567331134375473</c:v>
                </c:pt>
                <c:pt idx="63">
                  <c:v>-0.18213631061489724</c:v>
                </c:pt>
                <c:pt idx="64">
                  <c:v>-0.21127121357668935</c:v>
                </c:pt>
                <c:pt idx="65">
                  <c:v>-6.6389921040408931E-2</c:v>
                </c:pt>
                <c:pt idx="66">
                  <c:v>-0.12227546761477839</c:v>
                </c:pt>
                <c:pt idx="67">
                  <c:v>-0.17926789763524487</c:v>
                </c:pt>
                <c:pt idx="68">
                  <c:v>1.2321144674085792E-2</c:v>
                </c:pt>
                <c:pt idx="69">
                  <c:v>2.5137050407808472E-2</c:v>
                </c:pt>
                <c:pt idx="70">
                  <c:v>-6.1074983410749961E-2</c:v>
                </c:pt>
                <c:pt idx="71">
                  <c:v>7.0866718780535451E-2</c:v>
                </c:pt>
                <c:pt idx="72">
                  <c:v>-4.2750035365681179E-2</c:v>
                </c:pt>
                <c:pt idx="73">
                  <c:v>-6.2283737024221519E-2</c:v>
                </c:pt>
                <c:pt idx="74">
                  <c:v>-0.14263803680981588</c:v>
                </c:pt>
                <c:pt idx="75">
                  <c:v>-1.3814491119255968E-2</c:v>
                </c:pt>
                <c:pt idx="76">
                  <c:v>-2.0196679708152504E-2</c:v>
                </c:pt>
                <c:pt idx="77">
                  <c:v>-0.13107390771743579</c:v>
                </c:pt>
                <c:pt idx="78">
                  <c:v>-0.16501377410468296</c:v>
                </c:pt>
                <c:pt idx="79">
                  <c:v>-0.17525546643225987</c:v>
                </c:pt>
                <c:pt idx="80">
                  <c:v>-0.17142857142857137</c:v>
                </c:pt>
                <c:pt idx="81">
                  <c:v>-0.20762584007680718</c:v>
                </c:pt>
                <c:pt idx="82">
                  <c:v>-0.12479987992795673</c:v>
                </c:pt>
                <c:pt idx="83">
                  <c:v>-0.19823846457210473</c:v>
                </c:pt>
                <c:pt idx="84">
                  <c:v>-0.46613848491426041</c:v>
                </c:pt>
                <c:pt idx="85">
                  <c:v>-0.275787187839305</c:v>
                </c:pt>
                <c:pt idx="86">
                  <c:v>-9.68883465527762E-2</c:v>
                </c:pt>
                <c:pt idx="87">
                  <c:v>-0.39710789766407117</c:v>
                </c:pt>
                <c:pt idx="88">
                  <c:v>-0.37271973466003328</c:v>
                </c:pt>
                <c:pt idx="89">
                  <c:v>-0.26365824308062591</c:v>
                </c:pt>
                <c:pt idx="90">
                  <c:v>-0.24237408370773234</c:v>
                </c:pt>
                <c:pt idx="91">
                  <c:v>-0.19039827973074056</c:v>
                </c:pt>
                <c:pt idx="92">
                  <c:v>-0.33917325088743855</c:v>
                </c:pt>
                <c:pt idx="93">
                  <c:v>-0.35644194075958541</c:v>
                </c:pt>
                <c:pt idx="94">
                  <c:v>-0.2685421994884909</c:v>
                </c:pt>
                <c:pt idx="95">
                  <c:v>-0.23433900164563881</c:v>
                </c:pt>
                <c:pt idx="96">
                  <c:v>1.4434821230290626E-2</c:v>
                </c:pt>
                <c:pt idx="97">
                  <c:v>-4.9518850726310772E-2</c:v>
                </c:pt>
                <c:pt idx="98">
                  <c:v>-0.14138093013972602</c:v>
                </c:pt>
                <c:pt idx="99">
                  <c:v>-9.8983987964147507E-2</c:v>
                </c:pt>
                <c:pt idx="100">
                  <c:v>-8.2388410066510653E-2</c:v>
                </c:pt>
                <c:pt idx="101">
                  <c:v>-0.17128871348255234</c:v>
                </c:pt>
                <c:pt idx="102">
                  <c:v>-7.9285017927557447E-2</c:v>
                </c:pt>
                <c:pt idx="103">
                  <c:v>-7.9179884110735357E-2</c:v>
                </c:pt>
                <c:pt idx="104">
                  <c:v>0.10396846017423311</c:v>
                </c:pt>
                <c:pt idx="105">
                  <c:v>9.8865501719996293E-2</c:v>
                </c:pt>
                <c:pt idx="106">
                  <c:v>-2.201834325858492E-2</c:v>
                </c:pt>
                <c:pt idx="107">
                  <c:v>5.4834189824694728E-2</c:v>
                </c:pt>
                <c:pt idx="108">
                  <c:v>-3.9403900128871107E-2</c:v>
                </c:pt>
                <c:pt idx="109">
                  <c:v>-0.11385450709948532</c:v>
                </c:pt>
                <c:pt idx="110">
                  <c:v>-0.13246837763394431</c:v>
                </c:pt>
                <c:pt idx="111">
                  <c:v>-8.1481952750850073E-2</c:v>
                </c:pt>
                <c:pt idx="112">
                  <c:v>-3.5891185904280802E-2</c:v>
                </c:pt>
                <c:pt idx="113">
                  <c:v>5.8764572919701302E-4</c:v>
                </c:pt>
                <c:pt idx="114">
                  <c:v>-7.3277804119208367E-2</c:v>
                </c:pt>
                <c:pt idx="115">
                  <c:v>-9.2137874358619809E-2</c:v>
                </c:pt>
                <c:pt idx="116">
                  <c:v>-0.17114933433804377</c:v>
                </c:pt>
                <c:pt idx="117">
                  <c:v>-9.7159139036340103E-2</c:v>
                </c:pt>
                <c:pt idx="118">
                  <c:v>-3.9784193455350253E-2</c:v>
                </c:pt>
                <c:pt idx="119">
                  <c:v>-7.4525447321120777E-2</c:v>
                </c:pt>
                <c:pt idx="120">
                  <c:v>-9.584652042131904E-2</c:v>
                </c:pt>
                <c:pt idx="121">
                  <c:v>-1.3460628670760876E-2</c:v>
                </c:pt>
                <c:pt idx="122">
                  <c:v>7.1329497132200199E-3</c:v>
                </c:pt>
                <c:pt idx="123">
                  <c:v>2.7974145948217826E-2</c:v>
                </c:pt>
                <c:pt idx="124">
                  <c:v>4.0439853250830082E-3</c:v>
                </c:pt>
                <c:pt idx="125">
                  <c:v>-1.6170804570903547E-2</c:v>
                </c:pt>
                <c:pt idx="126">
                  <c:v>1.7779249693088119E-2</c:v>
                </c:pt>
                <c:pt idx="127">
                  <c:v>2.7799194666251539E-2</c:v>
                </c:pt>
                <c:pt idx="128">
                  <c:v>7.6968879665595902E-2</c:v>
                </c:pt>
                <c:pt idx="129">
                  <c:v>0.1203760927193661</c:v>
                </c:pt>
                <c:pt idx="130">
                  <c:v>9.1323411773728581E-3</c:v>
                </c:pt>
                <c:pt idx="131">
                  <c:v>-4.9929883076140207E-2</c:v>
                </c:pt>
                <c:pt idx="132">
                  <c:v>-0.11680316649064594</c:v>
                </c:pt>
                <c:pt idx="133">
                  <c:v>-7.9984361557804293E-2</c:v>
                </c:pt>
                <c:pt idx="134">
                  <c:v>-8.829170190836097E-2</c:v>
                </c:pt>
                <c:pt idx="135">
                  <c:v>-0.14824553321742998</c:v>
                </c:pt>
                <c:pt idx="136">
                  <c:v>-0.20002971414991336</c:v>
                </c:pt>
                <c:pt idx="137">
                  <c:v>-0.15223474853642968</c:v>
                </c:pt>
                <c:pt idx="138">
                  <c:v>-0.21068933565350242</c:v>
                </c:pt>
                <c:pt idx="139">
                  <c:v>-0.19828588262595986</c:v>
                </c:pt>
                <c:pt idx="140">
                  <c:v>-0.26875593997935521</c:v>
                </c:pt>
                <c:pt idx="141">
                  <c:v>-0.30915819832201191</c:v>
                </c:pt>
                <c:pt idx="142">
                  <c:v>-0.16220306889206196</c:v>
                </c:pt>
                <c:pt idx="143">
                  <c:v>-0.16928680950162192</c:v>
                </c:pt>
                <c:pt idx="144">
                  <c:v>-6.0349945478442898E-2</c:v>
                </c:pt>
                <c:pt idx="145">
                  <c:v>-7.653631382739795E-2</c:v>
                </c:pt>
                <c:pt idx="146">
                  <c:v>-0.12648569289863409</c:v>
                </c:pt>
                <c:pt idx="147">
                  <c:v>-9.8404425055254124E-2</c:v>
                </c:pt>
                <c:pt idx="148">
                  <c:v>-0.15014632701079886</c:v>
                </c:pt>
                <c:pt idx="149">
                  <c:v>-0.14789146431205746</c:v>
                </c:pt>
                <c:pt idx="150">
                  <c:v>-0.16942610231859165</c:v>
                </c:pt>
                <c:pt idx="151">
                  <c:v>-0.13310022036428967</c:v>
                </c:pt>
                <c:pt idx="152">
                  <c:v>-0.11482841529138495</c:v>
                </c:pt>
                <c:pt idx="153">
                  <c:v>-0.12162210313528454</c:v>
                </c:pt>
                <c:pt idx="154">
                  <c:v>-0.18885020196692365</c:v>
                </c:pt>
                <c:pt idx="155">
                  <c:v>-0.13745324247099369</c:v>
                </c:pt>
                <c:pt idx="156">
                  <c:v>-0.21583072350496216</c:v>
                </c:pt>
                <c:pt idx="157">
                  <c:v>-0.24669932096769678</c:v>
                </c:pt>
                <c:pt idx="158">
                  <c:v>-0.21581102846038586</c:v>
                </c:pt>
                <c:pt idx="159">
                  <c:v>-0.21081524127985357</c:v>
                </c:pt>
                <c:pt idx="160">
                  <c:v>-9.9192027979982555E-2</c:v>
                </c:pt>
                <c:pt idx="161">
                  <c:v>-3.4084524502510961E-2</c:v>
                </c:pt>
                <c:pt idx="162">
                  <c:v>-4.9538861471787508E-2</c:v>
                </c:pt>
                <c:pt idx="163">
                  <c:v>-8.7839276148744136E-2</c:v>
                </c:pt>
                <c:pt idx="164">
                  <c:v>-0.11208860768776169</c:v>
                </c:pt>
                <c:pt idx="165">
                  <c:v>-0.15240775469647747</c:v>
                </c:pt>
                <c:pt idx="166">
                  <c:v>-8.6877887772973436E-2</c:v>
                </c:pt>
                <c:pt idx="167">
                  <c:v>-0.12541979531154268</c:v>
                </c:pt>
                <c:pt idx="168">
                  <c:v>6.1590805413350845E-2</c:v>
                </c:pt>
                <c:pt idx="169">
                  <c:v>-1.7401405338578695E-2</c:v>
                </c:pt>
                <c:pt idx="170">
                  <c:v>-1.2721151988803693E-2</c:v>
                </c:pt>
                <c:pt idx="171">
                  <c:v>-7.7602789418238496E-3</c:v>
                </c:pt>
                <c:pt idx="172">
                  <c:v>-2.5409904335446858E-2</c:v>
                </c:pt>
                <c:pt idx="173">
                  <c:v>-8.9977424744309364E-2</c:v>
                </c:pt>
                <c:pt idx="174">
                  <c:v>-5.6135384054593195E-2</c:v>
                </c:pt>
                <c:pt idx="175">
                  <c:v>-7.3255667357596199E-2</c:v>
                </c:pt>
                <c:pt idx="176">
                  <c:v>-4.7114224757930728E-2</c:v>
                </c:pt>
                <c:pt idx="177">
                  <c:v>-7.618003785407639E-3</c:v>
                </c:pt>
                <c:pt idx="178">
                  <c:v>1.164723032080347E-2</c:v>
                </c:pt>
                <c:pt idx="179">
                  <c:v>4.5063969564716221E-2</c:v>
                </c:pt>
                <c:pt idx="180">
                  <c:v>-3.8620693719923903E-2</c:v>
                </c:pt>
                <c:pt idx="181">
                  <c:v>6.9792061649376944E-2</c:v>
                </c:pt>
                <c:pt idx="182">
                  <c:v>0.12134405722564114</c:v>
                </c:pt>
                <c:pt idx="183">
                  <c:v>0.13515983447834315</c:v>
                </c:pt>
                <c:pt idx="184">
                  <c:v>0.16782822852807425</c:v>
                </c:pt>
                <c:pt idx="185">
                  <c:v>0.18452432368077848</c:v>
                </c:pt>
                <c:pt idx="186">
                  <c:v>0.20827746033678721</c:v>
                </c:pt>
                <c:pt idx="187">
                  <c:v>0.22603859028770057</c:v>
                </c:pt>
                <c:pt idx="188">
                  <c:v>0.20832877102644662</c:v>
                </c:pt>
                <c:pt idx="189">
                  <c:v>0.19652403841979613</c:v>
                </c:pt>
                <c:pt idx="190">
                  <c:v>0.15183330683578827</c:v>
                </c:pt>
                <c:pt idx="191">
                  <c:v>7.7714304509304388E-2</c:v>
                </c:pt>
                <c:pt idx="192">
                  <c:v>5.8764767668997679E-2</c:v>
                </c:pt>
                <c:pt idx="193">
                  <c:v>3.3073263370687583E-2</c:v>
                </c:pt>
                <c:pt idx="194">
                  <c:v>5.5935102356190706E-3</c:v>
                </c:pt>
                <c:pt idx="195">
                  <c:v>7.0190004536898297E-3</c:v>
                </c:pt>
                <c:pt idx="196">
                  <c:v>-5.4792053879607013E-2</c:v>
                </c:pt>
                <c:pt idx="197">
                  <c:v>-8.6635522441541948E-2</c:v>
                </c:pt>
                <c:pt idx="198">
                  <c:v>-9.157848468092486E-2</c:v>
                </c:pt>
                <c:pt idx="199">
                  <c:v>-0.14673341689045033</c:v>
                </c:pt>
                <c:pt idx="200">
                  <c:v>-9.137175319760063E-2</c:v>
                </c:pt>
                <c:pt idx="201">
                  <c:v>-9.9072904192244682E-2</c:v>
                </c:pt>
                <c:pt idx="202">
                  <c:v>-5.3827841944817427E-2</c:v>
                </c:pt>
                <c:pt idx="203">
                  <c:v>2.7523047454750999E-2</c:v>
                </c:pt>
                <c:pt idx="204">
                  <c:v>2.3890784529678594E-2</c:v>
                </c:pt>
                <c:pt idx="205">
                  <c:v>4.6742530999163381E-2</c:v>
                </c:pt>
                <c:pt idx="206">
                  <c:v>8.5333138153063842E-2</c:v>
                </c:pt>
                <c:pt idx="207">
                  <c:v>0.11140076634428989</c:v>
                </c:pt>
                <c:pt idx="208">
                  <c:v>0.17088036536690848</c:v>
                </c:pt>
                <c:pt idx="209">
                  <c:v>0.20339588904189035</c:v>
                </c:pt>
                <c:pt idx="210">
                  <c:v>0.21381309961497458</c:v>
                </c:pt>
                <c:pt idx="211">
                  <c:v>0.27110277256148235</c:v>
                </c:pt>
                <c:pt idx="212">
                  <c:v>0.19359949419920924</c:v>
                </c:pt>
                <c:pt idx="213">
                  <c:v>0.30091134605512848</c:v>
                </c:pt>
                <c:pt idx="214">
                  <c:v>0.32672774483895001</c:v>
                </c:pt>
                <c:pt idx="215">
                  <c:v>0.26198433432808421</c:v>
                </c:pt>
                <c:pt idx="216">
                  <c:v>0.28890230375171383</c:v>
                </c:pt>
                <c:pt idx="217">
                  <c:v>0.35394370911018924</c:v>
                </c:pt>
                <c:pt idx="218">
                  <c:v>0.30179186937432045</c:v>
                </c:pt>
                <c:pt idx="219">
                  <c:v>0.27305088347389722</c:v>
                </c:pt>
                <c:pt idx="220">
                  <c:v>0.27344363537545524</c:v>
                </c:pt>
                <c:pt idx="221">
                  <c:v>0.23559840990030745</c:v>
                </c:pt>
                <c:pt idx="222">
                  <c:v>0.22125579623180641</c:v>
                </c:pt>
                <c:pt idx="223">
                  <c:v>0.14160343805115991</c:v>
                </c:pt>
                <c:pt idx="224">
                  <c:v>0.18563951478182528</c:v>
                </c:pt>
                <c:pt idx="225">
                  <c:v>6.4299337099340839E-2</c:v>
                </c:pt>
                <c:pt idx="226">
                  <c:v>0.23460158713541074</c:v>
                </c:pt>
                <c:pt idx="227">
                  <c:v>0.25896094006071302</c:v>
                </c:pt>
                <c:pt idx="228">
                  <c:v>0.25920024152203636</c:v>
                </c:pt>
                <c:pt idx="229">
                  <c:v>0.13201788818632079</c:v>
                </c:pt>
                <c:pt idx="230">
                  <c:v>0.1159505782658987</c:v>
                </c:pt>
                <c:pt idx="231">
                  <c:v>5.5709551785527618E-2</c:v>
                </c:pt>
                <c:pt idx="232">
                  <c:v>0.21249280571097623</c:v>
                </c:pt>
                <c:pt idx="233">
                  <c:v>0.35025053159754638</c:v>
                </c:pt>
                <c:pt idx="234">
                  <c:v>0.36050188575230097</c:v>
                </c:pt>
                <c:pt idx="235">
                  <c:v>0.37237046637712973</c:v>
                </c:pt>
                <c:pt idx="236">
                  <c:v>0.35649104916734226</c:v>
                </c:pt>
                <c:pt idx="237">
                  <c:v>0.33683958359680327</c:v>
                </c:pt>
                <c:pt idx="238">
                  <c:v>0.11013015882127031</c:v>
                </c:pt>
                <c:pt idx="239">
                  <c:v>0.10196677036268086</c:v>
                </c:pt>
                <c:pt idx="240">
                  <c:v>0.15576463570226132</c:v>
                </c:pt>
                <c:pt idx="241">
                  <c:v>0.14793787924586255</c:v>
                </c:pt>
                <c:pt idx="242">
                  <c:v>0.17002443768318459</c:v>
                </c:pt>
                <c:pt idx="243">
                  <c:v>0.22480343178103435</c:v>
                </c:pt>
                <c:pt idx="244">
                  <c:v>6.4195792936312973E-2</c:v>
                </c:pt>
                <c:pt idx="245">
                  <c:v>-6.0691055571998595E-2</c:v>
                </c:pt>
                <c:pt idx="246">
                  <c:v>-8.3169664223906772E-2</c:v>
                </c:pt>
                <c:pt idx="247">
                  <c:v>3.0094942535785499E-2</c:v>
                </c:pt>
                <c:pt idx="248">
                  <c:v>6.2178925743277942E-2</c:v>
                </c:pt>
                <c:pt idx="249">
                  <c:v>5.6523311654861082E-2</c:v>
                </c:pt>
                <c:pt idx="250">
                  <c:v>4.4238784155370754E-2</c:v>
                </c:pt>
                <c:pt idx="251">
                  <c:v>8.438277947439618E-2</c:v>
                </c:pt>
                <c:pt idx="252">
                  <c:v>8.302853384027295E-3</c:v>
                </c:pt>
                <c:pt idx="253">
                  <c:v>4.858566759948757E-2</c:v>
                </c:pt>
                <c:pt idx="254">
                  <c:v>9.4173446506162477E-3</c:v>
                </c:pt>
                <c:pt idx="255">
                  <c:v>2.0790499054557571E-2</c:v>
                </c:pt>
                <c:pt idx="256">
                  <c:v>6.6549425224715622E-3</c:v>
                </c:pt>
                <c:pt idx="257">
                  <c:v>-2.4527295925030661E-2</c:v>
                </c:pt>
                <c:pt idx="258">
                  <c:v>-2.5324561905304407E-2</c:v>
                </c:pt>
                <c:pt idx="259">
                  <c:v>-6.7483405700880086E-2</c:v>
                </c:pt>
                <c:pt idx="260">
                  <c:v>-0.11447589495368908</c:v>
                </c:pt>
                <c:pt idx="261">
                  <c:v>-0.12699708841867646</c:v>
                </c:pt>
                <c:pt idx="262">
                  <c:v>-5.9224331562148208E-2</c:v>
                </c:pt>
                <c:pt idx="263">
                  <c:v>-3.7736763811509699E-2</c:v>
                </c:pt>
                <c:pt idx="264">
                  <c:v>-0.11767781441735921</c:v>
                </c:pt>
                <c:pt idx="265">
                  <c:v>-0.1523074420049437</c:v>
                </c:pt>
                <c:pt idx="266">
                  <c:v>-9.8254753094330891E-2</c:v>
                </c:pt>
                <c:pt idx="267">
                  <c:v>-0.13943810279183536</c:v>
                </c:pt>
                <c:pt idx="268">
                  <c:v>-0.11370642315720274</c:v>
                </c:pt>
                <c:pt idx="269">
                  <c:v>-0.1267662406314683</c:v>
                </c:pt>
                <c:pt idx="270">
                  <c:v>-5.9663807717074684E-2</c:v>
                </c:pt>
                <c:pt idx="271">
                  <c:v>-5.7895445417944141E-2</c:v>
                </c:pt>
                <c:pt idx="272">
                  <c:v>-6.4271417576107744E-3</c:v>
                </c:pt>
                <c:pt idx="273">
                  <c:v>4.5204543304506538E-2</c:v>
                </c:pt>
                <c:pt idx="274">
                  <c:v>4.8167149905232305E-2</c:v>
                </c:pt>
                <c:pt idx="275">
                  <c:v>7.8943820237856746E-2</c:v>
                </c:pt>
                <c:pt idx="276">
                  <c:v>0.10437823628309874</c:v>
                </c:pt>
                <c:pt idx="277">
                  <c:v>0.16162467848093054</c:v>
                </c:pt>
                <c:pt idx="278">
                  <c:v>0.16558693686333753</c:v>
                </c:pt>
                <c:pt idx="279">
                  <c:v>0.17334934707300942</c:v>
                </c:pt>
                <c:pt idx="280">
                  <c:v>0.14646841929718402</c:v>
                </c:pt>
                <c:pt idx="281">
                  <c:v>0.15576871995966057</c:v>
                </c:pt>
                <c:pt idx="282">
                  <c:v>0.13626343367272115</c:v>
                </c:pt>
                <c:pt idx="283">
                  <c:v>0.11696312137049575</c:v>
                </c:pt>
                <c:pt idx="284">
                  <c:v>0.12373189669899676</c:v>
                </c:pt>
                <c:pt idx="285">
                  <c:v>0.10287394166851106</c:v>
                </c:pt>
                <c:pt idx="286">
                  <c:v>8.3481497592362772E-2</c:v>
                </c:pt>
                <c:pt idx="287">
                  <c:v>5.8243967767733995E-2</c:v>
                </c:pt>
                <c:pt idx="288">
                  <c:v>-2.896258954304053E-3</c:v>
                </c:pt>
                <c:pt idx="289">
                  <c:v>-2.8440325907031862E-2</c:v>
                </c:pt>
                <c:pt idx="290">
                  <c:v>-3.0813301229825871E-2</c:v>
                </c:pt>
                <c:pt idx="291">
                  <c:v>-0.13336555771694908</c:v>
                </c:pt>
                <c:pt idx="292">
                  <c:v>-0.11920648943859918</c:v>
                </c:pt>
                <c:pt idx="293">
                  <c:v>-0.14936463854570203</c:v>
                </c:pt>
                <c:pt idx="294">
                  <c:v>-0.17455426700195723</c:v>
                </c:pt>
                <c:pt idx="295">
                  <c:v>-0.20096698023223064</c:v>
                </c:pt>
                <c:pt idx="296">
                  <c:v>-0.22169686739943956</c:v>
                </c:pt>
                <c:pt idx="297">
                  <c:v>-0.22162100140722807</c:v>
                </c:pt>
                <c:pt idx="298">
                  <c:v>-0.22516070678175656</c:v>
                </c:pt>
                <c:pt idx="299">
                  <c:v>-0.35869054000592315</c:v>
                </c:pt>
                <c:pt idx="300">
                  <c:v>-0.20691523954042915</c:v>
                </c:pt>
                <c:pt idx="301">
                  <c:v>-0.28282679256417825</c:v>
                </c:pt>
                <c:pt idx="302">
                  <c:v>-0.27229254571026756</c:v>
                </c:pt>
                <c:pt idx="303">
                  <c:v>-0.16357337292749322</c:v>
                </c:pt>
                <c:pt idx="304">
                  <c:v>-0.13685878391760764</c:v>
                </c:pt>
                <c:pt idx="305">
                  <c:v>-0.16029901981425271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'step4 Pred. Chg'!$D$1</c:f>
              <c:strCache>
                <c:ptCount val="1"/>
                <c:pt idx="0">
                  <c:v>MBACAI Predict</c:v>
                </c:pt>
              </c:strCache>
            </c:strRef>
          </c:tx>
          <c:marker>
            <c:symbol val="none"/>
          </c:marker>
          <c:cat>
            <c:numRef>
              <c:f>'step4 Pred. Chg'!$A$2:$A$307</c:f>
              <c:numCache>
                <c:formatCode>m/d/yyyy</c:formatCode>
                <c:ptCount val="306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</c:numCache>
            </c:numRef>
          </c:cat>
          <c:val>
            <c:numRef>
              <c:f>'step4 Pred. Chg'!$D$2:$D$307</c:f>
              <c:numCache>
                <c:formatCode>0%</c:formatCode>
                <c:ptCount val="306"/>
                <c:pt idx="0">
                  <c:v>4.9003870527597443E-2</c:v>
                </c:pt>
                <c:pt idx="1">
                  <c:v>2.1127777961068128E-2</c:v>
                </c:pt>
                <c:pt idx="2">
                  <c:v>-0.15412038416124829</c:v>
                </c:pt>
                <c:pt idx="3">
                  <c:v>-0.14419556232876712</c:v>
                </c:pt>
                <c:pt idx="4">
                  <c:v>-0.24345301446783629</c:v>
                </c:pt>
                <c:pt idx="5">
                  <c:v>-0.15130870289402171</c:v>
                </c:pt>
                <c:pt idx="6">
                  <c:v>-0.20658155894811048</c:v>
                </c:pt>
                <c:pt idx="7">
                  <c:v>-0.11191037876653956</c:v>
                </c:pt>
                <c:pt idx="8">
                  <c:v>-0.21370446530142934</c:v>
                </c:pt>
                <c:pt idx="9">
                  <c:v>-0.32927286634089398</c:v>
                </c:pt>
                <c:pt idx="10">
                  <c:v>-0.16974621574046916</c:v>
                </c:pt>
                <c:pt idx="11">
                  <c:v>-0.1738140629214196</c:v>
                </c:pt>
                <c:pt idx="12">
                  <c:v>-0.34505063430901262</c:v>
                </c:pt>
                <c:pt idx="13">
                  <c:v>-0.20046336655111341</c:v>
                </c:pt>
                <c:pt idx="14">
                  <c:v>3.7894005082896014E-3</c:v>
                </c:pt>
                <c:pt idx="15">
                  <c:v>-2.4707817343749931E-2</c:v>
                </c:pt>
                <c:pt idx="16">
                  <c:v>9.7297012563927528E-3</c:v>
                </c:pt>
                <c:pt idx="17">
                  <c:v>-7.3998706586167994E-3</c:v>
                </c:pt>
                <c:pt idx="18">
                  <c:v>-0.11479272186310159</c:v>
                </c:pt>
                <c:pt idx="19">
                  <c:v>-0.23248413256982714</c:v>
                </c:pt>
                <c:pt idx="20">
                  <c:v>-0.24660025423994397</c:v>
                </c:pt>
                <c:pt idx="21">
                  <c:v>-0.15113193421474719</c:v>
                </c:pt>
                <c:pt idx="22">
                  <c:v>-0.21798868856280196</c:v>
                </c:pt>
                <c:pt idx="23">
                  <c:v>-0.2274872829052369</c:v>
                </c:pt>
                <c:pt idx="24">
                  <c:v>-1.4916025302619824E-2</c:v>
                </c:pt>
                <c:pt idx="25">
                  <c:v>-0.11891891538164238</c:v>
                </c:pt>
                <c:pt idx="26">
                  <c:v>-0.19188992394004734</c:v>
                </c:pt>
                <c:pt idx="27">
                  <c:v>-0.27166496344637575</c:v>
                </c:pt>
                <c:pt idx="28">
                  <c:v>-0.17775745091832396</c:v>
                </c:pt>
                <c:pt idx="29">
                  <c:v>-0.22727554552755241</c:v>
                </c:pt>
                <c:pt idx="30">
                  <c:v>-0.1256684853524993</c:v>
                </c:pt>
                <c:pt idx="31">
                  <c:v>-3.0790456164623434E-2</c:v>
                </c:pt>
                <c:pt idx="32">
                  <c:v>-0.12722782757091888</c:v>
                </c:pt>
                <c:pt idx="33">
                  <c:v>-0.11219977326756909</c:v>
                </c:pt>
                <c:pt idx="34">
                  <c:v>-0.107621816764972</c:v>
                </c:pt>
                <c:pt idx="35">
                  <c:v>-7.0296223695692259E-2</c:v>
                </c:pt>
                <c:pt idx="36">
                  <c:v>2.7739790135869535E-2</c:v>
                </c:pt>
                <c:pt idx="37">
                  <c:v>7.1539587031325827E-3</c:v>
                </c:pt>
                <c:pt idx="38">
                  <c:v>9.4365791619554374E-3</c:v>
                </c:pt>
                <c:pt idx="39">
                  <c:v>3.4831822141571697E-2</c:v>
                </c:pt>
                <c:pt idx="40">
                  <c:v>3.1234642065923114E-2</c:v>
                </c:pt>
                <c:pt idx="41">
                  <c:v>6.6771937524548547E-2</c:v>
                </c:pt>
                <c:pt idx="42">
                  <c:v>0.1028986163473343</c:v>
                </c:pt>
                <c:pt idx="43">
                  <c:v>5.6265122028364083E-2</c:v>
                </c:pt>
                <c:pt idx="44">
                  <c:v>0.16247968374011307</c:v>
                </c:pt>
                <c:pt idx="45">
                  <c:v>0.1317389717181974</c:v>
                </c:pt>
                <c:pt idx="46">
                  <c:v>0.12392937644937589</c:v>
                </c:pt>
                <c:pt idx="47">
                  <c:v>0.13344696338177012</c:v>
                </c:pt>
                <c:pt idx="48">
                  <c:v>3.7789037148951952E-2</c:v>
                </c:pt>
                <c:pt idx="49">
                  <c:v>8.1916712300870692E-2</c:v>
                </c:pt>
                <c:pt idx="50">
                  <c:v>6.3486165187272181E-2</c:v>
                </c:pt>
                <c:pt idx="51">
                  <c:v>5.877241877855726E-2</c:v>
                </c:pt>
                <c:pt idx="52">
                  <c:v>-3.6451841257710622E-2</c:v>
                </c:pt>
                <c:pt idx="53">
                  <c:v>-0.11610695448079873</c:v>
                </c:pt>
                <c:pt idx="54">
                  <c:v>-7.2251135953289886E-2</c:v>
                </c:pt>
                <c:pt idx="55">
                  <c:v>-4.9228911111111079E-2</c:v>
                </c:pt>
                <c:pt idx="56">
                  <c:v>-0.23963766352404409</c:v>
                </c:pt>
                <c:pt idx="57">
                  <c:v>-0.25032358822398826</c:v>
                </c:pt>
                <c:pt idx="58">
                  <c:v>-0.25460457017873583</c:v>
                </c:pt>
                <c:pt idx="59">
                  <c:v>-0.42966434437520068</c:v>
                </c:pt>
                <c:pt idx="60">
                  <c:v>-0.23723372601812576</c:v>
                </c:pt>
                <c:pt idx="61">
                  <c:v>-0.15689095040596385</c:v>
                </c:pt>
                <c:pt idx="62">
                  <c:v>-0.18415185782876825</c:v>
                </c:pt>
                <c:pt idx="63">
                  <c:v>-0.11316291948508563</c:v>
                </c:pt>
                <c:pt idx="64">
                  <c:v>-0.13313892627921886</c:v>
                </c:pt>
                <c:pt idx="65">
                  <c:v>-3.380275591877626E-2</c:v>
                </c:pt>
                <c:pt idx="66">
                  <c:v>-7.2120029860875082E-2</c:v>
                </c:pt>
                <c:pt idx="67">
                  <c:v>-0.11119622554259818</c:v>
                </c:pt>
                <c:pt idx="68">
                  <c:v>2.0164569304451471E-2</c:v>
                </c:pt>
                <c:pt idx="69">
                  <c:v>2.8951645765476628E-2</c:v>
                </c:pt>
                <c:pt idx="70">
                  <c:v>-3.0158630852023971E-2</c:v>
                </c:pt>
                <c:pt idx="71">
                  <c:v>6.0305660134600335E-2</c:v>
                </c:pt>
                <c:pt idx="72">
                  <c:v>-1.7594343710567287E-2</c:v>
                </c:pt>
                <c:pt idx="73">
                  <c:v>-3.0987398685121147E-2</c:v>
                </c:pt>
                <c:pt idx="74">
                  <c:v>-8.6081388205521414E-2</c:v>
                </c:pt>
                <c:pt idx="75">
                  <c:v>2.2449751029036853E-3</c:v>
                </c:pt>
                <c:pt idx="76">
                  <c:v>-2.1308981505761635E-3</c:v>
                </c:pt>
                <c:pt idx="77">
                  <c:v>-7.8152577815434943E-2</c:v>
                </c:pt>
                <c:pt idx="78">
                  <c:v>-0.10142305180440754</c:v>
                </c:pt>
                <c:pt idx="79">
                  <c:v>-0.10844514883309503</c:v>
                </c:pt>
                <c:pt idx="80">
                  <c:v>-0.10582128285714282</c:v>
                </c:pt>
                <c:pt idx="81">
                  <c:v>-0.13063951840762594</c:v>
                </c:pt>
                <c:pt idx="82">
                  <c:v>-7.3850863754002363E-2</c:v>
                </c:pt>
                <c:pt idx="83">
                  <c:v>-0.12420317375575134</c:v>
                </c:pt>
                <c:pt idx="84">
                  <c:v>-0.30788570166811335</c:v>
                </c:pt>
                <c:pt idx="85">
                  <c:v>-0.17737355242128111</c:v>
                </c:pt>
                <c:pt idx="86">
                  <c:v>-5.471364606467366E-2</c:v>
                </c:pt>
                <c:pt idx="87">
                  <c:v>-0.26055568372636256</c:v>
                </c:pt>
                <c:pt idx="88">
                  <c:v>-0.24383422388474302</c:v>
                </c:pt>
                <c:pt idx="89">
                  <c:v>-0.16905748274969923</c:v>
                </c:pt>
                <c:pt idx="90">
                  <c:v>-0.15446424683613147</c:v>
                </c:pt>
                <c:pt idx="91">
                  <c:v>-0.11882764235742339</c:v>
                </c:pt>
                <c:pt idx="92">
                  <c:v>-0.22083346810259941</c:v>
                </c:pt>
                <c:pt idx="93">
                  <c:v>-0.23267354413319985</c:v>
                </c:pt>
                <c:pt idx="94">
                  <c:v>-0.17240611056265975</c:v>
                </c:pt>
                <c:pt idx="95">
                  <c:v>-0.14895508642896305</c:v>
                </c:pt>
                <c:pt idx="96">
                  <c:v>2.1613787010881434E-2</c:v>
                </c:pt>
                <c:pt idx="97">
                  <c:v>-2.2235303105884015E-2</c:v>
                </c:pt>
                <c:pt idx="98">
                  <c:v>-8.5219467662467019E-2</c:v>
                </c:pt>
                <c:pt idx="99">
                  <c:v>-5.6150498184157946E-2</c:v>
                </c:pt>
                <c:pt idx="100">
                  <c:v>-4.4771933537125753E-2</c:v>
                </c:pt>
                <c:pt idx="101">
                  <c:v>-0.10572539088579994</c:v>
                </c:pt>
                <c:pt idx="102">
                  <c:v>-4.2644128871570902E-2</c:v>
                </c:pt>
                <c:pt idx="103">
                  <c:v>-4.2572045094875804E-2</c:v>
                </c:pt>
                <c:pt idx="104">
                  <c:v>8.3001483485901903E-2</c:v>
                </c:pt>
                <c:pt idx="105">
                  <c:v>7.950269947122042E-2</c:v>
                </c:pt>
                <c:pt idx="106">
                  <c:v>-3.3799005415497876E-3</c:v>
                </c:pt>
                <c:pt idx="107">
                  <c:v>4.9313143434990478E-2</c:v>
                </c:pt>
                <c:pt idx="108">
                  <c:v>-1.530010506792397E-2</c:v>
                </c:pt>
                <c:pt idx="109">
                  <c:v>-6.6346296387754397E-2</c:v>
                </c:pt>
                <c:pt idx="110">
                  <c:v>-7.910867986811447E-2</c:v>
                </c:pt>
                <c:pt idx="111">
                  <c:v>-4.41504316388708E-2</c:v>
                </c:pt>
                <c:pt idx="112">
                  <c:v>-1.2891653482954346E-2</c:v>
                </c:pt>
                <c:pt idx="113">
                  <c:v>1.2119632448151186E-2</c:v>
                </c:pt>
                <c:pt idx="114">
                  <c:v>-3.8525352707917224E-2</c:v>
                </c:pt>
                <c:pt idx="115">
                  <c:v>-5.145654014775139E-2</c:v>
                </c:pt>
                <c:pt idx="116">
                  <c:v>-0.10562982719913466</c:v>
                </c:pt>
                <c:pt idx="117">
                  <c:v>-5.4899311776296811E-2</c:v>
                </c:pt>
                <c:pt idx="118">
                  <c:v>-1.5560848756807143E-2</c:v>
                </c:pt>
                <c:pt idx="119">
                  <c:v>-3.9380784734265165E-2</c:v>
                </c:pt>
                <c:pt idx="120">
                  <c:v>-5.3999330114914493E-2</c:v>
                </c:pt>
                <c:pt idx="121">
                  <c:v>2.4875967682168199E-3</c:v>
                </c:pt>
                <c:pt idx="122">
                  <c:v>1.6607343872005145E-2</c:v>
                </c:pt>
                <c:pt idx="123">
                  <c:v>3.0896867270595253E-2</c:v>
                </c:pt>
                <c:pt idx="124">
                  <c:v>1.4489431425714128E-2</c:v>
                </c:pt>
                <c:pt idx="125">
                  <c:v>6.2939623583323397E-4</c:v>
                </c:pt>
                <c:pt idx="126">
                  <c:v>2.3906855423806946E-2</c:v>
                </c:pt>
                <c:pt idx="127">
                  <c:v>3.0776913962297505E-2</c:v>
                </c:pt>
                <c:pt idx="128">
                  <c:v>6.4489535655267716E-2</c:v>
                </c:pt>
                <c:pt idx="129">
                  <c:v>9.4251185591553183E-2</c:v>
                </c:pt>
                <c:pt idx="130">
                  <c:v>1.7978203336490983E-2</c:v>
                </c:pt>
                <c:pt idx="131">
                  <c:v>-2.2517122648017696E-2</c:v>
                </c:pt>
                <c:pt idx="132">
                  <c:v>-6.8368010347421765E-2</c:v>
                </c:pt>
                <c:pt idx="133">
                  <c:v>-4.3123625684296361E-2</c:v>
                </c:pt>
                <c:pt idx="134">
                  <c:v>-4.8819456815140459E-2</c:v>
                </c:pt>
                <c:pt idx="135">
                  <c:v>-8.9926102790068879E-2</c:v>
                </c:pt>
                <c:pt idx="136">
                  <c:v>-0.12543132316071826</c:v>
                </c:pt>
                <c:pt idx="137">
                  <c:v>-9.2661261799182548E-2</c:v>
                </c:pt>
                <c:pt idx="138">
                  <c:v>-0.13273996846006358</c:v>
                </c:pt>
                <c:pt idx="139">
                  <c:v>-0.12423568539195677</c:v>
                </c:pt>
                <c:pt idx="140">
                  <c:v>-0.17255265924014412</c:v>
                </c:pt>
                <c:pt idx="141">
                  <c:v>-0.200253996986477</c:v>
                </c:pt>
                <c:pt idx="142">
                  <c:v>-9.9495924520089679E-2</c:v>
                </c:pt>
                <c:pt idx="143">
                  <c:v>-0.10435280874345637</c:v>
                </c:pt>
                <c:pt idx="144">
                  <c:v>-2.9661517040429547E-2</c:v>
                </c:pt>
                <c:pt idx="145">
                  <c:v>-4.0759511927699311E-2</c:v>
                </c:pt>
                <c:pt idx="146">
                  <c:v>-7.5006721777626198E-2</c:v>
                </c:pt>
                <c:pt idx="147">
                  <c:v>-5.5753127627583096E-2</c:v>
                </c:pt>
                <c:pt idx="148">
                  <c:v>-9.1229359910244556E-2</c:v>
                </c:pt>
                <c:pt idx="149">
                  <c:v>-8.9683339570002962E-2</c:v>
                </c:pt>
                <c:pt idx="150">
                  <c:v>-0.10444831324065035</c:v>
                </c:pt>
                <c:pt idx="151">
                  <c:v>-7.9541895475207958E-2</c:v>
                </c:pt>
                <c:pt idx="152">
                  <c:v>-6.7014045193499933E-2</c:v>
                </c:pt>
                <c:pt idx="153">
                  <c:v>-7.1672058117206311E-2</c:v>
                </c:pt>
                <c:pt idx="154">
                  <c:v>-0.11776622087376827</c:v>
                </c:pt>
                <c:pt idx="155">
                  <c:v>-8.2526494369962025E-2</c:v>
                </c:pt>
                <c:pt idx="156">
                  <c:v>-0.13626510114324847</c:v>
                </c:pt>
                <c:pt idx="157">
                  <c:v>-0.15742979537441204</c:v>
                </c:pt>
                <c:pt idx="158">
                  <c:v>-0.13625159746538201</c:v>
                </c:pt>
                <c:pt idx="159">
                  <c:v>-0.13282629418597069</c:v>
                </c:pt>
                <c:pt idx="160">
                  <c:v>-5.6293138397349063E-2</c:v>
                </c:pt>
                <c:pt idx="161">
                  <c:v>-1.1652937140436186E-2</c:v>
                </c:pt>
                <c:pt idx="162">
                  <c:v>-2.2249023240394954E-2</c:v>
                </c:pt>
                <c:pt idx="163">
                  <c:v>-4.8509256363819281E-2</c:v>
                </c:pt>
                <c:pt idx="164">
                  <c:v>-6.5135528028834239E-2</c:v>
                </c:pt>
                <c:pt idx="165">
                  <c:v>-9.2779881457297556E-2</c:v>
                </c:pt>
                <c:pt idx="166">
                  <c:v>-4.7850091624146676E-2</c:v>
                </c:pt>
                <c:pt idx="167">
                  <c:v>-7.427590151474385E-2</c:v>
                </c:pt>
                <c:pt idx="168">
                  <c:v>5.3945738198780936E-2</c:v>
                </c:pt>
                <c:pt idx="169">
                  <c:v>-2.1435084402428653E-4</c:v>
                </c:pt>
                <c:pt idx="170">
                  <c:v>2.994610340297417E-3</c:v>
                </c:pt>
                <c:pt idx="171">
                  <c:v>6.3959751507881501E-3</c:v>
                </c:pt>
                <c:pt idx="172">
                  <c:v>-5.70528488221363E-3</c:v>
                </c:pt>
                <c:pt idx="173">
                  <c:v>-4.9975253038937441E-2</c:v>
                </c:pt>
                <c:pt idx="174">
                  <c:v>-2.6771852099807585E-2</c:v>
                </c:pt>
                <c:pt idx="175">
                  <c:v>-3.8510174895211115E-2</c:v>
                </c:pt>
                <c:pt idx="176">
                  <c:v>-2.0586599324556774E-2</c:v>
                </c:pt>
                <c:pt idx="177">
                  <c:v>6.4935244542793525E-3</c:v>
                </c:pt>
                <c:pt idx="178">
                  <c:v>1.9702507779225661E-2</c:v>
                </c:pt>
                <c:pt idx="179">
                  <c:v>4.2614305736802249E-2</c:v>
                </c:pt>
                <c:pt idx="180">
                  <c:v>-1.4763108717983985E-2</c:v>
                </c:pt>
                <c:pt idx="181">
                  <c:v>5.9568833992377085E-2</c:v>
                </c:pt>
                <c:pt idx="182">
                  <c:v>9.4914859178494154E-2</c:v>
                </c:pt>
                <c:pt idx="183">
                  <c:v>0.1043874858980043</c:v>
                </c:pt>
                <c:pt idx="184">
                  <c:v>0.12678618969141175</c:v>
                </c:pt>
                <c:pt idx="185">
                  <c:v>0.13823367282335486</c:v>
                </c:pt>
                <c:pt idx="186">
                  <c:v>0.1545197342475052</c:v>
                </c:pt>
                <c:pt idx="187">
                  <c:v>0.16669744608118503</c:v>
                </c:pt>
                <c:pt idx="188">
                  <c:v>0.15455491482410066</c:v>
                </c:pt>
                <c:pt idx="189">
                  <c:v>0.14646113743748562</c:v>
                </c:pt>
                <c:pt idx="190">
                  <c:v>0.11581945797393359</c:v>
                </c:pt>
                <c:pt idx="191">
                  <c:v>6.500062751515702E-2</c:v>
                </c:pt>
                <c:pt idx="192">
                  <c:v>5.2008098342704909E-2</c:v>
                </c:pt>
                <c:pt idx="193">
                  <c:v>3.4393017726593672E-2</c:v>
                </c:pt>
                <c:pt idx="194">
                  <c:v>1.5551845128657971E-2</c:v>
                </c:pt>
                <c:pt idx="195">
                  <c:v>1.6529215889717147E-2</c:v>
                </c:pt>
                <c:pt idx="196">
                  <c:v>-2.5850813415124851E-2</c:v>
                </c:pt>
                <c:pt idx="197">
                  <c:v>-4.7683916658206787E-2</c:v>
                </c:pt>
                <c:pt idx="198">
                  <c:v>-5.1073001132129592E-2</c:v>
                </c:pt>
                <c:pt idx="199">
                  <c:v>-8.8889337846630487E-2</c:v>
                </c:pt>
                <c:pt idx="200">
                  <c:v>-5.0931258099010113E-2</c:v>
                </c:pt>
                <c:pt idx="201">
                  <c:v>-5.6211462560078723E-2</c:v>
                </c:pt>
                <c:pt idx="202">
                  <c:v>-2.518971273510541E-2</c:v>
                </c:pt>
                <c:pt idx="203">
                  <c:v>3.0587576843847174E-2</c:v>
                </c:pt>
                <c:pt idx="204">
                  <c:v>2.8097158085134355E-2</c:v>
                </c:pt>
                <c:pt idx="205">
                  <c:v>4.3765191829090229E-2</c:v>
                </c:pt>
                <c:pt idx="206">
                  <c:v>7.022439204358874E-2</c:v>
                </c:pt>
                <c:pt idx="207">
                  <c:v>8.8097357625034442E-2</c:v>
                </c:pt>
                <c:pt idx="208">
                  <c:v>0.12887885175756425</c:v>
                </c:pt>
                <c:pt idx="209">
                  <c:v>0.15117274175946477</c:v>
                </c:pt>
                <c:pt idx="210">
                  <c:v>0.1583151808283968</c:v>
                </c:pt>
                <c:pt idx="211">
                  <c:v>0.19759517765948004</c:v>
                </c:pt>
                <c:pt idx="212">
                  <c:v>0.14445595776358039</c:v>
                </c:pt>
                <c:pt idx="213">
                  <c:v>0.21803307880551731</c:v>
                </c:pt>
                <c:pt idx="214">
                  <c:v>0.23573379187059867</c:v>
                </c:pt>
                <c:pt idx="215">
                  <c:v>0.191343226714556</c:v>
                </c:pt>
                <c:pt idx="216">
                  <c:v>0.20979921885552388</c:v>
                </c:pt>
                <c:pt idx="217">
                  <c:v>0.2543941007071901</c:v>
                </c:pt>
                <c:pt idx="218">
                  <c:v>0.2186367993612246</c:v>
                </c:pt>
                <c:pt idx="219">
                  <c:v>0.19893087721108516</c:v>
                </c:pt>
                <c:pt idx="220">
                  <c:v>0.19920016297682874</c:v>
                </c:pt>
                <c:pt idx="221">
                  <c:v>0.17325202502667048</c:v>
                </c:pt>
                <c:pt idx="222">
                  <c:v>0.16341817905631195</c:v>
                </c:pt>
                <c:pt idx="223">
                  <c:v>0.10880546761972448</c:v>
                </c:pt>
                <c:pt idx="224">
                  <c:v>0.13899829060981128</c:v>
                </c:pt>
                <c:pt idx="225">
                  <c:v>5.5802811394885833E-2</c:v>
                </c:pt>
                <c:pt idx="226">
                  <c:v>0.17256856511090424</c:v>
                </c:pt>
                <c:pt idx="227">
                  <c:v>0.18927027165767618</c:v>
                </c:pt>
                <c:pt idx="228">
                  <c:v>0.1894343459167705</c:v>
                </c:pt>
                <c:pt idx="229">
                  <c:v>0.10223324702655347</c:v>
                </c:pt>
                <c:pt idx="230">
                  <c:v>9.1216883163776644E-2</c:v>
                </c:pt>
                <c:pt idx="231">
                  <c:v>4.991332516546871E-2</c:v>
                </c:pt>
                <c:pt idx="232">
                  <c:v>0.15740993669454428</c:v>
                </c:pt>
                <c:pt idx="233">
                  <c:v>0.25186191657116452</c:v>
                </c:pt>
                <c:pt idx="234">
                  <c:v>0.25889063811909613</c:v>
                </c:pt>
                <c:pt idx="235">
                  <c:v>0.26702819215554568</c:v>
                </c:pt>
                <c:pt idx="236">
                  <c:v>0.25614065474086539</c:v>
                </c:pt>
                <c:pt idx="237">
                  <c:v>0.24266685631199925</c:v>
                </c:pt>
                <c:pt idx="238">
                  <c:v>8.7226180379453719E-2</c:v>
                </c:pt>
                <c:pt idx="239">
                  <c:v>8.1629048186297404E-2</c:v>
                </c:pt>
                <c:pt idx="240">
                  <c:v>0.11851492781124953</c:v>
                </c:pt>
                <c:pt idx="241">
                  <c:v>0.11314860342863244</c:v>
                </c:pt>
                <c:pt idx="242">
                  <c:v>0.12829199491277649</c:v>
                </c:pt>
                <c:pt idx="243">
                  <c:v>0.16585057404068593</c:v>
                </c:pt>
                <c:pt idx="244">
                  <c:v>5.573181754579528E-2</c:v>
                </c:pt>
                <c:pt idx="245">
                  <c:v>-2.9895395202143418E-2</c:v>
                </c:pt>
                <c:pt idx="246">
                  <c:v>-4.5307591348533467E-2</c:v>
                </c:pt>
                <c:pt idx="247">
                  <c:v>3.2350966743580782E-2</c:v>
                </c:pt>
                <c:pt idx="248">
                  <c:v>5.4348976051393612E-2</c:v>
                </c:pt>
                <c:pt idx="249">
                  <c:v>5.0471270139574718E-2</c:v>
                </c:pt>
                <c:pt idx="250">
                  <c:v>4.2048526974294544E-2</c:v>
                </c:pt>
                <c:pt idx="251">
                  <c:v>6.9572789687238859E-2</c:v>
                </c:pt>
                <c:pt idx="252">
                  <c:v>1.740947469451639E-2</c:v>
                </c:pt>
                <c:pt idx="253">
                  <c:v>4.5028916966561118E-2</c:v>
                </c:pt>
                <c:pt idx="254">
                  <c:v>1.8173612647629851E-2</c:v>
                </c:pt>
                <c:pt idx="255">
                  <c:v>2.5971483467443414E-2</c:v>
                </c:pt>
                <c:pt idx="256">
                  <c:v>1.627960381045224E-2</c:v>
                </c:pt>
                <c:pt idx="257">
                  <c:v>-5.1001347079997449E-3</c:v>
                </c:pt>
                <c:pt idx="258">
                  <c:v>-5.6467708392257676E-3</c:v>
                </c:pt>
                <c:pt idx="259">
                  <c:v>-3.4552490937132016E-2</c:v>
                </c:pt>
                <c:pt idx="260">
                  <c:v>-6.6772343730820707E-2</c:v>
                </c:pt>
                <c:pt idx="261">
                  <c:v>-7.5357354158185438E-2</c:v>
                </c:pt>
                <c:pt idx="262">
                  <c:v>-2.8889752972124219E-2</c:v>
                </c:pt>
                <c:pt idx="263">
                  <c:v>-1.4157052474063219E-2</c:v>
                </c:pt>
                <c:pt idx="264">
                  <c:v>-6.8967702508724374E-2</c:v>
                </c:pt>
                <c:pt idx="265">
                  <c:v>-9.2711103228990288E-2</c:v>
                </c:pt>
                <c:pt idx="266">
                  <c:v>-5.5650506791254425E-2</c:v>
                </c:pt>
                <c:pt idx="267">
                  <c:v>-8.3887390725324376E-2</c:v>
                </c:pt>
                <c:pt idx="268">
                  <c:v>-6.6244764357906272E-2</c:v>
                </c:pt>
                <c:pt idx="269">
                  <c:v>-7.5199076062262879E-2</c:v>
                </c:pt>
                <c:pt idx="270">
                  <c:v>-2.9191074677852348E-2</c:v>
                </c:pt>
                <c:pt idx="271">
                  <c:v>-2.797861766887428E-2</c:v>
                </c:pt>
                <c:pt idx="272">
                  <c:v>7.310025130095649E-3</c:v>
                </c:pt>
                <c:pt idx="273">
                  <c:v>4.2710688483805409E-2</c:v>
                </c:pt>
                <c:pt idx="274">
                  <c:v>4.4741965185226135E-2</c:v>
                </c:pt>
                <c:pt idx="275">
                  <c:v>6.5843630650580701E-2</c:v>
                </c:pt>
                <c:pt idx="276">
                  <c:v>8.328244170105395E-2</c:v>
                </c:pt>
                <c:pt idx="277">
                  <c:v>0.12253279787294571</c:v>
                </c:pt>
                <c:pt idx="278">
                  <c:v>0.1252494741725329</c:v>
                </c:pt>
                <c:pt idx="279">
                  <c:v>0.1305716803007155</c:v>
                </c:pt>
                <c:pt idx="280">
                  <c:v>0.1121410853340294</c:v>
                </c:pt>
                <c:pt idx="281">
                  <c:v>0.11851772813475374</c:v>
                </c:pt>
                <c:pt idx="282">
                  <c:v>0.10514415582869896</c:v>
                </c:pt>
                <c:pt idx="283">
                  <c:v>9.1911121547316441E-2</c:v>
                </c:pt>
                <c:pt idx="284">
                  <c:v>9.6552053495070581E-2</c:v>
                </c:pt>
                <c:pt idx="285">
                  <c:v>8.225103962359416E-2</c:v>
                </c:pt>
                <c:pt idx="286">
                  <c:v>6.8954836264756569E-2</c:v>
                </c:pt>
                <c:pt idx="287">
                  <c:v>5.1651017957722319E-2</c:v>
                </c:pt>
                <c:pt idx="288">
                  <c:v>9.7309337893982436E-3</c:v>
                </c:pt>
                <c:pt idx="289">
                  <c:v>-7.7830581283595789E-3</c:v>
                </c:pt>
                <c:pt idx="290">
                  <c:v>-9.4100610132707811E-3</c:v>
                </c:pt>
                <c:pt idx="291">
                  <c:v>-7.9723820939878731E-2</c:v>
                </c:pt>
                <c:pt idx="292">
                  <c:v>-7.0015820727973563E-2</c:v>
                </c:pt>
                <c:pt idx="293">
                  <c:v>-9.0693404320821541E-2</c:v>
                </c:pt>
                <c:pt idx="294">
                  <c:v>-0.10796437961268139</c:v>
                </c:pt>
                <c:pt idx="295">
                  <c:v>-0.12607394873090921</c:v>
                </c:pt>
                <c:pt idx="296">
                  <c:v>-0.14028715436392053</c:v>
                </c:pt>
                <c:pt idx="297">
                  <c:v>-0.14023513773019952</c:v>
                </c:pt>
                <c:pt idx="298">
                  <c:v>-0.14266209548267739</c:v>
                </c:pt>
                <c:pt idx="299">
                  <c:v>-0.23421527001027015</c:v>
                </c:pt>
                <c:pt idx="300">
                  <c:v>-0.1301523034283546</c:v>
                </c:pt>
                <c:pt idx="301">
                  <c:v>-0.18220017538949546</c:v>
                </c:pt>
                <c:pt idx="302">
                  <c:v>-0.17497749175808741</c:v>
                </c:pt>
                <c:pt idx="303">
                  <c:v>-0.10043545751794111</c:v>
                </c:pt>
                <c:pt idx="304">
                  <c:v>-8.2118910788275032E-2</c:v>
                </c:pt>
                <c:pt idx="305">
                  <c:v>-9.819043545206152E-2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284544"/>
        <c:axId val="510286080"/>
      </c:lineChart>
      <c:dateAx>
        <c:axId val="510284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10286080"/>
        <c:crosses val="autoZero"/>
        <c:auto val="1"/>
        <c:lblOffset val="100"/>
        <c:baseTimeUnit val="months"/>
      </c:dateAx>
      <c:valAx>
        <c:axId val="5102860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02845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'step5 Pred. Level'!$B$1</c:f>
              <c:strCache>
                <c:ptCount val="1"/>
                <c:pt idx="0">
                  <c:v>MCAI Raw</c:v>
                </c:pt>
              </c:strCache>
            </c:strRef>
          </c:tx>
          <c:marker>
            <c:symbol val="none"/>
          </c:marker>
          <c:cat>
            <c:numRef>
              <c:f>'step5 Pred. Level'!$A$2:$A$319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'step5 Pred. Level'!$B$2:$B$319</c:f>
              <c:numCache>
                <c:formatCode>0.00</c:formatCode>
                <c:ptCount val="318"/>
                <c:pt idx="173">
                  <c:v>377</c:v>
                </c:pt>
                <c:pt idx="174">
                  <c:v>383.5</c:v>
                </c:pt>
                <c:pt idx="175">
                  <c:v>390</c:v>
                </c:pt>
                <c:pt idx="176">
                  <c:v>396.5</c:v>
                </c:pt>
                <c:pt idx="177">
                  <c:v>403</c:v>
                </c:pt>
                <c:pt idx="178">
                  <c:v>409.5</c:v>
                </c:pt>
                <c:pt idx="179">
                  <c:v>416</c:v>
                </c:pt>
                <c:pt idx="180">
                  <c:v>480.83333329999999</c:v>
                </c:pt>
                <c:pt idx="181">
                  <c:v>545.66666669999995</c:v>
                </c:pt>
                <c:pt idx="182">
                  <c:v>610.5</c:v>
                </c:pt>
                <c:pt idx="183">
                  <c:v>675.33333330000005</c:v>
                </c:pt>
                <c:pt idx="184">
                  <c:v>740.16666669999995</c:v>
                </c:pt>
                <c:pt idx="185">
                  <c:v>805</c:v>
                </c:pt>
                <c:pt idx="186">
                  <c:v>812.16666669999995</c:v>
                </c:pt>
                <c:pt idx="187">
                  <c:v>819.33333330000005</c:v>
                </c:pt>
                <c:pt idx="188">
                  <c:v>826.5</c:v>
                </c:pt>
                <c:pt idx="189">
                  <c:v>833.66666669999995</c:v>
                </c:pt>
                <c:pt idx="190">
                  <c:v>840.83333330000005</c:v>
                </c:pt>
                <c:pt idx="191">
                  <c:v>848</c:v>
                </c:pt>
                <c:pt idx="192">
                  <c:v>851.83333330000005</c:v>
                </c:pt>
                <c:pt idx="193">
                  <c:v>855.66666669999995</c:v>
                </c:pt>
                <c:pt idx="194">
                  <c:v>859.5</c:v>
                </c:pt>
                <c:pt idx="195">
                  <c:v>863.33333330000005</c:v>
                </c:pt>
                <c:pt idx="196">
                  <c:v>867.16666669999995</c:v>
                </c:pt>
                <c:pt idx="197">
                  <c:v>871</c:v>
                </c:pt>
                <c:pt idx="198">
                  <c:v>846.83333330000005</c:v>
                </c:pt>
                <c:pt idx="199">
                  <c:v>822.66666669999995</c:v>
                </c:pt>
                <c:pt idx="200">
                  <c:v>798.5</c:v>
                </c:pt>
                <c:pt idx="201">
                  <c:v>774.33333330000005</c:v>
                </c:pt>
                <c:pt idx="202">
                  <c:v>750.16666669999995</c:v>
                </c:pt>
                <c:pt idx="203">
                  <c:v>726</c:v>
                </c:pt>
                <c:pt idx="204">
                  <c:v>696.33333330000005</c:v>
                </c:pt>
                <c:pt idx="205">
                  <c:v>666.66666669999995</c:v>
                </c:pt>
                <c:pt idx="206">
                  <c:v>637</c:v>
                </c:pt>
                <c:pt idx="207">
                  <c:v>607.33333330000005</c:v>
                </c:pt>
                <c:pt idx="208">
                  <c:v>577.66666669999995</c:v>
                </c:pt>
                <c:pt idx="209">
                  <c:v>548</c:v>
                </c:pt>
                <c:pt idx="210">
                  <c:v>509.5</c:v>
                </c:pt>
                <c:pt idx="211">
                  <c:v>471</c:v>
                </c:pt>
                <c:pt idx="212">
                  <c:v>432.5</c:v>
                </c:pt>
                <c:pt idx="213">
                  <c:v>394</c:v>
                </c:pt>
                <c:pt idx="214">
                  <c:v>355.5</c:v>
                </c:pt>
                <c:pt idx="215">
                  <c:v>317</c:v>
                </c:pt>
                <c:pt idx="216">
                  <c:v>283.83333329999999</c:v>
                </c:pt>
                <c:pt idx="217">
                  <c:v>250.66666670000001</c:v>
                </c:pt>
                <c:pt idx="218">
                  <c:v>217.5</c:v>
                </c:pt>
                <c:pt idx="219">
                  <c:v>184.33333329999999</c:v>
                </c:pt>
                <c:pt idx="220">
                  <c:v>151.16666670000001</c:v>
                </c:pt>
                <c:pt idx="221">
                  <c:v>118</c:v>
                </c:pt>
                <c:pt idx="222">
                  <c:v>112.33333330000001</c:v>
                </c:pt>
                <c:pt idx="223">
                  <c:v>106.66666669999999</c:v>
                </c:pt>
                <c:pt idx="224">
                  <c:v>101</c:v>
                </c:pt>
                <c:pt idx="225">
                  <c:v>95.333333330000002</c:v>
                </c:pt>
                <c:pt idx="226">
                  <c:v>89.666666669999998</c:v>
                </c:pt>
                <c:pt idx="227">
                  <c:v>84</c:v>
                </c:pt>
                <c:pt idx="228">
                  <c:v>91.166666669999998</c:v>
                </c:pt>
                <c:pt idx="229">
                  <c:v>98.333333330000002</c:v>
                </c:pt>
                <c:pt idx="230">
                  <c:v>105.5</c:v>
                </c:pt>
                <c:pt idx="231">
                  <c:v>112.66666669999999</c:v>
                </c:pt>
                <c:pt idx="232">
                  <c:v>119.83333330000001</c:v>
                </c:pt>
                <c:pt idx="233">
                  <c:v>127</c:v>
                </c:pt>
                <c:pt idx="234">
                  <c:v>121.5</c:v>
                </c:pt>
                <c:pt idx="235">
                  <c:v>116</c:v>
                </c:pt>
                <c:pt idx="236">
                  <c:v>110.5</c:v>
                </c:pt>
                <c:pt idx="237">
                  <c:v>105</c:v>
                </c:pt>
                <c:pt idx="238">
                  <c:v>99.5</c:v>
                </c:pt>
                <c:pt idx="239">
                  <c:v>94</c:v>
                </c:pt>
                <c:pt idx="240">
                  <c:v>94.666666669999998</c:v>
                </c:pt>
                <c:pt idx="241">
                  <c:v>95.333333330000002</c:v>
                </c:pt>
                <c:pt idx="242">
                  <c:v>96</c:v>
                </c:pt>
                <c:pt idx="243">
                  <c:v>96.666666669999998</c:v>
                </c:pt>
                <c:pt idx="244">
                  <c:v>97.333333330000002</c:v>
                </c:pt>
                <c:pt idx="245">
                  <c:v>98</c:v>
                </c:pt>
                <c:pt idx="246">
                  <c:v>101.16666669999999</c:v>
                </c:pt>
                <c:pt idx="247">
                  <c:v>104.33333330000001</c:v>
                </c:pt>
                <c:pt idx="248">
                  <c:v>107.5</c:v>
                </c:pt>
                <c:pt idx="249">
                  <c:v>110.66666669999999</c:v>
                </c:pt>
                <c:pt idx="250">
                  <c:v>113.83333330000001</c:v>
                </c:pt>
                <c:pt idx="251">
                  <c:v>117</c:v>
                </c:pt>
                <c:pt idx="252">
                  <c:v>115.83333330000001</c:v>
                </c:pt>
                <c:pt idx="253">
                  <c:v>114.66666669999999</c:v>
                </c:pt>
                <c:pt idx="254">
                  <c:v>112.08</c:v>
                </c:pt>
                <c:pt idx="255">
                  <c:v>107.04</c:v>
                </c:pt>
                <c:pt idx="256">
                  <c:v>109.28</c:v>
                </c:pt>
                <c:pt idx="257">
                  <c:v>110.55</c:v>
                </c:pt>
                <c:pt idx="258">
                  <c:v>109.95</c:v>
                </c:pt>
                <c:pt idx="259">
                  <c:v>107.75</c:v>
                </c:pt>
                <c:pt idx="260">
                  <c:v>111.19</c:v>
                </c:pt>
                <c:pt idx="261">
                  <c:v>107.1</c:v>
                </c:pt>
                <c:pt idx="262">
                  <c:v>106.28</c:v>
                </c:pt>
                <c:pt idx="263">
                  <c:v>104.92</c:v>
                </c:pt>
                <c:pt idx="264">
                  <c:v>102.38</c:v>
                </c:pt>
                <c:pt idx="265">
                  <c:v>99.04</c:v>
                </c:pt>
                <c:pt idx="266">
                  <c:v>100</c:v>
                </c:pt>
                <c:pt idx="267">
                  <c:v>101.71</c:v>
                </c:pt>
                <c:pt idx="268">
                  <c:v>101.55</c:v>
                </c:pt>
                <c:pt idx="269">
                  <c:v>103.01</c:v>
                </c:pt>
                <c:pt idx="270">
                  <c:v>99.67</c:v>
                </c:pt>
                <c:pt idx="271">
                  <c:v>103.93</c:v>
                </c:pt>
                <c:pt idx="272">
                  <c:v>103.92</c:v>
                </c:pt>
                <c:pt idx="273">
                  <c:v>101.4</c:v>
                </c:pt>
                <c:pt idx="274">
                  <c:v>105.95</c:v>
                </c:pt>
                <c:pt idx="275">
                  <c:v>108.16</c:v>
                </c:pt>
                <c:pt idx="276">
                  <c:v>108.21</c:v>
                </c:pt>
                <c:pt idx="277">
                  <c:v>109.13</c:v>
                </c:pt>
                <c:pt idx="278">
                  <c:v>108.01</c:v>
                </c:pt>
                <c:pt idx="279">
                  <c:v>108.56</c:v>
                </c:pt>
                <c:pt idx="280">
                  <c:v>108.87</c:v>
                </c:pt>
                <c:pt idx="281">
                  <c:v>109.81</c:v>
                </c:pt>
                <c:pt idx="282">
                  <c:v>112.3</c:v>
                </c:pt>
                <c:pt idx="283">
                  <c:v>111.5</c:v>
                </c:pt>
                <c:pt idx="284">
                  <c:v>110.7</c:v>
                </c:pt>
                <c:pt idx="285">
                  <c:v>111.5</c:v>
                </c:pt>
                <c:pt idx="286">
                  <c:v>110.2</c:v>
                </c:pt>
                <c:pt idx="287">
                  <c:v>110.9</c:v>
                </c:pt>
                <c:pt idx="288">
                  <c:v>113</c:v>
                </c:pt>
                <c:pt idx="289">
                  <c:v>113.5</c:v>
                </c:pt>
                <c:pt idx="290">
                  <c:v>114</c:v>
                </c:pt>
                <c:pt idx="291">
                  <c:v>113.8</c:v>
                </c:pt>
                <c:pt idx="292">
                  <c:v>115.1</c:v>
                </c:pt>
                <c:pt idx="293">
                  <c:v>115.8</c:v>
                </c:pt>
                <c:pt idx="294">
                  <c:v>116.4</c:v>
                </c:pt>
                <c:pt idx="295">
                  <c:v>116.1</c:v>
                </c:pt>
                <c:pt idx="296">
                  <c:v>116.1</c:v>
                </c:pt>
                <c:pt idx="297">
                  <c:v>113.2</c:v>
                </c:pt>
                <c:pt idx="298">
                  <c:v>114.6</c:v>
                </c:pt>
                <c:pt idx="299">
                  <c:v>115.7</c:v>
                </c:pt>
                <c:pt idx="300">
                  <c:v>117.8</c:v>
                </c:pt>
                <c:pt idx="301">
                  <c:v>118.6</c:v>
                </c:pt>
                <c:pt idx="302">
                  <c:v>121.35899999999999</c:v>
                </c:pt>
                <c:pt idx="303">
                  <c:v>122</c:v>
                </c:pt>
                <c:pt idx="304">
                  <c:v>122.6</c:v>
                </c:pt>
                <c:pt idx="305">
                  <c:v>122</c:v>
                </c:pt>
                <c:pt idx="306">
                  <c:v>125.5</c:v>
                </c:pt>
                <c:pt idx="307">
                  <c:v>126.1</c:v>
                </c:pt>
                <c:pt idx="308">
                  <c:v>126.5</c:v>
                </c:pt>
                <c:pt idx="309">
                  <c:v>128.4</c:v>
                </c:pt>
                <c:pt idx="310">
                  <c:v>127.4</c:v>
                </c:pt>
                <c:pt idx="311">
                  <c:v>124.346</c:v>
                </c:pt>
                <c:pt idx="312">
                  <c:v>123.8</c:v>
                </c:pt>
                <c:pt idx="313">
                  <c:v>123.8</c:v>
                </c:pt>
                <c:pt idx="314">
                  <c:v>123.5</c:v>
                </c:pt>
                <c:pt idx="315">
                  <c:v>122.4</c:v>
                </c:pt>
                <c:pt idx="316">
                  <c:v>121.4</c:v>
                </c:pt>
                <c:pt idx="317">
                  <c:v>119.8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'step5 Pred. Level'!$D$1</c:f>
              <c:strCache>
                <c:ptCount val="1"/>
                <c:pt idx="0">
                  <c:v>Predicted Level</c:v>
                </c:pt>
              </c:strCache>
            </c:strRef>
          </c:tx>
          <c:marker>
            <c:symbol val="none"/>
          </c:marker>
          <c:cat>
            <c:numRef>
              <c:f>'step5 Pred. Level'!$A$2:$A$319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'step5 Pred. Level'!$D$2:$D$319</c:f>
              <c:numCache>
                <c:formatCode>0.00</c:formatCode>
                <c:ptCount val="318"/>
                <c:pt idx="0">
                  <c:v>1639.9690065769048</c:v>
                </c:pt>
                <c:pt idx="1">
                  <c:v>1463.8347004742591</c:v>
                </c:pt>
                <c:pt idx="2">
                  <c:v>1801.3866185783754</c:v>
                </c:pt>
                <c:pt idx="3">
                  <c:v>2211.7568533021281</c:v>
                </c:pt>
                <c:pt idx="4">
                  <c:v>2541.5441010827099</c:v>
                </c:pt>
                <c:pt idx="5">
                  <c:v>1122.4785994280635</c:v>
                </c:pt>
                <c:pt idx="6">
                  <c:v>1209.6422783842659</c:v>
                </c:pt>
                <c:pt idx="7">
                  <c:v>1172.5062837450166</c:v>
                </c:pt>
                <c:pt idx="8">
                  <c:v>1640.3945524927881</c:v>
                </c:pt>
                <c:pt idx="9">
                  <c:v>1820.6378260426727</c:v>
                </c:pt>
                <c:pt idx="10">
                  <c:v>1502.18947724849</c:v>
                </c:pt>
                <c:pt idx="11">
                  <c:v>1830.9185959518234</c:v>
                </c:pt>
                <c:pt idx="12">
                  <c:v>1720.333835444472</c:v>
                </c:pt>
                <c:pt idx="13">
                  <c:v>1494.7622749975858</c:v>
                </c:pt>
                <c:pt idx="14">
                  <c:v>1523.7562209001442</c:v>
                </c:pt>
                <c:pt idx="15">
                  <c:v>1892.8313301057233</c:v>
                </c:pt>
                <c:pt idx="16">
                  <c:v>1922.7975282711768</c:v>
                </c:pt>
                <c:pt idx="17">
                  <c:v>952.637818522305</c:v>
                </c:pt>
                <c:pt idx="18">
                  <c:v>959.75249074609997</c:v>
                </c:pt>
                <c:pt idx="19">
                  <c:v>1041.2906614249641</c:v>
                </c:pt>
                <c:pt idx="20">
                  <c:v>1289.8349117689395</c:v>
                </c:pt>
                <c:pt idx="21">
                  <c:v>1221.151190492948</c:v>
                </c:pt>
                <c:pt idx="22">
                  <c:v>1247.1984981604051</c:v>
                </c:pt>
                <c:pt idx="23">
                  <c:v>1512.679195911056</c:v>
                </c:pt>
                <c:pt idx="24">
                  <c:v>1126.7315543011005</c:v>
                </c:pt>
                <c:pt idx="25">
                  <c:v>1195.1171971579686</c:v>
                </c:pt>
                <c:pt idx="26">
                  <c:v>1529.5303434981327</c:v>
                </c:pt>
                <c:pt idx="27">
                  <c:v>1846.0635993389437</c:v>
                </c:pt>
                <c:pt idx="28">
                  <c:v>1941.5057737977859</c:v>
                </c:pt>
                <c:pt idx="29">
                  <c:v>945.58842188073311</c:v>
                </c:pt>
                <c:pt idx="30">
                  <c:v>849.57989001846386</c:v>
                </c:pt>
                <c:pt idx="31">
                  <c:v>799.20710525051982</c:v>
                </c:pt>
                <c:pt idx="32">
                  <c:v>971.76129459916331</c:v>
                </c:pt>
                <c:pt idx="33">
                  <c:v>1036.5962491051075</c:v>
                </c:pt>
                <c:pt idx="34">
                  <c:v>975.3233331689222</c:v>
                </c:pt>
                <c:pt idx="35">
                  <c:v>1168.5639157259714</c:v>
                </c:pt>
                <c:pt idx="36">
                  <c:v>1109.9251979278852</c:v>
                </c:pt>
                <c:pt idx="37">
                  <c:v>1052.9951563179945</c:v>
                </c:pt>
                <c:pt idx="38">
                  <c:v>1236.0288822202815</c:v>
                </c:pt>
                <c:pt idx="39">
                  <c:v>1344.5527991048448</c:v>
                </c:pt>
                <c:pt idx="40">
                  <c:v>1596.3886565042833</c:v>
                </c:pt>
                <c:pt idx="41">
                  <c:v>730.67929745325216</c:v>
                </c:pt>
                <c:pt idx="42">
                  <c:v>742.81447205390054</c:v>
                </c:pt>
                <c:pt idx="43">
                  <c:v>774.59915390984816</c:v>
                </c:pt>
                <c:pt idx="44">
                  <c:v>848.126216169808</c:v>
                </c:pt>
                <c:pt idx="45">
                  <c:v>920.29038498550176</c:v>
                </c:pt>
                <c:pt idx="46">
                  <c:v>870.35726412001475</c:v>
                </c:pt>
                <c:pt idx="47">
                  <c:v>1086.4182853033844</c:v>
                </c:pt>
                <c:pt idx="48">
                  <c:v>1140.7142899849182</c:v>
                </c:pt>
                <c:pt idx="49">
                  <c:v>1060.5282401808922</c:v>
                </c:pt>
                <c:pt idx="50">
                  <c:v>1247.6927666138165</c:v>
                </c:pt>
                <c:pt idx="51">
                  <c:v>1391.3860230632172</c:v>
                </c:pt>
                <c:pt idx="52">
                  <c:v>1646.2512847882945</c:v>
                </c:pt>
                <c:pt idx="53">
                  <c:v>779.46816985328178</c:v>
                </c:pt>
                <c:pt idx="54">
                  <c:v>819.2490534310225</c:v>
                </c:pt>
                <c:pt idx="55">
                  <c:v>818.18206982765332</c:v>
                </c:pt>
                <c:pt idx="56">
                  <c:v>985.92949554477707</c:v>
                </c:pt>
                <c:pt idx="57">
                  <c:v>1041.5284939856358</c:v>
                </c:pt>
                <c:pt idx="58">
                  <c:v>978.22009715059289</c:v>
                </c:pt>
                <c:pt idx="59">
                  <c:v>1231.3975064395506</c:v>
                </c:pt>
                <c:pt idx="60">
                  <c:v>1183.8207846654986</c:v>
                </c:pt>
                <c:pt idx="61">
                  <c:v>1147.4032269187389</c:v>
                </c:pt>
                <c:pt idx="62">
                  <c:v>1326.9039956980259</c:v>
                </c:pt>
                <c:pt idx="63">
                  <c:v>1473.1611450933199</c:v>
                </c:pt>
                <c:pt idx="64">
                  <c:v>1586.2423942848893</c:v>
                </c:pt>
                <c:pt idx="65">
                  <c:v>688.96649453689531</c:v>
                </c:pt>
                <c:pt idx="66">
                  <c:v>760.05737869197367</c:v>
                </c:pt>
                <c:pt idx="67">
                  <c:v>777.90385743940294</c:v>
                </c:pt>
                <c:pt idx="68">
                  <c:v>749.66365483298728</c:v>
                </c:pt>
                <c:pt idx="69">
                  <c:v>780.8093441336249</c:v>
                </c:pt>
                <c:pt idx="70">
                  <c:v>729.16078977536495</c:v>
                </c:pt>
                <c:pt idx="71">
                  <c:v>702.30990416994416</c:v>
                </c:pt>
                <c:pt idx="72">
                  <c:v>902.97856898160103</c:v>
                </c:pt>
                <c:pt idx="73">
                  <c:v>967.38604414858821</c:v>
                </c:pt>
                <c:pt idx="74">
                  <c:v>1082.5521597298186</c:v>
                </c:pt>
                <c:pt idx="75">
                  <c:v>1306.453929042568</c:v>
                </c:pt>
                <c:pt idx="76">
                  <c:v>1375.0517850912217</c:v>
                </c:pt>
                <c:pt idx="77">
                  <c:v>665.6775282858498</c:v>
                </c:pt>
                <c:pt idx="78">
                  <c:v>705.24201784473007</c:v>
                </c:pt>
                <c:pt idx="79">
                  <c:v>691.40388465711396</c:v>
                </c:pt>
                <c:pt idx="80">
                  <c:v>764.78029955589545</c:v>
                </c:pt>
                <c:pt idx="81">
                  <c:v>803.41505967535568</c:v>
                </c:pt>
                <c:pt idx="82">
                  <c:v>707.17029868475947</c:v>
                </c:pt>
                <c:pt idx="83">
                  <c:v>744.6631665599806</c:v>
                </c:pt>
                <c:pt idx="84">
                  <c:v>887.09125367566253</c:v>
                </c:pt>
                <c:pt idx="85">
                  <c:v>937.40926711613372</c:v>
                </c:pt>
                <c:pt idx="86">
                  <c:v>989.36456701539055</c:v>
                </c:pt>
                <c:pt idx="87">
                  <c:v>1309.3868855863593</c:v>
                </c:pt>
                <c:pt idx="88">
                  <c:v>1372.1216897854245</c:v>
                </c:pt>
                <c:pt idx="89">
                  <c:v>613.65311345650355</c:v>
                </c:pt>
                <c:pt idx="90">
                  <c:v>633.71422013421909</c:v>
                </c:pt>
                <c:pt idx="91">
                  <c:v>616.42448748169318</c:v>
                </c:pt>
                <c:pt idx="92">
                  <c:v>683.8502671530207</c:v>
                </c:pt>
                <c:pt idx="93">
                  <c:v>698.45730319793324</c:v>
                </c:pt>
                <c:pt idx="94">
                  <c:v>654.94516130571412</c:v>
                </c:pt>
                <c:pt idx="95">
                  <c:v>652.17363789422336</c:v>
                </c:pt>
                <c:pt idx="96">
                  <c:v>613.96854059408486</c:v>
                </c:pt>
                <c:pt idx="97">
                  <c:v>771.13765533511537</c:v>
                </c:pt>
                <c:pt idx="98">
                  <c:v>935.23282426678134</c:v>
                </c:pt>
                <c:pt idx="99">
                  <c:v>968.21869035007308</c:v>
                </c:pt>
                <c:pt idx="100">
                  <c:v>1037.5514624811733</c:v>
                </c:pt>
                <c:pt idx="101">
                  <c:v>509.91046281403146</c:v>
                </c:pt>
                <c:pt idx="102">
                  <c:v>535.82803041184047</c:v>
                </c:pt>
                <c:pt idx="103">
                  <c:v>543.17621894286049</c:v>
                </c:pt>
                <c:pt idx="104">
                  <c:v>532.83324099472998</c:v>
                </c:pt>
                <c:pt idx="105">
                  <c:v>535.94476703715316</c:v>
                </c:pt>
                <c:pt idx="106">
                  <c:v>542.02861341316213</c:v>
                </c:pt>
                <c:pt idx="107">
                  <c:v>555.0290572949981</c:v>
                </c:pt>
                <c:pt idx="108">
                  <c:v>627.23872586186712</c:v>
                </c:pt>
                <c:pt idx="109">
                  <c:v>753.9911758323783</c:v>
                </c:pt>
                <c:pt idx="110">
                  <c:v>855.53278084230067</c:v>
                </c:pt>
                <c:pt idx="111">
                  <c:v>913.85272853570348</c:v>
                </c:pt>
                <c:pt idx="112">
                  <c:v>991.09827736161867</c:v>
                </c:pt>
                <c:pt idx="113">
                  <c:v>455.99997981625887</c:v>
                </c:pt>
                <c:pt idx="114">
                  <c:v>512.97811082995793</c:v>
                </c:pt>
                <c:pt idx="115">
                  <c:v>520.0520964555609</c:v>
                </c:pt>
                <c:pt idx="116">
                  <c:v>577.05919044789357</c:v>
                </c:pt>
                <c:pt idx="117">
                  <c:v>578.55382278408126</c:v>
                </c:pt>
                <c:pt idx="118">
                  <c:v>540.19661060915155</c:v>
                </c:pt>
                <c:pt idx="119">
                  <c:v>582.39928480797391</c:v>
                </c:pt>
                <c:pt idx="120">
                  <c:v>617.64190745350982</c:v>
                </c:pt>
                <c:pt idx="121">
                  <c:v>703.96665380685192</c:v>
                </c:pt>
                <c:pt idx="122">
                  <c:v>787.85271196596943</c:v>
                </c:pt>
                <c:pt idx="123">
                  <c:v>873.50573611649236</c:v>
                </c:pt>
                <c:pt idx="124">
                  <c:v>978.32138180231971</c:v>
                </c:pt>
                <c:pt idx="125">
                  <c:v>461.52653196799628</c:v>
                </c:pt>
                <c:pt idx="126">
                  <c:v>493.21544817879271</c:v>
                </c:pt>
                <c:pt idx="127">
                  <c:v>493.29201487537307</c:v>
                </c:pt>
                <c:pt idx="128">
                  <c:v>516.10452787720999</c:v>
                </c:pt>
                <c:pt idx="129">
                  <c:v>546.79161608768959</c:v>
                </c:pt>
                <c:pt idx="130">
                  <c:v>531.79069285252262</c:v>
                </c:pt>
                <c:pt idx="131">
                  <c:v>559.46394394356105</c:v>
                </c:pt>
                <c:pt idx="132">
                  <c:v>584.28965820012229</c:v>
                </c:pt>
                <c:pt idx="133">
                  <c:v>705.71783897979424</c:v>
                </c:pt>
                <c:pt idx="134">
                  <c:v>800.93685287408005</c:v>
                </c:pt>
                <c:pt idx="135">
                  <c:v>900.49432690538708</c:v>
                </c:pt>
                <c:pt idx="136">
                  <c:v>992.49670237625423</c:v>
                </c:pt>
                <c:pt idx="137">
                  <c:v>461.81701502995412</c:v>
                </c:pt>
                <c:pt idx="138">
                  <c:v>505.00667859119125</c:v>
                </c:pt>
                <c:pt idx="139">
                  <c:v>508.47402077548082</c:v>
                </c:pt>
                <c:pt idx="140">
                  <c:v>549.38786922959241</c:v>
                </c:pt>
                <c:pt idx="141">
                  <c:v>598.32737417547571</c:v>
                </c:pt>
                <c:pt idx="142">
                  <c:v>541.35133406107877</c:v>
                </c:pt>
                <c:pt idx="143">
                  <c:v>546.86642570064021</c:v>
                </c:pt>
                <c:pt idx="144">
                  <c:v>544.34293680240478</c:v>
                </c:pt>
                <c:pt idx="145">
                  <c:v>675.28472705289903</c:v>
                </c:pt>
                <c:pt idx="146">
                  <c:v>761.83555077353935</c:v>
                </c:pt>
                <c:pt idx="147">
                  <c:v>819.51638150221936</c:v>
                </c:pt>
                <c:pt idx="148">
                  <c:v>868.00652776455104</c:v>
                </c:pt>
                <c:pt idx="149">
                  <c:v>419.02446769694654</c:v>
                </c:pt>
                <c:pt idx="150">
                  <c:v>437.97210800287502</c:v>
                </c:pt>
                <c:pt idx="151">
                  <c:v>445.30340230043493</c:v>
                </c:pt>
                <c:pt idx="152">
                  <c:v>454.58953143974969</c:v>
                </c:pt>
                <c:pt idx="153">
                  <c:v>478.50992599041331</c:v>
                </c:pt>
                <c:pt idx="154">
                  <c:v>487.48908258848786</c:v>
                </c:pt>
                <c:pt idx="155">
                  <c:v>489.79937817128365</c:v>
                </c:pt>
                <c:pt idx="156">
                  <c:v>528.19689950660279</c:v>
                </c:pt>
                <c:pt idx="157">
                  <c:v>647.76045116599323</c:v>
                </c:pt>
                <c:pt idx="158">
                  <c:v>704.69276357636386</c:v>
                </c:pt>
                <c:pt idx="159">
                  <c:v>773.82578009143106</c:v>
                </c:pt>
                <c:pt idx="160">
                  <c:v>788.81884783867713</c:v>
                </c:pt>
                <c:pt idx="161">
                  <c:v>381.44495407234155</c:v>
                </c:pt>
                <c:pt idx="162">
                  <c:v>392.22666007552277</c:v>
                </c:pt>
                <c:pt idx="163">
                  <c:v>409.88312561989926</c:v>
                </c:pt>
                <c:pt idx="164">
                  <c:v>424.12564803535435</c:v>
                </c:pt>
                <c:pt idx="165">
                  <c:v>444.2141347651683</c:v>
                </c:pt>
                <c:pt idx="166">
                  <c:v>430.07933561482133</c:v>
                </c:pt>
                <c:pt idx="167">
                  <c:v>449.37795254622029</c:v>
                </c:pt>
                <c:pt idx="168">
                  <c:v>456.22209557178525</c:v>
                </c:pt>
                <c:pt idx="169">
                  <c:v>545.78365588729412</c:v>
                </c:pt>
                <c:pt idx="170">
                  <c:v>608.67724881678953</c:v>
                </c:pt>
                <c:pt idx="171">
                  <c:v>671.04136937631836</c:v>
                </c:pt>
                <c:pt idx="172">
                  <c:v>744.41375926685703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663552"/>
        <c:axId val="534718720"/>
      </c:lineChart>
      <c:dateAx>
        <c:axId val="53466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4718720"/>
        <c:crosses val="autoZero"/>
        <c:auto val="1"/>
        <c:lblOffset val="100"/>
        <c:baseTimeUnit val="months"/>
      </c:dateAx>
      <c:valAx>
        <c:axId val="534718720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3466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'Appendix-Adj Purch'!$B$1</c:f>
              <c:strCache>
                <c:ptCount val="1"/>
                <c:pt idx="0">
                  <c:v>PRCH</c:v>
                </c:pt>
              </c:strCache>
            </c:strRef>
          </c:tx>
          <c:marker>
            <c:symbol val="none"/>
          </c:marker>
          <c:cat>
            <c:numRef>
              <c:f>'Appendix-Adj Purch'!$A$2:$A$146</c:f>
              <c:numCache>
                <c:formatCode>m/d/yyyy</c:formatCode>
                <c:ptCount val="145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  <c:pt idx="143">
                  <c:v>42491</c:v>
                </c:pt>
                <c:pt idx="144">
                  <c:v>42522</c:v>
                </c:pt>
              </c:numCache>
            </c:numRef>
          </c:cat>
          <c:val>
            <c:numRef>
              <c:f>'Appendix-Adj Purch'!$B$2:$B$146</c:f>
              <c:numCache>
                <c:formatCode>General</c:formatCode>
                <c:ptCount val="145"/>
                <c:pt idx="0">
                  <c:v>442.9</c:v>
                </c:pt>
                <c:pt idx="1">
                  <c:v>461.36</c:v>
                </c:pt>
                <c:pt idx="2">
                  <c:v>448.47500000000002</c:v>
                </c:pt>
                <c:pt idx="3">
                  <c:v>464.35</c:v>
                </c:pt>
                <c:pt idx="4">
                  <c:v>458.82</c:v>
                </c:pt>
                <c:pt idx="5">
                  <c:v>471.72499999999997</c:v>
                </c:pt>
                <c:pt idx="6">
                  <c:v>470.4</c:v>
                </c:pt>
                <c:pt idx="7">
                  <c:v>430.125</c:v>
                </c:pt>
                <c:pt idx="8">
                  <c:v>431.42500000000001</c:v>
                </c:pt>
                <c:pt idx="9">
                  <c:v>457.95000000000005</c:v>
                </c:pt>
                <c:pt idx="10">
                  <c:v>470.34</c:v>
                </c:pt>
                <c:pt idx="11">
                  <c:v>485.125</c:v>
                </c:pt>
                <c:pt idx="12">
                  <c:v>491.35</c:v>
                </c:pt>
                <c:pt idx="13">
                  <c:v>495.62</c:v>
                </c:pt>
                <c:pt idx="14">
                  <c:v>489.27499999999998</c:v>
                </c:pt>
                <c:pt idx="15">
                  <c:v>493.94000000000005</c:v>
                </c:pt>
                <c:pt idx="16">
                  <c:v>469.35</c:v>
                </c:pt>
                <c:pt idx="17">
                  <c:v>473.02499999999998</c:v>
                </c:pt>
                <c:pt idx="18">
                  <c:v>455.46000000000004</c:v>
                </c:pt>
                <c:pt idx="19">
                  <c:v>452.67500000000001</c:v>
                </c:pt>
                <c:pt idx="20">
                  <c:v>406.57499999999999</c:v>
                </c:pt>
                <c:pt idx="21">
                  <c:v>407.58</c:v>
                </c:pt>
                <c:pt idx="22">
                  <c:v>411.95</c:v>
                </c:pt>
                <c:pt idx="23">
                  <c:v>408.77499999999998</c:v>
                </c:pt>
                <c:pt idx="24">
                  <c:v>405.64</c:v>
                </c:pt>
                <c:pt idx="25">
                  <c:v>397.17500000000001</c:v>
                </c:pt>
                <c:pt idx="26">
                  <c:v>383.22500000000002</c:v>
                </c:pt>
                <c:pt idx="27">
                  <c:v>395.65999999999997</c:v>
                </c:pt>
                <c:pt idx="28">
                  <c:v>381.5</c:v>
                </c:pt>
                <c:pt idx="29">
                  <c:v>405.8</c:v>
                </c:pt>
                <c:pt idx="30">
                  <c:v>424.8</c:v>
                </c:pt>
                <c:pt idx="31">
                  <c:v>430.8</c:v>
                </c:pt>
                <c:pt idx="32">
                  <c:v>397.02499999999998</c:v>
                </c:pt>
                <c:pt idx="33">
                  <c:v>408.84000000000003</c:v>
                </c:pt>
                <c:pt idx="34">
                  <c:v>412.15</c:v>
                </c:pt>
                <c:pt idx="35">
                  <c:v>433.92500000000001</c:v>
                </c:pt>
                <c:pt idx="36">
                  <c:v>443.08000000000004</c:v>
                </c:pt>
                <c:pt idx="37">
                  <c:v>435.29999999999995</c:v>
                </c:pt>
                <c:pt idx="38">
                  <c:v>440.71999999999997</c:v>
                </c:pt>
                <c:pt idx="39">
                  <c:v>432.54999999999995</c:v>
                </c:pt>
                <c:pt idx="40">
                  <c:v>419.52499999999998</c:v>
                </c:pt>
                <c:pt idx="41">
                  <c:v>427.38</c:v>
                </c:pt>
                <c:pt idx="42">
                  <c:v>412.375</c:v>
                </c:pt>
                <c:pt idx="43">
                  <c:v>419.27499999999998</c:v>
                </c:pt>
                <c:pt idx="44">
                  <c:v>377.62000000000006</c:v>
                </c:pt>
                <c:pt idx="45">
                  <c:v>373.375</c:v>
                </c:pt>
                <c:pt idx="46">
                  <c:v>365.92499999999995</c:v>
                </c:pt>
                <c:pt idx="47">
                  <c:v>359.71999999999997</c:v>
                </c:pt>
                <c:pt idx="48">
                  <c:v>353.15</c:v>
                </c:pt>
                <c:pt idx="49">
                  <c:v>342.65</c:v>
                </c:pt>
                <c:pt idx="50">
                  <c:v>321.86</c:v>
                </c:pt>
                <c:pt idx="51">
                  <c:v>349.72499999999997</c:v>
                </c:pt>
                <c:pt idx="52">
                  <c:v>294.26000000000005</c:v>
                </c:pt>
                <c:pt idx="53">
                  <c:v>288.89999999999998</c:v>
                </c:pt>
                <c:pt idx="54">
                  <c:v>305.77499999999998</c:v>
                </c:pt>
                <c:pt idx="55">
                  <c:v>299.76000000000005</c:v>
                </c:pt>
                <c:pt idx="56">
                  <c:v>245.02500000000001</c:v>
                </c:pt>
                <c:pt idx="57">
                  <c:v>261.55</c:v>
                </c:pt>
                <c:pt idx="58">
                  <c:v>266.59999999999997</c:v>
                </c:pt>
                <c:pt idx="59">
                  <c:v>261.65999999999997</c:v>
                </c:pt>
                <c:pt idx="60">
                  <c:v>269.97500000000002</c:v>
                </c:pt>
                <c:pt idx="61">
                  <c:v>266.58000000000004</c:v>
                </c:pt>
                <c:pt idx="62">
                  <c:v>275.72500000000002</c:v>
                </c:pt>
                <c:pt idx="63">
                  <c:v>283.92499999999995</c:v>
                </c:pt>
                <c:pt idx="64">
                  <c:v>274.2</c:v>
                </c:pt>
                <c:pt idx="65">
                  <c:v>219.97500000000002</c:v>
                </c:pt>
                <c:pt idx="66">
                  <c:v>225.17500000000001</c:v>
                </c:pt>
                <c:pt idx="67">
                  <c:v>220.44</c:v>
                </c:pt>
                <c:pt idx="68">
                  <c:v>211.2</c:v>
                </c:pt>
                <c:pt idx="69">
                  <c:v>229.7</c:v>
                </c:pt>
                <c:pt idx="70">
                  <c:v>250.18</c:v>
                </c:pt>
                <c:pt idx="71">
                  <c:v>204.85000000000002</c:v>
                </c:pt>
                <c:pt idx="72">
                  <c:v>174.45000000000002</c:v>
                </c:pt>
                <c:pt idx="73">
                  <c:v>169.59999999999997</c:v>
                </c:pt>
                <c:pt idx="74">
                  <c:v>172.22499999999999</c:v>
                </c:pt>
                <c:pt idx="75">
                  <c:v>181.89999999999998</c:v>
                </c:pt>
                <c:pt idx="76">
                  <c:v>181.1</c:v>
                </c:pt>
                <c:pt idx="77">
                  <c:v>195.02499999999998</c:v>
                </c:pt>
                <c:pt idx="78">
                  <c:v>201.54000000000002</c:v>
                </c:pt>
                <c:pt idx="79">
                  <c:v>185.55</c:v>
                </c:pt>
                <c:pt idx="80">
                  <c:v>179.52499999999998</c:v>
                </c:pt>
                <c:pt idx="81">
                  <c:v>190.3</c:v>
                </c:pt>
                <c:pt idx="82">
                  <c:v>193.7</c:v>
                </c:pt>
                <c:pt idx="83">
                  <c:v>191.57499999999999</c:v>
                </c:pt>
                <c:pt idx="84">
                  <c:v>185.02499999999998</c:v>
                </c:pt>
                <c:pt idx="85">
                  <c:v>183.8</c:v>
                </c:pt>
                <c:pt idx="86">
                  <c:v>167.22500000000002</c:v>
                </c:pt>
                <c:pt idx="87">
                  <c:v>170.87599999999998</c:v>
                </c:pt>
                <c:pt idx="88">
                  <c:v>171.25</c:v>
                </c:pt>
                <c:pt idx="89">
                  <c:v>186.92750000000001</c:v>
                </c:pt>
                <c:pt idx="90">
                  <c:v>185.166</c:v>
                </c:pt>
                <c:pt idx="91">
                  <c:v>184.7475</c:v>
                </c:pt>
                <c:pt idx="92">
                  <c:v>171.35</c:v>
                </c:pt>
                <c:pt idx="93">
                  <c:v>188.95999999999998</c:v>
                </c:pt>
                <c:pt idx="94">
                  <c:v>189.97500000000002</c:v>
                </c:pt>
                <c:pt idx="95">
                  <c:v>190.45000000000002</c:v>
                </c:pt>
                <c:pt idx="96">
                  <c:v>189.56</c:v>
                </c:pt>
                <c:pt idx="97">
                  <c:v>188.3</c:v>
                </c:pt>
                <c:pt idx="98">
                  <c:v>178.21999999999997</c:v>
                </c:pt>
                <c:pt idx="99">
                  <c:v>189.97500000000002</c:v>
                </c:pt>
                <c:pt idx="100">
                  <c:v>192.375</c:v>
                </c:pt>
                <c:pt idx="101">
                  <c:v>197.2</c:v>
                </c:pt>
                <c:pt idx="102">
                  <c:v>191.22499999999999</c:v>
                </c:pt>
                <c:pt idx="103">
                  <c:v>205.32499999999999</c:v>
                </c:pt>
                <c:pt idx="104">
                  <c:v>196.375</c:v>
                </c:pt>
                <c:pt idx="105">
                  <c:v>206.44</c:v>
                </c:pt>
                <c:pt idx="106">
                  <c:v>215.375</c:v>
                </c:pt>
                <c:pt idx="107">
                  <c:v>211.08</c:v>
                </c:pt>
                <c:pt idx="108">
                  <c:v>212.60000000000002</c:v>
                </c:pt>
                <c:pt idx="109">
                  <c:v>198.64999999999998</c:v>
                </c:pt>
                <c:pt idx="110">
                  <c:v>187.73999999999998</c:v>
                </c:pt>
                <c:pt idx="111">
                  <c:v>190.42499999999998</c:v>
                </c:pt>
                <c:pt idx="112">
                  <c:v>182.97500000000002</c:v>
                </c:pt>
                <c:pt idx="113">
                  <c:v>187.02</c:v>
                </c:pt>
                <c:pt idx="114">
                  <c:v>175.52499999999998</c:v>
                </c:pt>
                <c:pt idx="115">
                  <c:v>183.3</c:v>
                </c:pt>
                <c:pt idx="116">
                  <c:v>164.2</c:v>
                </c:pt>
                <c:pt idx="117">
                  <c:v>171.9</c:v>
                </c:pt>
                <c:pt idx="118">
                  <c:v>177.77500000000001</c:v>
                </c:pt>
                <c:pt idx="119">
                  <c:v>180</c:v>
                </c:pt>
                <c:pt idx="120">
                  <c:v>179.42500000000001</c:v>
                </c:pt>
                <c:pt idx="121">
                  <c:v>171.625</c:v>
                </c:pt>
                <c:pt idx="122">
                  <c:v>165.92</c:v>
                </c:pt>
                <c:pt idx="123">
                  <c:v>167.10000000000002</c:v>
                </c:pt>
                <c:pt idx="124">
                  <c:v>164.48000000000002</c:v>
                </c:pt>
                <c:pt idx="125">
                  <c:v>171.85000000000002</c:v>
                </c:pt>
                <c:pt idx="126">
                  <c:v>165.82499999999999</c:v>
                </c:pt>
                <c:pt idx="127">
                  <c:v>184.51999999999998</c:v>
                </c:pt>
                <c:pt idx="128">
                  <c:v>169.45</c:v>
                </c:pt>
                <c:pt idx="129">
                  <c:v>177.74999999999997</c:v>
                </c:pt>
                <c:pt idx="130">
                  <c:v>202.04999999999998</c:v>
                </c:pt>
                <c:pt idx="131">
                  <c:v>201.95999999999998</c:v>
                </c:pt>
                <c:pt idx="132">
                  <c:v>206.67500000000001</c:v>
                </c:pt>
                <c:pt idx="133">
                  <c:v>201.96</c:v>
                </c:pt>
                <c:pt idx="134">
                  <c:v>199.57500000000002</c:v>
                </c:pt>
                <c:pt idx="135">
                  <c:v>204.4</c:v>
                </c:pt>
                <c:pt idx="136">
                  <c:v>201.11999999999998</c:v>
                </c:pt>
                <c:pt idx="137">
                  <c:v>210.67499999999998</c:v>
                </c:pt>
                <c:pt idx="138">
                  <c:v>225.375</c:v>
                </c:pt>
                <c:pt idx="139">
                  <c:v>222.69999999999996</c:v>
                </c:pt>
                <c:pt idx="140">
                  <c:v>217.375</c:v>
                </c:pt>
                <c:pt idx="141">
                  <c:v>226.15</c:v>
                </c:pt>
                <c:pt idx="142">
                  <c:v>235.1</c:v>
                </c:pt>
                <c:pt idx="143">
                  <c:v>229.60000000000002</c:v>
                </c:pt>
                <c:pt idx="144">
                  <c:v>239.79999999999998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'Appendix-Adj Purch'!$D$1</c:f>
              <c:strCache>
                <c:ptCount val="1"/>
                <c:pt idx="0">
                  <c:v>Adj.</c:v>
                </c:pt>
              </c:strCache>
            </c:strRef>
          </c:tx>
          <c:marker>
            <c:symbol val="none"/>
          </c:marker>
          <c:cat>
            <c:numRef>
              <c:f>'Appendix-Adj Purch'!$A$2:$A$146</c:f>
              <c:numCache>
                <c:formatCode>m/d/yyyy</c:formatCode>
                <c:ptCount val="145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  <c:pt idx="143">
                  <c:v>42491</c:v>
                </c:pt>
                <c:pt idx="144">
                  <c:v>42522</c:v>
                </c:pt>
              </c:numCache>
            </c:numRef>
          </c:cat>
          <c:val>
            <c:numRef>
              <c:f>'Appendix-Adj Purch'!$D$2:$D$146</c:f>
              <c:numCache>
                <c:formatCode>0.00</c:formatCode>
                <c:ptCount val="145"/>
                <c:pt idx="0">
                  <c:v>427.11407768159006</c:v>
                </c:pt>
                <c:pt idx="1">
                  <c:v>444.14164651271381</c:v>
                </c:pt>
                <c:pt idx="2">
                  <c:v>430.98729559748432</c:v>
                </c:pt>
                <c:pt idx="3">
                  <c:v>445.4691787102426</c:v>
                </c:pt>
                <c:pt idx="4">
                  <c:v>439.40180873628231</c:v>
                </c:pt>
                <c:pt idx="5">
                  <c:v>450.9796897908526</c:v>
                </c:pt>
                <c:pt idx="6">
                  <c:v>448.93688821721412</c:v>
                </c:pt>
                <c:pt idx="7">
                  <c:v>409.7923496432212</c:v>
                </c:pt>
                <c:pt idx="8">
                  <c:v>410.57609613543951</c:v>
                </c:pt>
                <c:pt idx="9">
                  <c:v>435.33756204399367</c:v>
                </c:pt>
                <c:pt idx="10">
                  <c:v>446.62213886574688</c:v>
                </c:pt>
                <c:pt idx="11">
                  <c:v>460.15354494526463</c:v>
                </c:pt>
                <c:pt idx="12">
                  <c:v>465.54470246342044</c:v>
                </c:pt>
                <c:pt idx="13">
                  <c:v>469.07370841434437</c:v>
                </c:pt>
                <c:pt idx="14">
                  <c:v>462.55955755912362</c:v>
                </c:pt>
                <c:pt idx="15">
                  <c:v>466.45711371872778</c:v>
                </c:pt>
                <c:pt idx="16">
                  <c:v>442.74917337855027</c:v>
                </c:pt>
                <c:pt idx="17">
                  <c:v>445.72702547385404</c:v>
                </c:pt>
                <c:pt idx="18">
                  <c:v>428.70600995011517</c:v>
                </c:pt>
                <c:pt idx="19">
                  <c:v>425.61881446756001</c:v>
                </c:pt>
                <c:pt idx="20">
                  <c:v>381.9211439221944</c:v>
                </c:pt>
                <c:pt idx="21">
                  <c:v>382.5119360028562</c:v>
                </c:pt>
                <c:pt idx="22">
                  <c:v>386.25676450228895</c:v>
                </c:pt>
                <c:pt idx="23">
                  <c:v>382.92679064618727</c:v>
                </c:pt>
                <c:pt idx="24">
                  <c:v>379.64038109818853</c:v>
                </c:pt>
                <c:pt idx="25">
                  <c:v>371.37622771504607</c:v>
                </c:pt>
                <c:pt idx="26">
                  <c:v>358.00324724435683</c:v>
                </c:pt>
                <c:pt idx="27">
                  <c:v>369.28067648116178</c:v>
                </c:pt>
                <c:pt idx="28">
                  <c:v>355.73831781917107</c:v>
                </c:pt>
                <c:pt idx="29">
                  <c:v>378.05081725007915</c:v>
                </c:pt>
                <c:pt idx="30">
                  <c:v>395.38942054788305</c:v>
                </c:pt>
                <c:pt idx="31">
                  <c:v>400.60742371981962</c:v>
                </c:pt>
                <c:pt idx="32">
                  <c:v>369.28976534242139</c:v>
                </c:pt>
                <c:pt idx="33">
                  <c:v>380.37235157357776</c:v>
                </c:pt>
                <c:pt idx="34">
                  <c:v>383.54562809700661</c:v>
                </c:pt>
                <c:pt idx="35">
                  <c:v>403.90813599121816</c:v>
                </c:pt>
                <c:pt idx="36">
                  <c:v>412.53072385453618</c:v>
                </c:pt>
                <c:pt idx="37">
                  <c:v>405.38629989570808</c:v>
                </c:pt>
                <c:pt idx="38">
                  <c:v>410.534286970398</c:v>
                </c:pt>
                <c:pt idx="39">
                  <c:v>403.0224993132415</c:v>
                </c:pt>
                <c:pt idx="40">
                  <c:v>390.9823460979801</c:v>
                </c:pt>
                <c:pt idx="41">
                  <c:v>398.40047688812547</c:v>
                </c:pt>
                <c:pt idx="42">
                  <c:v>384.50709876303716</c:v>
                </c:pt>
                <c:pt idx="43">
                  <c:v>391.03659807873976</c:v>
                </c:pt>
                <c:pt idx="44">
                  <c:v>352.02822703822949</c:v>
                </c:pt>
                <c:pt idx="45">
                  <c:v>347.91398514714388</c:v>
                </c:pt>
                <c:pt idx="46">
                  <c:v>340.81835119899807</c:v>
                </c:pt>
                <c:pt idx="47">
                  <c:v>334.88816613837184</c:v>
                </c:pt>
                <c:pt idx="48">
                  <c:v>328.62367051904823</c:v>
                </c:pt>
                <c:pt idx="49">
                  <c:v>318.70939857356109</c:v>
                </c:pt>
                <c:pt idx="50">
                  <c:v>299.23730354117185</c:v>
                </c:pt>
                <c:pt idx="51">
                  <c:v>324.99754729529678</c:v>
                </c:pt>
                <c:pt idx="52">
                  <c:v>273.3313220498448</c:v>
                </c:pt>
                <c:pt idx="53">
                  <c:v>268.23198753170601</c:v>
                </c:pt>
                <c:pt idx="54">
                  <c:v>283.77226244917995</c:v>
                </c:pt>
                <c:pt idx="55">
                  <c:v>278.06522404255884</c:v>
                </c:pt>
                <c:pt idx="56">
                  <c:v>227.43005064883474</c:v>
                </c:pt>
                <c:pt idx="57">
                  <c:v>242.91637318811777</c:v>
                </c:pt>
                <c:pt idx="58">
                  <c:v>247.75759929999467</c:v>
                </c:pt>
                <c:pt idx="59">
                  <c:v>243.31512854527602</c:v>
                </c:pt>
                <c:pt idx="60">
                  <c:v>251.20045628915793</c:v>
                </c:pt>
                <c:pt idx="61">
                  <c:v>248.19309682560768</c:v>
                </c:pt>
                <c:pt idx="62">
                  <c:v>256.8642725665834</c:v>
                </c:pt>
                <c:pt idx="63">
                  <c:v>264.66516031011457</c:v>
                </c:pt>
                <c:pt idx="64">
                  <c:v>255.75629923355334</c:v>
                </c:pt>
                <c:pt idx="65">
                  <c:v>205.30433753628208</c:v>
                </c:pt>
                <c:pt idx="66">
                  <c:v>210.28633060218493</c:v>
                </c:pt>
                <c:pt idx="67">
                  <c:v>205.99065081184844</c:v>
                </c:pt>
                <c:pt idx="68">
                  <c:v>197.4052156520676</c:v>
                </c:pt>
                <c:pt idx="69">
                  <c:v>214.75007924670066</c:v>
                </c:pt>
                <c:pt idx="70">
                  <c:v>233.95513449153361</c:v>
                </c:pt>
                <c:pt idx="71">
                  <c:v>191.61241420876348</c:v>
                </c:pt>
                <c:pt idx="72">
                  <c:v>163.21736293633415</c:v>
                </c:pt>
                <c:pt idx="73">
                  <c:v>158.71901738927269</c:v>
                </c:pt>
                <c:pt idx="74">
                  <c:v>161.21560359534257</c:v>
                </c:pt>
                <c:pt idx="75">
                  <c:v>170.314399633119</c:v>
                </c:pt>
                <c:pt idx="76">
                  <c:v>169.60745389746381</c:v>
                </c:pt>
                <c:pt idx="77">
                  <c:v>182.69413823671565</c:v>
                </c:pt>
                <c:pt idx="78">
                  <c:v>188.84411261926115</c:v>
                </c:pt>
                <c:pt idx="79">
                  <c:v>173.90459213006915</c:v>
                </c:pt>
                <c:pt idx="80">
                  <c:v>168.20150669642857</c:v>
                </c:pt>
                <c:pt idx="81">
                  <c:v>178.23731778036105</c:v>
                </c:pt>
                <c:pt idx="82">
                  <c:v>181.36121737504342</c:v>
                </c:pt>
                <c:pt idx="83">
                  <c:v>179.31170334219067</c:v>
                </c:pt>
                <c:pt idx="84">
                  <c:v>173.12319698061827</c:v>
                </c:pt>
                <c:pt idx="85">
                  <c:v>171.91962477148692</c:v>
                </c:pt>
                <c:pt idx="86">
                  <c:v>156.36382926926876</c:v>
                </c:pt>
                <c:pt idx="87">
                  <c:v>159.72443322532033</c:v>
                </c:pt>
                <c:pt idx="88">
                  <c:v>160.02067892182998</c:v>
                </c:pt>
                <c:pt idx="89">
                  <c:v>174.61197168881012</c:v>
                </c:pt>
                <c:pt idx="90">
                  <c:v>172.908921509072</c:v>
                </c:pt>
                <c:pt idx="91">
                  <c:v>172.46068779880412</c:v>
                </c:pt>
                <c:pt idx="92">
                  <c:v>160.02932420234291</c:v>
                </c:pt>
                <c:pt idx="93">
                  <c:v>176.55879552922198</c:v>
                </c:pt>
                <c:pt idx="94">
                  <c:v>177.59062715667417</c:v>
                </c:pt>
                <c:pt idx="95">
                  <c:v>178.11839426284192</c:v>
                </c:pt>
                <c:pt idx="96">
                  <c:v>177.36944086444927</c:v>
                </c:pt>
                <c:pt idx="97">
                  <c:v>176.27341395174915</c:v>
                </c:pt>
                <c:pt idx="98">
                  <c:v>166.91579299678997</c:v>
                </c:pt>
                <c:pt idx="99">
                  <c:v>178.00903066475962</c:v>
                </c:pt>
                <c:pt idx="100">
                  <c:v>180.34283923168226</c:v>
                </c:pt>
                <c:pt idx="101">
                  <c:v>184.95324899482864</c:v>
                </c:pt>
                <c:pt idx="102">
                  <c:v>179.43394464096272</c:v>
                </c:pt>
                <c:pt idx="103">
                  <c:v>192.75548461188191</c:v>
                </c:pt>
                <c:pt idx="104">
                  <c:v>184.40298121738158</c:v>
                </c:pt>
                <c:pt idx="105">
                  <c:v>193.90653639057814</c:v>
                </c:pt>
                <c:pt idx="106">
                  <c:v>202.35352728101302</c:v>
                </c:pt>
                <c:pt idx="107">
                  <c:v>198.37159977297409</c:v>
                </c:pt>
                <c:pt idx="108">
                  <c:v>199.85389808574104</c:v>
                </c:pt>
                <c:pt idx="109">
                  <c:v>186.79055702739862</c:v>
                </c:pt>
                <c:pt idx="110">
                  <c:v>176.57945717962849</c:v>
                </c:pt>
                <c:pt idx="111">
                  <c:v>179.15311993897691</c:v>
                </c:pt>
                <c:pt idx="112">
                  <c:v>172.19052354597602</c:v>
                </c:pt>
                <c:pt idx="113">
                  <c:v>176.04457812503497</c:v>
                </c:pt>
                <c:pt idx="114">
                  <c:v>165.26874357065702</c:v>
                </c:pt>
                <c:pt idx="115">
                  <c:v>172.6360070941997</c:v>
                </c:pt>
                <c:pt idx="116">
                  <c:v>154.59890866719721</c:v>
                </c:pt>
                <c:pt idx="117">
                  <c:v>161.79814699188302</c:v>
                </c:pt>
                <c:pt idx="118">
                  <c:v>167.27567544892901</c:v>
                </c:pt>
                <c:pt idx="119">
                  <c:v>169.31642512077295</c:v>
                </c:pt>
                <c:pt idx="120">
                  <c:v>168.7229122019767</c:v>
                </c:pt>
                <c:pt idx="121">
                  <c:v>161.33783434920505</c:v>
                </c:pt>
                <c:pt idx="122">
                  <c:v>155.92617269799135</c:v>
                </c:pt>
                <c:pt idx="123">
                  <c:v>156.98616460938445</c:v>
                </c:pt>
                <c:pt idx="124">
                  <c:v>154.4766056708369</c:v>
                </c:pt>
                <c:pt idx="125">
                  <c:v>161.34811310014135</c:v>
                </c:pt>
                <c:pt idx="126">
                  <c:v>155.64283619711378</c:v>
                </c:pt>
                <c:pt idx="127">
                  <c:v>173.13600567558157</c:v>
                </c:pt>
                <c:pt idx="128">
                  <c:v>158.99575201456375</c:v>
                </c:pt>
                <c:pt idx="129">
                  <c:v>166.78368203357155</c:v>
                </c:pt>
                <c:pt idx="130">
                  <c:v>189.58448919765479</c:v>
                </c:pt>
                <c:pt idx="131">
                  <c:v>189.50004176371374</c:v>
                </c:pt>
                <c:pt idx="132">
                  <c:v>193.92414899740317</c:v>
                </c:pt>
                <c:pt idx="133">
                  <c:v>189.50004176371374</c:v>
                </c:pt>
                <c:pt idx="134">
                  <c:v>187.26218476427596</c:v>
                </c:pt>
                <c:pt idx="135">
                  <c:v>191.78950552833774</c:v>
                </c:pt>
                <c:pt idx="136">
                  <c:v>188.71186571359726</c:v>
                </c:pt>
                <c:pt idx="137">
                  <c:v>197.67736828367197</c:v>
                </c:pt>
                <c:pt idx="138">
                  <c:v>211.47044916070996</c:v>
                </c:pt>
                <c:pt idx="139">
                  <c:v>208.96048376301763</c:v>
                </c:pt>
                <c:pt idx="140">
                  <c:v>203.9640105881723</c:v>
                </c:pt>
                <c:pt idx="141">
                  <c:v>212.19763539742456</c:v>
                </c:pt>
                <c:pt idx="142">
                  <c:v>220.59546355045109</c:v>
                </c:pt>
                <c:pt idx="143">
                  <c:v>215.43478703183146</c:v>
                </c:pt>
                <c:pt idx="144">
                  <c:v>225.00549621181696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614016"/>
        <c:axId val="589370112"/>
      </c:lineChart>
      <c:dateAx>
        <c:axId val="57861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89370112"/>
        <c:crosses val="autoZero"/>
        <c:auto val="1"/>
        <c:lblOffset val="100"/>
        <c:baseTimeUnit val="months"/>
      </c:dateAx>
      <c:valAx>
        <c:axId val="58937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8614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'Appendix-Adj Purch'!$J$1</c:f>
              <c:strCache>
                <c:ptCount val="1"/>
                <c:pt idx="0">
                  <c:v>Inventory Adj</c:v>
                </c:pt>
              </c:strCache>
            </c:strRef>
          </c:tx>
          <c:marker>
            <c:symbol val="none"/>
          </c:marker>
          <c:cat>
            <c:numRef>
              <c:f>'Appendix-Adj Purch'!$G$2:$G$319</c:f>
              <c:numCache>
                <c:formatCode>m/d/yyyy</c:formatCode>
                <c:ptCount val="31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</c:numCache>
            </c:numRef>
          </c:cat>
          <c:val>
            <c:numRef>
              <c:f>'Appendix-Adj Purch'!$J$2:$J$319</c:f>
              <c:numCache>
                <c:formatCode>0.00</c:formatCode>
                <c:ptCount val="318"/>
                <c:pt idx="0">
                  <c:v>92.4</c:v>
                </c:pt>
                <c:pt idx="1">
                  <c:v>100.175</c:v>
                </c:pt>
                <c:pt idx="2">
                  <c:v>92.28</c:v>
                </c:pt>
                <c:pt idx="3">
                  <c:v>91.25</c:v>
                </c:pt>
                <c:pt idx="4">
                  <c:v>85.5</c:v>
                </c:pt>
                <c:pt idx="5">
                  <c:v>92</c:v>
                </c:pt>
                <c:pt idx="6">
                  <c:v>88.65</c:v>
                </c:pt>
                <c:pt idx="7">
                  <c:v>89.179999999999993</c:v>
                </c:pt>
                <c:pt idx="8">
                  <c:v>80.45</c:v>
                </c:pt>
                <c:pt idx="9">
                  <c:v>74.949999999999989</c:v>
                </c:pt>
                <c:pt idx="10">
                  <c:v>81.84</c:v>
                </c:pt>
                <c:pt idx="11">
                  <c:v>78.900000000000006</c:v>
                </c:pt>
                <c:pt idx="12">
                  <c:v>87.375</c:v>
                </c:pt>
                <c:pt idx="13">
                  <c:v>98.8</c:v>
                </c:pt>
                <c:pt idx="14">
                  <c:v>114.6</c:v>
                </c:pt>
                <c:pt idx="15">
                  <c:v>112</c:v>
                </c:pt>
                <c:pt idx="16">
                  <c:v>117.32000000000001</c:v>
                </c:pt>
                <c:pt idx="17">
                  <c:v>113.875</c:v>
                </c:pt>
                <c:pt idx="18">
                  <c:v>116.875</c:v>
                </c:pt>
                <c:pt idx="19">
                  <c:v>105.25999999999999</c:v>
                </c:pt>
                <c:pt idx="20">
                  <c:v>106.89999999999999</c:v>
                </c:pt>
                <c:pt idx="21">
                  <c:v>112.22499999999999</c:v>
                </c:pt>
                <c:pt idx="22">
                  <c:v>103.5</c:v>
                </c:pt>
                <c:pt idx="23">
                  <c:v>100.25000000000001</c:v>
                </c:pt>
                <c:pt idx="24">
                  <c:v>132.83999999999997</c:v>
                </c:pt>
                <c:pt idx="25">
                  <c:v>129.375</c:v>
                </c:pt>
                <c:pt idx="26">
                  <c:v>115.92500000000001</c:v>
                </c:pt>
                <c:pt idx="27">
                  <c:v>117.94999999999999</c:v>
                </c:pt>
                <c:pt idx="28">
                  <c:v>117.66000000000001</c:v>
                </c:pt>
                <c:pt idx="29">
                  <c:v>117.04999999999998</c:v>
                </c:pt>
                <c:pt idx="30">
                  <c:v>138.44</c:v>
                </c:pt>
                <c:pt idx="31">
                  <c:v>142.75</c:v>
                </c:pt>
                <c:pt idx="32">
                  <c:v>147.17500000000001</c:v>
                </c:pt>
                <c:pt idx="33">
                  <c:v>138.88</c:v>
                </c:pt>
                <c:pt idx="34">
                  <c:v>138.17500000000001</c:v>
                </c:pt>
                <c:pt idx="35">
                  <c:v>135.22500000000002</c:v>
                </c:pt>
                <c:pt idx="36">
                  <c:v>138</c:v>
                </c:pt>
                <c:pt idx="37">
                  <c:v>154.02499999999998</c:v>
                </c:pt>
                <c:pt idx="38">
                  <c:v>150.35</c:v>
                </c:pt>
                <c:pt idx="39">
                  <c:v>166.70000000000002</c:v>
                </c:pt>
                <c:pt idx="40">
                  <c:v>150.17500000000001</c:v>
                </c:pt>
                <c:pt idx="41">
                  <c:v>157.85</c:v>
                </c:pt>
                <c:pt idx="42">
                  <c:v>166.18</c:v>
                </c:pt>
                <c:pt idx="43">
                  <c:v>151.6</c:v>
                </c:pt>
                <c:pt idx="44">
                  <c:v>177</c:v>
                </c:pt>
                <c:pt idx="45">
                  <c:v>163.98</c:v>
                </c:pt>
                <c:pt idx="46">
                  <c:v>162.22500000000002</c:v>
                </c:pt>
                <c:pt idx="47">
                  <c:v>151.4</c:v>
                </c:pt>
                <c:pt idx="48">
                  <c:v>134.77500000000001</c:v>
                </c:pt>
                <c:pt idx="49">
                  <c:v>155.04999999999998</c:v>
                </c:pt>
                <c:pt idx="50">
                  <c:v>150.85</c:v>
                </c:pt>
                <c:pt idx="51">
                  <c:v>161.08000000000001</c:v>
                </c:pt>
                <c:pt idx="52">
                  <c:v>145.9</c:v>
                </c:pt>
                <c:pt idx="53">
                  <c:v>145.17500000000001</c:v>
                </c:pt>
                <c:pt idx="54">
                  <c:v>144.07999999999998</c:v>
                </c:pt>
                <c:pt idx="55">
                  <c:v>141.75</c:v>
                </c:pt>
                <c:pt idx="56">
                  <c:v>138.07999999999998</c:v>
                </c:pt>
                <c:pt idx="57">
                  <c:v>135.27499999999998</c:v>
                </c:pt>
                <c:pt idx="58">
                  <c:v>135.67500000000001</c:v>
                </c:pt>
                <c:pt idx="59">
                  <c:v>124.52000000000001</c:v>
                </c:pt>
                <c:pt idx="60">
                  <c:v>129.65</c:v>
                </c:pt>
                <c:pt idx="61">
                  <c:v>139.17499999999998</c:v>
                </c:pt>
                <c:pt idx="62">
                  <c:v>139.45999999999998</c:v>
                </c:pt>
                <c:pt idx="63">
                  <c:v>150.02500000000001</c:v>
                </c:pt>
                <c:pt idx="64">
                  <c:v>156.14999999999998</c:v>
                </c:pt>
                <c:pt idx="65">
                  <c:v>172.23999999999995</c:v>
                </c:pt>
                <c:pt idx="66">
                  <c:v>161.72499999999999</c:v>
                </c:pt>
                <c:pt idx="67">
                  <c:v>154.35</c:v>
                </c:pt>
                <c:pt idx="68">
                  <c:v>188.7</c:v>
                </c:pt>
                <c:pt idx="69">
                  <c:v>186.97499999999999</c:v>
                </c:pt>
                <c:pt idx="70">
                  <c:v>188.375</c:v>
                </c:pt>
                <c:pt idx="71">
                  <c:v>204.68</c:v>
                </c:pt>
                <c:pt idx="72">
                  <c:v>176.72500000000002</c:v>
                </c:pt>
                <c:pt idx="73">
                  <c:v>173.4</c:v>
                </c:pt>
                <c:pt idx="74">
                  <c:v>179.3</c:v>
                </c:pt>
                <c:pt idx="75">
                  <c:v>177.34999999999997</c:v>
                </c:pt>
                <c:pt idx="76">
                  <c:v>189.14000000000001</c:v>
                </c:pt>
                <c:pt idx="77">
                  <c:v>183.67499999999998</c:v>
                </c:pt>
                <c:pt idx="78">
                  <c:v>181.50000000000003</c:v>
                </c:pt>
                <c:pt idx="79">
                  <c:v>182.02000000000004</c:v>
                </c:pt>
                <c:pt idx="80">
                  <c:v>186.375</c:v>
                </c:pt>
                <c:pt idx="81">
                  <c:v>182.27500000000001</c:v>
                </c:pt>
                <c:pt idx="82">
                  <c:v>199.88000000000002</c:v>
                </c:pt>
                <c:pt idx="83">
                  <c:v>190.17500000000001</c:v>
                </c:pt>
                <c:pt idx="84">
                  <c:v>184.28000000000003</c:v>
                </c:pt>
                <c:pt idx="85">
                  <c:v>184.20000000000002</c:v>
                </c:pt>
                <c:pt idx="86">
                  <c:v>204.875</c:v>
                </c:pt>
                <c:pt idx="87">
                  <c:v>179.8</c:v>
                </c:pt>
                <c:pt idx="88">
                  <c:v>192.95999999999998</c:v>
                </c:pt>
                <c:pt idx="89">
                  <c:v>207.75</c:v>
                </c:pt>
                <c:pt idx="90">
                  <c:v>211.45</c:v>
                </c:pt>
                <c:pt idx="91">
                  <c:v>213.92</c:v>
                </c:pt>
                <c:pt idx="92">
                  <c:v>218.32499999999999</c:v>
                </c:pt>
                <c:pt idx="93">
                  <c:v>220.12000000000003</c:v>
                </c:pt>
                <c:pt idx="94">
                  <c:v>224.82500000000002</c:v>
                </c:pt>
                <c:pt idx="95">
                  <c:v>227.87500000000003</c:v>
                </c:pt>
                <c:pt idx="96">
                  <c:v>270.17999999999995</c:v>
                </c:pt>
                <c:pt idx="97">
                  <c:v>235</c:v>
                </c:pt>
                <c:pt idx="98">
                  <c:v>224.72500000000002</c:v>
                </c:pt>
                <c:pt idx="99">
                  <c:v>251.20000000000002</c:v>
                </c:pt>
                <c:pt idx="100">
                  <c:v>264.88</c:v>
                </c:pt>
                <c:pt idx="101">
                  <c:v>262.52500000000003</c:v>
                </c:pt>
                <c:pt idx="102">
                  <c:v>262.7</c:v>
                </c:pt>
                <c:pt idx="103">
                  <c:v>254.65</c:v>
                </c:pt>
                <c:pt idx="104">
                  <c:v>292.375</c:v>
                </c:pt>
                <c:pt idx="105">
                  <c:v>298.58</c:v>
                </c:pt>
                <c:pt idx="106">
                  <c:v>285.2</c:v>
                </c:pt>
                <c:pt idx="107">
                  <c:v>281.27499999999998</c:v>
                </c:pt>
                <c:pt idx="108">
                  <c:v>266.28000000000003</c:v>
                </c:pt>
                <c:pt idx="109">
                  <c:v>246.63692992068303</c:v>
                </c:pt>
                <c:pt idx="110">
                  <c:v>256.49682952564996</c:v>
                </c:pt>
                <c:pt idx="111">
                  <c:v>276.06477777659387</c:v>
                </c:pt>
                <c:pt idx="112">
                  <c:v>286.70304205841734</c:v>
                </c:pt>
                <c:pt idx="113">
                  <c:v>307.49256950700709</c:v>
                </c:pt>
                <c:pt idx="114">
                  <c:v>283.52817420956933</c:v>
                </c:pt>
                <c:pt idx="115">
                  <c:v>274.81315748879877</c:v>
                </c:pt>
                <c:pt idx="116">
                  <c:v>261.9772214565586</c:v>
                </c:pt>
                <c:pt idx="117">
                  <c:v>269.06073849644349</c:v>
                </c:pt>
                <c:pt idx="118">
                  <c:v>291.47963149734841</c:v>
                </c:pt>
                <c:pt idx="119">
                  <c:v>265.85151325705897</c:v>
                </c:pt>
                <c:pt idx="120">
                  <c:v>276.77247052631583</c:v>
                </c:pt>
                <c:pt idx="121">
                  <c:v>274.7176560093327</c:v>
                </c:pt>
                <c:pt idx="122">
                  <c:v>290.47454840116319</c:v>
                </c:pt>
                <c:pt idx="123">
                  <c:v>298.55907495556022</c:v>
                </c:pt>
                <c:pt idx="124">
                  <c:v>296.99315424025883</c:v>
                </c:pt>
                <c:pt idx="125">
                  <c:v>307.31187281177648</c:v>
                </c:pt>
                <c:pt idx="126">
                  <c:v>304.30449622157494</c:v>
                </c:pt>
                <c:pt idx="127">
                  <c:v>300.1338576655973</c:v>
                </c:pt>
                <c:pt idx="128">
                  <c:v>306.81444852057888</c:v>
                </c:pt>
                <c:pt idx="129">
                  <c:v>295.20244819723979</c:v>
                </c:pt>
                <c:pt idx="130">
                  <c:v>303.07591354513312</c:v>
                </c:pt>
                <c:pt idx="131">
                  <c:v>285.66421620353816</c:v>
                </c:pt>
                <c:pt idx="132">
                  <c:v>303.30014877467528</c:v>
                </c:pt>
                <c:pt idx="133">
                  <c:v>278.41552836617615</c:v>
                </c:pt>
                <c:pt idx="134">
                  <c:v>288.4026080544474</c:v>
                </c:pt>
                <c:pt idx="135">
                  <c:v>290.20713981858847</c:v>
                </c:pt>
                <c:pt idx="136">
                  <c:v>295.79211828286111</c:v>
                </c:pt>
                <c:pt idx="137">
                  <c:v>312.28135304933409</c:v>
                </c:pt>
                <c:pt idx="138">
                  <c:v>298.89419060052217</c:v>
                </c:pt>
                <c:pt idx="139">
                  <c:v>291.79037813041833</c:v>
                </c:pt>
                <c:pt idx="140">
                  <c:v>283.19928415273228</c:v>
                </c:pt>
                <c:pt idx="141">
                  <c:v>259.66713092206498</c:v>
                </c:pt>
                <c:pt idx="142">
                  <c:v>300.308120899995</c:v>
                </c:pt>
                <c:pt idx="143">
                  <c:v>299.92739711761806</c:v>
                </c:pt>
                <c:pt idx="144">
                  <c:v>338.72656654864136</c:v>
                </c:pt>
                <c:pt idx="145">
                  <c:v>300.6844166503235</c:v>
                </c:pt>
                <c:pt idx="146">
                  <c:v>313.86616515438453</c:v>
                </c:pt>
                <c:pt idx="147">
                  <c:v>333.22905200450037</c:v>
                </c:pt>
                <c:pt idx="148">
                  <c:v>354.95933115077918</c:v>
                </c:pt>
                <c:pt idx="149">
                  <c:v>359.82142630341548</c:v>
                </c:pt>
                <c:pt idx="150">
                  <c:v>361.86800904883751</c:v>
                </c:pt>
                <c:pt idx="151">
                  <c:v>349.6482907997709</c:v>
                </c:pt>
                <c:pt idx="152">
                  <c:v>359.31077396668036</c:v>
                </c:pt>
                <c:pt idx="153">
                  <c:v>339.94535328137658</c:v>
                </c:pt>
                <c:pt idx="154">
                  <c:v>349.01901972318257</c:v>
                </c:pt>
                <c:pt idx="155">
                  <c:v>350.70114925778557</c:v>
                </c:pt>
                <c:pt idx="156">
                  <c:v>359.16869637195202</c:v>
                </c:pt>
                <c:pt idx="157">
                  <c:v>323.69769352608074</c:v>
                </c:pt>
                <c:pt idx="158">
                  <c:v>353.56574453137398</c:v>
                </c:pt>
                <c:pt idx="159">
                  <c:v>366.02026527871061</c:v>
                </c:pt>
                <c:pt idx="160">
                  <c:v>408.25517096127851</c:v>
                </c:pt>
                <c:pt idx="161">
                  <c:v>413.03594393028067</c:v>
                </c:pt>
                <c:pt idx="162">
                  <c:v>423.1778953757709</c:v>
                </c:pt>
                <c:pt idx="163">
                  <c:v>396.18655535521765</c:v>
                </c:pt>
                <c:pt idx="164">
                  <c:v>400.56986073839528</c:v>
                </c:pt>
                <c:pt idx="165">
                  <c:v>381.29022209852491</c:v>
                </c:pt>
                <c:pt idx="166">
                  <c:v>414.93133208820331</c:v>
                </c:pt>
                <c:pt idx="167">
                  <c:v>398.90615936157212</c:v>
                </c:pt>
                <c:pt idx="168">
                  <c:v>436.68833597024451</c:v>
                </c:pt>
                <c:pt idx="169">
                  <c:v>403.55369471777448</c:v>
                </c:pt>
                <c:pt idx="170">
                  <c:v>429.86913148705185</c:v>
                </c:pt>
                <c:pt idx="171">
                  <c:v>443.182915816758</c:v>
                </c:pt>
                <c:pt idx="172">
                  <c:v>448.75082930224221</c:v>
                </c:pt>
                <c:pt idx="173">
                  <c:v>427.11407768159006</c:v>
                </c:pt>
                <c:pt idx="174">
                  <c:v>444.14164651271381</c:v>
                </c:pt>
                <c:pt idx="175">
                  <c:v>430.98729559748432</c:v>
                </c:pt>
                <c:pt idx="176">
                  <c:v>445.4691787102426</c:v>
                </c:pt>
                <c:pt idx="177">
                  <c:v>439.40180873628231</c:v>
                </c:pt>
                <c:pt idx="178">
                  <c:v>450.9796897908526</c:v>
                </c:pt>
                <c:pt idx="179">
                  <c:v>448.93688821721412</c:v>
                </c:pt>
                <c:pt idx="180">
                  <c:v>409.7923496432212</c:v>
                </c:pt>
                <c:pt idx="181">
                  <c:v>410.57609613543951</c:v>
                </c:pt>
                <c:pt idx="182">
                  <c:v>435.33756204399367</c:v>
                </c:pt>
                <c:pt idx="183">
                  <c:v>446.62213886574688</c:v>
                </c:pt>
                <c:pt idx="184">
                  <c:v>460.15354494526463</c:v>
                </c:pt>
                <c:pt idx="185">
                  <c:v>465.54470246342044</c:v>
                </c:pt>
                <c:pt idx="186">
                  <c:v>469.07370841434437</c:v>
                </c:pt>
                <c:pt idx="187">
                  <c:v>462.55955755912362</c:v>
                </c:pt>
                <c:pt idx="188">
                  <c:v>466.45711371872778</c:v>
                </c:pt>
                <c:pt idx="189">
                  <c:v>442.74917337855027</c:v>
                </c:pt>
                <c:pt idx="190">
                  <c:v>445.72702547385404</c:v>
                </c:pt>
                <c:pt idx="191">
                  <c:v>428.70600995011517</c:v>
                </c:pt>
                <c:pt idx="192">
                  <c:v>425.61881446756001</c:v>
                </c:pt>
                <c:pt idx="193">
                  <c:v>381.9211439221944</c:v>
                </c:pt>
                <c:pt idx="194">
                  <c:v>382.5119360028562</c:v>
                </c:pt>
                <c:pt idx="195">
                  <c:v>386.25676450228895</c:v>
                </c:pt>
                <c:pt idx="196">
                  <c:v>382.92679064618727</c:v>
                </c:pt>
                <c:pt idx="197">
                  <c:v>379.64038109818853</c:v>
                </c:pt>
                <c:pt idx="198">
                  <c:v>371.37622771504607</c:v>
                </c:pt>
                <c:pt idx="199">
                  <c:v>358.00324724435683</c:v>
                </c:pt>
                <c:pt idx="200">
                  <c:v>369.28067648116178</c:v>
                </c:pt>
                <c:pt idx="201">
                  <c:v>355.73831781917107</c:v>
                </c:pt>
                <c:pt idx="202">
                  <c:v>378.05081725007915</c:v>
                </c:pt>
                <c:pt idx="203">
                  <c:v>395.38942054788305</c:v>
                </c:pt>
                <c:pt idx="204">
                  <c:v>400.60742371981962</c:v>
                </c:pt>
                <c:pt idx="205">
                  <c:v>369.28976534242139</c:v>
                </c:pt>
                <c:pt idx="206">
                  <c:v>380.37235157357776</c:v>
                </c:pt>
                <c:pt idx="207">
                  <c:v>383.54562809700661</c:v>
                </c:pt>
                <c:pt idx="208">
                  <c:v>403.90813599121816</c:v>
                </c:pt>
                <c:pt idx="209">
                  <c:v>412.53072385453618</c:v>
                </c:pt>
                <c:pt idx="210">
                  <c:v>405.38629989570808</c:v>
                </c:pt>
                <c:pt idx="211">
                  <c:v>410.534286970398</c:v>
                </c:pt>
                <c:pt idx="212">
                  <c:v>403.0224993132415</c:v>
                </c:pt>
                <c:pt idx="213">
                  <c:v>390.9823460979801</c:v>
                </c:pt>
                <c:pt idx="214">
                  <c:v>398.40047688812547</c:v>
                </c:pt>
                <c:pt idx="215">
                  <c:v>384.50709876303716</c:v>
                </c:pt>
                <c:pt idx="216">
                  <c:v>391.03659807873976</c:v>
                </c:pt>
                <c:pt idx="217">
                  <c:v>352.02822703822949</c:v>
                </c:pt>
                <c:pt idx="218">
                  <c:v>347.91398514714388</c:v>
                </c:pt>
                <c:pt idx="219">
                  <c:v>340.81835119899807</c:v>
                </c:pt>
                <c:pt idx="220">
                  <c:v>334.88816613837184</c:v>
                </c:pt>
                <c:pt idx="221">
                  <c:v>328.62367051904823</c:v>
                </c:pt>
                <c:pt idx="222">
                  <c:v>318.70939857356109</c:v>
                </c:pt>
                <c:pt idx="223">
                  <c:v>299.23730354117185</c:v>
                </c:pt>
                <c:pt idx="224">
                  <c:v>324.99754729529678</c:v>
                </c:pt>
                <c:pt idx="225">
                  <c:v>273.3313220498448</c:v>
                </c:pt>
                <c:pt idx="226">
                  <c:v>268.23198753170601</c:v>
                </c:pt>
                <c:pt idx="227">
                  <c:v>283.77226244917995</c:v>
                </c:pt>
                <c:pt idx="228">
                  <c:v>278.06522404255884</c:v>
                </c:pt>
                <c:pt idx="229">
                  <c:v>227.43005064883474</c:v>
                </c:pt>
                <c:pt idx="230">
                  <c:v>242.91637318811777</c:v>
                </c:pt>
                <c:pt idx="231">
                  <c:v>247.75759929999467</c:v>
                </c:pt>
                <c:pt idx="232">
                  <c:v>243.31512854527602</c:v>
                </c:pt>
                <c:pt idx="233">
                  <c:v>251.20045628915793</c:v>
                </c:pt>
                <c:pt idx="234">
                  <c:v>248.19309682560768</c:v>
                </c:pt>
                <c:pt idx="235">
                  <c:v>256.8642725665834</c:v>
                </c:pt>
                <c:pt idx="236">
                  <c:v>264.66516031011457</c:v>
                </c:pt>
                <c:pt idx="237">
                  <c:v>255.75629923355334</c:v>
                </c:pt>
                <c:pt idx="238">
                  <c:v>205.30433753628208</c:v>
                </c:pt>
                <c:pt idx="239">
                  <c:v>210.28633060218493</c:v>
                </c:pt>
                <c:pt idx="240">
                  <c:v>205.99065081184844</c:v>
                </c:pt>
                <c:pt idx="241">
                  <c:v>197.4052156520676</c:v>
                </c:pt>
                <c:pt idx="242">
                  <c:v>214.75007924670066</c:v>
                </c:pt>
                <c:pt idx="243">
                  <c:v>233.95513449153361</c:v>
                </c:pt>
                <c:pt idx="244">
                  <c:v>191.61241420876348</c:v>
                </c:pt>
                <c:pt idx="245">
                  <c:v>163.21736293633415</c:v>
                </c:pt>
                <c:pt idx="246">
                  <c:v>158.71901738927269</c:v>
                </c:pt>
                <c:pt idx="247">
                  <c:v>161.21560359534257</c:v>
                </c:pt>
                <c:pt idx="248">
                  <c:v>170.314399633119</c:v>
                </c:pt>
                <c:pt idx="249">
                  <c:v>169.60745389746381</c:v>
                </c:pt>
                <c:pt idx="250">
                  <c:v>182.69413823671565</c:v>
                </c:pt>
                <c:pt idx="251">
                  <c:v>188.84411261926115</c:v>
                </c:pt>
                <c:pt idx="252">
                  <c:v>173.90459213006915</c:v>
                </c:pt>
                <c:pt idx="253">
                  <c:v>168.20150669642857</c:v>
                </c:pt>
                <c:pt idx="254">
                  <c:v>178.23731778036105</c:v>
                </c:pt>
                <c:pt idx="255">
                  <c:v>181.36121737504342</c:v>
                </c:pt>
                <c:pt idx="256">
                  <c:v>179.31170334219067</c:v>
                </c:pt>
                <c:pt idx="257">
                  <c:v>173.12319698061827</c:v>
                </c:pt>
                <c:pt idx="258">
                  <c:v>171.91962477148692</c:v>
                </c:pt>
                <c:pt idx="259">
                  <c:v>156.36382926926876</c:v>
                </c:pt>
                <c:pt idx="260">
                  <c:v>159.72443322532033</c:v>
                </c:pt>
                <c:pt idx="261">
                  <c:v>160.02067892182998</c:v>
                </c:pt>
                <c:pt idx="262">
                  <c:v>174.61197168881012</c:v>
                </c:pt>
                <c:pt idx="263">
                  <c:v>172.908921509072</c:v>
                </c:pt>
                <c:pt idx="264">
                  <c:v>172.46068779880412</c:v>
                </c:pt>
                <c:pt idx="265">
                  <c:v>160.02932420234291</c:v>
                </c:pt>
                <c:pt idx="266">
                  <c:v>176.55879552922198</c:v>
                </c:pt>
                <c:pt idx="267">
                  <c:v>177.59062715667417</c:v>
                </c:pt>
                <c:pt idx="268">
                  <c:v>178.11839426284192</c:v>
                </c:pt>
                <c:pt idx="269">
                  <c:v>177.36944086444927</c:v>
                </c:pt>
                <c:pt idx="270">
                  <c:v>176.27341395174915</c:v>
                </c:pt>
                <c:pt idx="271">
                  <c:v>166.91579299678997</c:v>
                </c:pt>
                <c:pt idx="272">
                  <c:v>178.00903066475962</c:v>
                </c:pt>
                <c:pt idx="273">
                  <c:v>180.34283923168226</c:v>
                </c:pt>
                <c:pt idx="274">
                  <c:v>184.95324899482864</c:v>
                </c:pt>
                <c:pt idx="275">
                  <c:v>179.43394464096272</c:v>
                </c:pt>
                <c:pt idx="276">
                  <c:v>192.75548461188191</c:v>
                </c:pt>
                <c:pt idx="277">
                  <c:v>184.40298121738158</c:v>
                </c:pt>
                <c:pt idx="278">
                  <c:v>193.90653639057814</c:v>
                </c:pt>
                <c:pt idx="279">
                  <c:v>202.35352728101302</c:v>
                </c:pt>
                <c:pt idx="280">
                  <c:v>198.37159977297409</c:v>
                </c:pt>
                <c:pt idx="281">
                  <c:v>199.85389808574104</c:v>
                </c:pt>
                <c:pt idx="282">
                  <c:v>186.79055702739862</c:v>
                </c:pt>
                <c:pt idx="283">
                  <c:v>176.57945717962849</c:v>
                </c:pt>
                <c:pt idx="284">
                  <c:v>179.15311993897691</c:v>
                </c:pt>
                <c:pt idx="285">
                  <c:v>172.19052354597602</c:v>
                </c:pt>
                <c:pt idx="286">
                  <c:v>176.04457812503497</c:v>
                </c:pt>
                <c:pt idx="287">
                  <c:v>165.26874357065702</c:v>
                </c:pt>
                <c:pt idx="288">
                  <c:v>172.6360070941997</c:v>
                </c:pt>
                <c:pt idx="289">
                  <c:v>154.59890866719721</c:v>
                </c:pt>
                <c:pt idx="290">
                  <c:v>161.79814699188302</c:v>
                </c:pt>
                <c:pt idx="291">
                  <c:v>167.27567544892901</c:v>
                </c:pt>
                <c:pt idx="292">
                  <c:v>169.31642512077295</c:v>
                </c:pt>
                <c:pt idx="293">
                  <c:v>168.7229122019767</c:v>
                </c:pt>
                <c:pt idx="294">
                  <c:v>161.33783434920505</c:v>
                </c:pt>
                <c:pt idx="295">
                  <c:v>155.92617269799135</c:v>
                </c:pt>
                <c:pt idx="296">
                  <c:v>156.98616460938445</c:v>
                </c:pt>
                <c:pt idx="297">
                  <c:v>154.4766056708369</c:v>
                </c:pt>
                <c:pt idx="298">
                  <c:v>161.34811310014135</c:v>
                </c:pt>
                <c:pt idx="299">
                  <c:v>155.64283619711378</c:v>
                </c:pt>
                <c:pt idx="300">
                  <c:v>173.13600567558157</c:v>
                </c:pt>
                <c:pt idx="301">
                  <c:v>158.99575201456375</c:v>
                </c:pt>
                <c:pt idx="302">
                  <c:v>166.78368203357155</c:v>
                </c:pt>
                <c:pt idx="303">
                  <c:v>189.58448919765479</c:v>
                </c:pt>
                <c:pt idx="304">
                  <c:v>189.50004176371374</c:v>
                </c:pt>
                <c:pt idx="305">
                  <c:v>193.92414899740317</c:v>
                </c:pt>
                <c:pt idx="306">
                  <c:v>189.50004176371374</c:v>
                </c:pt>
                <c:pt idx="307">
                  <c:v>187.26218476427596</c:v>
                </c:pt>
                <c:pt idx="308">
                  <c:v>191.78950552833774</c:v>
                </c:pt>
                <c:pt idx="309">
                  <c:v>188.71186571359726</c:v>
                </c:pt>
                <c:pt idx="310">
                  <c:v>197.67736828367197</c:v>
                </c:pt>
                <c:pt idx="311">
                  <c:v>211.47044916070996</c:v>
                </c:pt>
                <c:pt idx="312">
                  <c:v>208.96048376301763</c:v>
                </c:pt>
                <c:pt idx="313">
                  <c:v>203.9640105881723</c:v>
                </c:pt>
                <c:pt idx="314">
                  <c:v>212.19763539742456</c:v>
                </c:pt>
                <c:pt idx="315">
                  <c:v>220.59546355045109</c:v>
                </c:pt>
                <c:pt idx="316">
                  <c:v>215.43478703183146</c:v>
                </c:pt>
                <c:pt idx="317">
                  <c:v>225.00549621181696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859712"/>
        <c:axId val="596082048"/>
      </c:lineChart>
      <c:dateAx>
        <c:axId val="59585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96082048"/>
        <c:crosses val="autoZero"/>
        <c:auto val="1"/>
        <c:lblOffset val="100"/>
        <c:baseTimeUnit val="months"/>
      </c:dateAx>
      <c:valAx>
        <c:axId val="5960820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9585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9</xdr:row>
      <xdr:rowOff>47624</xdr:rowOff>
    </xdr:from>
    <xdr:to>
      <xdr:col>22</xdr:col>
      <xdr:colOff>590550</xdr:colOff>
      <xdr:row>31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466724</xdr:colOff>
      <xdr:row>7</xdr:row>
      <xdr:rowOff>19049</xdr:rowOff>
    </xdr:from>
    <xdr:to>
      <xdr:col>20</xdr:col>
      <xdr:colOff>247649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152399</xdr:colOff>
      <xdr:row>7</xdr:row>
      <xdr:rowOff>123824</xdr:rowOff>
    </xdr:from>
    <xdr:to>
      <xdr:col>21</xdr:col>
      <xdr:colOff>47624</xdr:colOff>
      <xdr:row>28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600075</xdr:colOff>
      <xdr:row>34</xdr:row>
      <xdr:rowOff>114300</xdr:rowOff>
    </xdr:from>
    <xdr:to>
      <xdr:col>21</xdr:col>
      <xdr:colOff>456380</xdr:colOff>
      <xdr:row>66</xdr:row>
      <xdr:rowOff>56396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075" y="6591300"/>
          <a:ext cx="6561905" cy="6038096"/>
        </a:xfrm>
        <a:prstGeom prst="rect">
          <a:avLst/>
        </a:prstGeom>
      </xdr:spPr>
    </xdr:pic>
    <xdr:clientData/>
  </xdr:twoCellAnchor>
  <xdr:twoCellAnchor>
    <xdr:from>
      <xdr:col>18</xdr:col>
      <xdr:colOff>247649</xdr:colOff>
      <xdr:row>35</xdr:row>
      <xdr:rowOff>28575</xdr:rowOff>
    </xdr:from>
    <xdr:to>
      <xdr:col>22</xdr:col>
      <xdr:colOff>104774</xdr:colOff>
      <xdr:row>36</xdr:row>
      <xdr:rowOff>114300</xdr:rowOff>
    </xdr:to>
    <xdr:sp macro="" textlink="">
      <xdr:nvSpPr>
        <xdr:cNvPr id="5" name="TextBox 4"/>
        <xdr:cNvSpPr txBox="1"/>
      </xdr:nvSpPr>
      <xdr:spPr>
        <a:xfrm>
          <a:off x="11220449" y="6696075"/>
          <a:ext cx="22955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y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0.01171672 + 0.68563835x</a:t>
          </a:r>
          <a:endParaRPr lang="en-US" sz="1100"/>
        </a:p>
      </xdr:txBody>
    </xdr:sp>
    <xdr:clientData/>
  </xdr:twoCellAnchor>
  <xdr:twoCellAnchor>
    <xdr:from>
      <xdr:col>18</xdr:col>
      <xdr:colOff>257174</xdr:colOff>
      <xdr:row>36</xdr:row>
      <xdr:rowOff>142875</xdr:rowOff>
    </xdr:from>
    <xdr:to>
      <xdr:col>22</xdr:col>
      <xdr:colOff>114299</xdr:colOff>
      <xdr:row>38</xdr:row>
      <xdr:rowOff>38100</xdr:rowOff>
    </xdr:to>
    <xdr:sp macro="" textlink="">
      <xdr:nvSpPr>
        <xdr:cNvPr id="6" name="TextBox 5"/>
        <xdr:cNvSpPr txBox="1"/>
      </xdr:nvSpPr>
      <xdr:spPr>
        <a:xfrm>
          <a:off x="11229974" y="7000875"/>
          <a:ext cx="22955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R-squared: 0.07823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371474</xdr:colOff>
      <xdr:row>6</xdr:row>
      <xdr:rowOff>180974</xdr:rowOff>
    </xdr:from>
    <xdr:to>
      <xdr:col>21</xdr:col>
      <xdr:colOff>342899</xdr:colOff>
      <xdr:row>29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5</xdr:row>
      <xdr:rowOff>161924</xdr:rowOff>
    </xdr:from>
    <xdr:to>
      <xdr:col>19</xdr:col>
      <xdr:colOff>390524</xdr:colOff>
      <xdr:row>24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3</xdr:row>
      <xdr:rowOff>133349</xdr:rowOff>
    </xdr:from>
    <xdr:to>
      <xdr:col>23</xdr:col>
      <xdr:colOff>581025</xdr:colOff>
      <xdr:row>22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24</xdr:row>
      <xdr:rowOff>133350</xdr:rowOff>
    </xdr:from>
    <xdr:to>
      <xdr:col>23</xdr:col>
      <xdr:colOff>295275</xdr:colOff>
      <xdr:row>39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C146"/>
  <sheetViews>
    <sheetView workbookViewId="0">
      <selection activeCell="G57" sqref="G57"/>
    </sheetView>
  </sheetViews>
  <sheetFormatPr defaultRowHeight="15" x14ac:dyDescent="0.25"/>
  <sheetData>
    <row r="1" spans="1:3" x14ac:dyDescent="0.25">
      <c r="B1" t="s">
        <v>9</v>
      </c>
      <c r="C1" t="s">
        <v>0</v>
      </c>
    </row>
    <row r="2" spans="1:3" x14ac:dyDescent="0.25">
      <c r="A2" s="1">
        <v>38139</v>
      </c>
      <c r="B2" s="2">
        <v>427.11407768159006</v>
      </c>
      <c r="C2">
        <v>377</v>
      </c>
    </row>
    <row r="3" spans="1:3" x14ac:dyDescent="0.25">
      <c r="A3" s="1">
        <v>38169</v>
      </c>
      <c r="B3" s="2">
        <v>444.14164651271381</v>
      </c>
      <c r="C3">
        <v>383.5</v>
      </c>
    </row>
    <row r="4" spans="1:3" x14ac:dyDescent="0.25">
      <c r="A4" s="1">
        <v>38200</v>
      </c>
      <c r="B4" s="2">
        <v>430.98729559748432</v>
      </c>
      <c r="C4">
        <v>390</v>
      </c>
    </row>
    <row r="5" spans="1:3" x14ac:dyDescent="0.25">
      <c r="A5" s="1">
        <v>38231</v>
      </c>
      <c r="B5" s="2">
        <v>445.4691787102426</v>
      </c>
      <c r="C5">
        <v>396.5</v>
      </c>
    </row>
    <row r="6" spans="1:3" x14ac:dyDescent="0.25">
      <c r="A6" s="1">
        <v>38261</v>
      </c>
      <c r="B6" s="2">
        <v>439.40180873628231</v>
      </c>
      <c r="C6">
        <v>403</v>
      </c>
    </row>
    <row r="7" spans="1:3" x14ac:dyDescent="0.25">
      <c r="A7" s="1">
        <v>38292</v>
      </c>
      <c r="B7" s="2">
        <v>450.9796897908526</v>
      </c>
      <c r="C7">
        <v>409.5</v>
      </c>
    </row>
    <row r="8" spans="1:3" x14ac:dyDescent="0.25">
      <c r="A8" s="1">
        <v>38322</v>
      </c>
      <c r="B8" s="2">
        <v>448.93688821721412</v>
      </c>
      <c r="C8">
        <v>416</v>
      </c>
    </row>
    <row r="9" spans="1:3" x14ac:dyDescent="0.25">
      <c r="A9" s="1">
        <v>38353</v>
      </c>
      <c r="B9" s="2">
        <v>409.7923496432212</v>
      </c>
      <c r="C9">
        <v>480.83333329999999</v>
      </c>
    </row>
    <row r="10" spans="1:3" x14ac:dyDescent="0.25">
      <c r="A10" s="1">
        <v>38384</v>
      </c>
      <c r="B10" s="2">
        <v>410.57609613543951</v>
      </c>
      <c r="C10">
        <v>545.66666669999995</v>
      </c>
    </row>
    <row r="11" spans="1:3" x14ac:dyDescent="0.25">
      <c r="A11" s="1">
        <v>38412</v>
      </c>
      <c r="B11" s="2">
        <v>435.33756204399367</v>
      </c>
      <c r="C11">
        <v>610.5</v>
      </c>
    </row>
    <row r="12" spans="1:3" x14ac:dyDescent="0.25">
      <c r="A12" s="1">
        <v>38443</v>
      </c>
      <c r="B12" s="2">
        <v>446.62213886574688</v>
      </c>
      <c r="C12">
        <v>675.33333330000005</v>
      </c>
    </row>
    <row r="13" spans="1:3" x14ac:dyDescent="0.25">
      <c r="A13" s="1">
        <v>38473</v>
      </c>
      <c r="B13" s="2">
        <v>460.15354494526463</v>
      </c>
      <c r="C13">
        <v>740.16666669999995</v>
      </c>
    </row>
    <row r="14" spans="1:3" x14ac:dyDescent="0.25">
      <c r="A14" s="1">
        <v>38504</v>
      </c>
      <c r="B14" s="2">
        <v>465.54470246342044</v>
      </c>
      <c r="C14">
        <v>805</v>
      </c>
    </row>
    <row r="15" spans="1:3" x14ac:dyDescent="0.25">
      <c r="A15" s="1">
        <v>38534</v>
      </c>
      <c r="B15" s="2">
        <v>469.07370841434437</v>
      </c>
      <c r="C15">
        <v>812.16666669999995</v>
      </c>
    </row>
    <row r="16" spans="1:3" x14ac:dyDescent="0.25">
      <c r="A16" s="1">
        <v>38565</v>
      </c>
      <c r="B16" s="2">
        <v>462.55955755912362</v>
      </c>
      <c r="C16">
        <v>819.33333330000005</v>
      </c>
    </row>
    <row r="17" spans="1:3" x14ac:dyDescent="0.25">
      <c r="A17" s="1">
        <v>38596</v>
      </c>
      <c r="B17" s="2">
        <v>466.45711371872778</v>
      </c>
      <c r="C17">
        <v>826.5</v>
      </c>
    </row>
    <row r="18" spans="1:3" x14ac:dyDescent="0.25">
      <c r="A18" s="1">
        <v>38626</v>
      </c>
      <c r="B18" s="2">
        <v>442.74917337855027</v>
      </c>
      <c r="C18">
        <v>833.66666669999995</v>
      </c>
    </row>
    <row r="19" spans="1:3" x14ac:dyDescent="0.25">
      <c r="A19" s="1">
        <v>38657</v>
      </c>
      <c r="B19" s="2">
        <v>445.72702547385404</v>
      </c>
      <c r="C19">
        <v>840.83333330000005</v>
      </c>
    </row>
    <row r="20" spans="1:3" x14ac:dyDescent="0.25">
      <c r="A20" s="1">
        <v>38687</v>
      </c>
      <c r="B20" s="2">
        <v>428.70600995011517</v>
      </c>
      <c r="C20">
        <v>848</v>
      </c>
    </row>
    <row r="21" spans="1:3" x14ac:dyDescent="0.25">
      <c r="A21" s="1">
        <v>38718</v>
      </c>
      <c r="B21" s="2">
        <v>425.61881446756001</v>
      </c>
      <c r="C21">
        <v>851.83333330000005</v>
      </c>
    </row>
    <row r="22" spans="1:3" x14ac:dyDescent="0.25">
      <c r="A22" s="1">
        <v>38749</v>
      </c>
      <c r="B22" s="2">
        <v>381.9211439221944</v>
      </c>
      <c r="C22">
        <v>855.66666669999995</v>
      </c>
    </row>
    <row r="23" spans="1:3" x14ac:dyDescent="0.25">
      <c r="A23" s="1">
        <v>38777</v>
      </c>
      <c r="B23" s="2">
        <v>382.5119360028562</v>
      </c>
      <c r="C23">
        <v>859.5</v>
      </c>
    </row>
    <row r="24" spans="1:3" x14ac:dyDescent="0.25">
      <c r="A24" s="1">
        <v>38808</v>
      </c>
      <c r="B24" s="2">
        <v>386.25676450228895</v>
      </c>
      <c r="C24">
        <v>863.33333330000005</v>
      </c>
    </row>
    <row r="25" spans="1:3" x14ac:dyDescent="0.25">
      <c r="A25" s="1">
        <v>38838</v>
      </c>
      <c r="B25" s="2">
        <v>382.92679064618727</v>
      </c>
      <c r="C25">
        <v>867.16666669999995</v>
      </c>
    </row>
    <row r="26" spans="1:3" x14ac:dyDescent="0.25">
      <c r="A26" s="1">
        <v>38869</v>
      </c>
      <c r="B26" s="2">
        <v>379.64038109818853</v>
      </c>
      <c r="C26">
        <v>871</v>
      </c>
    </row>
    <row r="27" spans="1:3" x14ac:dyDescent="0.25">
      <c r="A27" s="1">
        <v>38899</v>
      </c>
      <c r="B27" s="2">
        <v>371.37622771504607</v>
      </c>
      <c r="C27">
        <v>846.83333330000005</v>
      </c>
    </row>
    <row r="28" spans="1:3" x14ac:dyDescent="0.25">
      <c r="A28" s="1">
        <v>38930</v>
      </c>
      <c r="B28" s="2">
        <v>358.00324724435683</v>
      </c>
      <c r="C28">
        <v>822.66666669999995</v>
      </c>
    </row>
    <row r="29" spans="1:3" x14ac:dyDescent="0.25">
      <c r="A29" s="1">
        <v>38961</v>
      </c>
      <c r="B29" s="2">
        <v>369.28067648116178</v>
      </c>
      <c r="C29">
        <v>798.5</v>
      </c>
    </row>
    <row r="30" spans="1:3" x14ac:dyDescent="0.25">
      <c r="A30" s="1">
        <v>38991</v>
      </c>
      <c r="B30" s="2">
        <v>355.73831781917107</v>
      </c>
      <c r="C30">
        <v>774.33333330000005</v>
      </c>
    </row>
    <row r="31" spans="1:3" x14ac:dyDescent="0.25">
      <c r="A31" s="1">
        <v>39022</v>
      </c>
      <c r="B31" s="2">
        <v>378.05081725007915</v>
      </c>
      <c r="C31">
        <v>750.16666669999995</v>
      </c>
    </row>
    <row r="32" spans="1:3" x14ac:dyDescent="0.25">
      <c r="A32" s="1">
        <v>39052</v>
      </c>
      <c r="B32" s="2">
        <v>395.38942054788305</v>
      </c>
      <c r="C32">
        <v>726</v>
      </c>
    </row>
    <row r="33" spans="1:3" x14ac:dyDescent="0.25">
      <c r="A33" s="1">
        <v>39083</v>
      </c>
      <c r="B33" s="2">
        <v>400.60742371981962</v>
      </c>
      <c r="C33">
        <v>696.33333330000005</v>
      </c>
    </row>
    <row r="34" spans="1:3" x14ac:dyDescent="0.25">
      <c r="A34" s="1">
        <v>39114</v>
      </c>
      <c r="B34" s="2">
        <v>369.28976534242139</v>
      </c>
      <c r="C34">
        <v>666.66666669999995</v>
      </c>
    </row>
    <row r="35" spans="1:3" x14ac:dyDescent="0.25">
      <c r="A35" s="1">
        <v>39142</v>
      </c>
      <c r="B35" s="2">
        <v>380.37235157357776</v>
      </c>
      <c r="C35">
        <v>637</v>
      </c>
    </row>
    <row r="36" spans="1:3" x14ac:dyDescent="0.25">
      <c r="A36" s="1">
        <v>39173</v>
      </c>
      <c r="B36" s="2">
        <v>383.54562809700661</v>
      </c>
      <c r="C36">
        <v>607.33333330000005</v>
      </c>
    </row>
    <row r="37" spans="1:3" x14ac:dyDescent="0.25">
      <c r="A37" s="1">
        <v>39203</v>
      </c>
      <c r="B37" s="2">
        <v>403.90813599121816</v>
      </c>
      <c r="C37">
        <v>577.66666669999995</v>
      </c>
    </row>
    <row r="38" spans="1:3" x14ac:dyDescent="0.25">
      <c r="A38" s="1">
        <v>39234</v>
      </c>
      <c r="B38" s="2">
        <v>412.53072385453618</v>
      </c>
      <c r="C38">
        <v>548</v>
      </c>
    </row>
    <row r="39" spans="1:3" x14ac:dyDescent="0.25">
      <c r="A39" s="1">
        <v>39264</v>
      </c>
      <c r="B39" s="2">
        <v>405.38629989570808</v>
      </c>
      <c r="C39">
        <v>509.5</v>
      </c>
    </row>
    <row r="40" spans="1:3" x14ac:dyDescent="0.25">
      <c r="A40" s="1">
        <v>39295</v>
      </c>
      <c r="B40" s="2">
        <v>410.534286970398</v>
      </c>
      <c r="C40">
        <v>471</v>
      </c>
    </row>
    <row r="41" spans="1:3" x14ac:dyDescent="0.25">
      <c r="A41" s="1">
        <v>39326</v>
      </c>
      <c r="B41" s="2">
        <v>403.0224993132415</v>
      </c>
      <c r="C41">
        <v>432.5</v>
      </c>
    </row>
    <row r="42" spans="1:3" x14ac:dyDescent="0.25">
      <c r="A42" s="1">
        <v>39356</v>
      </c>
      <c r="B42" s="2">
        <v>390.9823460979801</v>
      </c>
      <c r="C42">
        <v>394</v>
      </c>
    </row>
    <row r="43" spans="1:3" x14ac:dyDescent="0.25">
      <c r="A43" s="1">
        <v>39387</v>
      </c>
      <c r="B43" s="2">
        <v>398.40047688812547</v>
      </c>
      <c r="C43">
        <v>355.5</v>
      </c>
    </row>
    <row r="44" spans="1:3" x14ac:dyDescent="0.25">
      <c r="A44" s="1">
        <v>39417</v>
      </c>
      <c r="B44" s="2">
        <v>384.50709876303716</v>
      </c>
      <c r="C44">
        <v>317</v>
      </c>
    </row>
    <row r="45" spans="1:3" x14ac:dyDescent="0.25">
      <c r="A45" s="1">
        <v>39448</v>
      </c>
      <c r="B45" s="2">
        <v>391.03659807873976</v>
      </c>
      <c r="C45">
        <v>283.83333329999999</v>
      </c>
    </row>
    <row r="46" spans="1:3" x14ac:dyDescent="0.25">
      <c r="A46" s="1">
        <v>39479</v>
      </c>
      <c r="B46" s="2">
        <v>352.02822703822949</v>
      </c>
      <c r="C46">
        <v>250.66666670000001</v>
      </c>
    </row>
    <row r="47" spans="1:3" x14ac:dyDescent="0.25">
      <c r="A47" s="1">
        <v>39508</v>
      </c>
      <c r="B47" s="2">
        <v>347.91398514714388</v>
      </c>
      <c r="C47">
        <v>217.5</v>
      </c>
    </row>
    <row r="48" spans="1:3" x14ac:dyDescent="0.25">
      <c r="A48" s="1">
        <v>39539</v>
      </c>
      <c r="B48" s="2">
        <v>340.81835119899807</v>
      </c>
      <c r="C48">
        <v>184.33333329999999</v>
      </c>
    </row>
    <row r="49" spans="1:3" x14ac:dyDescent="0.25">
      <c r="A49" s="1">
        <v>39569</v>
      </c>
      <c r="B49" s="2">
        <v>334.88816613837184</v>
      </c>
      <c r="C49">
        <v>151.16666670000001</v>
      </c>
    </row>
    <row r="50" spans="1:3" x14ac:dyDescent="0.25">
      <c r="A50" s="1">
        <v>39600</v>
      </c>
      <c r="B50" s="2">
        <v>328.62367051904823</v>
      </c>
      <c r="C50">
        <v>118</v>
      </c>
    </row>
    <row r="51" spans="1:3" x14ac:dyDescent="0.25">
      <c r="A51" s="1">
        <v>39630</v>
      </c>
      <c r="B51" s="2">
        <v>318.70939857356109</v>
      </c>
      <c r="C51">
        <v>112.33333330000001</v>
      </c>
    </row>
    <row r="52" spans="1:3" x14ac:dyDescent="0.25">
      <c r="A52" s="1">
        <v>39661</v>
      </c>
      <c r="B52" s="2">
        <v>299.23730354117185</v>
      </c>
      <c r="C52">
        <v>106.66666669999999</v>
      </c>
    </row>
    <row r="53" spans="1:3" x14ac:dyDescent="0.25">
      <c r="A53" s="1">
        <v>39692</v>
      </c>
      <c r="B53" s="2">
        <v>324.99754729529678</v>
      </c>
      <c r="C53">
        <v>101</v>
      </c>
    </row>
    <row r="54" spans="1:3" x14ac:dyDescent="0.25">
      <c r="A54" s="1">
        <v>39722</v>
      </c>
      <c r="B54" s="2">
        <v>273.3313220498448</v>
      </c>
      <c r="C54">
        <v>95.333333330000002</v>
      </c>
    </row>
    <row r="55" spans="1:3" x14ac:dyDescent="0.25">
      <c r="A55" s="1">
        <v>39753</v>
      </c>
      <c r="B55" s="2">
        <v>268.23198753170601</v>
      </c>
      <c r="C55">
        <v>89.666666669999998</v>
      </c>
    </row>
    <row r="56" spans="1:3" x14ac:dyDescent="0.25">
      <c r="A56" s="1">
        <v>39783</v>
      </c>
      <c r="B56" s="2">
        <v>283.77226244917995</v>
      </c>
      <c r="C56">
        <v>84</v>
      </c>
    </row>
    <row r="57" spans="1:3" x14ac:dyDescent="0.25">
      <c r="A57" s="1">
        <v>39814</v>
      </c>
      <c r="B57" s="2">
        <v>278.06522404255884</v>
      </c>
      <c r="C57">
        <v>91.166666669999998</v>
      </c>
    </row>
    <row r="58" spans="1:3" x14ac:dyDescent="0.25">
      <c r="A58" s="1">
        <v>39845</v>
      </c>
      <c r="B58" s="2">
        <v>227.43005064883474</v>
      </c>
      <c r="C58">
        <v>98.333333330000002</v>
      </c>
    </row>
    <row r="59" spans="1:3" x14ac:dyDescent="0.25">
      <c r="A59" s="1">
        <v>39873</v>
      </c>
      <c r="B59" s="2">
        <v>242.91637318811777</v>
      </c>
      <c r="C59">
        <v>105.5</v>
      </c>
    </row>
    <row r="60" spans="1:3" x14ac:dyDescent="0.25">
      <c r="A60" s="1">
        <v>39904</v>
      </c>
      <c r="B60" s="2">
        <v>247.75759929999467</v>
      </c>
      <c r="C60">
        <v>112.66666669999999</v>
      </c>
    </row>
    <row r="61" spans="1:3" x14ac:dyDescent="0.25">
      <c r="A61" s="1">
        <v>39934</v>
      </c>
      <c r="B61" s="2">
        <v>243.31512854527602</v>
      </c>
      <c r="C61">
        <v>119.83333330000001</v>
      </c>
    </row>
    <row r="62" spans="1:3" x14ac:dyDescent="0.25">
      <c r="A62" s="1">
        <v>39965</v>
      </c>
      <c r="B62" s="2">
        <v>251.20045628915793</v>
      </c>
      <c r="C62">
        <v>127</v>
      </c>
    </row>
    <row r="63" spans="1:3" x14ac:dyDescent="0.25">
      <c r="A63" s="1">
        <v>39995</v>
      </c>
      <c r="B63" s="2">
        <v>248.19309682560768</v>
      </c>
      <c r="C63">
        <v>121.5</v>
      </c>
    </row>
    <row r="64" spans="1:3" x14ac:dyDescent="0.25">
      <c r="A64" s="1">
        <v>40026</v>
      </c>
      <c r="B64" s="2">
        <v>256.8642725665834</v>
      </c>
      <c r="C64">
        <v>116</v>
      </c>
    </row>
    <row r="65" spans="1:3" x14ac:dyDescent="0.25">
      <c r="A65" s="1">
        <v>40057</v>
      </c>
      <c r="B65" s="2">
        <v>264.66516031011457</v>
      </c>
      <c r="C65">
        <v>110.5</v>
      </c>
    </row>
    <row r="66" spans="1:3" x14ac:dyDescent="0.25">
      <c r="A66" s="1">
        <v>40087</v>
      </c>
      <c r="B66" s="2">
        <v>255.75629923355334</v>
      </c>
      <c r="C66">
        <v>105</v>
      </c>
    </row>
    <row r="67" spans="1:3" x14ac:dyDescent="0.25">
      <c r="A67" s="1">
        <v>40118</v>
      </c>
      <c r="B67" s="2">
        <v>205.30433753628208</v>
      </c>
      <c r="C67">
        <v>99.5</v>
      </c>
    </row>
    <row r="68" spans="1:3" x14ac:dyDescent="0.25">
      <c r="A68" s="1">
        <v>40148</v>
      </c>
      <c r="B68" s="2">
        <v>210.28633060218493</v>
      </c>
      <c r="C68">
        <v>94</v>
      </c>
    </row>
    <row r="69" spans="1:3" x14ac:dyDescent="0.25">
      <c r="A69" s="1">
        <v>40179</v>
      </c>
      <c r="B69" s="2">
        <v>205.99065081184844</v>
      </c>
      <c r="C69">
        <v>94.666666669999998</v>
      </c>
    </row>
    <row r="70" spans="1:3" x14ac:dyDescent="0.25">
      <c r="A70" s="1">
        <v>40210</v>
      </c>
      <c r="B70" s="2">
        <v>197.4052156520676</v>
      </c>
      <c r="C70">
        <v>95.333333330000002</v>
      </c>
    </row>
    <row r="71" spans="1:3" x14ac:dyDescent="0.25">
      <c r="A71" s="1">
        <v>40238</v>
      </c>
      <c r="B71" s="2">
        <v>214.75007924670066</v>
      </c>
      <c r="C71">
        <v>96</v>
      </c>
    </row>
    <row r="72" spans="1:3" x14ac:dyDescent="0.25">
      <c r="A72" s="1">
        <v>40269</v>
      </c>
      <c r="B72" s="2">
        <v>233.95513449153361</v>
      </c>
      <c r="C72">
        <v>96.666666669999998</v>
      </c>
    </row>
    <row r="73" spans="1:3" x14ac:dyDescent="0.25">
      <c r="A73" s="1">
        <v>40299</v>
      </c>
      <c r="B73" s="2">
        <v>191.61241420876348</v>
      </c>
      <c r="C73">
        <v>97.333333330000002</v>
      </c>
    </row>
    <row r="74" spans="1:3" x14ac:dyDescent="0.25">
      <c r="A74" s="1">
        <v>40330</v>
      </c>
      <c r="B74" s="2">
        <v>163.21736293633415</v>
      </c>
      <c r="C74">
        <v>98</v>
      </c>
    </row>
    <row r="75" spans="1:3" x14ac:dyDescent="0.25">
      <c r="A75" s="1">
        <v>40360</v>
      </c>
      <c r="B75" s="2">
        <v>158.71901738927269</v>
      </c>
      <c r="C75">
        <v>101.16666669999999</v>
      </c>
    </row>
    <row r="76" spans="1:3" x14ac:dyDescent="0.25">
      <c r="A76" s="1">
        <v>40391</v>
      </c>
      <c r="B76" s="2">
        <v>161.21560359534257</v>
      </c>
      <c r="C76">
        <v>104.33333330000001</v>
      </c>
    </row>
    <row r="77" spans="1:3" x14ac:dyDescent="0.25">
      <c r="A77" s="1">
        <v>40422</v>
      </c>
      <c r="B77" s="2">
        <v>170.314399633119</v>
      </c>
      <c r="C77">
        <v>107.5</v>
      </c>
    </row>
    <row r="78" spans="1:3" x14ac:dyDescent="0.25">
      <c r="A78" s="1">
        <v>40452</v>
      </c>
      <c r="B78" s="2">
        <v>169.60745389746381</v>
      </c>
      <c r="C78">
        <v>110.66666669999999</v>
      </c>
    </row>
    <row r="79" spans="1:3" x14ac:dyDescent="0.25">
      <c r="A79" s="1">
        <v>40483</v>
      </c>
      <c r="B79" s="2">
        <v>182.69413823671565</v>
      </c>
      <c r="C79">
        <v>113.83333330000001</v>
      </c>
    </row>
    <row r="80" spans="1:3" x14ac:dyDescent="0.25">
      <c r="A80" s="1">
        <v>40513</v>
      </c>
      <c r="B80" s="2">
        <v>188.84411261926115</v>
      </c>
      <c r="C80">
        <v>117</v>
      </c>
    </row>
    <row r="81" spans="1:3" x14ac:dyDescent="0.25">
      <c r="A81" s="1">
        <v>40544</v>
      </c>
      <c r="B81" s="2">
        <v>173.90459213006915</v>
      </c>
      <c r="C81">
        <v>115.83333330000001</v>
      </c>
    </row>
    <row r="82" spans="1:3" x14ac:dyDescent="0.25">
      <c r="A82" s="1">
        <v>40575</v>
      </c>
      <c r="B82" s="2">
        <v>168.20150669642857</v>
      </c>
      <c r="C82">
        <v>114.66666669999999</v>
      </c>
    </row>
    <row r="83" spans="1:3" x14ac:dyDescent="0.25">
      <c r="A83" s="1">
        <v>40603</v>
      </c>
      <c r="B83" s="2">
        <v>178.23731778036105</v>
      </c>
      <c r="C83">
        <v>112.08</v>
      </c>
    </row>
    <row r="84" spans="1:3" x14ac:dyDescent="0.25">
      <c r="A84" s="1">
        <v>40634</v>
      </c>
      <c r="B84" s="2">
        <v>181.36121737504342</v>
      </c>
      <c r="C84">
        <v>107.04</v>
      </c>
    </row>
    <row r="85" spans="1:3" x14ac:dyDescent="0.25">
      <c r="A85" s="1">
        <v>40664</v>
      </c>
      <c r="B85" s="2">
        <v>179.31170334219067</v>
      </c>
      <c r="C85">
        <v>109.28</v>
      </c>
    </row>
    <row r="86" spans="1:3" x14ac:dyDescent="0.25">
      <c r="A86" s="1">
        <v>40695</v>
      </c>
      <c r="B86" s="2">
        <v>173.12319698061827</v>
      </c>
      <c r="C86">
        <v>110.55</v>
      </c>
    </row>
    <row r="87" spans="1:3" x14ac:dyDescent="0.25">
      <c r="A87" s="1">
        <v>40725</v>
      </c>
      <c r="B87" s="2">
        <v>171.91962477148692</v>
      </c>
      <c r="C87">
        <v>109.95</v>
      </c>
    </row>
    <row r="88" spans="1:3" x14ac:dyDescent="0.25">
      <c r="A88" s="1">
        <v>40756</v>
      </c>
      <c r="B88" s="2">
        <v>156.36382926926876</v>
      </c>
      <c r="C88">
        <v>107.75</v>
      </c>
    </row>
    <row r="89" spans="1:3" x14ac:dyDescent="0.25">
      <c r="A89" s="1">
        <v>40787</v>
      </c>
      <c r="B89" s="2">
        <v>159.72443322532033</v>
      </c>
      <c r="C89">
        <v>111.19</v>
      </c>
    </row>
    <row r="90" spans="1:3" x14ac:dyDescent="0.25">
      <c r="A90" s="1">
        <v>40817</v>
      </c>
      <c r="B90" s="2">
        <v>160.02067892182998</v>
      </c>
      <c r="C90">
        <v>107.1</v>
      </c>
    </row>
    <row r="91" spans="1:3" x14ac:dyDescent="0.25">
      <c r="A91" s="1">
        <v>40848</v>
      </c>
      <c r="B91" s="2">
        <v>174.61197168881012</v>
      </c>
      <c r="C91">
        <v>106.28</v>
      </c>
    </row>
    <row r="92" spans="1:3" x14ac:dyDescent="0.25">
      <c r="A92" s="1">
        <v>40878</v>
      </c>
      <c r="B92" s="2">
        <v>172.908921509072</v>
      </c>
      <c r="C92">
        <v>104.92</v>
      </c>
    </row>
    <row r="93" spans="1:3" x14ac:dyDescent="0.25">
      <c r="A93" s="1">
        <v>40909</v>
      </c>
      <c r="B93" s="2">
        <v>172.46068779880412</v>
      </c>
      <c r="C93">
        <v>102.38</v>
      </c>
    </row>
    <row r="94" spans="1:3" x14ac:dyDescent="0.25">
      <c r="A94" s="1">
        <v>40940</v>
      </c>
      <c r="B94" s="2">
        <v>160.02932420234291</v>
      </c>
      <c r="C94">
        <v>99.04</v>
      </c>
    </row>
    <row r="95" spans="1:3" x14ac:dyDescent="0.25">
      <c r="A95" s="1">
        <v>40969</v>
      </c>
      <c r="B95" s="2">
        <v>176.55879552922198</v>
      </c>
      <c r="C95">
        <v>100</v>
      </c>
    </row>
    <row r="96" spans="1:3" x14ac:dyDescent="0.25">
      <c r="A96" s="1">
        <v>41000</v>
      </c>
      <c r="B96" s="2">
        <v>177.59062715667417</v>
      </c>
      <c r="C96">
        <v>101.71</v>
      </c>
    </row>
    <row r="97" spans="1:3" x14ac:dyDescent="0.25">
      <c r="A97" s="1">
        <v>41030</v>
      </c>
      <c r="B97" s="2">
        <v>178.11839426284192</v>
      </c>
      <c r="C97">
        <v>101.55</v>
      </c>
    </row>
    <row r="98" spans="1:3" x14ac:dyDescent="0.25">
      <c r="A98" s="1">
        <v>41061</v>
      </c>
      <c r="B98" s="2">
        <v>177.36944086444927</v>
      </c>
      <c r="C98">
        <v>103.01</v>
      </c>
    </row>
    <row r="99" spans="1:3" x14ac:dyDescent="0.25">
      <c r="A99" s="1">
        <v>41091</v>
      </c>
      <c r="B99" s="2">
        <v>176.27341395174915</v>
      </c>
      <c r="C99">
        <v>99.67</v>
      </c>
    </row>
    <row r="100" spans="1:3" x14ac:dyDescent="0.25">
      <c r="A100" s="1">
        <v>41122</v>
      </c>
      <c r="B100" s="2">
        <v>166.91579299678997</v>
      </c>
      <c r="C100">
        <v>103.93</v>
      </c>
    </row>
    <row r="101" spans="1:3" x14ac:dyDescent="0.25">
      <c r="A101" s="1">
        <v>41153</v>
      </c>
      <c r="B101" s="2">
        <v>178.00903066475962</v>
      </c>
      <c r="C101">
        <v>103.92</v>
      </c>
    </row>
    <row r="102" spans="1:3" x14ac:dyDescent="0.25">
      <c r="A102" s="1">
        <v>41183</v>
      </c>
      <c r="B102" s="2">
        <v>180.34283923168226</v>
      </c>
      <c r="C102">
        <v>101.4</v>
      </c>
    </row>
    <row r="103" spans="1:3" x14ac:dyDescent="0.25">
      <c r="A103" s="1">
        <v>41214</v>
      </c>
      <c r="B103" s="2">
        <v>184.95324899482864</v>
      </c>
      <c r="C103">
        <v>105.95</v>
      </c>
    </row>
    <row r="104" spans="1:3" x14ac:dyDescent="0.25">
      <c r="A104" s="1">
        <v>41244</v>
      </c>
      <c r="B104" s="2">
        <v>179.43394464096272</v>
      </c>
      <c r="C104">
        <v>108.16</v>
      </c>
    </row>
    <row r="105" spans="1:3" x14ac:dyDescent="0.25">
      <c r="A105" s="1">
        <v>41275</v>
      </c>
      <c r="B105" s="2">
        <v>192.75548461188191</v>
      </c>
      <c r="C105">
        <v>108.21</v>
      </c>
    </row>
    <row r="106" spans="1:3" x14ac:dyDescent="0.25">
      <c r="A106" s="1">
        <v>41306</v>
      </c>
      <c r="B106" s="2">
        <v>184.40298121738158</v>
      </c>
      <c r="C106">
        <v>109.13</v>
      </c>
    </row>
    <row r="107" spans="1:3" x14ac:dyDescent="0.25">
      <c r="A107" s="1">
        <v>41334</v>
      </c>
      <c r="B107" s="2">
        <v>193.90653639057814</v>
      </c>
      <c r="C107">
        <v>108.01</v>
      </c>
    </row>
    <row r="108" spans="1:3" x14ac:dyDescent="0.25">
      <c r="A108" s="1">
        <v>41365</v>
      </c>
      <c r="B108" s="2">
        <v>202.35352728101302</v>
      </c>
      <c r="C108">
        <v>108.56</v>
      </c>
    </row>
    <row r="109" spans="1:3" x14ac:dyDescent="0.25">
      <c r="A109" s="1">
        <v>41395</v>
      </c>
      <c r="B109" s="2">
        <v>198.37159977297409</v>
      </c>
      <c r="C109">
        <v>108.87</v>
      </c>
    </row>
    <row r="110" spans="1:3" x14ac:dyDescent="0.25">
      <c r="A110" s="1">
        <v>41426</v>
      </c>
      <c r="B110" s="2">
        <v>199.85389808574104</v>
      </c>
      <c r="C110">
        <v>109.81</v>
      </c>
    </row>
    <row r="111" spans="1:3" x14ac:dyDescent="0.25">
      <c r="A111" s="1">
        <v>41456</v>
      </c>
      <c r="B111" s="2">
        <v>186.79055702739862</v>
      </c>
      <c r="C111">
        <v>112.3</v>
      </c>
    </row>
    <row r="112" spans="1:3" x14ac:dyDescent="0.25">
      <c r="A112" s="1">
        <v>41487</v>
      </c>
      <c r="B112" s="2">
        <v>176.57945717962849</v>
      </c>
      <c r="C112">
        <v>111.5</v>
      </c>
    </row>
    <row r="113" spans="1:3" x14ac:dyDescent="0.25">
      <c r="A113" s="1">
        <v>41518</v>
      </c>
      <c r="B113" s="2">
        <v>179.15311993897691</v>
      </c>
      <c r="C113">
        <v>110.7</v>
      </c>
    </row>
    <row r="114" spans="1:3" x14ac:dyDescent="0.25">
      <c r="A114" s="1">
        <v>41548</v>
      </c>
      <c r="B114" s="2">
        <v>172.19052354597602</v>
      </c>
      <c r="C114">
        <v>111.5</v>
      </c>
    </row>
    <row r="115" spans="1:3" x14ac:dyDescent="0.25">
      <c r="A115" s="1">
        <v>41579</v>
      </c>
      <c r="B115" s="2">
        <v>176.04457812503497</v>
      </c>
      <c r="C115">
        <v>110.2</v>
      </c>
    </row>
    <row r="116" spans="1:3" x14ac:dyDescent="0.25">
      <c r="A116" s="1">
        <v>41609</v>
      </c>
      <c r="B116" s="2">
        <v>165.26874357065702</v>
      </c>
      <c r="C116">
        <v>110.9</v>
      </c>
    </row>
    <row r="117" spans="1:3" x14ac:dyDescent="0.25">
      <c r="A117" s="1">
        <v>41640</v>
      </c>
      <c r="B117" s="2">
        <v>172.6360070941997</v>
      </c>
      <c r="C117">
        <v>113</v>
      </c>
    </row>
    <row r="118" spans="1:3" x14ac:dyDescent="0.25">
      <c r="A118" s="1">
        <v>41671</v>
      </c>
      <c r="B118" s="2">
        <v>154.59890866719721</v>
      </c>
      <c r="C118">
        <v>113.5</v>
      </c>
    </row>
    <row r="119" spans="1:3" x14ac:dyDescent="0.25">
      <c r="A119" s="1">
        <v>41699</v>
      </c>
      <c r="B119" s="2">
        <v>161.79814699188302</v>
      </c>
      <c r="C119">
        <v>114</v>
      </c>
    </row>
    <row r="120" spans="1:3" x14ac:dyDescent="0.25">
      <c r="A120" s="1">
        <v>41730</v>
      </c>
      <c r="B120" s="2">
        <v>167.27567544892901</v>
      </c>
      <c r="C120">
        <v>113.8</v>
      </c>
    </row>
    <row r="121" spans="1:3" x14ac:dyDescent="0.25">
      <c r="A121" s="1">
        <v>41760</v>
      </c>
      <c r="B121" s="2">
        <v>169.31642512077295</v>
      </c>
      <c r="C121">
        <v>115.1</v>
      </c>
    </row>
    <row r="122" spans="1:3" x14ac:dyDescent="0.25">
      <c r="A122" s="1">
        <v>41791</v>
      </c>
      <c r="B122" s="2">
        <v>168.7229122019767</v>
      </c>
      <c r="C122">
        <v>115.8</v>
      </c>
    </row>
    <row r="123" spans="1:3" x14ac:dyDescent="0.25">
      <c r="A123" s="1">
        <v>41821</v>
      </c>
      <c r="B123" s="2">
        <v>161.33783434920505</v>
      </c>
      <c r="C123">
        <v>116.4</v>
      </c>
    </row>
    <row r="124" spans="1:3" x14ac:dyDescent="0.25">
      <c r="A124" s="1">
        <v>41852</v>
      </c>
      <c r="B124" s="2">
        <v>155.92617269799135</v>
      </c>
      <c r="C124">
        <v>116.1</v>
      </c>
    </row>
    <row r="125" spans="1:3" x14ac:dyDescent="0.25">
      <c r="A125" s="1">
        <v>41883</v>
      </c>
      <c r="B125" s="2">
        <v>156.98616460938445</v>
      </c>
      <c r="C125">
        <v>116.1</v>
      </c>
    </row>
    <row r="126" spans="1:3" x14ac:dyDescent="0.25">
      <c r="A126" s="1">
        <v>41913</v>
      </c>
      <c r="B126" s="2">
        <v>154.4766056708369</v>
      </c>
      <c r="C126">
        <v>113.2</v>
      </c>
    </row>
    <row r="127" spans="1:3" x14ac:dyDescent="0.25">
      <c r="A127" s="1">
        <v>41944</v>
      </c>
      <c r="B127" s="2">
        <v>161.34811310014135</v>
      </c>
      <c r="C127">
        <v>114.6</v>
      </c>
    </row>
    <row r="128" spans="1:3" x14ac:dyDescent="0.25">
      <c r="A128" s="1">
        <v>41974</v>
      </c>
      <c r="B128" s="2">
        <v>155.64283619711378</v>
      </c>
      <c r="C128">
        <v>115.7</v>
      </c>
    </row>
    <row r="129" spans="1:3" x14ac:dyDescent="0.25">
      <c r="A129" s="1">
        <v>42005</v>
      </c>
      <c r="B129" s="2">
        <v>173.13600567558157</v>
      </c>
      <c r="C129">
        <v>117.8</v>
      </c>
    </row>
    <row r="130" spans="1:3" x14ac:dyDescent="0.25">
      <c r="A130" s="1">
        <v>42036</v>
      </c>
      <c r="B130" s="2">
        <v>158.99575201456375</v>
      </c>
      <c r="C130">
        <v>118.6</v>
      </c>
    </row>
    <row r="131" spans="1:3" x14ac:dyDescent="0.25">
      <c r="A131" s="1">
        <v>42064</v>
      </c>
      <c r="B131" s="2">
        <v>166.78368203357155</v>
      </c>
      <c r="C131">
        <v>121.35899999999999</v>
      </c>
    </row>
    <row r="132" spans="1:3" x14ac:dyDescent="0.25">
      <c r="A132" s="1">
        <v>42095</v>
      </c>
      <c r="B132" s="2">
        <v>189.58448919765479</v>
      </c>
      <c r="C132">
        <v>122</v>
      </c>
    </row>
    <row r="133" spans="1:3" x14ac:dyDescent="0.25">
      <c r="A133" s="1">
        <v>42125</v>
      </c>
      <c r="B133" s="2">
        <v>189.50004176371374</v>
      </c>
      <c r="C133">
        <v>122.6</v>
      </c>
    </row>
    <row r="134" spans="1:3" x14ac:dyDescent="0.25">
      <c r="A134" s="1">
        <v>42156</v>
      </c>
      <c r="B134" s="2">
        <v>193.92414899740317</v>
      </c>
      <c r="C134">
        <v>122</v>
      </c>
    </row>
    <row r="135" spans="1:3" x14ac:dyDescent="0.25">
      <c r="A135" s="1">
        <v>42186</v>
      </c>
      <c r="B135" s="2">
        <v>189.50004176371374</v>
      </c>
      <c r="C135">
        <v>125.5</v>
      </c>
    </row>
    <row r="136" spans="1:3" x14ac:dyDescent="0.25">
      <c r="A136" s="1">
        <v>42217</v>
      </c>
      <c r="B136" s="2">
        <v>187.26218476427596</v>
      </c>
      <c r="C136">
        <v>126.1</v>
      </c>
    </row>
    <row r="137" spans="1:3" x14ac:dyDescent="0.25">
      <c r="A137" s="1">
        <v>42248</v>
      </c>
      <c r="B137" s="2">
        <v>191.78950552833774</v>
      </c>
      <c r="C137">
        <v>126.5</v>
      </c>
    </row>
    <row r="138" spans="1:3" x14ac:dyDescent="0.25">
      <c r="A138" s="1">
        <v>42278</v>
      </c>
      <c r="B138" s="2">
        <v>188.71186571359726</v>
      </c>
      <c r="C138">
        <v>128.4</v>
      </c>
    </row>
    <row r="139" spans="1:3" x14ac:dyDescent="0.25">
      <c r="A139" s="1">
        <v>42309</v>
      </c>
      <c r="B139" s="2">
        <v>197.67736828367197</v>
      </c>
      <c r="C139">
        <v>127.4</v>
      </c>
    </row>
    <row r="140" spans="1:3" x14ac:dyDescent="0.25">
      <c r="A140" s="1">
        <v>42339</v>
      </c>
      <c r="B140" s="2">
        <v>211.47044916070996</v>
      </c>
      <c r="C140">
        <v>124.346</v>
      </c>
    </row>
    <row r="141" spans="1:3" x14ac:dyDescent="0.25">
      <c r="A141" s="1">
        <v>42370</v>
      </c>
      <c r="B141" s="2">
        <v>208.96048376301763</v>
      </c>
      <c r="C141">
        <v>123.8</v>
      </c>
    </row>
    <row r="142" spans="1:3" x14ac:dyDescent="0.25">
      <c r="A142" s="1">
        <v>42401</v>
      </c>
      <c r="B142" s="2">
        <v>203.9640105881723</v>
      </c>
      <c r="C142">
        <v>123.8</v>
      </c>
    </row>
    <row r="143" spans="1:3" x14ac:dyDescent="0.25">
      <c r="A143" s="1">
        <v>42430</v>
      </c>
      <c r="B143" s="2">
        <v>212.19763539742456</v>
      </c>
      <c r="C143">
        <v>123.5</v>
      </c>
    </row>
    <row r="144" spans="1:3" x14ac:dyDescent="0.25">
      <c r="A144" s="1">
        <v>42461</v>
      </c>
      <c r="B144" s="2">
        <v>220.59546355045109</v>
      </c>
      <c r="C144">
        <v>122.4</v>
      </c>
    </row>
    <row r="145" spans="1:3" x14ac:dyDescent="0.25">
      <c r="A145" s="1">
        <v>42491</v>
      </c>
      <c r="B145" s="2">
        <v>215.43478703183146</v>
      </c>
      <c r="C145">
        <v>121.4</v>
      </c>
    </row>
    <row r="146" spans="1:3" x14ac:dyDescent="0.25">
      <c r="A146" s="1">
        <v>42522</v>
      </c>
      <c r="B146" s="2">
        <v>225.00549621181696</v>
      </c>
      <c r="C146">
        <v>119.8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146"/>
  <sheetViews>
    <sheetView topLeftCell="A91" workbookViewId="0">
      <selection activeCell="B146" sqref="B146"/>
    </sheetView>
  </sheetViews>
  <sheetFormatPr defaultRowHeight="15" x14ac:dyDescent="0.25"/>
  <sheetData>
    <row r="1" spans="1:7" x14ac:dyDescent="0.25">
      <c r="B1" t="s">
        <v>1</v>
      </c>
      <c r="C1" t="s">
        <v>2</v>
      </c>
    </row>
    <row r="2" spans="1:7" x14ac:dyDescent="0.25">
      <c r="A2" s="1">
        <v>38139</v>
      </c>
      <c r="B2" s="3"/>
      <c r="C2" s="3"/>
      <c r="F2" t="s">
        <v>8</v>
      </c>
      <c r="G2">
        <f>CORREL(B14:B146,C14:C146)</f>
        <v>0.33448194229736222</v>
      </c>
    </row>
    <row r="3" spans="1:7" x14ac:dyDescent="0.25">
      <c r="A3" s="1">
        <v>38169</v>
      </c>
      <c r="B3" s="3"/>
      <c r="C3" s="3"/>
    </row>
    <row r="4" spans="1:7" x14ac:dyDescent="0.25">
      <c r="A4" s="1">
        <v>38200</v>
      </c>
      <c r="B4" s="3"/>
      <c r="C4" s="3"/>
    </row>
    <row r="5" spans="1:7" x14ac:dyDescent="0.25">
      <c r="A5" s="1">
        <v>38231</v>
      </c>
      <c r="B5" s="3"/>
      <c r="C5" s="3"/>
    </row>
    <row r="6" spans="1:7" x14ac:dyDescent="0.25">
      <c r="A6" s="1">
        <v>38261</v>
      </c>
      <c r="B6" s="3"/>
      <c r="C6" s="3"/>
    </row>
    <row r="7" spans="1:7" x14ac:dyDescent="0.25">
      <c r="A7" s="1">
        <v>38292</v>
      </c>
      <c r="B7" s="3"/>
      <c r="C7" s="3"/>
    </row>
    <row r="8" spans="1:7" x14ac:dyDescent="0.25">
      <c r="A8" s="1">
        <v>38322</v>
      </c>
      <c r="B8" s="3"/>
      <c r="C8" s="3"/>
    </row>
    <row r="9" spans="1:7" x14ac:dyDescent="0.25">
      <c r="A9" s="1">
        <v>38353</v>
      </c>
      <c r="B9" s="3"/>
      <c r="C9" s="3"/>
    </row>
    <row r="10" spans="1:7" x14ac:dyDescent="0.25">
      <c r="A10" s="1">
        <v>38384</v>
      </c>
      <c r="B10" s="3"/>
      <c r="C10" s="3"/>
    </row>
    <row r="11" spans="1:7" x14ac:dyDescent="0.25">
      <c r="A11" s="1">
        <v>38412</v>
      </c>
      <c r="B11" s="3"/>
      <c r="C11" s="3"/>
    </row>
    <row r="12" spans="1:7" x14ac:dyDescent="0.25">
      <c r="A12" s="1">
        <v>38443</v>
      </c>
      <c r="B12" s="3"/>
      <c r="C12" s="3"/>
    </row>
    <row r="13" spans="1:7" x14ac:dyDescent="0.25">
      <c r="A13" s="1">
        <v>38473</v>
      </c>
      <c r="B13" s="3">
        <f>('step1 Raw'!B14-'step1 Raw'!B2)/'step1 Raw'!B2</f>
        <v>8.9977424744309364E-2</v>
      </c>
      <c r="C13" s="3">
        <f>('step1 Raw'!C14-'step1 Raw'!C2)/'step1 Raw'!C2</f>
        <v>1.1352785145888593</v>
      </c>
    </row>
    <row r="14" spans="1:7" x14ac:dyDescent="0.25">
      <c r="A14" s="1">
        <v>38504</v>
      </c>
      <c r="B14" s="3">
        <f>('step1 Raw'!B15-'step1 Raw'!B3)/'step1 Raw'!B3</f>
        <v>5.6135384054593195E-2</v>
      </c>
      <c r="C14" s="3">
        <f>('step1 Raw'!C15-'step1 Raw'!C3)/'step1 Raw'!C3</f>
        <v>1.1177748805736636</v>
      </c>
    </row>
    <row r="15" spans="1:7" x14ac:dyDescent="0.25">
      <c r="A15" s="1">
        <v>38534</v>
      </c>
      <c r="B15" s="3">
        <f>('step1 Raw'!B16-'step1 Raw'!B4)/'step1 Raw'!B4</f>
        <v>7.3255667357596199E-2</v>
      </c>
      <c r="C15" s="3">
        <f>('step1 Raw'!C16-'step1 Raw'!C4)/'step1 Raw'!C4</f>
        <v>1.1008547007692309</v>
      </c>
    </row>
    <row r="16" spans="1:7" x14ac:dyDescent="0.25">
      <c r="A16" s="1">
        <v>38565</v>
      </c>
      <c r="B16" s="3">
        <f>('step1 Raw'!B17-'step1 Raw'!B5)/'step1 Raw'!B5</f>
        <v>4.7114224757930728E-2</v>
      </c>
      <c r="C16" s="3">
        <f>('step1 Raw'!C17-'step1 Raw'!C5)/'step1 Raw'!C5</f>
        <v>1.0844892812105926</v>
      </c>
    </row>
    <row r="17" spans="1:3" x14ac:dyDescent="0.25">
      <c r="A17" s="1">
        <v>38596</v>
      </c>
      <c r="B17" s="3">
        <f>('step1 Raw'!B18-'step1 Raw'!B6)/'step1 Raw'!B6</f>
        <v>7.618003785407639E-3</v>
      </c>
      <c r="C17" s="3">
        <f>('step1 Raw'!C18-'step1 Raw'!C6)/'step1 Raw'!C6</f>
        <v>1.0686517784119105</v>
      </c>
    </row>
    <row r="18" spans="1:3" x14ac:dyDescent="0.25">
      <c r="A18" s="1">
        <v>38626</v>
      </c>
      <c r="B18" s="3">
        <f>('step1 Raw'!B19-'step1 Raw'!B7)/'step1 Raw'!B7</f>
        <v>-1.164723032080347E-2</v>
      </c>
      <c r="C18" s="3">
        <f>('step1 Raw'!C19-'step1 Raw'!C7)/'step1 Raw'!C7</f>
        <v>1.0533170532356533</v>
      </c>
    </row>
    <row r="19" spans="1:3" x14ac:dyDescent="0.25">
      <c r="A19" s="1">
        <v>38657</v>
      </c>
      <c r="B19" s="3">
        <f>('step1 Raw'!B20-'step1 Raw'!B8)/'step1 Raw'!B8</f>
        <v>-4.5063969564716221E-2</v>
      </c>
      <c r="C19" s="3">
        <f>('step1 Raw'!C20-'step1 Raw'!C8)/'step1 Raw'!C8</f>
        <v>1.0384615384615385</v>
      </c>
    </row>
    <row r="20" spans="1:3" x14ac:dyDescent="0.25">
      <c r="A20" s="1">
        <v>38687</v>
      </c>
      <c r="B20" s="3">
        <f>('step1 Raw'!B21-'step1 Raw'!B9)/'step1 Raw'!B9</f>
        <v>3.8620693719923903E-2</v>
      </c>
      <c r="C20" s="3">
        <f>('step1 Raw'!C21-'step1 Raw'!C9)/'step1 Raw'!C9</f>
        <v>0.77157712310374893</v>
      </c>
    </row>
    <row r="21" spans="1:3" x14ac:dyDescent="0.25">
      <c r="A21" s="1">
        <v>38718</v>
      </c>
      <c r="B21" s="3">
        <f>('step1 Raw'!B22-'step1 Raw'!B10)/'step1 Raw'!B10</f>
        <v>-6.9792061649376944E-2</v>
      </c>
      <c r="C21" s="3">
        <f>('step1 Raw'!C22-'step1 Raw'!C10)/'step1 Raw'!C10</f>
        <v>0.56811240069834379</v>
      </c>
    </row>
    <row r="22" spans="1:3" x14ac:dyDescent="0.25">
      <c r="A22" s="1">
        <v>38749</v>
      </c>
      <c r="B22" s="3">
        <f>('step1 Raw'!B23-'step1 Raw'!B11)/'step1 Raw'!B11</f>
        <v>-0.12134405722564114</v>
      </c>
      <c r="C22" s="3">
        <f>('step1 Raw'!C23-'step1 Raw'!C11)/'step1 Raw'!C11</f>
        <v>0.40786240786240785</v>
      </c>
    </row>
    <row r="23" spans="1:3" x14ac:dyDescent="0.25">
      <c r="A23" s="1">
        <v>38777</v>
      </c>
      <c r="B23" s="3">
        <f>('step1 Raw'!B24-'step1 Raw'!B12)/'step1 Raw'!B12</f>
        <v>-0.13515983447834315</v>
      </c>
      <c r="C23" s="3">
        <f>('step1 Raw'!C24-'step1 Raw'!C12)/'step1 Raw'!C12</f>
        <v>0.27838104641058148</v>
      </c>
    </row>
    <row r="24" spans="1:3" x14ac:dyDescent="0.25">
      <c r="A24" s="1">
        <v>38808</v>
      </c>
      <c r="B24" s="3">
        <f>('step1 Raw'!B25-'step1 Raw'!B13)/'step1 Raw'!B13</f>
        <v>-0.16782822852807425</v>
      </c>
      <c r="C24" s="3">
        <f>('step1 Raw'!C25-'step1 Raw'!C13)/'step1 Raw'!C13</f>
        <v>0.17158297679929824</v>
      </c>
    </row>
    <row r="25" spans="1:3" x14ac:dyDescent="0.25">
      <c r="A25" s="1">
        <v>38838</v>
      </c>
      <c r="B25" s="3">
        <f>('step1 Raw'!B26-'step1 Raw'!B14)/'step1 Raw'!B14</f>
        <v>-0.18452432368077848</v>
      </c>
      <c r="C25" s="3">
        <f>('step1 Raw'!C26-'step1 Raw'!C14)/'step1 Raw'!C14</f>
        <v>8.1987577639751549E-2</v>
      </c>
    </row>
    <row r="26" spans="1:3" x14ac:dyDescent="0.25">
      <c r="A26" s="1">
        <v>38869</v>
      </c>
      <c r="B26" s="3">
        <f>('step1 Raw'!B27-'step1 Raw'!B15)/'step1 Raw'!B15</f>
        <v>-0.20827746033678721</v>
      </c>
      <c r="C26" s="3">
        <f>('step1 Raw'!C27-'step1 Raw'!C15)/'step1 Raw'!C15</f>
        <v>4.2684178040522013E-2</v>
      </c>
    </row>
    <row r="27" spans="1:3" x14ac:dyDescent="0.25">
      <c r="A27" s="1">
        <v>38899</v>
      </c>
      <c r="B27" s="3">
        <f>('step1 Raw'!B28-'step1 Raw'!B16)/'step1 Raw'!B16</f>
        <v>-0.22603859028770057</v>
      </c>
      <c r="C27" s="3">
        <f>('step1 Raw'!C28-'step1 Raw'!C16)/'step1 Raw'!C16</f>
        <v>4.0683483321426114E-3</v>
      </c>
    </row>
    <row r="28" spans="1:3" x14ac:dyDescent="0.25">
      <c r="A28" s="1">
        <v>38930</v>
      </c>
      <c r="B28" s="3">
        <f>('step1 Raw'!B29-'step1 Raw'!B17)/'step1 Raw'!B17</f>
        <v>-0.20832877102644662</v>
      </c>
      <c r="C28" s="3">
        <f>('step1 Raw'!C29-'step1 Raw'!C17)/'step1 Raw'!C17</f>
        <v>-3.3877797943133697E-2</v>
      </c>
    </row>
    <row r="29" spans="1:3" x14ac:dyDescent="0.25">
      <c r="A29" s="1">
        <v>38961</v>
      </c>
      <c r="B29" s="3">
        <f>('step1 Raw'!B30-'step1 Raw'!B18)/'step1 Raw'!B18</f>
        <v>-0.19652403841979613</v>
      </c>
      <c r="C29" s="3">
        <f>('step1 Raw'!C30-'step1 Raw'!C18)/'step1 Raw'!C18</f>
        <v>-7.11715314645672E-2</v>
      </c>
    </row>
    <row r="30" spans="1:3" x14ac:dyDescent="0.25">
      <c r="A30" s="1">
        <v>38991</v>
      </c>
      <c r="B30" s="3">
        <f>('step1 Raw'!B31-'step1 Raw'!B19)/'step1 Raw'!B19</f>
        <v>-0.15183330683578827</v>
      </c>
      <c r="C30" s="3">
        <f>('step1 Raw'!C31-'step1 Raw'!C19)/'step1 Raw'!C19</f>
        <v>-0.10782953411725797</v>
      </c>
    </row>
    <row r="31" spans="1:3" x14ac:dyDescent="0.25">
      <c r="A31" s="1">
        <v>39022</v>
      </c>
      <c r="B31" s="3">
        <f>('step1 Raw'!B32-'step1 Raw'!B20)/'step1 Raw'!B20</f>
        <v>-7.7714304509304388E-2</v>
      </c>
      <c r="C31" s="3">
        <f>('step1 Raw'!C32-'step1 Raw'!C20)/'step1 Raw'!C20</f>
        <v>-0.14386792452830188</v>
      </c>
    </row>
    <row r="32" spans="1:3" x14ac:dyDescent="0.25">
      <c r="A32" s="1">
        <v>39052</v>
      </c>
      <c r="B32" s="3">
        <f>('step1 Raw'!B33-'step1 Raw'!B21)/'step1 Raw'!B21</f>
        <v>-5.8764767668997679E-2</v>
      </c>
      <c r="C32" s="3">
        <f>('step1 Raw'!C33-'step1 Raw'!C21)/'step1 Raw'!C21</f>
        <v>-0.18254744669076686</v>
      </c>
    </row>
    <row r="33" spans="1:3" x14ac:dyDescent="0.25">
      <c r="A33" s="1">
        <v>39083</v>
      </c>
      <c r="B33" s="3">
        <f>('step1 Raw'!B34-'step1 Raw'!B22)/'step1 Raw'!B22</f>
        <v>-3.3073263370687583E-2</v>
      </c>
      <c r="C33" s="3">
        <f>('step1 Raw'!C34-'step1 Raw'!C22)/'step1 Raw'!C22</f>
        <v>-0.22088040513358473</v>
      </c>
    </row>
    <row r="34" spans="1:3" x14ac:dyDescent="0.25">
      <c r="A34" s="1">
        <v>39114</v>
      </c>
      <c r="B34" s="3">
        <f>('step1 Raw'!B35-'step1 Raw'!B23)/'step1 Raw'!B23</f>
        <v>-5.5935102356190706E-3</v>
      </c>
      <c r="C34" s="3">
        <f>('step1 Raw'!C35-'step1 Raw'!C23)/'step1 Raw'!C23</f>
        <v>-0.25887143688190811</v>
      </c>
    </row>
    <row r="35" spans="1:3" x14ac:dyDescent="0.25">
      <c r="A35" s="1">
        <v>39142</v>
      </c>
      <c r="B35" s="3">
        <f>('step1 Raw'!B36-'step1 Raw'!B24)/'step1 Raw'!B24</f>
        <v>-7.0190004536898297E-3</v>
      </c>
      <c r="C35" s="3">
        <f>('step1 Raw'!C36-'step1 Raw'!C24)/'step1 Raw'!C24</f>
        <v>-0.29652509653654535</v>
      </c>
    </row>
    <row r="36" spans="1:3" x14ac:dyDescent="0.25">
      <c r="A36" s="1">
        <v>39173</v>
      </c>
      <c r="B36" s="3">
        <f>('step1 Raw'!B37-'step1 Raw'!B25)/'step1 Raw'!B25</f>
        <v>5.4792053879607013E-2</v>
      </c>
      <c r="C36" s="3">
        <f>('step1 Raw'!C37-'step1 Raw'!C25)/'step1 Raw'!C25</f>
        <v>-0.33384585814592177</v>
      </c>
    </row>
    <row r="37" spans="1:3" x14ac:dyDescent="0.25">
      <c r="A37" s="1">
        <v>39203</v>
      </c>
      <c r="B37" s="3">
        <f>('step1 Raw'!B38-'step1 Raw'!B26)/'step1 Raw'!B26</f>
        <v>8.6635522441541948E-2</v>
      </c>
      <c r="C37" s="3">
        <f>('step1 Raw'!C38-'step1 Raw'!C26)/'step1 Raw'!C26</f>
        <v>-0.37083811710677383</v>
      </c>
    </row>
    <row r="38" spans="1:3" x14ac:dyDescent="0.25">
      <c r="A38" s="1">
        <v>39234</v>
      </c>
      <c r="B38" s="3">
        <f>('step1 Raw'!B39-'step1 Raw'!B27)/'step1 Raw'!B27</f>
        <v>9.157848468092486E-2</v>
      </c>
      <c r="C38" s="3">
        <f>('step1 Raw'!C39-'step1 Raw'!C27)/'step1 Raw'!C27</f>
        <v>-0.39834678210581964</v>
      </c>
    </row>
    <row r="39" spans="1:3" x14ac:dyDescent="0.25">
      <c r="A39" s="1">
        <v>39264</v>
      </c>
      <c r="B39" s="3">
        <f>('step1 Raw'!B40-'step1 Raw'!B28)/'step1 Raw'!B28</f>
        <v>0.14673341689045033</v>
      </c>
      <c r="C39" s="3">
        <f>('step1 Raw'!C40-'step1 Raw'!C28)/'step1 Raw'!C28</f>
        <v>-0.42747163697619639</v>
      </c>
    </row>
    <row r="40" spans="1:3" x14ac:dyDescent="0.25">
      <c r="A40" s="1">
        <v>39295</v>
      </c>
      <c r="B40" s="3">
        <f>('step1 Raw'!B41-'step1 Raw'!B29)/'step1 Raw'!B29</f>
        <v>9.137175319760063E-2</v>
      </c>
      <c r="C40" s="3">
        <f>('step1 Raw'!C41-'step1 Raw'!C29)/'step1 Raw'!C29</f>
        <v>-0.45835942391984974</v>
      </c>
    </row>
    <row r="41" spans="1:3" x14ac:dyDescent="0.25">
      <c r="A41" s="1">
        <v>39326</v>
      </c>
      <c r="B41" s="3">
        <f>('step1 Raw'!B42-'step1 Raw'!B30)/'step1 Raw'!B30</f>
        <v>9.9072904192244682E-2</v>
      </c>
      <c r="C41" s="3">
        <f>('step1 Raw'!C42-'step1 Raw'!C30)/'step1 Raw'!C30</f>
        <v>-0.49117520445506568</v>
      </c>
    </row>
    <row r="42" spans="1:3" x14ac:dyDescent="0.25">
      <c r="A42" s="1">
        <v>39356</v>
      </c>
      <c r="B42" s="3">
        <f>('step1 Raw'!B43-'step1 Raw'!B31)/'step1 Raw'!B31</f>
        <v>5.3827841944817427E-2</v>
      </c>
      <c r="C42" s="3">
        <f>('step1 Raw'!C43-'step1 Raw'!C31)/'step1 Raw'!C31</f>
        <v>-0.52610530995218374</v>
      </c>
    </row>
    <row r="43" spans="1:3" x14ac:dyDescent="0.25">
      <c r="A43" s="1">
        <v>39387</v>
      </c>
      <c r="B43" s="3">
        <f>('step1 Raw'!B44-'step1 Raw'!B32)/'step1 Raw'!B32</f>
        <v>-2.7523047454750999E-2</v>
      </c>
      <c r="C43" s="3">
        <f>('step1 Raw'!C44-'step1 Raw'!C32)/'step1 Raw'!C32</f>
        <v>-0.5633608815426997</v>
      </c>
    </row>
    <row r="44" spans="1:3" x14ac:dyDescent="0.25">
      <c r="A44" s="1">
        <v>39417</v>
      </c>
      <c r="B44" s="3">
        <f>('step1 Raw'!B45-'step1 Raw'!B33)/'step1 Raw'!B33</f>
        <v>-2.3890784529678594E-2</v>
      </c>
      <c r="C44" s="3">
        <f>('step1 Raw'!C45-'step1 Raw'!C33)/'step1 Raw'!C33</f>
        <v>-0.59238870275693578</v>
      </c>
    </row>
    <row r="45" spans="1:3" x14ac:dyDescent="0.25">
      <c r="A45" s="1">
        <v>39448</v>
      </c>
      <c r="B45" s="3">
        <f>('step1 Raw'!B46-'step1 Raw'!B34)/'step1 Raw'!B34</f>
        <v>-4.6742530999163381E-2</v>
      </c>
      <c r="C45" s="3">
        <f>('step1 Raw'!C46-'step1 Raw'!C34)/'step1 Raw'!C34</f>
        <v>-0.62399999996879996</v>
      </c>
    </row>
    <row r="46" spans="1:3" x14ac:dyDescent="0.25">
      <c r="A46" s="1">
        <v>39479</v>
      </c>
      <c r="B46" s="3">
        <f>('step1 Raw'!B47-'step1 Raw'!B35)/'step1 Raw'!B35</f>
        <v>-8.5333138153063842E-2</v>
      </c>
      <c r="C46" s="3">
        <f>('step1 Raw'!C47-'step1 Raw'!C35)/'step1 Raw'!C35</f>
        <v>-0.65855572998430145</v>
      </c>
    </row>
    <row r="47" spans="1:3" x14ac:dyDescent="0.25">
      <c r="A47" s="1">
        <v>39508</v>
      </c>
      <c r="B47" s="3">
        <f>('step1 Raw'!B48-'step1 Raw'!B36)/'step1 Raw'!B36</f>
        <v>-0.11140076634428989</v>
      </c>
      <c r="C47" s="3">
        <f>('step1 Raw'!C48-'step1 Raw'!C36)/'step1 Raw'!C36</f>
        <v>-0.69648737654755699</v>
      </c>
    </row>
    <row r="48" spans="1:3" x14ac:dyDescent="0.25">
      <c r="A48" s="1">
        <v>39539</v>
      </c>
      <c r="B48" s="3">
        <f>('step1 Raw'!B49-'step1 Raw'!B37)/'step1 Raw'!B37</f>
        <v>-0.17088036536690848</v>
      </c>
      <c r="C48" s="3">
        <f>('step1 Raw'!C49-'step1 Raw'!C37)/'step1 Raw'!C37</f>
        <v>-0.7383150605459714</v>
      </c>
    </row>
    <row r="49" spans="1:3" x14ac:dyDescent="0.25">
      <c r="A49" s="1">
        <v>39569</v>
      </c>
      <c r="B49" s="3">
        <f>('step1 Raw'!B50-'step1 Raw'!B38)/'step1 Raw'!B38</f>
        <v>-0.20339588904189035</v>
      </c>
      <c r="C49" s="3">
        <f>('step1 Raw'!C50-'step1 Raw'!C38)/'step1 Raw'!C38</f>
        <v>-0.78467153284671531</v>
      </c>
    </row>
    <row r="50" spans="1:3" x14ac:dyDescent="0.25">
      <c r="A50" s="1">
        <v>39600</v>
      </c>
      <c r="B50" s="3">
        <f>('step1 Raw'!B51-'step1 Raw'!B39)/'step1 Raw'!B39</f>
        <v>-0.21381309961497458</v>
      </c>
      <c r="C50" s="3">
        <f>('step1 Raw'!C51-'step1 Raw'!C39)/'step1 Raw'!C39</f>
        <v>-0.77952240765456327</v>
      </c>
    </row>
    <row r="51" spans="1:3" x14ac:dyDescent="0.25">
      <c r="A51" s="1">
        <v>39630</v>
      </c>
      <c r="B51" s="3">
        <f>('step1 Raw'!B52-'step1 Raw'!B40)/'step1 Raw'!B40</f>
        <v>-0.27110277256148235</v>
      </c>
      <c r="C51" s="3">
        <f>('step1 Raw'!C52-'step1 Raw'!C40)/'step1 Raw'!C40</f>
        <v>-0.77353149320594483</v>
      </c>
    </row>
    <row r="52" spans="1:3" x14ac:dyDescent="0.25">
      <c r="A52" s="1">
        <v>39661</v>
      </c>
      <c r="B52" s="3">
        <f>('step1 Raw'!B53-'step1 Raw'!B41)/'step1 Raw'!B41</f>
        <v>-0.19359949419920924</v>
      </c>
      <c r="C52" s="3">
        <f>('step1 Raw'!C53-'step1 Raw'!C41)/'step1 Raw'!C41</f>
        <v>-0.76647398843930636</v>
      </c>
    </row>
    <row r="53" spans="1:3" x14ac:dyDescent="0.25">
      <c r="A53" s="1">
        <v>39692</v>
      </c>
      <c r="B53" s="3">
        <f>('step1 Raw'!B54-'step1 Raw'!B42)/'step1 Raw'!B42</f>
        <v>-0.30091134605512848</v>
      </c>
      <c r="C53" s="3">
        <f>('step1 Raw'!C54-'step1 Raw'!C42)/'step1 Raw'!C42</f>
        <v>-0.75803722505076143</v>
      </c>
    </row>
    <row r="54" spans="1:3" x14ac:dyDescent="0.25">
      <c r="A54" s="1">
        <v>39722</v>
      </c>
      <c r="B54" s="3">
        <f>('step1 Raw'!B55-'step1 Raw'!B43)/'step1 Raw'!B43</f>
        <v>-0.32672774483895001</v>
      </c>
      <c r="C54" s="3">
        <f>('step1 Raw'!C55-'step1 Raw'!C43)/'step1 Raw'!C43</f>
        <v>-0.74777308953586508</v>
      </c>
    </row>
    <row r="55" spans="1:3" x14ac:dyDescent="0.25">
      <c r="A55" s="1">
        <v>39753</v>
      </c>
      <c r="B55" s="3">
        <f>('step1 Raw'!B56-'step1 Raw'!B44)/'step1 Raw'!B44</f>
        <v>-0.26198433432808421</v>
      </c>
      <c r="C55" s="3">
        <f>('step1 Raw'!C56-'step1 Raw'!C44)/'step1 Raw'!C44</f>
        <v>-0.73501577287066244</v>
      </c>
    </row>
    <row r="56" spans="1:3" x14ac:dyDescent="0.25">
      <c r="A56" s="1">
        <v>39783</v>
      </c>
      <c r="B56" s="3">
        <f>('step1 Raw'!B57-'step1 Raw'!B45)/'step1 Raw'!B45</f>
        <v>-0.28890230375171383</v>
      </c>
      <c r="C56" s="3">
        <f>('step1 Raw'!C57-'step1 Raw'!C45)/'step1 Raw'!C45</f>
        <v>-0.67880211386715239</v>
      </c>
    </row>
    <row r="57" spans="1:3" x14ac:dyDescent="0.25">
      <c r="A57" s="1">
        <v>39814</v>
      </c>
      <c r="B57" s="3">
        <f>('step1 Raw'!B58-'step1 Raw'!B46)/'step1 Raw'!B46</f>
        <v>-0.35394370911018924</v>
      </c>
      <c r="C57" s="3">
        <f>('step1 Raw'!C58-'step1 Raw'!C46)/'step1 Raw'!C46</f>
        <v>-0.60771276602291047</v>
      </c>
    </row>
    <row r="58" spans="1:3" x14ac:dyDescent="0.25">
      <c r="A58" s="1">
        <v>39845</v>
      </c>
      <c r="B58" s="3">
        <f>('step1 Raw'!B59-'step1 Raw'!B47)/'step1 Raw'!B47</f>
        <v>-0.30179186937432045</v>
      </c>
      <c r="C58" s="3">
        <f>('step1 Raw'!C59-'step1 Raw'!C47)/'step1 Raw'!C47</f>
        <v>-0.51494252873563218</v>
      </c>
    </row>
    <row r="59" spans="1:3" x14ac:dyDescent="0.25">
      <c r="A59" s="1">
        <v>39873</v>
      </c>
      <c r="B59" s="3">
        <f>('step1 Raw'!B60-'step1 Raw'!B48)/'step1 Raw'!B48</f>
        <v>-0.27305088347389722</v>
      </c>
      <c r="C59" s="3">
        <f>('step1 Raw'!C60-'step1 Raw'!C48)/'step1 Raw'!C48</f>
        <v>-0.38878842647175199</v>
      </c>
    </row>
    <row r="60" spans="1:3" x14ac:dyDescent="0.25">
      <c r="A60" s="1">
        <v>39904</v>
      </c>
      <c r="B60" s="3">
        <f>('step1 Raw'!B61-'step1 Raw'!B49)/'step1 Raw'!B49</f>
        <v>-0.27344363537545524</v>
      </c>
      <c r="C60" s="3">
        <f>('step1 Raw'!C61-'step1 Raw'!C49)/'step1 Raw'!C49</f>
        <v>-0.20727673688924436</v>
      </c>
    </row>
    <row r="61" spans="1:3" x14ac:dyDescent="0.25">
      <c r="A61" s="1">
        <v>39934</v>
      </c>
      <c r="B61" s="3">
        <f>('step1 Raw'!B62-'step1 Raw'!B50)/'step1 Raw'!B50</f>
        <v>-0.23559840990030745</v>
      </c>
      <c r="C61" s="3">
        <f>('step1 Raw'!C62-'step1 Raw'!C50)/'step1 Raw'!C50</f>
        <v>7.6271186440677971E-2</v>
      </c>
    </row>
    <row r="62" spans="1:3" x14ac:dyDescent="0.25">
      <c r="A62" s="1">
        <v>39965</v>
      </c>
      <c r="B62" s="3">
        <f>('step1 Raw'!B63-'step1 Raw'!B51)/'step1 Raw'!B51</f>
        <v>-0.22125579623180641</v>
      </c>
      <c r="C62" s="3">
        <f>('step1 Raw'!C63-'step1 Raw'!C51)/'step1 Raw'!C51</f>
        <v>8.1602374208190553E-2</v>
      </c>
    </row>
    <row r="63" spans="1:3" x14ac:dyDescent="0.25">
      <c r="A63" s="1">
        <v>39995</v>
      </c>
      <c r="B63" s="3">
        <f>('step1 Raw'!B64-'step1 Raw'!B52)/'step1 Raw'!B52</f>
        <v>-0.14160343805115991</v>
      </c>
      <c r="C63" s="3">
        <f>('step1 Raw'!C64-'step1 Raw'!C52)/'step1 Raw'!C52</f>
        <v>8.7499999660156313E-2</v>
      </c>
    </row>
    <row r="64" spans="1:3" x14ac:dyDescent="0.25">
      <c r="A64" s="1">
        <v>40026</v>
      </c>
      <c r="B64" s="3">
        <f>('step1 Raw'!B65-'step1 Raw'!B53)/'step1 Raw'!B53</f>
        <v>-0.18563951478182528</v>
      </c>
      <c r="C64" s="3">
        <f>('step1 Raw'!C65-'step1 Raw'!C53)/'step1 Raw'!C53</f>
        <v>9.405940594059406E-2</v>
      </c>
    </row>
    <row r="65" spans="1:3" x14ac:dyDescent="0.25">
      <c r="A65" s="1">
        <v>40057</v>
      </c>
      <c r="B65" s="3">
        <f>('step1 Raw'!B66-'step1 Raw'!B54)/'step1 Raw'!B54</f>
        <v>-6.4299337099340839E-2</v>
      </c>
      <c r="C65" s="3">
        <f>('step1 Raw'!C66-'step1 Raw'!C54)/'step1 Raw'!C54</f>
        <v>0.10139860143711181</v>
      </c>
    </row>
    <row r="66" spans="1:3" x14ac:dyDescent="0.25">
      <c r="A66" s="1">
        <v>40087</v>
      </c>
      <c r="B66" s="3">
        <f>('step1 Raw'!B67-'step1 Raw'!B55)/'step1 Raw'!B55</f>
        <v>-0.23460158713541074</v>
      </c>
      <c r="C66" s="3">
        <f>('step1 Raw'!C67-'step1 Raw'!C55)/'step1 Raw'!C55</f>
        <v>0.1096654274680422</v>
      </c>
    </row>
    <row r="67" spans="1:3" x14ac:dyDescent="0.25">
      <c r="A67" s="1">
        <v>40118</v>
      </c>
      <c r="B67" s="3">
        <f>('step1 Raw'!B68-'step1 Raw'!B56)/'step1 Raw'!B56</f>
        <v>-0.25896094006071302</v>
      </c>
      <c r="C67" s="3">
        <f>('step1 Raw'!C68-'step1 Raw'!C56)/'step1 Raw'!C56</f>
        <v>0.11904761904761904</v>
      </c>
    </row>
    <row r="68" spans="1:3" x14ac:dyDescent="0.25">
      <c r="A68" s="1">
        <v>40148</v>
      </c>
      <c r="B68" s="3">
        <f>('step1 Raw'!B69-'step1 Raw'!B57)/'step1 Raw'!B57</f>
        <v>-0.25920024152203636</v>
      </c>
      <c r="C68" s="3">
        <f>('step1 Raw'!C69-'step1 Raw'!C57)/'step1 Raw'!C57</f>
        <v>3.8391224861484781E-2</v>
      </c>
    </row>
    <row r="69" spans="1:3" x14ac:dyDescent="0.25">
      <c r="A69" s="1">
        <v>40179</v>
      </c>
      <c r="B69" s="3">
        <f>('step1 Raw'!B70-'step1 Raw'!B58)/'step1 Raw'!B58</f>
        <v>-0.13201788818632079</v>
      </c>
      <c r="C69" s="3">
        <f>('step1 Raw'!C70-'step1 Raw'!C58)/'step1 Raw'!C58</f>
        <v>-3.0508474577305371E-2</v>
      </c>
    </row>
    <row r="70" spans="1:3" x14ac:dyDescent="0.25">
      <c r="A70" s="1">
        <v>40210</v>
      </c>
      <c r="B70" s="3">
        <f>('step1 Raw'!B71-'step1 Raw'!B59)/'step1 Raw'!B59</f>
        <v>-0.1159505782658987</v>
      </c>
      <c r="C70" s="3">
        <f>('step1 Raw'!C71-'step1 Raw'!C59)/'step1 Raw'!C59</f>
        <v>-9.004739336492891E-2</v>
      </c>
    </row>
    <row r="71" spans="1:3" x14ac:dyDescent="0.25">
      <c r="A71" s="1">
        <v>40238</v>
      </c>
      <c r="B71" s="3">
        <f>('step1 Raw'!B72-'step1 Raw'!B60)/'step1 Raw'!B60</f>
        <v>-5.5709551785527618E-2</v>
      </c>
      <c r="C71" s="3">
        <f>('step1 Raw'!C72-'step1 Raw'!C60)/'step1 Raw'!C60</f>
        <v>-0.14201183454378344</v>
      </c>
    </row>
    <row r="72" spans="1:3" x14ac:dyDescent="0.25">
      <c r="A72" s="1">
        <v>40269</v>
      </c>
      <c r="B72" s="3">
        <f>('step1 Raw'!B73-'step1 Raw'!B61)/'step1 Raw'!B61</f>
        <v>-0.21249280571097623</v>
      </c>
      <c r="C72" s="3">
        <f>('step1 Raw'!C73-'step1 Raw'!C61)/'step1 Raw'!C61</f>
        <v>-0.18776077866140775</v>
      </c>
    </row>
    <row r="73" spans="1:3" x14ac:dyDescent="0.25">
      <c r="A73" s="1">
        <v>40299</v>
      </c>
      <c r="B73" s="3">
        <f>('step1 Raw'!B74-'step1 Raw'!B62)/'step1 Raw'!B62</f>
        <v>-0.35025053159754638</v>
      </c>
      <c r="C73" s="3">
        <f>('step1 Raw'!C74-'step1 Raw'!C62)/'step1 Raw'!C62</f>
        <v>-0.2283464566929134</v>
      </c>
    </row>
    <row r="74" spans="1:3" x14ac:dyDescent="0.25">
      <c r="A74" s="1">
        <v>40330</v>
      </c>
      <c r="B74" s="3">
        <f>('step1 Raw'!B75-'step1 Raw'!B63)/'step1 Raw'!B63</f>
        <v>-0.36050188575230097</v>
      </c>
      <c r="C74" s="3">
        <f>('step1 Raw'!C75-'step1 Raw'!C63)/'step1 Raw'!C63</f>
        <v>-0.16735253744855971</v>
      </c>
    </row>
    <row r="75" spans="1:3" x14ac:dyDescent="0.25">
      <c r="A75" s="1">
        <v>40360</v>
      </c>
      <c r="B75" s="3">
        <f>('step1 Raw'!B76-'step1 Raw'!B64)/'step1 Raw'!B64</f>
        <v>-0.37237046637712973</v>
      </c>
      <c r="C75" s="3">
        <f>('step1 Raw'!C76-'step1 Raw'!C64)/'step1 Raw'!C64</f>
        <v>-0.10057471293103443</v>
      </c>
    </row>
    <row r="76" spans="1:3" x14ac:dyDescent="0.25">
      <c r="A76" s="1">
        <v>40391</v>
      </c>
      <c r="B76" s="3">
        <f>('step1 Raw'!B77-'step1 Raw'!B65)/'step1 Raw'!B65</f>
        <v>-0.35649104916734226</v>
      </c>
      <c r="C76" s="3">
        <f>('step1 Raw'!C77-'step1 Raw'!C65)/'step1 Raw'!C65</f>
        <v>-2.7149321266968326E-2</v>
      </c>
    </row>
    <row r="77" spans="1:3" x14ac:dyDescent="0.25">
      <c r="A77" s="1">
        <v>40422</v>
      </c>
      <c r="B77" s="3">
        <f>('step1 Raw'!B78-'step1 Raw'!B66)/'step1 Raw'!B66</f>
        <v>-0.33683958359680327</v>
      </c>
      <c r="C77" s="3">
        <f>('step1 Raw'!C78-'step1 Raw'!C66)/'step1 Raw'!C66</f>
        <v>5.3968254285714223E-2</v>
      </c>
    </row>
    <row r="78" spans="1:3" x14ac:dyDescent="0.25">
      <c r="A78" s="1">
        <v>40452</v>
      </c>
      <c r="B78" s="3">
        <f>('step1 Raw'!B79-'step1 Raw'!B67)/'step1 Raw'!B67</f>
        <v>-0.11013015882127031</v>
      </c>
      <c r="C78" s="3">
        <f>('step1 Raw'!C79-'step1 Raw'!C67)/'step1 Raw'!C67</f>
        <v>0.14405360100502521</v>
      </c>
    </row>
    <row r="79" spans="1:3" x14ac:dyDescent="0.25">
      <c r="A79" s="1">
        <v>40483</v>
      </c>
      <c r="B79" s="3">
        <f>('step1 Raw'!B80-'step1 Raw'!B68)/'step1 Raw'!B68</f>
        <v>-0.10196677036268086</v>
      </c>
      <c r="C79" s="3">
        <f>('step1 Raw'!C80-'step1 Raw'!C68)/'step1 Raw'!C68</f>
        <v>0.24468085106382978</v>
      </c>
    </row>
    <row r="80" spans="1:3" x14ac:dyDescent="0.25">
      <c r="A80" s="1">
        <v>40513</v>
      </c>
      <c r="B80" s="3">
        <f>('step1 Raw'!B81-'step1 Raw'!B69)/'step1 Raw'!B69</f>
        <v>-0.15576463570226132</v>
      </c>
      <c r="C80" s="3">
        <f>('step1 Raw'!C81-'step1 Raw'!C69)/'step1 Raw'!C69</f>
        <v>0.22359154890057786</v>
      </c>
    </row>
    <row r="81" spans="1:3" x14ac:dyDescent="0.25">
      <c r="A81" s="1">
        <v>40544</v>
      </c>
      <c r="B81" s="3">
        <f>('step1 Raw'!B82-'step1 Raw'!B70)/'step1 Raw'!B70</f>
        <v>-0.14793787924586255</v>
      </c>
      <c r="C81" s="3">
        <f>('step1 Raw'!C82-'step1 Raw'!C70)/'step1 Raw'!C70</f>
        <v>0.2027972031889089</v>
      </c>
    </row>
    <row r="82" spans="1:3" x14ac:dyDescent="0.25">
      <c r="A82" s="1">
        <v>40575</v>
      </c>
      <c r="B82" s="3">
        <f>('step1 Raw'!B83-'step1 Raw'!B71)/'step1 Raw'!B71</f>
        <v>-0.17002443768318459</v>
      </c>
      <c r="C82" s="3">
        <f>('step1 Raw'!C83-'step1 Raw'!C71)/'step1 Raw'!C71</f>
        <v>0.16749999999999998</v>
      </c>
    </row>
    <row r="83" spans="1:3" x14ac:dyDescent="0.25">
      <c r="A83" s="1">
        <v>40603</v>
      </c>
      <c r="B83" s="3">
        <f>('step1 Raw'!B84-'step1 Raw'!B72)/'step1 Raw'!B72</f>
        <v>-0.22480343178103435</v>
      </c>
      <c r="C83" s="3">
        <f>('step1 Raw'!C84-'step1 Raw'!C72)/'step1 Raw'!C72</f>
        <v>0.10731034478940318</v>
      </c>
    </row>
    <row r="84" spans="1:3" x14ac:dyDescent="0.25">
      <c r="A84" s="1">
        <v>40634</v>
      </c>
      <c r="B84" s="3">
        <f>('step1 Raw'!B85-'step1 Raw'!B73)/'step1 Raw'!B73</f>
        <v>-6.4195792936312973E-2</v>
      </c>
      <c r="C84" s="3">
        <f>('step1 Raw'!C85-'step1 Raw'!C73)/'step1 Raw'!C73</f>
        <v>0.12273972606584724</v>
      </c>
    </row>
    <row r="85" spans="1:3" x14ac:dyDescent="0.25">
      <c r="A85" s="1">
        <v>40664</v>
      </c>
      <c r="B85" s="3">
        <f>('step1 Raw'!B86-'step1 Raw'!B74)/'step1 Raw'!B74</f>
        <v>6.0691055571998595E-2</v>
      </c>
      <c r="C85" s="3">
        <f>('step1 Raw'!C86-'step1 Raw'!C74)/'step1 Raw'!C74</f>
        <v>0.1280612244897959</v>
      </c>
    </row>
    <row r="86" spans="1:3" x14ac:dyDescent="0.25">
      <c r="A86" s="1">
        <v>40695</v>
      </c>
      <c r="B86" s="3">
        <f>('step1 Raw'!B87-'step1 Raw'!B75)/'step1 Raw'!B75</f>
        <v>8.3169664223906772E-2</v>
      </c>
      <c r="C86" s="3">
        <f>('step1 Raw'!C87-'step1 Raw'!C75)/'step1 Raw'!C75</f>
        <v>8.6820427977983491E-2</v>
      </c>
    </row>
    <row r="87" spans="1:3" x14ac:dyDescent="0.25">
      <c r="A87" s="1">
        <v>40725</v>
      </c>
      <c r="B87" s="3">
        <f>('step1 Raw'!B88-'step1 Raw'!B76)/'step1 Raw'!B76</f>
        <v>-3.0094942535785499E-2</v>
      </c>
      <c r="C87" s="3">
        <f>('step1 Raw'!C88-'step1 Raw'!C76)/'step1 Raw'!C76</f>
        <v>3.2747604163817057E-2</v>
      </c>
    </row>
    <row r="88" spans="1:3" x14ac:dyDescent="0.25">
      <c r="A88" s="1">
        <v>40756</v>
      </c>
      <c r="B88" s="3">
        <f>('step1 Raw'!B89-'step1 Raw'!B77)/'step1 Raw'!B77</f>
        <v>-6.2178925743277942E-2</v>
      </c>
      <c r="C88" s="3">
        <f>('step1 Raw'!C89-'step1 Raw'!C77)/'step1 Raw'!C77</f>
        <v>3.4325581395348817E-2</v>
      </c>
    </row>
    <row r="89" spans="1:3" x14ac:dyDescent="0.25">
      <c r="A89" s="1">
        <v>40787</v>
      </c>
      <c r="B89" s="3">
        <f>('step1 Raw'!B90-'step1 Raw'!B78)/'step1 Raw'!B78</f>
        <v>-5.6523311654861082E-2</v>
      </c>
      <c r="C89" s="3">
        <f>('step1 Raw'!C90-'step1 Raw'!C78)/'step1 Raw'!C78</f>
        <v>-3.222891595414791E-2</v>
      </c>
    </row>
    <row r="90" spans="1:3" x14ac:dyDescent="0.25">
      <c r="A90" s="1">
        <v>40817</v>
      </c>
      <c r="B90" s="3">
        <f>('step1 Raw'!B91-'step1 Raw'!B79)/'step1 Raw'!B79</f>
        <v>-4.4238784155370754E-2</v>
      </c>
      <c r="C90" s="3">
        <f>('step1 Raw'!C91-'step1 Raw'!C79)/'step1 Raw'!C79</f>
        <v>-6.6354318906692383E-2</v>
      </c>
    </row>
    <row r="91" spans="1:3" x14ac:dyDescent="0.25">
      <c r="A91" s="1">
        <v>40848</v>
      </c>
      <c r="B91" s="3">
        <f>('step1 Raw'!B92-'step1 Raw'!B80)/'step1 Raw'!B80</f>
        <v>-8.438277947439618E-2</v>
      </c>
      <c r="C91" s="3">
        <f>('step1 Raw'!C92-'step1 Raw'!C80)/'step1 Raw'!C80</f>
        <v>-0.10324786324786324</v>
      </c>
    </row>
    <row r="92" spans="1:3" x14ac:dyDescent="0.25">
      <c r="A92" s="1">
        <v>40878</v>
      </c>
      <c r="B92" s="3">
        <f>('step1 Raw'!B93-'step1 Raw'!B81)/'step1 Raw'!B81</f>
        <v>-8.302853384027295E-3</v>
      </c>
      <c r="C92" s="3">
        <f>('step1 Raw'!C93-'step1 Raw'!C81)/'step1 Raw'!C81</f>
        <v>-0.11614388463773934</v>
      </c>
    </row>
    <row r="93" spans="1:3" x14ac:dyDescent="0.25">
      <c r="A93" s="1">
        <v>40909</v>
      </c>
      <c r="B93" s="3">
        <f>('step1 Raw'!B94-'step1 Raw'!B82)/'step1 Raw'!B82</f>
        <v>-4.858566759948757E-2</v>
      </c>
      <c r="C93" s="3">
        <f>('step1 Raw'!C94-'step1 Raw'!C82)/'step1 Raw'!C82</f>
        <v>-0.13627907001852341</v>
      </c>
    </row>
    <row r="94" spans="1:3" x14ac:dyDescent="0.25">
      <c r="A94" s="1">
        <v>40940</v>
      </c>
      <c r="B94" s="3">
        <f>('step1 Raw'!B95-'step1 Raw'!B83)/'step1 Raw'!B83</f>
        <v>-9.4173446506162477E-3</v>
      </c>
      <c r="C94" s="3">
        <f>('step1 Raw'!C95-'step1 Raw'!C83)/'step1 Raw'!C83</f>
        <v>-0.10778015703069235</v>
      </c>
    </row>
    <row r="95" spans="1:3" x14ac:dyDescent="0.25">
      <c r="A95" s="1">
        <v>40969</v>
      </c>
      <c r="B95" s="3">
        <f>('step1 Raw'!B96-'step1 Raw'!B84)/'step1 Raw'!B84</f>
        <v>-2.0790499054557571E-2</v>
      </c>
      <c r="C95" s="3">
        <f>('step1 Raw'!C96-'step1 Raw'!C84)/'step1 Raw'!C84</f>
        <v>-4.9794469357249738E-2</v>
      </c>
    </row>
    <row r="96" spans="1:3" x14ac:dyDescent="0.25">
      <c r="A96" s="1">
        <v>41000</v>
      </c>
      <c r="B96" s="3">
        <f>('step1 Raw'!B97-'step1 Raw'!B85)/'step1 Raw'!B85</f>
        <v>-6.6549425224715622E-3</v>
      </c>
      <c r="C96" s="3">
        <f>('step1 Raw'!C97-'step1 Raw'!C85)/'step1 Raw'!C85</f>
        <v>-7.0735724743777484E-2</v>
      </c>
    </row>
    <row r="97" spans="1:3" x14ac:dyDescent="0.25">
      <c r="A97" s="1">
        <v>41030</v>
      </c>
      <c r="B97" s="3">
        <f>('step1 Raw'!B98-'step1 Raw'!B86)/'step1 Raw'!B86</f>
        <v>2.4527295925030661E-2</v>
      </c>
      <c r="C97" s="3">
        <f>('step1 Raw'!C98-'step1 Raw'!C86)/'step1 Raw'!C86</f>
        <v>-6.8204432383536795E-2</v>
      </c>
    </row>
    <row r="98" spans="1:3" x14ac:dyDescent="0.25">
      <c r="A98" s="1">
        <v>41061</v>
      </c>
      <c r="B98" s="3">
        <f>('step1 Raw'!B99-'step1 Raw'!B87)/'step1 Raw'!B87</f>
        <v>2.5324561905304407E-2</v>
      </c>
      <c r="C98" s="3">
        <f>('step1 Raw'!C99-'step1 Raw'!C87)/'step1 Raw'!C87</f>
        <v>-9.3497044110959535E-2</v>
      </c>
    </row>
    <row r="99" spans="1:3" x14ac:dyDescent="0.25">
      <c r="A99" s="1">
        <v>41091</v>
      </c>
      <c r="B99" s="3">
        <f>('step1 Raw'!B100-'step1 Raw'!B88)/'step1 Raw'!B88</f>
        <v>6.7483405700880086E-2</v>
      </c>
      <c r="C99" s="3">
        <f>('step1 Raw'!C100-'step1 Raw'!C88)/'step1 Raw'!C88</f>
        <v>-3.5452436194895527E-2</v>
      </c>
    </row>
    <row r="100" spans="1:3" x14ac:dyDescent="0.25">
      <c r="A100" s="1">
        <v>41122</v>
      </c>
      <c r="B100" s="3">
        <f>('step1 Raw'!B101-'step1 Raw'!B89)/'step1 Raw'!B89</f>
        <v>0.11447589495368908</v>
      </c>
      <c r="C100" s="3">
        <f>('step1 Raw'!C101-'step1 Raw'!C89)/'step1 Raw'!C89</f>
        <v>-6.5383577659861469E-2</v>
      </c>
    </row>
    <row r="101" spans="1:3" x14ac:dyDescent="0.25">
      <c r="A101" s="1">
        <v>41153</v>
      </c>
      <c r="B101" s="3">
        <f>('step1 Raw'!B102-'step1 Raw'!B90)/'step1 Raw'!B90</f>
        <v>0.12699708841867646</v>
      </c>
      <c r="C101" s="3">
        <f>('step1 Raw'!C102-'step1 Raw'!C90)/'step1 Raw'!C90</f>
        <v>-5.3221288515406057E-2</v>
      </c>
    </row>
    <row r="102" spans="1:3" x14ac:dyDescent="0.25">
      <c r="A102" s="1">
        <v>41183</v>
      </c>
      <c r="B102" s="3">
        <f>('step1 Raw'!B103-'step1 Raw'!B91)/'step1 Raw'!B91</f>
        <v>5.9224331562148208E-2</v>
      </c>
      <c r="C102" s="3">
        <f>('step1 Raw'!C103-'step1 Raw'!C91)/'step1 Raw'!C91</f>
        <v>-3.1050056454647937E-3</v>
      </c>
    </row>
    <row r="103" spans="1:3" x14ac:dyDescent="0.25">
      <c r="A103" s="1">
        <v>41214</v>
      </c>
      <c r="B103" s="3">
        <f>('step1 Raw'!B104-'step1 Raw'!B92)/'step1 Raw'!B92</f>
        <v>3.7736763811509699E-2</v>
      </c>
      <c r="C103" s="3">
        <f>('step1 Raw'!C104-'step1 Raw'!C92)/'step1 Raw'!C92</f>
        <v>3.0880670987418937E-2</v>
      </c>
    </row>
    <row r="104" spans="1:3" x14ac:dyDescent="0.25">
      <c r="A104" s="1">
        <v>41244</v>
      </c>
      <c r="B104" s="3">
        <f>('step1 Raw'!B105-'step1 Raw'!B93)/'step1 Raw'!B93</f>
        <v>0.11767781441735921</v>
      </c>
      <c r="C104" s="3">
        <f>('step1 Raw'!C105-'step1 Raw'!C93)/'step1 Raw'!C93</f>
        <v>5.6944715764797801E-2</v>
      </c>
    </row>
    <row r="105" spans="1:3" x14ac:dyDescent="0.25">
      <c r="A105" s="1">
        <v>41275</v>
      </c>
      <c r="B105" s="3">
        <f>('step1 Raw'!B106-'step1 Raw'!B94)/'step1 Raw'!B94</f>
        <v>0.1523074420049437</v>
      </c>
      <c r="C105" s="3">
        <f>('step1 Raw'!C106-'step1 Raw'!C94)/'step1 Raw'!C94</f>
        <v>0.10187802907915983</v>
      </c>
    </row>
    <row r="106" spans="1:3" x14ac:dyDescent="0.25">
      <c r="A106" s="1">
        <v>41306</v>
      </c>
      <c r="B106" s="3">
        <f>('step1 Raw'!B107-'step1 Raw'!B95)/'step1 Raw'!B95</f>
        <v>9.8254753094330891E-2</v>
      </c>
      <c r="C106" s="3">
        <f>('step1 Raw'!C107-'step1 Raw'!C95)/'step1 Raw'!C95</f>
        <v>8.0100000000000046E-2</v>
      </c>
    </row>
    <row r="107" spans="1:3" x14ac:dyDescent="0.25">
      <c r="A107" s="1">
        <v>41334</v>
      </c>
      <c r="B107" s="3">
        <f>('step1 Raw'!B108-'step1 Raw'!B96)/'step1 Raw'!B96</f>
        <v>0.13943810279183536</v>
      </c>
      <c r="C107" s="3">
        <f>('step1 Raw'!C108-'step1 Raw'!C96)/'step1 Raw'!C96</f>
        <v>6.7348343329072941E-2</v>
      </c>
    </row>
    <row r="108" spans="1:3" x14ac:dyDescent="0.25">
      <c r="A108" s="1">
        <v>41365</v>
      </c>
      <c r="B108" s="3">
        <f>('step1 Raw'!B109-'step1 Raw'!B97)/'step1 Raw'!B97</f>
        <v>0.11370642315720274</v>
      </c>
      <c r="C108" s="3">
        <f>('step1 Raw'!C109-'step1 Raw'!C97)/'step1 Raw'!C97</f>
        <v>7.2082717872969049E-2</v>
      </c>
    </row>
    <row r="109" spans="1:3" x14ac:dyDescent="0.25">
      <c r="A109" s="1">
        <v>41395</v>
      </c>
      <c r="B109" s="3">
        <f>('step1 Raw'!B110-'step1 Raw'!B98)/'step1 Raw'!B98</f>
        <v>0.1267662406314683</v>
      </c>
      <c r="C109" s="3">
        <f>('step1 Raw'!C110-'step1 Raw'!C98)/'step1 Raw'!C98</f>
        <v>6.6013008445781937E-2</v>
      </c>
    </row>
    <row r="110" spans="1:3" x14ac:dyDescent="0.25">
      <c r="A110" s="1">
        <v>41426</v>
      </c>
      <c r="B110" s="3">
        <f>('step1 Raw'!B111-'step1 Raw'!B99)/'step1 Raw'!B99</f>
        <v>5.9663807717074684E-2</v>
      </c>
      <c r="C110" s="3">
        <f>('step1 Raw'!C111-'step1 Raw'!C99)/'step1 Raw'!C99</f>
        <v>0.12671816996087082</v>
      </c>
    </row>
    <row r="111" spans="1:3" x14ac:dyDescent="0.25">
      <c r="A111" s="1">
        <v>41456</v>
      </c>
      <c r="B111" s="3">
        <f>('step1 Raw'!B112-'step1 Raw'!B100)/'step1 Raw'!B100</f>
        <v>5.7895445417944141E-2</v>
      </c>
      <c r="C111" s="3">
        <f>('step1 Raw'!C112-'step1 Raw'!C100)/'step1 Raw'!C100</f>
        <v>7.2837486769941243E-2</v>
      </c>
    </row>
    <row r="112" spans="1:3" x14ac:dyDescent="0.25">
      <c r="A112" s="1">
        <v>41487</v>
      </c>
      <c r="B112" s="3">
        <f>('step1 Raw'!B113-'step1 Raw'!B101)/'step1 Raw'!B101</f>
        <v>6.4271417576107744E-3</v>
      </c>
      <c r="C112" s="3">
        <f>('step1 Raw'!C113-'step1 Raw'!C101)/'step1 Raw'!C101</f>
        <v>6.5242494226327954E-2</v>
      </c>
    </row>
    <row r="113" spans="1:3" x14ac:dyDescent="0.25">
      <c r="A113" s="1">
        <v>41518</v>
      </c>
      <c r="B113" s="3">
        <f>('step1 Raw'!B114-'step1 Raw'!B102)/'step1 Raw'!B102</f>
        <v>-4.5204543304506538E-2</v>
      </c>
      <c r="C113" s="3">
        <f>('step1 Raw'!C114-'step1 Raw'!C102)/'step1 Raw'!C102</f>
        <v>9.9605522682445699E-2</v>
      </c>
    </row>
    <row r="114" spans="1:3" x14ac:dyDescent="0.25">
      <c r="A114" s="1">
        <v>41548</v>
      </c>
      <c r="B114" s="3">
        <f>('step1 Raw'!B115-'step1 Raw'!B103)/'step1 Raw'!B103</f>
        <v>-4.8167149905232305E-2</v>
      </c>
      <c r="C114" s="3">
        <f>('step1 Raw'!C115-'step1 Raw'!C103)/'step1 Raw'!C103</f>
        <v>4.0113260972156679E-2</v>
      </c>
    </row>
    <row r="115" spans="1:3" x14ac:dyDescent="0.25">
      <c r="A115" s="1">
        <v>41579</v>
      </c>
      <c r="B115" s="3">
        <f>('step1 Raw'!B116-'step1 Raw'!B104)/'step1 Raw'!B104</f>
        <v>-7.8943820237856746E-2</v>
      </c>
      <c r="C115" s="3">
        <f>('step1 Raw'!C116-'step1 Raw'!C104)/'step1 Raw'!C104</f>
        <v>2.5332840236686475E-2</v>
      </c>
    </row>
    <row r="116" spans="1:3" x14ac:dyDescent="0.25">
      <c r="A116" s="1">
        <v>41609</v>
      </c>
      <c r="B116" s="3">
        <f>('step1 Raw'!B117-'step1 Raw'!B105)/'step1 Raw'!B105</f>
        <v>-0.10437823628309874</v>
      </c>
      <c r="C116" s="3">
        <f>('step1 Raw'!C117-'step1 Raw'!C105)/'step1 Raw'!C105</f>
        <v>4.4265779502818653E-2</v>
      </c>
    </row>
    <row r="117" spans="1:3" x14ac:dyDescent="0.25">
      <c r="A117" s="1">
        <v>41640</v>
      </c>
      <c r="B117" s="3">
        <f>('step1 Raw'!B118-'step1 Raw'!B106)/'step1 Raw'!B106</f>
        <v>-0.16162467848093054</v>
      </c>
      <c r="C117" s="3">
        <f>('step1 Raw'!C118-'step1 Raw'!C106)/'step1 Raw'!C106</f>
        <v>4.0043984238981076E-2</v>
      </c>
    </row>
    <row r="118" spans="1:3" x14ac:dyDescent="0.25">
      <c r="A118" s="1">
        <v>41671</v>
      </c>
      <c r="B118" s="3">
        <f>('step1 Raw'!B119-'step1 Raw'!B107)/'step1 Raw'!B107</f>
        <v>-0.16558693686333753</v>
      </c>
      <c r="C118" s="3">
        <f>('step1 Raw'!C119-'step1 Raw'!C107)/'step1 Raw'!C107</f>
        <v>5.5457827978890796E-2</v>
      </c>
    </row>
    <row r="119" spans="1:3" x14ac:dyDescent="0.25">
      <c r="A119" s="1">
        <v>41699</v>
      </c>
      <c r="B119" s="3">
        <f>('step1 Raw'!B120-'step1 Raw'!B108)/'step1 Raw'!B108</f>
        <v>-0.17334934707300942</v>
      </c>
      <c r="C119" s="3">
        <f>('step1 Raw'!C120-'step1 Raw'!C108)/'step1 Raw'!C108</f>
        <v>4.8268238761974898E-2</v>
      </c>
    </row>
    <row r="120" spans="1:3" x14ac:dyDescent="0.25">
      <c r="A120" s="1">
        <v>41730</v>
      </c>
      <c r="B120" s="3">
        <f>('step1 Raw'!B121-'step1 Raw'!B109)/'step1 Raw'!B109</f>
        <v>-0.14646841929718402</v>
      </c>
      <c r="C120" s="3">
        <f>('step1 Raw'!C121-'step1 Raw'!C109)/'step1 Raw'!C109</f>
        <v>5.7224212363369061E-2</v>
      </c>
    </row>
    <row r="121" spans="1:3" x14ac:dyDescent="0.25">
      <c r="A121" s="1">
        <v>41760</v>
      </c>
      <c r="B121" s="3">
        <f>('step1 Raw'!B122-'step1 Raw'!B110)/'step1 Raw'!B110</f>
        <v>-0.15576871995966057</v>
      </c>
      <c r="C121" s="3">
        <f>('step1 Raw'!C122-'step1 Raw'!C110)/'step1 Raw'!C110</f>
        <v>5.4548766050450732E-2</v>
      </c>
    </row>
    <row r="122" spans="1:3" x14ac:dyDescent="0.25">
      <c r="A122" s="1">
        <v>41791</v>
      </c>
      <c r="B122" s="3">
        <f>('step1 Raw'!B123-'step1 Raw'!B111)/'step1 Raw'!B111</f>
        <v>-0.13626343367272115</v>
      </c>
      <c r="C122" s="3">
        <f>('step1 Raw'!C123-'step1 Raw'!C111)/'step1 Raw'!C111</f>
        <v>3.6509349955476479E-2</v>
      </c>
    </row>
    <row r="123" spans="1:3" x14ac:dyDescent="0.25">
      <c r="A123" s="1">
        <v>41821</v>
      </c>
      <c r="B123" s="3">
        <f>('step1 Raw'!B124-'step1 Raw'!B112)/'step1 Raw'!B112</f>
        <v>-0.11696312137049575</v>
      </c>
      <c r="C123" s="3">
        <f>('step1 Raw'!C124-'step1 Raw'!C112)/'step1 Raw'!C112</f>
        <v>4.125560538116587E-2</v>
      </c>
    </row>
    <row r="124" spans="1:3" x14ac:dyDescent="0.25">
      <c r="A124" s="1">
        <v>41852</v>
      </c>
      <c r="B124" s="3">
        <f>('step1 Raw'!B125-'step1 Raw'!B113)/'step1 Raw'!B113</f>
        <v>-0.12373189669899676</v>
      </c>
      <c r="C124" s="3">
        <f>('step1 Raw'!C125-'step1 Raw'!C113)/'step1 Raw'!C113</f>
        <v>4.8780487804877967E-2</v>
      </c>
    </row>
    <row r="125" spans="1:3" x14ac:dyDescent="0.25">
      <c r="A125" s="1">
        <v>41883</v>
      </c>
      <c r="B125" s="3">
        <f>('step1 Raw'!B126-'step1 Raw'!B114)/'step1 Raw'!B114</f>
        <v>-0.10287394166851106</v>
      </c>
      <c r="C125" s="3">
        <f>('step1 Raw'!C126-'step1 Raw'!C114)/'step1 Raw'!C114</f>
        <v>1.5246636771300474E-2</v>
      </c>
    </row>
    <row r="126" spans="1:3" x14ac:dyDescent="0.25">
      <c r="A126" s="1">
        <v>41913</v>
      </c>
      <c r="B126" s="3">
        <f>('step1 Raw'!B127-'step1 Raw'!B115)/'step1 Raw'!B115</f>
        <v>-8.3481497592362772E-2</v>
      </c>
      <c r="C126" s="3">
        <f>('step1 Raw'!C127-'step1 Raw'!C115)/'step1 Raw'!C115</f>
        <v>3.9927404718693209E-2</v>
      </c>
    </row>
    <row r="127" spans="1:3" x14ac:dyDescent="0.25">
      <c r="A127" s="1">
        <v>41944</v>
      </c>
      <c r="B127" s="3">
        <f>('step1 Raw'!B128-'step1 Raw'!B116)/'step1 Raw'!B116</f>
        <v>-5.8243967767733995E-2</v>
      </c>
      <c r="C127" s="3">
        <f>('step1 Raw'!C128-'step1 Raw'!C116)/'step1 Raw'!C116</f>
        <v>4.3282236248872834E-2</v>
      </c>
    </row>
    <row r="128" spans="1:3" x14ac:dyDescent="0.25">
      <c r="A128" s="1">
        <v>41974</v>
      </c>
      <c r="B128" s="3">
        <f>('step1 Raw'!B129-'step1 Raw'!B117)/'step1 Raw'!B117</f>
        <v>2.896258954304053E-3</v>
      </c>
      <c r="C128" s="3">
        <f>('step1 Raw'!C129-'step1 Raw'!C117)/'step1 Raw'!C117</f>
        <v>4.2477876106194662E-2</v>
      </c>
    </row>
    <row r="129" spans="1:3" x14ac:dyDescent="0.25">
      <c r="A129" s="1">
        <v>42005</v>
      </c>
      <c r="B129" s="3">
        <f>('step1 Raw'!B130-'step1 Raw'!B118)/'step1 Raw'!B118</f>
        <v>2.8440325907031862E-2</v>
      </c>
      <c r="C129" s="3">
        <f>('step1 Raw'!C130-'step1 Raw'!C118)/'step1 Raw'!C118</f>
        <v>4.4933920704845767E-2</v>
      </c>
    </row>
    <row r="130" spans="1:3" x14ac:dyDescent="0.25">
      <c r="A130" s="1">
        <v>42036</v>
      </c>
      <c r="B130" s="3">
        <f>('step1 Raw'!B131-'step1 Raw'!B119)/'step1 Raw'!B119</f>
        <v>3.0813301229825871E-2</v>
      </c>
      <c r="C130" s="3">
        <f>('step1 Raw'!C131-'step1 Raw'!C119)/'step1 Raw'!C119</f>
        <v>6.455263157894732E-2</v>
      </c>
    </row>
    <row r="131" spans="1:3" x14ac:dyDescent="0.25">
      <c r="A131" s="1">
        <v>42064</v>
      </c>
      <c r="B131" s="3">
        <f>('step1 Raw'!B132-'step1 Raw'!B120)/'step1 Raw'!B120</f>
        <v>0.13336555771694908</v>
      </c>
      <c r="C131" s="3">
        <f>('step1 Raw'!C132-'step1 Raw'!C120)/'step1 Raw'!C120</f>
        <v>7.2056239015817244E-2</v>
      </c>
    </row>
    <row r="132" spans="1:3" x14ac:dyDescent="0.25">
      <c r="A132" s="1">
        <v>42095</v>
      </c>
      <c r="B132" s="3">
        <f>('step1 Raw'!B133-'step1 Raw'!B121)/'step1 Raw'!B121</f>
        <v>0.11920648943859918</v>
      </c>
      <c r="C132" s="3">
        <f>('step1 Raw'!C133-'step1 Raw'!C121)/'step1 Raw'!C121</f>
        <v>6.5160729800173761E-2</v>
      </c>
    </row>
    <row r="133" spans="1:3" x14ac:dyDescent="0.25">
      <c r="A133" s="1">
        <v>42125</v>
      </c>
      <c r="B133" s="3">
        <f>('step1 Raw'!B134-'step1 Raw'!B122)/'step1 Raw'!B122</f>
        <v>0.14936463854570203</v>
      </c>
      <c r="C133" s="3">
        <f>('step1 Raw'!C134-'step1 Raw'!C122)/'step1 Raw'!C122</f>
        <v>5.3540587219343724E-2</v>
      </c>
    </row>
    <row r="134" spans="1:3" x14ac:dyDescent="0.25">
      <c r="A134" s="1">
        <v>42156</v>
      </c>
      <c r="B134" s="3">
        <f>('step1 Raw'!B135-'step1 Raw'!B123)/'step1 Raw'!B123</f>
        <v>0.17455426700195723</v>
      </c>
      <c r="C134" s="3">
        <f>('step1 Raw'!C135-'step1 Raw'!C123)/'step1 Raw'!C123</f>
        <v>7.8178694158075546E-2</v>
      </c>
    </row>
    <row r="135" spans="1:3" x14ac:dyDescent="0.25">
      <c r="A135" s="1">
        <v>42186</v>
      </c>
      <c r="B135" s="3">
        <f>('step1 Raw'!B136-'step1 Raw'!B124)/'step1 Raw'!B124</f>
        <v>0.20096698023223064</v>
      </c>
      <c r="C135" s="3">
        <f>('step1 Raw'!C136-'step1 Raw'!C124)/'step1 Raw'!C124</f>
        <v>8.6132644272179162E-2</v>
      </c>
    </row>
    <row r="136" spans="1:3" x14ac:dyDescent="0.25">
      <c r="A136" s="1">
        <v>42217</v>
      </c>
      <c r="B136" s="3">
        <f>('step1 Raw'!B137-'step1 Raw'!B125)/'step1 Raw'!B125</f>
        <v>0.22169686739943956</v>
      </c>
      <c r="C136" s="3">
        <f>('step1 Raw'!C137-'step1 Raw'!C125)/'step1 Raw'!C125</f>
        <v>8.9577950043066373E-2</v>
      </c>
    </row>
    <row r="137" spans="1:3" x14ac:dyDescent="0.25">
      <c r="A137" s="1">
        <v>42248</v>
      </c>
      <c r="B137" s="3">
        <f>('step1 Raw'!B138-'step1 Raw'!B126)/'step1 Raw'!B126</f>
        <v>0.22162100140722807</v>
      </c>
      <c r="C137" s="3">
        <f>('step1 Raw'!C138-'step1 Raw'!C126)/'step1 Raw'!C126</f>
        <v>0.13427561837455831</v>
      </c>
    </row>
    <row r="138" spans="1:3" x14ac:dyDescent="0.25">
      <c r="A138" s="1">
        <v>42278</v>
      </c>
      <c r="B138" s="3">
        <f>('step1 Raw'!B139-'step1 Raw'!B127)/'step1 Raw'!B127</f>
        <v>0.22516070678175656</v>
      </c>
      <c r="C138" s="3">
        <f>('step1 Raw'!C139-'step1 Raw'!C127)/'step1 Raw'!C127</f>
        <v>0.11169284467713797</v>
      </c>
    </row>
    <row r="139" spans="1:3" x14ac:dyDescent="0.25">
      <c r="A139" s="1">
        <v>42309</v>
      </c>
      <c r="B139" s="3">
        <f>('step1 Raw'!B140-'step1 Raw'!B128)/'step1 Raw'!B128</f>
        <v>0.35869054000592315</v>
      </c>
      <c r="C139" s="3">
        <f>('step1 Raw'!C140-'step1 Raw'!C128)/'step1 Raw'!C128</f>
        <v>7.4727744165946422E-2</v>
      </c>
    </row>
    <row r="140" spans="1:3" x14ac:dyDescent="0.25">
      <c r="A140" s="1">
        <v>42339</v>
      </c>
      <c r="B140" s="3">
        <f>('step1 Raw'!B141-'step1 Raw'!B129)/'step1 Raw'!B129</f>
        <v>0.20691523954042915</v>
      </c>
      <c r="C140" s="3">
        <f>('step1 Raw'!C141-'step1 Raw'!C129)/'step1 Raw'!C129</f>
        <v>5.0933786078098474E-2</v>
      </c>
    </row>
    <row r="141" spans="1:3" x14ac:dyDescent="0.25">
      <c r="A141" s="1">
        <v>42370</v>
      </c>
      <c r="B141" s="3">
        <f>('step1 Raw'!B142-'step1 Raw'!B130)/'step1 Raw'!B130</f>
        <v>0.28282679256417825</v>
      </c>
      <c r="C141" s="3">
        <f>('step1 Raw'!C142-'step1 Raw'!C130)/'step1 Raw'!C130</f>
        <v>4.384485666104556E-2</v>
      </c>
    </row>
    <row r="142" spans="1:3" x14ac:dyDescent="0.25">
      <c r="A142" s="1">
        <v>42401</v>
      </c>
      <c r="B142" s="3">
        <f>('step1 Raw'!B143-'step1 Raw'!B131)/'step1 Raw'!B131</f>
        <v>0.27229254571026756</v>
      </c>
      <c r="C142" s="3">
        <f>('step1 Raw'!C143-'step1 Raw'!C131)/'step1 Raw'!C131</f>
        <v>1.7641872461045371E-2</v>
      </c>
    </row>
    <row r="143" spans="1:3" x14ac:dyDescent="0.25">
      <c r="A143" s="1">
        <v>42430</v>
      </c>
      <c r="B143" s="3">
        <f>('step1 Raw'!B144-'step1 Raw'!B132)/'step1 Raw'!B132</f>
        <v>0.16357337292749322</v>
      </c>
      <c r="C143" s="3">
        <f>('step1 Raw'!C144-'step1 Raw'!C132)/'step1 Raw'!C132</f>
        <v>3.2786885245902103E-3</v>
      </c>
    </row>
    <row r="144" spans="1:3" x14ac:dyDescent="0.25">
      <c r="A144" s="1">
        <v>42461</v>
      </c>
      <c r="B144" s="3">
        <f>('step1 Raw'!B145-'step1 Raw'!B133)/'step1 Raw'!B133</f>
        <v>0.13685878391760764</v>
      </c>
      <c r="C144" s="3">
        <f>('step1 Raw'!C145-'step1 Raw'!C133)/'step1 Raw'!C133</f>
        <v>-9.7879282218596136E-3</v>
      </c>
    </row>
    <row r="145" spans="1:3" x14ac:dyDescent="0.25">
      <c r="A145" s="1">
        <v>42491</v>
      </c>
      <c r="B145" s="3">
        <f>('step1 Raw'!B146-'step1 Raw'!B134)/'step1 Raw'!B134</f>
        <v>0.16027579533083322</v>
      </c>
      <c r="C145" s="3">
        <f>('step1 Raw'!C146-'step1 Raw'!C134)/'step1 Raw'!C134</f>
        <v>-1.8032786885245924E-2</v>
      </c>
    </row>
    <row r="146" spans="1:3" x14ac:dyDescent="0.25">
      <c r="A146" s="1">
        <v>42522</v>
      </c>
      <c r="B146" s="3">
        <f>('step1 Raw'!B147-'step1 Raw'!B135)/'step1 Raw'!B135</f>
        <v>-1</v>
      </c>
      <c r="C146" s="3">
        <f>('step1 Raw'!C147-'step1 Raw'!C135)/'step1 Raw'!C135</f>
        <v>-1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L162"/>
  <sheetViews>
    <sheetView workbookViewId="0">
      <selection activeCell="B2" sqref="B2"/>
    </sheetView>
  </sheetViews>
  <sheetFormatPr defaultRowHeight="15" x14ac:dyDescent="0.25"/>
  <sheetData>
    <row r="1" spans="1:12" x14ac:dyDescent="0.25">
      <c r="B1" t="s">
        <v>1</v>
      </c>
      <c r="C1" t="str">
        <f>'step2 %Chg'!C1</f>
        <v>MBACAI Chg</v>
      </c>
    </row>
    <row r="2" spans="1:12" x14ac:dyDescent="0.25">
      <c r="A2" s="1">
        <f>'step2 %Chg'!A2</f>
        <v>38139</v>
      </c>
      <c r="B2">
        <f>'step2 %Chg'!B2</f>
        <v>0</v>
      </c>
      <c r="C2">
        <f>'step2 %Chg'!C2</f>
        <v>0</v>
      </c>
    </row>
    <row r="3" spans="1:12" x14ac:dyDescent="0.25">
      <c r="A3" s="1">
        <f>'step2 %Chg'!A3</f>
        <v>38169</v>
      </c>
      <c r="B3">
        <f>'step2 %Chg'!B3</f>
        <v>0</v>
      </c>
      <c r="C3">
        <f>'step2 %Chg'!C3</f>
        <v>0</v>
      </c>
    </row>
    <row r="4" spans="1:12" x14ac:dyDescent="0.25">
      <c r="A4" s="1">
        <f>'step2 %Chg'!A4</f>
        <v>38200</v>
      </c>
      <c r="B4">
        <f>'step2 %Chg'!B4</f>
        <v>0</v>
      </c>
      <c r="C4">
        <f>'step2 %Chg'!C4</f>
        <v>0</v>
      </c>
    </row>
    <row r="5" spans="1:12" x14ac:dyDescent="0.25">
      <c r="A5" s="1">
        <f>'step2 %Chg'!A5</f>
        <v>38231</v>
      </c>
      <c r="B5">
        <f>'step2 %Chg'!B5</f>
        <v>0</v>
      </c>
      <c r="C5">
        <f>'step2 %Chg'!C5</f>
        <v>0</v>
      </c>
    </row>
    <row r="6" spans="1:12" x14ac:dyDescent="0.25">
      <c r="A6" s="1">
        <f>'step2 %Chg'!A6</f>
        <v>38261</v>
      </c>
      <c r="B6">
        <f>'step2 %Chg'!B6</f>
        <v>0</v>
      </c>
      <c r="C6">
        <f>'step2 %Chg'!C6</f>
        <v>0</v>
      </c>
    </row>
    <row r="7" spans="1:12" x14ac:dyDescent="0.25">
      <c r="A7" s="1">
        <f>'step2 %Chg'!A7</f>
        <v>38292</v>
      </c>
      <c r="B7">
        <f>'step2 %Chg'!B7</f>
        <v>0</v>
      </c>
      <c r="C7">
        <f>'step2 %Chg'!C7</f>
        <v>0</v>
      </c>
      <c r="L7" t="s">
        <v>10</v>
      </c>
    </row>
    <row r="8" spans="1:12" x14ac:dyDescent="0.25">
      <c r="A8" s="1">
        <f>'step2 %Chg'!A8</f>
        <v>38322</v>
      </c>
      <c r="B8">
        <f>'step2 %Chg'!B8</f>
        <v>0</v>
      </c>
      <c r="C8">
        <f>'step2 %Chg'!C8</f>
        <v>0</v>
      </c>
    </row>
    <row r="9" spans="1:12" x14ac:dyDescent="0.25">
      <c r="A9" s="1">
        <f>'step2 %Chg'!A9</f>
        <v>38353</v>
      </c>
      <c r="B9">
        <f>'step2 %Chg'!B9</f>
        <v>0</v>
      </c>
      <c r="C9">
        <f>'step2 %Chg'!C9</f>
        <v>0</v>
      </c>
    </row>
    <row r="10" spans="1:12" x14ac:dyDescent="0.25">
      <c r="A10" s="1">
        <f>'step2 %Chg'!A10</f>
        <v>38384</v>
      </c>
      <c r="B10">
        <f>'step2 %Chg'!B10</f>
        <v>0</v>
      </c>
      <c r="C10">
        <f>'step2 %Chg'!C10</f>
        <v>0</v>
      </c>
    </row>
    <row r="11" spans="1:12" x14ac:dyDescent="0.25">
      <c r="A11" s="1">
        <f>'step2 %Chg'!A11</f>
        <v>38412</v>
      </c>
      <c r="B11">
        <f>'step2 %Chg'!B11</f>
        <v>0</v>
      </c>
      <c r="C11">
        <f>'step2 %Chg'!C11</f>
        <v>0</v>
      </c>
    </row>
    <row r="12" spans="1:12" x14ac:dyDescent="0.25">
      <c r="A12" s="1">
        <f>'step2 %Chg'!A12</f>
        <v>38443</v>
      </c>
      <c r="B12">
        <f>'step2 %Chg'!B12</f>
        <v>0</v>
      </c>
      <c r="C12">
        <f>'step2 %Chg'!C12</f>
        <v>0</v>
      </c>
    </row>
    <row r="13" spans="1:12" x14ac:dyDescent="0.25">
      <c r="A13" s="1">
        <f>'step2 %Chg'!A13</f>
        <v>38473</v>
      </c>
      <c r="B13">
        <f>'step2 %Chg'!B13</f>
        <v>8.9977424744309364E-2</v>
      </c>
      <c r="C13">
        <f>'step2 %Chg'!C13</f>
        <v>1.1352785145888593</v>
      </c>
    </row>
    <row r="14" spans="1:12" x14ac:dyDescent="0.25">
      <c r="A14" s="1">
        <f>'step2 %Chg'!A14</f>
        <v>38504</v>
      </c>
      <c r="B14">
        <f>'step2 %Chg'!B14</f>
        <v>5.6135384054593195E-2</v>
      </c>
      <c r="C14">
        <f>'step2 %Chg'!C14</f>
        <v>1.1177748805736636</v>
      </c>
    </row>
    <row r="15" spans="1:12" x14ac:dyDescent="0.25">
      <c r="A15" s="1">
        <f>'step2 %Chg'!A15</f>
        <v>38534</v>
      </c>
      <c r="B15">
        <f>'step2 %Chg'!B15</f>
        <v>7.3255667357596199E-2</v>
      </c>
      <c r="C15">
        <f>'step2 %Chg'!C15</f>
        <v>1.1008547007692309</v>
      </c>
    </row>
    <row r="16" spans="1:12" x14ac:dyDescent="0.25">
      <c r="A16" s="1">
        <f>'step2 %Chg'!A16</f>
        <v>38565</v>
      </c>
      <c r="B16">
        <f>'step2 %Chg'!B16</f>
        <v>4.7114224757930728E-2</v>
      </c>
      <c r="C16">
        <f>'step2 %Chg'!C16</f>
        <v>1.0844892812105926</v>
      </c>
    </row>
    <row r="17" spans="1:3" x14ac:dyDescent="0.25">
      <c r="A17" s="1">
        <f>'step2 %Chg'!A17</f>
        <v>38596</v>
      </c>
      <c r="B17">
        <f>'step2 %Chg'!B17</f>
        <v>7.618003785407639E-3</v>
      </c>
      <c r="C17">
        <f>'step2 %Chg'!C17</f>
        <v>1.0686517784119105</v>
      </c>
    </row>
    <row r="18" spans="1:3" x14ac:dyDescent="0.25">
      <c r="A18" s="1">
        <f>'step2 %Chg'!A18</f>
        <v>38626</v>
      </c>
      <c r="B18">
        <f>'step2 %Chg'!B18</f>
        <v>-1.164723032080347E-2</v>
      </c>
      <c r="C18">
        <f>'step2 %Chg'!C18</f>
        <v>1.0533170532356533</v>
      </c>
    </row>
    <row r="19" spans="1:3" x14ac:dyDescent="0.25">
      <c r="A19" s="1">
        <f>'step2 %Chg'!A19</f>
        <v>38657</v>
      </c>
      <c r="B19">
        <f>'step2 %Chg'!B19</f>
        <v>-4.5063969564716221E-2</v>
      </c>
      <c r="C19">
        <f>'step2 %Chg'!C19</f>
        <v>1.0384615384615385</v>
      </c>
    </row>
    <row r="20" spans="1:3" x14ac:dyDescent="0.25">
      <c r="A20" s="1">
        <f>'step2 %Chg'!A20</f>
        <v>38687</v>
      </c>
      <c r="B20">
        <f>'step2 %Chg'!B20</f>
        <v>3.8620693719923903E-2</v>
      </c>
      <c r="C20">
        <f>'step2 %Chg'!C20</f>
        <v>0.77157712310374893</v>
      </c>
    </row>
    <row r="21" spans="1:3" x14ac:dyDescent="0.25">
      <c r="A21" s="1">
        <f>'step2 %Chg'!A21</f>
        <v>38718</v>
      </c>
      <c r="B21">
        <f>'step2 %Chg'!B21</f>
        <v>-6.9792061649376944E-2</v>
      </c>
      <c r="C21">
        <f>'step2 %Chg'!C21</f>
        <v>0.56811240069834379</v>
      </c>
    </row>
    <row r="22" spans="1:3" x14ac:dyDescent="0.25">
      <c r="A22" s="1">
        <f>'step2 %Chg'!A22</f>
        <v>38749</v>
      </c>
      <c r="B22">
        <f>'step2 %Chg'!B22</f>
        <v>-0.12134405722564114</v>
      </c>
      <c r="C22">
        <f>'step2 %Chg'!C22</f>
        <v>0.40786240786240785</v>
      </c>
    </row>
    <row r="23" spans="1:3" x14ac:dyDescent="0.25">
      <c r="A23" s="1">
        <f>'step2 %Chg'!A23</f>
        <v>38777</v>
      </c>
      <c r="B23">
        <f>'step2 %Chg'!B23</f>
        <v>-0.13515983447834315</v>
      </c>
      <c r="C23">
        <f>'step2 %Chg'!C23</f>
        <v>0.27838104641058148</v>
      </c>
    </row>
    <row r="24" spans="1:3" x14ac:dyDescent="0.25">
      <c r="A24" s="1">
        <f>'step2 %Chg'!A24</f>
        <v>38808</v>
      </c>
      <c r="B24">
        <f>'step2 %Chg'!B24</f>
        <v>-0.16782822852807425</v>
      </c>
      <c r="C24">
        <f>'step2 %Chg'!C24</f>
        <v>0.17158297679929824</v>
      </c>
    </row>
    <row r="25" spans="1:3" x14ac:dyDescent="0.25">
      <c r="A25" s="1">
        <f>'step2 %Chg'!A25</f>
        <v>38838</v>
      </c>
      <c r="B25">
        <f>'step2 %Chg'!B25</f>
        <v>-0.18452432368077848</v>
      </c>
      <c r="C25">
        <f>'step2 %Chg'!C25</f>
        <v>8.1987577639751549E-2</v>
      </c>
    </row>
    <row r="26" spans="1:3" x14ac:dyDescent="0.25">
      <c r="A26" s="1">
        <f>'step2 %Chg'!A26</f>
        <v>38869</v>
      </c>
      <c r="B26">
        <f>'step2 %Chg'!B26</f>
        <v>-0.20827746033678721</v>
      </c>
      <c r="C26">
        <f>'step2 %Chg'!C26</f>
        <v>4.2684178040522013E-2</v>
      </c>
    </row>
    <row r="27" spans="1:3" x14ac:dyDescent="0.25">
      <c r="A27" s="1">
        <f>'step2 %Chg'!A27</f>
        <v>38899</v>
      </c>
      <c r="B27">
        <f>'step2 %Chg'!B27</f>
        <v>-0.22603859028770057</v>
      </c>
      <c r="C27">
        <f>'step2 %Chg'!C27</f>
        <v>4.0683483321426114E-3</v>
      </c>
    </row>
    <row r="28" spans="1:3" x14ac:dyDescent="0.25">
      <c r="A28" s="1">
        <f>'step2 %Chg'!A28</f>
        <v>38930</v>
      </c>
      <c r="B28">
        <f>'step2 %Chg'!B28</f>
        <v>-0.20832877102644662</v>
      </c>
      <c r="C28">
        <f>'step2 %Chg'!C28</f>
        <v>-3.3877797943133697E-2</v>
      </c>
    </row>
    <row r="29" spans="1:3" x14ac:dyDescent="0.25">
      <c r="A29" s="1">
        <f>'step2 %Chg'!A29</f>
        <v>38961</v>
      </c>
      <c r="B29">
        <f>'step2 %Chg'!B29</f>
        <v>-0.19652403841979613</v>
      </c>
      <c r="C29">
        <f>'step2 %Chg'!C29</f>
        <v>-7.11715314645672E-2</v>
      </c>
    </row>
    <row r="30" spans="1:3" x14ac:dyDescent="0.25">
      <c r="A30" s="1">
        <f>'step2 %Chg'!A30</f>
        <v>38991</v>
      </c>
      <c r="B30">
        <f>'step2 %Chg'!B30</f>
        <v>-0.15183330683578827</v>
      </c>
      <c r="C30">
        <f>'step2 %Chg'!C30</f>
        <v>-0.10782953411725797</v>
      </c>
    </row>
    <row r="31" spans="1:3" x14ac:dyDescent="0.25">
      <c r="A31" s="1">
        <f>'step2 %Chg'!A31</f>
        <v>39022</v>
      </c>
      <c r="B31">
        <f>'step2 %Chg'!B31</f>
        <v>-7.7714304509304388E-2</v>
      </c>
      <c r="C31">
        <f>'step2 %Chg'!C31</f>
        <v>-0.14386792452830188</v>
      </c>
    </row>
    <row r="32" spans="1:3" x14ac:dyDescent="0.25">
      <c r="A32" s="1">
        <f>'step2 %Chg'!A32</f>
        <v>39052</v>
      </c>
      <c r="B32">
        <f>'step2 %Chg'!B32</f>
        <v>-5.8764767668997679E-2</v>
      </c>
      <c r="C32">
        <f>'step2 %Chg'!C32</f>
        <v>-0.18254744669076686</v>
      </c>
    </row>
    <row r="33" spans="1:12" x14ac:dyDescent="0.25">
      <c r="A33" s="1">
        <f>'step2 %Chg'!A33</f>
        <v>39083</v>
      </c>
      <c r="B33">
        <f>'step2 %Chg'!B33</f>
        <v>-3.3073263370687583E-2</v>
      </c>
      <c r="C33">
        <f>'step2 %Chg'!C33</f>
        <v>-0.22088040513358473</v>
      </c>
      <c r="L33" t="s">
        <v>11</v>
      </c>
    </row>
    <row r="34" spans="1:12" x14ac:dyDescent="0.25">
      <c r="A34" s="1">
        <f>'step2 %Chg'!A34</f>
        <v>39114</v>
      </c>
      <c r="B34">
        <f>'step2 %Chg'!B34</f>
        <v>-5.5935102356190706E-3</v>
      </c>
      <c r="C34">
        <f>'step2 %Chg'!C34</f>
        <v>-0.25887143688190811</v>
      </c>
    </row>
    <row r="35" spans="1:12" x14ac:dyDescent="0.25">
      <c r="A35" s="1">
        <f>'step2 %Chg'!A35</f>
        <v>39142</v>
      </c>
      <c r="B35">
        <f>'step2 %Chg'!B35</f>
        <v>-7.0190004536898297E-3</v>
      </c>
      <c r="C35">
        <f>'step2 %Chg'!C35</f>
        <v>-0.29652509653654535</v>
      </c>
    </row>
    <row r="36" spans="1:12" x14ac:dyDescent="0.25">
      <c r="A36" s="1">
        <f>'step2 %Chg'!A36</f>
        <v>39173</v>
      </c>
      <c r="B36">
        <f>'step2 %Chg'!B36</f>
        <v>5.4792053879607013E-2</v>
      </c>
      <c r="C36">
        <f>'step2 %Chg'!C36</f>
        <v>-0.33384585814592177</v>
      </c>
    </row>
    <row r="37" spans="1:12" x14ac:dyDescent="0.25">
      <c r="A37" s="1">
        <f>'step2 %Chg'!A37</f>
        <v>39203</v>
      </c>
      <c r="B37">
        <f>'step2 %Chg'!B37</f>
        <v>8.6635522441541948E-2</v>
      </c>
      <c r="C37">
        <f>'step2 %Chg'!C37</f>
        <v>-0.37083811710677383</v>
      </c>
    </row>
    <row r="38" spans="1:12" x14ac:dyDescent="0.25">
      <c r="A38" s="1">
        <f>'step2 %Chg'!A38</f>
        <v>39234</v>
      </c>
      <c r="B38">
        <f>'step2 %Chg'!B38</f>
        <v>9.157848468092486E-2</v>
      </c>
      <c r="C38">
        <f>'step2 %Chg'!C38</f>
        <v>-0.39834678210581964</v>
      </c>
    </row>
    <row r="39" spans="1:12" x14ac:dyDescent="0.25">
      <c r="A39" s="1">
        <f>'step2 %Chg'!A39</f>
        <v>39264</v>
      </c>
      <c r="B39">
        <f>'step2 %Chg'!B39</f>
        <v>0.14673341689045033</v>
      </c>
      <c r="C39">
        <f>'step2 %Chg'!C39</f>
        <v>-0.42747163697619639</v>
      </c>
    </row>
    <row r="40" spans="1:12" x14ac:dyDescent="0.25">
      <c r="A40" s="1">
        <f>'step2 %Chg'!A40</f>
        <v>39295</v>
      </c>
      <c r="B40">
        <f>'step2 %Chg'!B40</f>
        <v>9.137175319760063E-2</v>
      </c>
      <c r="C40">
        <f>'step2 %Chg'!C40</f>
        <v>-0.45835942391984974</v>
      </c>
    </row>
    <row r="41" spans="1:12" x14ac:dyDescent="0.25">
      <c r="A41" s="1">
        <f>'step2 %Chg'!A41</f>
        <v>39326</v>
      </c>
      <c r="B41">
        <f>'step2 %Chg'!B41</f>
        <v>9.9072904192244682E-2</v>
      </c>
      <c r="C41">
        <f>'step2 %Chg'!C41</f>
        <v>-0.49117520445506568</v>
      </c>
    </row>
    <row r="42" spans="1:12" x14ac:dyDescent="0.25">
      <c r="A42" s="1">
        <f>'step2 %Chg'!A42</f>
        <v>39356</v>
      </c>
      <c r="B42">
        <f>'step2 %Chg'!B42</f>
        <v>5.3827841944817427E-2</v>
      </c>
      <c r="C42">
        <f>'step2 %Chg'!C42</f>
        <v>-0.52610530995218374</v>
      </c>
    </row>
    <row r="43" spans="1:12" x14ac:dyDescent="0.25">
      <c r="A43" s="1">
        <f>'step2 %Chg'!A43</f>
        <v>39387</v>
      </c>
      <c r="B43">
        <f>'step2 %Chg'!B43</f>
        <v>-2.7523047454750999E-2</v>
      </c>
      <c r="C43">
        <f>'step2 %Chg'!C43</f>
        <v>-0.5633608815426997</v>
      </c>
    </row>
    <row r="44" spans="1:12" x14ac:dyDescent="0.25">
      <c r="A44" s="1">
        <f>'step2 %Chg'!A44</f>
        <v>39417</v>
      </c>
      <c r="B44">
        <f>'step2 %Chg'!B44</f>
        <v>-2.3890784529678594E-2</v>
      </c>
      <c r="C44">
        <f>'step2 %Chg'!C44</f>
        <v>-0.59238870275693578</v>
      </c>
    </row>
    <row r="45" spans="1:12" x14ac:dyDescent="0.25">
      <c r="A45" s="1">
        <f>'step2 %Chg'!A45</f>
        <v>39448</v>
      </c>
      <c r="B45">
        <f>'step2 %Chg'!B45</f>
        <v>-4.6742530999163381E-2</v>
      </c>
      <c r="C45">
        <f>'step2 %Chg'!C45</f>
        <v>-0.62399999996879996</v>
      </c>
    </row>
    <row r="46" spans="1:12" x14ac:dyDescent="0.25">
      <c r="A46" s="1">
        <f>'step2 %Chg'!A46</f>
        <v>39479</v>
      </c>
      <c r="B46">
        <f>'step2 %Chg'!B46</f>
        <v>-8.5333138153063842E-2</v>
      </c>
      <c r="C46">
        <f>'step2 %Chg'!C46</f>
        <v>-0.65855572998430145</v>
      </c>
    </row>
    <row r="47" spans="1:12" x14ac:dyDescent="0.25">
      <c r="A47" s="1">
        <f>'step2 %Chg'!A47</f>
        <v>39508</v>
      </c>
      <c r="B47">
        <f>'step2 %Chg'!B47</f>
        <v>-0.11140076634428989</v>
      </c>
      <c r="C47">
        <f>'step2 %Chg'!C47</f>
        <v>-0.69648737654755699</v>
      </c>
    </row>
    <row r="48" spans="1:12" x14ac:dyDescent="0.25">
      <c r="A48" s="1">
        <f>'step2 %Chg'!A48</f>
        <v>39539</v>
      </c>
      <c r="B48">
        <f>'step2 %Chg'!B48</f>
        <v>-0.17088036536690848</v>
      </c>
      <c r="C48">
        <f>'step2 %Chg'!C48</f>
        <v>-0.7383150605459714</v>
      </c>
    </row>
    <row r="49" spans="1:3" x14ac:dyDescent="0.25">
      <c r="A49" s="1">
        <f>'step2 %Chg'!A49</f>
        <v>39569</v>
      </c>
      <c r="B49">
        <f>'step2 %Chg'!B49</f>
        <v>-0.20339588904189035</v>
      </c>
      <c r="C49">
        <f>'step2 %Chg'!C49</f>
        <v>-0.78467153284671531</v>
      </c>
    </row>
    <row r="50" spans="1:3" x14ac:dyDescent="0.25">
      <c r="A50" s="1">
        <f>'step2 %Chg'!A50</f>
        <v>39600</v>
      </c>
      <c r="B50">
        <f>'step2 %Chg'!B50</f>
        <v>-0.21381309961497458</v>
      </c>
      <c r="C50">
        <f>'step2 %Chg'!C50</f>
        <v>-0.77952240765456327</v>
      </c>
    </row>
    <row r="51" spans="1:3" x14ac:dyDescent="0.25">
      <c r="A51" s="1">
        <f>'step2 %Chg'!A51</f>
        <v>39630</v>
      </c>
      <c r="B51">
        <f>'step2 %Chg'!B51</f>
        <v>-0.27110277256148235</v>
      </c>
      <c r="C51">
        <f>'step2 %Chg'!C51</f>
        <v>-0.77353149320594483</v>
      </c>
    </row>
    <row r="52" spans="1:3" x14ac:dyDescent="0.25">
      <c r="A52" s="1">
        <f>'step2 %Chg'!A52</f>
        <v>39661</v>
      </c>
      <c r="B52">
        <f>'step2 %Chg'!B52</f>
        <v>-0.19359949419920924</v>
      </c>
      <c r="C52">
        <f>'step2 %Chg'!C52</f>
        <v>-0.76647398843930636</v>
      </c>
    </row>
    <row r="53" spans="1:3" x14ac:dyDescent="0.25">
      <c r="A53" s="1">
        <f>'step2 %Chg'!A53</f>
        <v>39692</v>
      </c>
      <c r="B53">
        <f>'step2 %Chg'!B53</f>
        <v>-0.30091134605512848</v>
      </c>
      <c r="C53">
        <f>'step2 %Chg'!C53</f>
        <v>-0.75803722505076143</v>
      </c>
    </row>
    <row r="54" spans="1:3" x14ac:dyDescent="0.25">
      <c r="A54" s="1">
        <f>'step2 %Chg'!A54</f>
        <v>39722</v>
      </c>
      <c r="B54">
        <f>'step2 %Chg'!B54</f>
        <v>-0.32672774483895001</v>
      </c>
      <c r="C54">
        <f>'step2 %Chg'!C54</f>
        <v>-0.74777308953586508</v>
      </c>
    </row>
    <row r="55" spans="1:3" x14ac:dyDescent="0.25">
      <c r="A55" s="1">
        <f>'step2 %Chg'!A55</f>
        <v>39753</v>
      </c>
      <c r="B55">
        <f>'step2 %Chg'!B55</f>
        <v>-0.26198433432808421</v>
      </c>
      <c r="C55">
        <f>'step2 %Chg'!C55</f>
        <v>-0.73501577287066244</v>
      </c>
    </row>
    <row r="56" spans="1:3" x14ac:dyDescent="0.25">
      <c r="A56" s="1">
        <f>'step2 %Chg'!A56</f>
        <v>39783</v>
      </c>
      <c r="B56">
        <f>'step2 %Chg'!B56</f>
        <v>-0.28890230375171383</v>
      </c>
      <c r="C56">
        <f>'step2 %Chg'!C56</f>
        <v>-0.67880211386715239</v>
      </c>
    </row>
    <row r="57" spans="1:3" x14ac:dyDescent="0.25">
      <c r="A57" s="1">
        <f>'step2 %Chg'!A57</f>
        <v>39814</v>
      </c>
      <c r="B57">
        <f>'step2 %Chg'!B57</f>
        <v>-0.35394370911018924</v>
      </c>
      <c r="C57">
        <f>'step2 %Chg'!C57</f>
        <v>-0.60771276602291047</v>
      </c>
    </row>
    <row r="58" spans="1:3" x14ac:dyDescent="0.25">
      <c r="A58" s="1">
        <f>'step2 %Chg'!A58</f>
        <v>39845</v>
      </c>
      <c r="B58">
        <f>'step2 %Chg'!B58</f>
        <v>-0.30179186937432045</v>
      </c>
      <c r="C58">
        <f>'step2 %Chg'!C58</f>
        <v>-0.51494252873563218</v>
      </c>
    </row>
    <row r="59" spans="1:3" x14ac:dyDescent="0.25">
      <c r="A59" s="1">
        <f>'step2 %Chg'!A59</f>
        <v>39873</v>
      </c>
      <c r="B59">
        <f>'step2 %Chg'!B59</f>
        <v>-0.27305088347389722</v>
      </c>
      <c r="C59">
        <f>'step2 %Chg'!C59</f>
        <v>-0.38878842647175199</v>
      </c>
    </row>
    <row r="60" spans="1:3" x14ac:dyDescent="0.25">
      <c r="A60" s="1">
        <f>'step2 %Chg'!A60</f>
        <v>39904</v>
      </c>
      <c r="B60">
        <f>'step2 %Chg'!B60</f>
        <v>-0.27344363537545524</v>
      </c>
      <c r="C60">
        <f>'step2 %Chg'!C60</f>
        <v>-0.20727673688924436</v>
      </c>
    </row>
    <row r="61" spans="1:3" x14ac:dyDescent="0.25">
      <c r="A61" s="1">
        <f>'step2 %Chg'!A61</f>
        <v>39934</v>
      </c>
      <c r="B61">
        <f>'step2 %Chg'!B61</f>
        <v>-0.23559840990030745</v>
      </c>
      <c r="C61">
        <f>'step2 %Chg'!C61</f>
        <v>7.6271186440677971E-2</v>
      </c>
    </row>
    <row r="62" spans="1:3" x14ac:dyDescent="0.25">
      <c r="A62" s="1">
        <f>'step2 %Chg'!A62</f>
        <v>39965</v>
      </c>
      <c r="B62">
        <f>'step2 %Chg'!B62</f>
        <v>-0.22125579623180641</v>
      </c>
      <c r="C62">
        <f>'step2 %Chg'!C62</f>
        <v>8.1602374208190553E-2</v>
      </c>
    </row>
    <row r="63" spans="1:3" x14ac:dyDescent="0.25">
      <c r="A63" s="1">
        <f>'step2 %Chg'!A63</f>
        <v>39995</v>
      </c>
      <c r="B63">
        <f>'step2 %Chg'!B63</f>
        <v>-0.14160343805115991</v>
      </c>
      <c r="C63">
        <f>'step2 %Chg'!C63</f>
        <v>8.7499999660156313E-2</v>
      </c>
    </row>
    <row r="64" spans="1:3" x14ac:dyDescent="0.25">
      <c r="A64" s="1">
        <f>'step2 %Chg'!A64</f>
        <v>40026</v>
      </c>
      <c r="B64">
        <f>'step2 %Chg'!B64</f>
        <v>-0.18563951478182528</v>
      </c>
      <c r="C64">
        <f>'step2 %Chg'!C64</f>
        <v>9.405940594059406E-2</v>
      </c>
    </row>
    <row r="65" spans="1:3" x14ac:dyDescent="0.25">
      <c r="A65" s="1">
        <f>'step2 %Chg'!A65</f>
        <v>40057</v>
      </c>
      <c r="B65">
        <f>'step2 %Chg'!B65</f>
        <v>-6.4299337099340839E-2</v>
      </c>
      <c r="C65">
        <f>'step2 %Chg'!C65</f>
        <v>0.10139860143711181</v>
      </c>
    </row>
    <row r="66" spans="1:3" x14ac:dyDescent="0.25">
      <c r="A66" s="1">
        <f>'step2 %Chg'!A66</f>
        <v>40087</v>
      </c>
      <c r="B66">
        <f>'step2 %Chg'!B66</f>
        <v>-0.23460158713541074</v>
      </c>
      <c r="C66">
        <f>'step2 %Chg'!C66</f>
        <v>0.1096654274680422</v>
      </c>
    </row>
    <row r="67" spans="1:3" x14ac:dyDescent="0.25">
      <c r="A67" s="1">
        <f>'step2 %Chg'!A67</f>
        <v>40118</v>
      </c>
      <c r="B67">
        <f>'step2 %Chg'!B67</f>
        <v>-0.25896094006071302</v>
      </c>
      <c r="C67">
        <f>'step2 %Chg'!C67</f>
        <v>0.11904761904761904</v>
      </c>
    </row>
    <row r="68" spans="1:3" x14ac:dyDescent="0.25">
      <c r="A68" s="1">
        <f>'step2 %Chg'!A68</f>
        <v>40148</v>
      </c>
      <c r="B68">
        <f>'step2 %Chg'!B68</f>
        <v>-0.25920024152203636</v>
      </c>
      <c r="C68">
        <f>'step2 %Chg'!C68</f>
        <v>3.8391224861484781E-2</v>
      </c>
    </row>
    <row r="69" spans="1:3" x14ac:dyDescent="0.25">
      <c r="A69" s="1">
        <f>'step2 %Chg'!A69</f>
        <v>40179</v>
      </c>
      <c r="B69">
        <f>'step2 %Chg'!B69</f>
        <v>-0.13201788818632079</v>
      </c>
      <c r="C69">
        <f>'step2 %Chg'!C69</f>
        <v>-3.0508474577305371E-2</v>
      </c>
    </row>
    <row r="70" spans="1:3" x14ac:dyDescent="0.25">
      <c r="A70" s="1">
        <f>'step2 %Chg'!A70</f>
        <v>40210</v>
      </c>
      <c r="B70">
        <f>'step2 %Chg'!B70</f>
        <v>-0.1159505782658987</v>
      </c>
      <c r="C70">
        <f>'step2 %Chg'!C70</f>
        <v>-9.004739336492891E-2</v>
      </c>
    </row>
    <row r="71" spans="1:3" x14ac:dyDescent="0.25">
      <c r="A71" s="1">
        <f>'step2 %Chg'!A71</f>
        <v>40238</v>
      </c>
      <c r="B71">
        <f>'step2 %Chg'!B71</f>
        <v>-5.5709551785527618E-2</v>
      </c>
      <c r="C71">
        <f>'step2 %Chg'!C71</f>
        <v>-0.14201183454378344</v>
      </c>
    </row>
    <row r="72" spans="1:3" x14ac:dyDescent="0.25">
      <c r="A72" s="1">
        <f>'step2 %Chg'!A72</f>
        <v>40269</v>
      </c>
      <c r="B72">
        <f>'step2 %Chg'!B72</f>
        <v>-0.21249280571097623</v>
      </c>
      <c r="C72">
        <f>'step2 %Chg'!C72</f>
        <v>-0.18776077866140775</v>
      </c>
    </row>
    <row r="73" spans="1:3" x14ac:dyDescent="0.25">
      <c r="A73" s="1">
        <f>'step2 %Chg'!A73</f>
        <v>40299</v>
      </c>
      <c r="B73">
        <f>'step2 %Chg'!B73</f>
        <v>-0.35025053159754638</v>
      </c>
      <c r="C73">
        <f>'step2 %Chg'!C73</f>
        <v>-0.2283464566929134</v>
      </c>
    </row>
    <row r="74" spans="1:3" x14ac:dyDescent="0.25">
      <c r="A74" s="1">
        <f>'step2 %Chg'!A74</f>
        <v>40330</v>
      </c>
      <c r="B74">
        <f>'step2 %Chg'!B74</f>
        <v>-0.36050188575230097</v>
      </c>
      <c r="C74">
        <f>'step2 %Chg'!C74</f>
        <v>-0.16735253744855971</v>
      </c>
    </row>
    <row r="75" spans="1:3" x14ac:dyDescent="0.25">
      <c r="A75" s="1">
        <f>'step2 %Chg'!A75</f>
        <v>40360</v>
      </c>
      <c r="B75">
        <f>'step2 %Chg'!B75</f>
        <v>-0.37237046637712973</v>
      </c>
      <c r="C75">
        <f>'step2 %Chg'!C75</f>
        <v>-0.10057471293103443</v>
      </c>
    </row>
    <row r="76" spans="1:3" x14ac:dyDescent="0.25">
      <c r="A76" s="1">
        <f>'step2 %Chg'!A76</f>
        <v>40391</v>
      </c>
      <c r="B76">
        <f>'step2 %Chg'!B76</f>
        <v>-0.35649104916734226</v>
      </c>
      <c r="C76">
        <f>'step2 %Chg'!C76</f>
        <v>-2.7149321266968326E-2</v>
      </c>
    </row>
    <row r="77" spans="1:3" x14ac:dyDescent="0.25">
      <c r="A77" s="1">
        <f>'step2 %Chg'!A77</f>
        <v>40422</v>
      </c>
      <c r="B77">
        <f>'step2 %Chg'!B77</f>
        <v>-0.33683958359680327</v>
      </c>
      <c r="C77">
        <f>'step2 %Chg'!C77</f>
        <v>5.3968254285714223E-2</v>
      </c>
    </row>
    <row r="78" spans="1:3" x14ac:dyDescent="0.25">
      <c r="A78" s="1">
        <f>'step2 %Chg'!A78</f>
        <v>40452</v>
      </c>
      <c r="B78">
        <f>'step2 %Chg'!B78</f>
        <v>-0.11013015882127031</v>
      </c>
      <c r="C78">
        <f>'step2 %Chg'!C78</f>
        <v>0.14405360100502521</v>
      </c>
    </row>
    <row r="79" spans="1:3" x14ac:dyDescent="0.25">
      <c r="A79" s="1">
        <f>'step2 %Chg'!A79</f>
        <v>40483</v>
      </c>
      <c r="B79">
        <f>'step2 %Chg'!B79</f>
        <v>-0.10196677036268086</v>
      </c>
      <c r="C79">
        <f>'step2 %Chg'!C79</f>
        <v>0.24468085106382978</v>
      </c>
    </row>
    <row r="80" spans="1:3" x14ac:dyDescent="0.25">
      <c r="A80" s="1">
        <f>'step2 %Chg'!A80</f>
        <v>40513</v>
      </c>
      <c r="B80">
        <f>'step2 %Chg'!B80</f>
        <v>-0.15576463570226132</v>
      </c>
      <c r="C80">
        <f>'step2 %Chg'!C80</f>
        <v>0.22359154890057786</v>
      </c>
    </row>
    <row r="81" spans="1:3" x14ac:dyDescent="0.25">
      <c r="A81" s="1">
        <f>'step2 %Chg'!A81</f>
        <v>40544</v>
      </c>
      <c r="B81">
        <f>'step2 %Chg'!B81</f>
        <v>-0.14793787924586255</v>
      </c>
      <c r="C81">
        <f>'step2 %Chg'!C81</f>
        <v>0.2027972031889089</v>
      </c>
    </row>
    <row r="82" spans="1:3" x14ac:dyDescent="0.25">
      <c r="A82" s="1">
        <f>'step2 %Chg'!A82</f>
        <v>40575</v>
      </c>
      <c r="B82">
        <f>'step2 %Chg'!B82</f>
        <v>-0.17002443768318459</v>
      </c>
      <c r="C82">
        <f>'step2 %Chg'!C82</f>
        <v>0.16749999999999998</v>
      </c>
    </row>
    <row r="83" spans="1:3" x14ac:dyDescent="0.25">
      <c r="A83" s="1">
        <f>'step2 %Chg'!A83</f>
        <v>40603</v>
      </c>
      <c r="B83">
        <f>'step2 %Chg'!B83</f>
        <v>-0.22480343178103435</v>
      </c>
      <c r="C83">
        <f>'step2 %Chg'!C83</f>
        <v>0.10731034478940318</v>
      </c>
    </row>
    <row r="84" spans="1:3" x14ac:dyDescent="0.25">
      <c r="A84" s="1">
        <f>'step2 %Chg'!A84</f>
        <v>40634</v>
      </c>
      <c r="B84">
        <f>'step2 %Chg'!B84</f>
        <v>-6.4195792936312973E-2</v>
      </c>
      <c r="C84">
        <f>'step2 %Chg'!C84</f>
        <v>0.12273972606584724</v>
      </c>
    </row>
    <row r="85" spans="1:3" x14ac:dyDescent="0.25">
      <c r="A85" s="1">
        <f>'step2 %Chg'!A85</f>
        <v>40664</v>
      </c>
      <c r="B85">
        <f>'step2 %Chg'!B85</f>
        <v>6.0691055571998595E-2</v>
      </c>
      <c r="C85">
        <f>'step2 %Chg'!C85</f>
        <v>0.1280612244897959</v>
      </c>
    </row>
    <row r="86" spans="1:3" x14ac:dyDescent="0.25">
      <c r="A86" s="1">
        <f>'step2 %Chg'!A86</f>
        <v>40695</v>
      </c>
      <c r="B86">
        <f>'step2 %Chg'!B86</f>
        <v>8.3169664223906772E-2</v>
      </c>
      <c r="C86">
        <f>'step2 %Chg'!C86</f>
        <v>8.6820427977983491E-2</v>
      </c>
    </row>
    <row r="87" spans="1:3" x14ac:dyDescent="0.25">
      <c r="A87" s="1">
        <f>'step2 %Chg'!A87</f>
        <v>40725</v>
      </c>
      <c r="B87">
        <f>'step2 %Chg'!B87</f>
        <v>-3.0094942535785499E-2</v>
      </c>
      <c r="C87">
        <f>'step2 %Chg'!C87</f>
        <v>3.2747604163817057E-2</v>
      </c>
    </row>
    <row r="88" spans="1:3" x14ac:dyDescent="0.25">
      <c r="A88" s="1">
        <f>'step2 %Chg'!A88</f>
        <v>40756</v>
      </c>
      <c r="B88">
        <f>'step2 %Chg'!B88</f>
        <v>-6.2178925743277942E-2</v>
      </c>
      <c r="C88">
        <f>'step2 %Chg'!C88</f>
        <v>3.4325581395348817E-2</v>
      </c>
    </row>
    <row r="89" spans="1:3" x14ac:dyDescent="0.25">
      <c r="A89" s="1">
        <f>'step2 %Chg'!A89</f>
        <v>40787</v>
      </c>
      <c r="B89">
        <f>'step2 %Chg'!B89</f>
        <v>-5.6523311654861082E-2</v>
      </c>
      <c r="C89">
        <f>'step2 %Chg'!C89</f>
        <v>-3.222891595414791E-2</v>
      </c>
    </row>
    <row r="90" spans="1:3" x14ac:dyDescent="0.25">
      <c r="A90" s="1">
        <f>'step2 %Chg'!A90</f>
        <v>40817</v>
      </c>
      <c r="B90">
        <f>'step2 %Chg'!B90</f>
        <v>-4.4238784155370754E-2</v>
      </c>
      <c r="C90">
        <f>'step2 %Chg'!C90</f>
        <v>-6.6354318906692383E-2</v>
      </c>
    </row>
    <row r="91" spans="1:3" x14ac:dyDescent="0.25">
      <c r="A91" s="1">
        <f>'step2 %Chg'!A91</f>
        <v>40848</v>
      </c>
      <c r="B91">
        <f>'step2 %Chg'!B91</f>
        <v>-8.438277947439618E-2</v>
      </c>
      <c r="C91">
        <f>'step2 %Chg'!C91</f>
        <v>-0.10324786324786324</v>
      </c>
    </row>
    <row r="92" spans="1:3" x14ac:dyDescent="0.25">
      <c r="A92" s="1">
        <f>'step2 %Chg'!A92</f>
        <v>40878</v>
      </c>
      <c r="B92">
        <f>'step2 %Chg'!B92</f>
        <v>-8.302853384027295E-3</v>
      </c>
      <c r="C92">
        <f>'step2 %Chg'!C92</f>
        <v>-0.11614388463773934</v>
      </c>
    </row>
    <row r="93" spans="1:3" x14ac:dyDescent="0.25">
      <c r="A93" s="1">
        <f>'step2 %Chg'!A93</f>
        <v>40909</v>
      </c>
      <c r="B93">
        <f>'step2 %Chg'!B93</f>
        <v>-4.858566759948757E-2</v>
      </c>
      <c r="C93">
        <f>'step2 %Chg'!C93</f>
        <v>-0.13627907001852341</v>
      </c>
    </row>
    <row r="94" spans="1:3" x14ac:dyDescent="0.25">
      <c r="A94" s="1">
        <f>'step2 %Chg'!A94</f>
        <v>40940</v>
      </c>
      <c r="B94">
        <f>'step2 %Chg'!B94</f>
        <v>-9.4173446506162477E-3</v>
      </c>
      <c r="C94">
        <f>'step2 %Chg'!C94</f>
        <v>-0.10778015703069235</v>
      </c>
    </row>
    <row r="95" spans="1:3" x14ac:dyDescent="0.25">
      <c r="A95" s="1">
        <f>'step2 %Chg'!A95</f>
        <v>40969</v>
      </c>
      <c r="B95">
        <f>'step2 %Chg'!B95</f>
        <v>-2.0790499054557571E-2</v>
      </c>
      <c r="C95">
        <f>'step2 %Chg'!C95</f>
        <v>-4.9794469357249738E-2</v>
      </c>
    </row>
    <row r="96" spans="1:3" x14ac:dyDescent="0.25">
      <c r="A96" s="1">
        <f>'step2 %Chg'!A96</f>
        <v>41000</v>
      </c>
      <c r="B96">
        <f>'step2 %Chg'!B96</f>
        <v>-6.6549425224715622E-3</v>
      </c>
      <c r="C96">
        <f>'step2 %Chg'!C96</f>
        <v>-7.0735724743777484E-2</v>
      </c>
    </row>
    <row r="97" spans="1:3" x14ac:dyDescent="0.25">
      <c r="A97" s="1">
        <f>'step2 %Chg'!A97</f>
        <v>41030</v>
      </c>
      <c r="B97">
        <f>'step2 %Chg'!B97</f>
        <v>2.4527295925030661E-2</v>
      </c>
      <c r="C97">
        <f>'step2 %Chg'!C97</f>
        <v>-6.8204432383536795E-2</v>
      </c>
    </row>
    <row r="98" spans="1:3" x14ac:dyDescent="0.25">
      <c r="A98" s="1">
        <f>'step2 %Chg'!A98</f>
        <v>41061</v>
      </c>
      <c r="B98">
        <f>'step2 %Chg'!B98</f>
        <v>2.5324561905304407E-2</v>
      </c>
      <c r="C98">
        <f>'step2 %Chg'!C98</f>
        <v>-9.3497044110959535E-2</v>
      </c>
    </row>
    <row r="99" spans="1:3" x14ac:dyDescent="0.25">
      <c r="A99" s="1">
        <f>'step2 %Chg'!A99</f>
        <v>41091</v>
      </c>
      <c r="B99">
        <f>'step2 %Chg'!B99</f>
        <v>6.7483405700880086E-2</v>
      </c>
      <c r="C99">
        <f>'step2 %Chg'!C99</f>
        <v>-3.5452436194895527E-2</v>
      </c>
    </row>
    <row r="100" spans="1:3" x14ac:dyDescent="0.25">
      <c r="A100" s="1">
        <f>'step2 %Chg'!A100</f>
        <v>41122</v>
      </c>
      <c r="B100">
        <f>'step2 %Chg'!B100</f>
        <v>0.11447589495368908</v>
      </c>
      <c r="C100">
        <f>'step2 %Chg'!C100</f>
        <v>-6.5383577659861469E-2</v>
      </c>
    </row>
    <row r="101" spans="1:3" x14ac:dyDescent="0.25">
      <c r="A101" s="1">
        <f>'step2 %Chg'!A101</f>
        <v>41153</v>
      </c>
      <c r="B101">
        <f>'step2 %Chg'!B101</f>
        <v>0.12699708841867646</v>
      </c>
      <c r="C101">
        <f>'step2 %Chg'!C101</f>
        <v>-5.3221288515406057E-2</v>
      </c>
    </row>
    <row r="102" spans="1:3" x14ac:dyDescent="0.25">
      <c r="A102" s="1">
        <f>'step2 %Chg'!A102</f>
        <v>41183</v>
      </c>
      <c r="B102">
        <f>'step2 %Chg'!B102</f>
        <v>5.9224331562148208E-2</v>
      </c>
      <c r="C102">
        <f>'step2 %Chg'!C102</f>
        <v>-3.1050056454647937E-3</v>
      </c>
    </row>
    <row r="103" spans="1:3" x14ac:dyDescent="0.25">
      <c r="A103" s="1">
        <f>'step2 %Chg'!A103</f>
        <v>41214</v>
      </c>
      <c r="B103">
        <f>'step2 %Chg'!B103</f>
        <v>3.7736763811509699E-2</v>
      </c>
      <c r="C103">
        <f>'step2 %Chg'!C103</f>
        <v>3.0880670987418937E-2</v>
      </c>
    </row>
    <row r="104" spans="1:3" x14ac:dyDescent="0.25">
      <c r="A104" s="1">
        <f>'step2 %Chg'!A104</f>
        <v>41244</v>
      </c>
      <c r="B104">
        <f>'step2 %Chg'!B104</f>
        <v>0.11767781441735921</v>
      </c>
      <c r="C104">
        <f>'step2 %Chg'!C104</f>
        <v>5.6944715764797801E-2</v>
      </c>
    </row>
    <row r="105" spans="1:3" x14ac:dyDescent="0.25">
      <c r="A105" s="1">
        <f>'step2 %Chg'!A105</f>
        <v>41275</v>
      </c>
      <c r="B105">
        <f>'step2 %Chg'!B105</f>
        <v>0.1523074420049437</v>
      </c>
      <c r="C105">
        <f>'step2 %Chg'!C105</f>
        <v>0.10187802907915983</v>
      </c>
    </row>
    <row r="106" spans="1:3" x14ac:dyDescent="0.25">
      <c r="A106" s="1">
        <f>'step2 %Chg'!A106</f>
        <v>41306</v>
      </c>
      <c r="B106">
        <f>'step2 %Chg'!B106</f>
        <v>9.8254753094330891E-2</v>
      </c>
      <c r="C106">
        <f>'step2 %Chg'!C106</f>
        <v>8.0100000000000046E-2</v>
      </c>
    </row>
    <row r="107" spans="1:3" x14ac:dyDescent="0.25">
      <c r="A107" s="1">
        <f>'step2 %Chg'!A107</f>
        <v>41334</v>
      </c>
      <c r="B107">
        <f>'step2 %Chg'!B107</f>
        <v>0.13943810279183536</v>
      </c>
      <c r="C107">
        <f>'step2 %Chg'!C107</f>
        <v>6.7348343329072941E-2</v>
      </c>
    </row>
    <row r="108" spans="1:3" x14ac:dyDescent="0.25">
      <c r="A108" s="1">
        <f>'step2 %Chg'!A108</f>
        <v>41365</v>
      </c>
      <c r="B108">
        <f>'step2 %Chg'!B108</f>
        <v>0.11370642315720274</v>
      </c>
      <c r="C108">
        <f>'step2 %Chg'!C108</f>
        <v>7.2082717872969049E-2</v>
      </c>
    </row>
    <row r="109" spans="1:3" x14ac:dyDescent="0.25">
      <c r="A109" s="1">
        <f>'step2 %Chg'!A109</f>
        <v>41395</v>
      </c>
      <c r="B109">
        <f>'step2 %Chg'!B109</f>
        <v>0.1267662406314683</v>
      </c>
      <c r="C109">
        <f>'step2 %Chg'!C109</f>
        <v>6.6013008445781937E-2</v>
      </c>
    </row>
    <row r="110" spans="1:3" x14ac:dyDescent="0.25">
      <c r="A110" s="1">
        <f>'step2 %Chg'!A110</f>
        <v>41426</v>
      </c>
      <c r="B110">
        <f>'step2 %Chg'!B110</f>
        <v>5.9663807717074684E-2</v>
      </c>
      <c r="C110">
        <f>'step2 %Chg'!C110</f>
        <v>0.12671816996087082</v>
      </c>
    </row>
    <row r="111" spans="1:3" x14ac:dyDescent="0.25">
      <c r="A111" s="1">
        <f>'step2 %Chg'!A111</f>
        <v>41456</v>
      </c>
      <c r="B111">
        <f>'step2 %Chg'!B111</f>
        <v>5.7895445417944141E-2</v>
      </c>
      <c r="C111">
        <f>'step2 %Chg'!C111</f>
        <v>7.2837486769941243E-2</v>
      </c>
    </row>
    <row r="112" spans="1:3" x14ac:dyDescent="0.25">
      <c r="A112" s="1">
        <f>'step2 %Chg'!A112</f>
        <v>41487</v>
      </c>
      <c r="B112">
        <f>'step2 %Chg'!B112</f>
        <v>6.4271417576107744E-3</v>
      </c>
      <c r="C112">
        <f>'step2 %Chg'!C112</f>
        <v>6.5242494226327954E-2</v>
      </c>
    </row>
    <row r="113" spans="1:3" x14ac:dyDescent="0.25">
      <c r="A113" s="1">
        <f>'step2 %Chg'!A113</f>
        <v>41518</v>
      </c>
      <c r="B113">
        <f>'step2 %Chg'!B113</f>
        <v>-4.5204543304506538E-2</v>
      </c>
      <c r="C113">
        <f>'step2 %Chg'!C113</f>
        <v>9.9605522682445699E-2</v>
      </c>
    </row>
    <row r="114" spans="1:3" x14ac:dyDescent="0.25">
      <c r="A114" s="1">
        <f>'step2 %Chg'!A114</f>
        <v>41548</v>
      </c>
      <c r="B114">
        <f>'step2 %Chg'!B114</f>
        <v>-4.8167149905232305E-2</v>
      </c>
      <c r="C114">
        <f>'step2 %Chg'!C114</f>
        <v>4.0113260972156679E-2</v>
      </c>
    </row>
    <row r="115" spans="1:3" x14ac:dyDescent="0.25">
      <c r="A115" s="1">
        <f>'step2 %Chg'!A115</f>
        <v>41579</v>
      </c>
      <c r="B115">
        <f>'step2 %Chg'!B115</f>
        <v>-7.8943820237856746E-2</v>
      </c>
      <c r="C115">
        <f>'step2 %Chg'!C115</f>
        <v>2.5332840236686475E-2</v>
      </c>
    </row>
    <row r="116" spans="1:3" x14ac:dyDescent="0.25">
      <c r="A116" s="1">
        <f>'step2 %Chg'!A116</f>
        <v>41609</v>
      </c>
      <c r="B116">
        <f>'step2 %Chg'!B116</f>
        <v>-0.10437823628309874</v>
      </c>
      <c r="C116">
        <f>'step2 %Chg'!C116</f>
        <v>4.4265779502818653E-2</v>
      </c>
    </row>
    <row r="117" spans="1:3" x14ac:dyDescent="0.25">
      <c r="A117" s="1">
        <f>'step2 %Chg'!A117</f>
        <v>41640</v>
      </c>
      <c r="B117">
        <f>'step2 %Chg'!B117</f>
        <v>-0.16162467848093054</v>
      </c>
      <c r="C117">
        <f>'step2 %Chg'!C117</f>
        <v>4.0043984238981076E-2</v>
      </c>
    </row>
    <row r="118" spans="1:3" x14ac:dyDescent="0.25">
      <c r="A118" s="1">
        <f>'step2 %Chg'!A118</f>
        <v>41671</v>
      </c>
      <c r="B118">
        <f>'step2 %Chg'!B118</f>
        <v>-0.16558693686333753</v>
      </c>
      <c r="C118">
        <f>'step2 %Chg'!C118</f>
        <v>5.5457827978890796E-2</v>
      </c>
    </row>
    <row r="119" spans="1:3" x14ac:dyDescent="0.25">
      <c r="A119" s="1">
        <f>'step2 %Chg'!A119</f>
        <v>41699</v>
      </c>
      <c r="B119">
        <f>'step2 %Chg'!B119</f>
        <v>-0.17334934707300942</v>
      </c>
      <c r="C119">
        <f>'step2 %Chg'!C119</f>
        <v>4.8268238761974898E-2</v>
      </c>
    </row>
    <row r="120" spans="1:3" x14ac:dyDescent="0.25">
      <c r="A120" s="1">
        <f>'step2 %Chg'!A120</f>
        <v>41730</v>
      </c>
      <c r="B120">
        <f>'step2 %Chg'!B120</f>
        <v>-0.14646841929718402</v>
      </c>
      <c r="C120">
        <f>'step2 %Chg'!C120</f>
        <v>5.7224212363369061E-2</v>
      </c>
    </row>
    <row r="121" spans="1:3" x14ac:dyDescent="0.25">
      <c r="A121" s="1">
        <f>'step2 %Chg'!A121</f>
        <v>41760</v>
      </c>
      <c r="B121">
        <f>'step2 %Chg'!B121</f>
        <v>-0.15576871995966057</v>
      </c>
      <c r="C121">
        <f>'step2 %Chg'!C121</f>
        <v>5.4548766050450732E-2</v>
      </c>
    </row>
    <row r="122" spans="1:3" x14ac:dyDescent="0.25">
      <c r="A122" s="1">
        <f>'step2 %Chg'!A122</f>
        <v>41791</v>
      </c>
      <c r="B122">
        <f>'step2 %Chg'!B122</f>
        <v>-0.13626343367272115</v>
      </c>
      <c r="C122">
        <f>'step2 %Chg'!C122</f>
        <v>3.6509349955476479E-2</v>
      </c>
    </row>
    <row r="123" spans="1:3" x14ac:dyDescent="0.25">
      <c r="A123" s="1">
        <f>'step2 %Chg'!A123</f>
        <v>41821</v>
      </c>
      <c r="B123">
        <f>'step2 %Chg'!B123</f>
        <v>-0.11696312137049575</v>
      </c>
      <c r="C123">
        <f>'step2 %Chg'!C123</f>
        <v>4.125560538116587E-2</v>
      </c>
    </row>
    <row r="124" spans="1:3" x14ac:dyDescent="0.25">
      <c r="A124" s="1">
        <f>'step2 %Chg'!A124</f>
        <v>41852</v>
      </c>
      <c r="B124">
        <f>'step2 %Chg'!B124</f>
        <v>-0.12373189669899676</v>
      </c>
      <c r="C124">
        <f>'step2 %Chg'!C124</f>
        <v>4.8780487804877967E-2</v>
      </c>
    </row>
    <row r="125" spans="1:3" x14ac:dyDescent="0.25">
      <c r="A125" s="1">
        <f>'step2 %Chg'!A125</f>
        <v>41883</v>
      </c>
      <c r="B125">
        <f>'step2 %Chg'!B125</f>
        <v>-0.10287394166851106</v>
      </c>
      <c r="C125">
        <f>'step2 %Chg'!C125</f>
        <v>1.5246636771300474E-2</v>
      </c>
    </row>
    <row r="126" spans="1:3" x14ac:dyDescent="0.25">
      <c r="A126" s="1">
        <f>'step2 %Chg'!A126</f>
        <v>41913</v>
      </c>
      <c r="B126">
        <f>'step2 %Chg'!B126</f>
        <v>-8.3481497592362772E-2</v>
      </c>
      <c r="C126">
        <f>'step2 %Chg'!C126</f>
        <v>3.9927404718693209E-2</v>
      </c>
    </row>
    <row r="127" spans="1:3" x14ac:dyDescent="0.25">
      <c r="A127" s="1">
        <f>'step2 %Chg'!A127</f>
        <v>41944</v>
      </c>
      <c r="B127">
        <f>'step2 %Chg'!B127</f>
        <v>-5.8243967767733995E-2</v>
      </c>
      <c r="C127">
        <f>'step2 %Chg'!C127</f>
        <v>4.3282236248872834E-2</v>
      </c>
    </row>
    <row r="128" spans="1:3" x14ac:dyDescent="0.25">
      <c r="A128" s="1">
        <f>'step2 %Chg'!A128</f>
        <v>41974</v>
      </c>
      <c r="B128">
        <f>'step2 %Chg'!B128</f>
        <v>2.896258954304053E-3</v>
      </c>
      <c r="C128">
        <f>'step2 %Chg'!C128</f>
        <v>4.2477876106194662E-2</v>
      </c>
    </row>
    <row r="129" spans="1:3" x14ac:dyDescent="0.25">
      <c r="A129" s="1">
        <f>'step2 %Chg'!A129</f>
        <v>42005</v>
      </c>
      <c r="B129">
        <f>'step2 %Chg'!B129</f>
        <v>2.8440325907031862E-2</v>
      </c>
      <c r="C129">
        <f>'step2 %Chg'!C129</f>
        <v>4.4933920704845767E-2</v>
      </c>
    </row>
    <row r="130" spans="1:3" x14ac:dyDescent="0.25">
      <c r="A130" s="1">
        <f>'step2 %Chg'!A130</f>
        <v>42036</v>
      </c>
      <c r="B130">
        <f>'step2 %Chg'!B130</f>
        <v>3.0813301229825871E-2</v>
      </c>
      <c r="C130">
        <f>'step2 %Chg'!C130</f>
        <v>6.455263157894732E-2</v>
      </c>
    </row>
    <row r="131" spans="1:3" x14ac:dyDescent="0.25">
      <c r="A131" s="1">
        <f>'step2 %Chg'!A131</f>
        <v>42064</v>
      </c>
      <c r="B131">
        <f>'step2 %Chg'!B131</f>
        <v>0.13336555771694908</v>
      </c>
      <c r="C131">
        <f>'step2 %Chg'!C131</f>
        <v>7.2056239015817244E-2</v>
      </c>
    </row>
    <row r="132" spans="1:3" x14ac:dyDescent="0.25">
      <c r="A132" s="1">
        <f>'step2 %Chg'!A132</f>
        <v>42095</v>
      </c>
      <c r="B132">
        <f>'step2 %Chg'!B132</f>
        <v>0.11920648943859918</v>
      </c>
      <c r="C132">
        <f>'step2 %Chg'!C132</f>
        <v>6.5160729800173761E-2</v>
      </c>
    </row>
    <row r="133" spans="1:3" x14ac:dyDescent="0.25">
      <c r="A133" s="1">
        <f>'step2 %Chg'!A133</f>
        <v>42125</v>
      </c>
      <c r="B133">
        <f>'step2 %Chg'!B133</f>
        <v>0.14936463854570203</v>
      </c>
      <c r="C133">
        <f>'step2 %Chg'!C133</f>
        <v>5.3540587219343724E-2</v>
      </c>
    </row>
    <row r="134" spans="1:3" x14ac:dyDescent="0.25">
      <c r="A134" s="1">
        <f>'step2 %Chg'!A134</f>
        <v>42156</v>
      </c>
      <c r="B134">
        <f>'step2 %Chg'!B134</f>
        <v>0.17455426700195723</v>
      </c>
      <c r="C134">
        <f>'step2 %Chg'!C134</f>
        <v>7.8178694158075546E-2</v>
      </c>
    </row>
    <row r="135" spans="1:3" x14ac:dyDescent="0.25">
      <c r="A135" s="1">
        <f>'step2 %Chg'!A135</f>
        <v>42186</v>
      </c>
      <c r="B135">
        <f>'step2 %Chg'!B135</f>
        <v>0.20096698023223064</v>
      </c>
      <c r="C135">
        <f>'step2 %Chg'!C135</f>
        <v>8.6132644272179162E-2</v>
      </c>
    </row>
    <row r="136" spans="1:3" x14ac:dyDescent="0.25">
      <c r="A136" s="1">
        <f>'step2 %Chg'!A136</f>
        <v>42217</v>
      </c>
      <c r="B136">
        <f>'step2 %Chg'!B136</f>
        <v>0.22169686739943956</v>
      </c>
      <c r="C136">
        <f>'step2 %Chg'!C136</f>
        <v>8.9577950043066373E-2</v>
      </c>
    </row>
    <row r="137" spans="1:3" x14ac:dyDescent="0.25">
      <c r="A137" s="1">
        <f>'step2 %Chg'!A137</f>
        <v>42248</v>
      </c>
      <c r="B137">
        <f>'step2 %Chg'!B137</f>
        <v>0.22162100140722807</v>
      </c>
      <c r="C137">
        <f>'step2 %Chg'!C137</f>
        <v>0.13427561837455831</v>
      </c>
    </row>
    <row r="138" spans="1:3" x14ac:dyDescent="0.25">
      <c r="A138" s="1">
        <f>'step2 %Chg'!A138</f>
        <v>42278</v>
      </c>
      <c r="B138">
        <f>'step2 %Chg'!B138</f>
        <v>0.22516070678175656</v>
      </c>
      <c r="C138">
        <f>'step2 %Chg'!C138</f>
        <v>0.11169284467713797</v>
      </c>
    </row>
    <row r="139" spans="1:3" x14ac:dyDescent="0.25">
      <c r="A139" s="1">
        <f>'step2 %Chg'!A139</f>
        <v>42309</v>
      </c>
      <c r="B139">
        <f>'step2 %Chg'!B139</f>
        <v>0.35869054000592315</v>
      </c>
      <c r="C139">
        <f>'step2 %Chg'!C139</f>
        <v>7.4727744165946422E-2</v>
      </c>
    </row>
    <row r="140" spans="1:3" x14ac:dyDescent="0.25">
      <c r="A140" s="1">
        <f>'step2 %Chg'!A140</f>
        <v>42339</v>
      </c>
      <c r="B140">
        <f>'step2 %Chg'!B140</f>
        <v>0.20691523954042915</v>
      </c>
      <c r="C140">
        <f>'step2 %Chg'!C140</f>
        <v>5.0933786078098474E-2</v>
      </c>
    </row>
    <row r="141" spans="1:3" x14ac:dyDescent="0.25">
      <c r="A141" s="1">
        <f>'step2 %Chg'!A141</f>
        <v>42370</v>
      </c>
      <c r="B141">
        <f>'step2 %Chg'!B141</f>
        <v>0.28282679256417825</v>
      </c>
      <c r="C141">
        <f>'step2 %Chg'!C141</f>
        <v>4.384485666104556E-2</v>
      </c>
    </row>
    <row r="142" spans="1:3" x14ac:dyDescent="0.25">
      <c r="A142" s="1">
        <f>'step2 %Chg'!A142</f>
        <v>42401</v>
      </c>
      <c r="B142">
        <f>'step2 %Chg'!B142</f>
        <v>0.27229254571026756</v>
      </c>
      <c r="C142">
        <f>'step2 %Chg'!C142</f>
        <v>1.7641872461045371E-2</v>
      </c>
    </row>
    <row r="143" spans="1:3" x14ac:dyDescent="0.25">
      <c r="A143" s="1">
        <f>'step2 %Chg'!A143</f>
        <v>42430</v>
      </c>
      <c r="B143">
        <f>'step2 %Chg'!B143</f>
        <v>0.16357337292749322</v>
      </c>
      <c r="C143">
        <f>'step2 %Chg'!C143</f>
        <v>3.2786885245902103E-3</v>
      </c>
    </row>
    <row r="144" spans="1:3" x14ac:dyDescent="0.25">
      <c r="A144" s="1">
        <f>'step2 %Chg'!A144</f>
        <v>42461</v>
      </c>
      <c r="B144">
        <f>'step2 %Chg'!B144</f>
        <v>0.13685878391760764</v>
      </c>
      <c r="C144">
        <f>'step2 %Chg'!C144</f>
        <v>-9.7879282218596136E-3</v>
      </c>
    </row>
    <row r="145" spans="1:3" x14ac:dyDescent="0.25">
      <c r="A145" s="1">
        <f>'step2 %Chg'!A145</f>
        <v>42491</v>
      </c>
      <c r="B145">
        <f>'step2 %Chg'!B145</f>
        <v>0.16027579533083322</v>
      </c>
      <c r="C145">
        <f>'step2 %Chg'!C145</f>
        <v>-1.8032786885245924E-2</v>
      </c>
    </row>
    <row r="146" spans="1:3" x14ac:dyDescent="0.25">
      <c r="A146" s="1">
        <f>'step2 %Chg'!A146</f>
        <v>42522</v>
      </c>
      <c r="B146">
        <f>'step2 %Chg'!B146</f>
        <v>-1</v>
      </c>
      <c r="C146">
        <f>'step2 %Chg'!C146</f>
        <v>-1</v>
      </c>
    </row>
    <row r="147" spans="1:3" x14ac:dyDescent="0.25">
      <c r="A147" s="1"/>
    </row>
    <row r="148" spans="1:3" x14ac:dyDescent="0.25">
      <c r="A148" s="1"/>
    </row>
    <row r="149" spans="1:3" x14ac:dyDescent="0.25">
      <c r="A149" s="1"/>
    </row>
    <row r="150" spans="1:3" x14ac:dyDescent="0.25">
      <c r="A150" s="1"/>
    </row>
    <row r="151" spans="1:3" x14ac:dyDescent="0.25">
      <c r="A151" s="1"/>
    </row>
    <row r="152" spans="1:3" x14ac:dyDescent="0.25">
      <c r="A152" s="1"/>
    </row>
    <row r="153" spans="1:3" x14ac:dyDescent="0.25">
      <c r="A153" s="1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G319"/>
  <sheetViews>
    <sheetView tabSelected="1" workbookViewId="0">
      <selection activeCell="H3" sqref="H3"/>
    </sheetView>
  </sheetViews>
  <sheetFormatPr defaultRowHeight="15" x14ac:dyDescent="0.25"/>
  <cols>
    <col min="4" max="4" width="15" bestFit="1" customWidth="1"/>
  </cols>
  <sheetData>
    <row r="1" spans="1:6" x14ac:dyDescent="0.25">
      <c r="B1" t="s">
        <v>13</v>
      </c>
      <c r="C1" t="s">
        <v>1</v>
      </c>
      <c r="D1" t="s">
        <v>12</v>
      </c>
    </row>
    <row r="2" spans="1:6" x14ac:dyDescent="0.25">
      <c r="A2" s="1">
        <v>32874</v>
      </c>
      <c r="B2">
        <v>92.4</v>
      </c>
      <c r="C2" s="3">
        <f>(B2-B14)/B2</f>
        <v>5.4383116883116943E-2</v>
      </c>
      <c r="D2" s="3">
        <f>0.01171672+0.68563835*C2</f>
        <v>4.9003870527597443E-2</v>
      </c>
      <c r="F2" s="1"/>
    </row>
    <row r="3" spans="1:6" x14ac:dyDescent="0.25">
      <c r="A3" s="1">
        <v>32905</v>
      </c>
      <c r="B3">
        <v>100.175</v>
      </c>
      <c r="C3" s="3">
        <f t="shared" ref="C3:C66" si="0">(B3-B15)/B3</f>
        <v>1.372597953581233E-2</v>
      </c>
      <c r="D3" s="3">
        <f t="shared" ref="D3:D66" si="1">0.01171672+0.68563835*C3</f>
        <v>2.1127777961068128E-2</v>
      </c>
      <c r="F3" s="1"/>
    </row>
    <row r="4" spans="1:6" x14ac:dyDescent="0.25">
      <c r="A4" s="1">
        <v>32933</v>
      </c>
      <c r="B4">
        <v>92.28</v>
      </c>
      <c r="C4" s="3">
        <f t="shared" si="0"/>
        <v>-0.24187256176853048</v>
      </c>
      <c r="D4" s="3">
        <f t="shared" si="1"/>
        <v>-0.15412038416124829</v>
      </c>
      <c r="F4" s="1"/>
    </row>
    <row r="5" spans="1:6" x14ac:dyDescent="0.25">
      <c r="A5" s="1">
        <v>32964</v>
      </c>
      <c r="B5">
        <v>91.25</v>
      </c>
      <c r="C5" s="3">
        <f t="shared" si="0"/>
        <v>-0.22739726027397261</v>
      </c>
      <c r="D5" s="3">
        <f t="shared" si="1"/>
        <v>-0.14419556232876712</v>
      </c>
      <c r="F5" s="1"/>
    </row>
    <row r="6" spans="1:6" x14ac:dyDescent="0.25">
      <c r="A6" s="1">
        <v>32994</v>
      </c>
      <c r="B6">
        <v>85.5</v>
      </c>
      <c r="C6" s="3">
        <f t="shared" si="0"/>
        <v>-0.37216374269005859</v>
      </c>
      <c r="D6" s="3">
        <f t="shared" si="1"/>
        <v>-0.24345301446783629</v>
      </c>
      <c r="F6" s="1"/>
    </row>
    <row r="7" spans="1:6" x14ac:dyDescent="0.25">
      <c r="A7" s="1">
        <v>33025</v>
      </c>
      <c r="B7">
        <v>92</v>
      </c>
      <c r="C7" s="3">
        <f t="shared" si="0"/>
        <v>-0.23777173913043478</v>
      </c>
      <c r="D7" s="3">
        <f t="shared" si="1"/>
        <v>-0.15130870289402171</v>
      </c>
      <c r="F7" s="1"/>
    </row>
    <row r="8" spans="1:6" x14ac:dyDescent="0.25">
      <c r="A8" s="1">
        <v>33055</v>
      </c>
      <c r="B8">
        <v>88.65</v>
      </c>
      <c r="C8" s="3">
        <f t="shared" si="0"/>
        <v>-0.31838691483361525</v>
      </c>
      <c r="D8" s="3">
        <f t="shared" si="1"/>
        <v>-0.20658155894811048</v>
      </c>
      <c r="F8" s="1"/>
    </row>
    <row r="9" spans="1:6" x14ac:dyDescent="0.25">
      <c r="A9" s="1">
        <v>33086</v>
      </c>
      <c r="B9">
        <v>89.179999999999993</v>
      </c>
      <c r="C9" s="3">
        <f t="shared" si="0"/>
        <v>-0.1803094864319354</v>
      </c>
      <c r="D9" s="3">
        <f t="shared" si="1"/>
        <v>-0.11191037876653956</v>
      </c>
      <c r="F9" s="1"/>
    </row>
    <row r="10" spans="1:6" x14ac:dyDescent="0.25">
      <c r="A10" s="1">
        <v>33117</v>
      </c>
      <c r="B10">
        <v>80.45</v>
      </c>
      <c r="C10" s="3">
        <f t="shared" si="0"/>
        <v>-0.32877563704164064</v>
      </c>
      <c r="D10" s="3">
        <f t="shared" si="1"/>
        <v>-0.21370446530142934</v>
      </c>
      <c r="F10" s="1"/>
    </row>
    <row r="11" spans="1:6" x14ac:dyDescent="0.25">
      <c r="A11" s="1">
        <v>33147</v>
      </c>
      <c r="B11">
        <v>74.949999999999989</v>
      </c>
      <c r="C11" s="3">
        <f t="shared" si="0"/>
        <v>-0.49733155436957988</v>
      </c>
      <c r="D11" s="3">
        <f t="shared" si="1"/>
        <v>-0.32927286634089398</v>
      </c>
      <c r="F11" s="1"/>
    </row>
    <row r="12" spans="1:6" x14ac:dyDescent="0.25">
      <c r="A12" s="1">
        <v>33178</v>
      </c>
      <c r="B12">
        <v>81.84</v>
      </c>
      <c r="C12" s="3">
        <f t="shared" si="0"/>
        <v>-0.2646627565982404</v>
      </c>
      <c r="D12" s="3">
        <f t="shared" si="1"/>
        <v>-0.16974621574046916</v>
      </c>
      <c r="F12" s="1"/>
    </row>
    <row r="13" spans="1:6" x14ac:dyDescent="0.25">
      <c r="A13" s="1">
        <v>33208</v>
      </c>
      <c r="B13">
        <v>78.900000000000006</v>
      </c>
      <c r="C13" s="3">
        <f t="shared" si="0"/>
        <v>-0.27059569074778211</v>
      </c>
      <c r="D13" s="3">
        <f t="shared" si="1"/>
        <v>-0.1738140629214196</v>
      </c>
      <c r="F13" s="1"/>
    </row>
    <row r="14" spans="1:6" x14ac:dyDescent="0.25">
      <c r="A14" s="1">
        <v>33239</v>
      </c>
      <c r="B14">
        <v>87.375</v>
      </c>
      <c r="C14" s="3">
        <f t="shared" si="0"/>
        <v>-0.52034334763948464</v>
      </c>
      <c r="D14" s="3">
        <f t="shared" si="1"/>
        <v>-0.34505063430901262</v>
      </c>
      <c r="F14" s="1"/>
    </row>
    <row r="15" spans="1:6" x14ac:dyDescent="0.25">
      <c r="A15" s="1">
        <v>33270</v>
      </c>
      <c r="B15">
        <v>98.8</v>
      </c>
      <c r="C15" s="3">
        <f t="shared" si="0"/>
        <v>-0.30946356275303649</v>
      </c>
      <c r="D15" s="3">
        <f t="shared" si="1"/>
        <v>-0.20046336655111341</v>
      </c>
      <c r="F15" s="1"/>
    </row>
    <row r="16" spans="1:6" x14ac:dyDescent="0.25">
      <c r="A16" s="1">
        <v>33298</v>
      </c>
      <c r="B16">
        <v>114.6</v>
      </c>
      <c r="C16" s="3">
        <f t="shared" si="0"/>
        <v>-1.1561954624782E-2</v>
      </c>
      <c r="D16" s="3">
        <f t="shared" si="1"/>
        <v>3.7894005082896014E-3</v>
      </c>
      <c r="F16" s="1"/>
    </row>
    <row r="17" spans="1:6" x14ac:dyDescent="0.25">
      <c r="A17" s="1">
        <v>33329</v>
      </c>
      <c r="B17">
        <v>112</v>
      </c>
      <c r="C17" s="3">
        <f t="shared" si="0"/>
        <v>-5.3124999999999901E-2</v>
      </c>
      <c r="D17" s="3">
        <f t="shared" si="1"/>
        <v>-2.4707817343749931E-2</v>
      </c>
      <c r="F17" s="1"/>
    </row>
    <row r="18" spans="1:6" x14ac:dyDescent="0.25">
      <c r="A18" s="1">
        <v>33359</v>
      </c>
      <c r="B18">
        <v>117.32000000000001</v>
      </c>
      <c r="C18" s="3">
        <f t="shared" si="0"/>
        <v>-2.8980565973406357E-3</v>
      </c>
      <c r="D18" s="3">
        <f t="shared" si="1"/>
        <v>9.7297012563927528E-3</v>
      </c>
      <c r="F18" s="1"/>
    </row>
    <row r="19" spans="1:6" x14ac:dyDescent="0.25">
      <c r="A19" s="1">
        <v>33390</v>
      </c>
      <c r="B19">
        <v>113.875</v>
      </c>
      <c r="C19" s="3">
        <f t="shared" si="0"/>
        <v>-2.7881448957189751E-2</v>
      </c>
      <c r="D19" s="3">
        <f t="shared" si="1"/>
        <v>-7.3998706586167994E-3</v>
      </c>
      <c r="F19" s="1"/>
    </row>
    <row r="20" spans="1:6" x14ac:dyDescent="0.25">
      <c r="A20" s="1">
        <v>33420</v>
      </c>
      <c r="B20">
        <v>116.875</v>
      </c>
      <c r="C20" s="3">
        <f t="shared" si="0"/>
        <v>-0.1845133689839572</v>
      </c>
      <c r="D20" s="3">
        <f t="shared" si="1"/>
        <v>-0.11479272186310159</v>
      </c>
      <c r="F20" s="1"/>
    </row>
    <row r="21" spans="1:6" x14ac:dyDescent="0.25">
      <c r="A21" s="1">
        <v>33451</v>
      </c>
      <c r="B21">
        <v>105.25999999999999</v>
      </c>
      <c r="C21" s="3">
        <f t="shared" si="0"/>
        <v>-0.35616568497054923</v>
      </c>
      <c r="D21" s="3">
        <f t="shared" si="1"/>
        <v>-0.23248413256982714</v>
      </c>
      <c r="F21" s="1"/>
    </row>
    <row r="22" spans="1:6" x14ac:dyDescent="0.25">
      <c r="A22" s="1">
        <v>33482</v>
      </c>
      <c r="B22">
        <v>106.89999999999999</v>
      </c>
      <c r="C22" s="3">
        <f t="shared" si="0"/>
        <v>-0.37675397567820412</v>
      </c>
      <c r="D22" s="3">
        <f t="shared" si="1"/>
        <v>-0.24660025423994397</v>
      </c>
      <c r="F22" s="1"/>
    </row>
    <row r="23" spans="1:6" x14ac:dyDescent="0.25">
      <c r="A23" s="1">
        <v>33512</v>
      </c>
      <c r="B23">
        <v>112.22499999999999</v>
      </c>
      <c r="C23" s="3">
        <f t="shared" si="0"/>
        <v>-0.23751392292269996</v>
      </c>
      <c r="D23" s="3">
        <f t="shared" si="1"/>
        <v>-0.15113193421474719</v>
      </c>
      <c r="F23" s="1"/>
    </row>
    <row r="24" spans="1:6" x14ac:dyDescent="0.25">
      <c r="A24" s="1">
        <v>33543</v>
      </c>
      <c r="B24">
        <v>103.5</v>
      </c>
      <c r="C24" s="3">
        <f t="shared" si="0"/>
        <v>-0.33502415458937207</v>
      </c>
      <c r="D24" s="3">
        <f t="shared" si="1"/>
        <v>-0.21798868856280196</v>
      </c>
      <c r="F24" s="1"/>
    </row>
    <row r="25" spans="1:6" x14ac:dyDescent="0.25">
      <c r="A25" s="1">
        <v>33573</v>
      </c>
      <c r="B25">
        <v>100.25000000000001</v>
      </c>
      <c r="C25" s="3">
        <f t="shared" si="0"/>
        <v>-0.34887780548628433</v>
      </c>
      <c r="D25" s="3">
        <f t="shared" si="1"/>
        <v>-0.2274872829052369</v>
      </c>
      <c r="F25" s="1"/>
    </row>
    <row r="26" spans="1:6" x14ac:dyDescent="0.25">
      <c r="A26" s="1">
        <v>33604</v>
      </c>
      <c r="B26">
        <v>132.83999999999997</v>
      </c>
      <c r="C26" s="3">
        <f t="shared" si="0"/>
        <v>-3.8843721770551232E-2</v>
      </c>
      <c r="D26" s="3">
        <f t="shared" si="1"/>
        <v>-1.4916025302619824E-2</v>
      </c>
      <c r="F26" s="1"/>
    </row>
    <row r="27" spans="1:6" x14ac:dyDescent="0.25">
      <c r="A27" s="1">
        <v>33635</v>
      </c>
      <c r="B27">
        <v>129.375</v>
      </c>
      <c r="C27" s="3">
        <f t="shared" si="0"/>
        <v>-0.1905314009661834</v>
      </c>
      <c r="D27" s="3">
        <f t="shared" si="1"/>
        <v>-0.11891891538164238</v>
      </c>
      <c r="F27" s="1"/>
    </row>
    <row r="28" spans="1:6" x14ac:dyDescent="0.25">
      <c r="A28" s="1">
        <v>33664</v>
      </c>
      <c r="B28">
        <v>115.92500000000001</v>
      </c>
      <c r="C28" s="3">
        <f t="shared" si="0"/>
        <v>-0.29695924088850534</v>
      </c>
      <c r="D28" s="3">
        <f t="shared" si="1"/>
        <v>-0.19188992394004734</v>
      </c>
      <c r="F28" s="1"/>
    </row>
    <row r="29" spans="1:6" x14ac:dyDescent="0.25">
      <c r="A29" s="1">
        <v>33695</v>
      </c>
      <c r="B29">
        <v>117.94999999999999</v>
      </c>
      <c r="C29" s="3">
        <f t="shared" si="0"/>
        <v>-0.41331072488342546</v>
      </c>
      <c r="D29" s="3">
        <f t="shared" si="1"/>
        <v>-0.27166496344637575</v>
      </c>
      <c r="F29" s="1"/>
    </row>
    <row r="30" spans="1:6" x14ac:dyDescent="0.25">
      <c r="A30" s="1">
        <v>33725</v>
      </c>
      <c r="B30">
        <v>117.66000000000001</v>
      </c>
      <c r="C30" s="3">
        <f t="shared" si="0"/>
        <v>-0.2763471018187999</v>
      </c>
      <c r="D30" s="3">
        <f t="shared" si="1"/>
        <v>-0.17775745091832396</v>
      </c>
      <c r="F30" s="1"/>
    </row>
    <row r="31" spans="1:6" x14ac:dyDescent="0.25">
      <c r="A31" s="1">
        <v>33756</v>
      </c>
      <c r="B31">
        <v>117.04999999999998</v>
      </c>
      <c r="C31" s="3">
        <f t="shared" si="0"/>
        <v>-0.34856898761213173</v>
      </c>
      <c r="D31" s="3">
        <f t="shared" si="1"/>
        <v>-0.22727554552755241</v>
      </c>
      <c r="F31" s="1"/>
    </row>
    <row r="32" spans="1:6" x14ac:dyDescent="0.25">
      <c r="A32" s="1">
        <v>33786</v>
      </c>
      <c r="B32">
        <v>138.44</v>
      </c>
      <c r="C32" s="3">
        <f t="shared" si="0"/>
        <v>-0.20037561398439765</v>
      </c>
      <c r="D32" s="3">
        <f t="shared" si="1"/>
        <v>-0.1256684853524993</v>
      </c>
      <c r="F32" s="1"/>
    </row>
    <row r="33" spans="1:6" x14ac:dyDescent="0.25">
      <c r="A33" s="1">
        <v>33817</v>
      </c>
      <c r="B33">
        <v>142.75</v>
      </c>
      <c r="C33" s="3">
        <f t="shared" si="0"/>
        <v>-6.199649737302973E-2</v>
      </c>
      <c r="D33" s="3">
        <f t="shared" si="1"/>
        <v>-3.0790456164623434E-2</v>
      </c>
      <c r="F33" s="1"/>
    </row>
    <row r="34" spans="1:6" x14ac:dyDescent="0.25">
      <c r="A34" s="1">
        <v>33848</v>
      </c>
      <c r="B34">
        <v>147.17500000000001</v>
      </c>
      <c r="C34" s="3">
        <f t="shared" si="0"/>
        <v>-0.2026499065738066</v>
      </c>
      <c r="D34" s="3">
        <f t="shared" si="1"/>
        <v>-0.12722782757091888</v>
      </c>
      <c r="F34" s="1"/>
    </row>
    <row r="35" spans="1:6" x14ac:dyDescent="0.25">
      <c r="A35" s="1">
        <v>33878</v>
      </c>
      <c r="B35">
        <v>138.88</v>
      </c>
      <c r="C35" s="3">
        <f t="shared" si="0"/>
        <v>-0.18073156682027647</v>
      </c>
      <c r="D35" s="3">
        <f t="shared" si="1"/>
        <v>-0.11219977326756909</v>
      </c>
      <c r="F35" s="1"/>
    </row>
    <row r="36" spans="1:6" x14ac:dyDescent="0.25">
      <c r="A36" s="1">
        <v>33909</v>
      </c>
      <c r="B36">
        <v>138.17500000000001</v>
      </c>
      <c r="C36" s="3">
        <f t="shared" si="0"/>
        <v>-0.17405464085398958</v>
      </c>
      <c r="D36" s="3">
        <f t="shared" si="1"/>
        <v>-0.107621816764972</v>
      </c>
      <c r="F36" s="1"/>
    </row>
    <row r="37" spans="1:6" x14ac:dyDescent="0.25">
      <c r="A37" s="1">
        <v>33939</v>
      </c>
      <c r="B37">
        <v>135.22500000000002</v>
      </c>
      <c r="C37" s="3">
        <f t="shared" si="0"/>
        <v>-0.11961545572194476</v>
      </c>
      <c r="D37" s="3">
        <f t="shared" si="1"/>
        <v>-7.0296223695692259E-2</v>
      </c>
      <c r="F37" s="1"/>
    </row>
    <row r="38" spans="1:6" x14ac:dyDescent="0.25">
      <c r="A38" s="1">
        <v>33970</v>
      </c>
      <c r="B38">
        <v>138</v>
      </c>
      <c r="C38" s="3">
        <f t="shared" si="0"/>
        <v>2.3369565217391263E-2</v>
      </c>
      <c r="D38" s="3">
        <f t="shared" si="1"/>
        <v>2.7739790135869535E-2</v>
      </c>
      <c r="F38" s="1"/>
    </row>
    <row r="39" spans="1:6" x14ac:dyDescent="0.25">
      <c r="A39" s="1">
        <v>34001</v>
      </c>
      <c r="B39">
        <v>154.02499999999998</v>
      </c>
      <c r="C39" s="3">
        <f t="shared" si="0"/>
        <v>-6.6547638370394796E-3</v>
      </c>
      <c r="D39" s="3">
        <f t="shared" si="1"/>
        <v>7.1539587031325827E-3</v>
      </c>
      <c r="F39" s="1"/>
    </row>
    <row r="40" spans="1:6" x14ac:dyDescent="0.25">
      <c r="A40" s="1">
        <v>34029</v>
      </c>
      <c r="B40">
        <v>150.35</v>
      </c>
      <c r="C40" s="3">
        <f t="shared" si="0"/>
        <v>-3.3255736614566014E-3</v>
      </c>
      <c r="D40" s="3">
        <f t="shared" si="1"/>
        <v>9.4365791619554374E-3</v>
      </c>
      <c r="F40" s="1"/>
    </row>
    <row r="41" spans="1:6" x14ac:dyDescent="0.25">
      <c r="A41" s="1">
        <v>34060</v>
      </c>
      <c r="B41">
        <v>166.70000000000002</v>
      </c>
      <c r="C41" s="3">
        <f t="shared" si="0"/>
        <v>3.3713257348530319E-2</v>
      </c>
      <c r="D41" s="3">
        <f t="shared" si="1"/>
        <v>3.4831822141571697E-2</v>
      </c>
      <c r="F41" s="1"/>
    </row>
    <row r="42" spans="1:6" x14ac:dyDescent="0.25">
      <c r="A42" s="1">
        <v>34090</v>
      </c>
      <c r="B42">
        <v>150.17500000000001</v>
      </c>
      <c r="C42" s="3">
        <f t="shared" si="0"/>
        <v>2.8466788746462496E-2</v>
      </c>
      <c r="D42" s="3">
        <f t="shared" si="1"/>
        <v>3.1234642065923114E-2</v>
      </c>
      <c r="F42" s="1"/>
    </row>
    <row r="43" spans="1:6" x14ac:dyDescent="0.25">
      <c r="A43" s="1">
        <v>34121</v>
      </c>
      <c r="B43">
        <v>157.85</v>
      </c>
      <c r="C43" s="3">
        <f t="shared" si="0"/>
        <v>8.0297751029458242E-2</v>
      </c>
      <c r="D43" s="3">
        <f t="shared" si="1"/>
        <v>6.6771937524548547E-2</v>
      </c>
      <c r="F43" s="1"/>
    </row>
    <row r="44" spans="1:6" x14ac:dyDescent="0.25">
      <c r="A44" s="1">
        <v>34151</v>
      </c>
      <c r="B44">
        <v>166.18</v>
      </c>
      <c r="C44" s="3">
        <f t="shared" si="0"/>
        <v>0.13298832591166218</v>
      </c>
      <c r="D44" s="3">
        <f t="shared" si="1"/>
        <v>0.1028986163473343</v>
      </c>
      <c r="F44" s="1"/>
    </row>
    <row r="45" spans="1:6" x14ac:dyDescent="0.25">
      <c r="A45" s="1">
        <v>34182</v>
      </c>
      <c r="B45">
        <v>151.6</v>
      </c>
      <c r="C45" s="3">
        <f t="shared" si="0"/>
        <v>6.4973614775725552E-2</v>
      </c>
      <c r="D45" s="3">
        <f t="shared" si="1"/>
        <v>5.6265122028364083E-2</v>
      </c>
      <c r="F45" s="1"/>
    </row>
    <row r="46" spans="1:6" x14ac:dyDescent="0.25">
      <c r="A46" s="1">
        <v>34213</v>
      </c>
      <c r="B46">
        <v>177</v>
      </c>
      <c r="C46" s="3">
        <f t="shared" si="0"/>
        <v>0.21988700564971761</v>
      </c>
      <c r="D46" s="3">
        <f t="shared" si="1"/>
        <v>0.16247968374011307</v>
      </c>
      <c r="F46" s="1"/>
    </row>
    <row r="47" spans="1:6" x14ac:dyDescent="0.25">
      <c r="A47" s="1">
        <v>34243</v>
      </c>
      <c r="B47">
        <v>163.98</v>
      </c>
      <c r="C47" s="3">
        <f t="shared" si="0"/>
        <v>0.17505183558970616</v>
      </c>
      <c r="D47" s="3">
        <f t="shared" si="1"/>
        <v>0.1317389717181974</v>
      </c>
      <c r="F47" s="1"/>
    </row>
    <row r="48" spans="1:6" x14ac:dyDescent="0.25">
      <c r="A48" s="1">
        <v>34274</v>
      </c>
      <c r="B48">
        <v>162.22500000000002</v>
      </c>
      <c r="C48" s="3">
        <f t="shared" si="0"/>
        <v>0.16366158113730933</v>
      </c>
      <c r="D48" s="3">
        <f t="shared" si="1"/>
        <v>0.12392937644937589</v>
      </c>
      <c r="F48" s="1"/>
    </row>
    <row r="49" spans="1:6" x14ac:dyDescent="0.25">
      <c r="A49" s="1">
        <v>34304</v>
      </c>
      <c r="B49">
        <v>151.4</v>
      </c>
      <c r="C49" s="3">
        <f t="shared" si="0"/>
        <v>0.17754293262879786</v>
      </c>
      <c r="D49" s="3">
        <f t="shared" si="1"/>
        <v>0.13344696338177012</v>
      </c>
      <c r="F49" s="1"/>
    </row>
    <row r="50" spans="1:6" x14ac:dyDescent="0.25">
      <c r="A50" s="1">
        <v>34335</v>
      </c>
      <c r="B50">
        <v>134.77500000000001</v>
      </c>
      <c r="C50" s="3">
        <f t="shared" si="0"/>
        <v>3.8026340196624001E-2</v>
      </c>
      <c r="D50" s="3">
        <f t="shared" si="1"/>
        <v>3.7789037148951952E-2</v>
      </c>
      <c r="F50" s="1"/>
    </row>
    <row r="51" spans="1:6" x14ac:dyDescent="0.25">
      <c r="A51" s="1">
        <v>34366</v>
      </c>
      <c r="B51">
        <v>155.04999999999998</v>
      </c>
      <c r="C51" s="3">
        <f t="shared" si="0"/>
        <v>0.10238632699129314</v>
      </c>
      <c r="D51" s="3">
        <f t="shared" si="1"/>
        <v>8.1916712300870692E-2</v>
      </c>
      <c r="F51" s="1"/>
    </row>
    <row r="52" spans="1:6" x14ac:dyDescent="0.25">
      <c r="A52" s="1">
        <v>34394</v>
      </c>
      <c r="B52">
        <v>150.85</v>
      </c>
      <c r="C52" s="3">
        <f t="shared" si="0"/>
        <v>7.5505469008949389E-2</v>
      </c>
      <c r="D52" s="3">
        <f t="shared" si="1"/>
        <v>6.3486165187272181E-2</v>
      </c>
      <c r="F52" s="1"/>
    </row>
    <row r="53" spans="1:6" x14ac:dyDescent="0.25">
      <c r="A53" s="1">
        <v>34425</v>
      </c>
      <c r="B53">
        <v>161.08000000000001</v>
      </c>
      <c r="C53" s="3">
        <f t="shared" si="0"/>
        <v>6.8630494164390404E-2</v>
      </c>
      <c r="D53" s="3">
        <f t="shared" si="1"/>
        <v>5.877241877855726E-2</v>
      </c>
      <c r="F53" s="1"/>
    </row>
    <row r="54" spans="1:6" x14ac:dyDescent="0.25">
      <c r="A54" s="1">
        <v>34455</v>
      </c>
      <c r="B54">
        <v>145.9</v>
      </c>
      <c r="C54" s="3">
        <f t="shared" si="0"/>
        <v>-7.02535983550375E-2</v>
      </c>
      <c r="D54" s="3">
        <f t="shared" si="1"/>
        <v>-3.6451841257710622E-2</v>
      </c>
      <c r="F54" s="1"/>
    </row>
    <row r="55" spans="1:6" x14ac:dyDescent="0.25">
      <c r="A55" s="1">
        <v>34486</v>
      </c>
      <c r="B55">
        <v>145.17500000000001</v>
      </c>
      <c r="C55" s="3">
        <f t="shared" si="0"/>
        <v>-0.18643017048389832</v>
      </c>
      <c r="D55" s="3">
        <f t="shared" si="1"/>
        <v>-0.11610695448079873</v>
      </c>
      <c r="F55" s="1"/>
    </row>
    <row r="56" spans="1:6" x14ac:dyDescent="0.25">
      <c r="A56" s="1">
        <v>34516</v>
      </c>
      <c r="B56">
        <v>144.07999999999998</v>
      </c>
      <c r="C56" s="3">
        <f t="shared" si="0"/>
        <v>-0.12246668517490292</v>
      </c>
      <c r="D56" s="3">
        <f t="shared" si="1"/>
        <v>-7.2251135953289886E-2</v>
      </c>
      <c r="F56" s="1"/>
    </row>
    <row r="57" spans="1:6" x14ac:dyDescent="0.25">
      <c r="A57" s="1">
        <v>34547</v>
      </c>
      <c r="B57">
        <v>141.75</v>
      </c>
      <c r="C57" s="3">
        <f t="shared" si="0"/>
        <v>-8.8888888888888851E-2</v>
      </c>
      <c r="D57" s="3">
        <f t="shared" si="1"/>
        <v>-4.9228911111111079E-2</v>
      </c>
      <c r="F57" s="1"/>
    </row>
    <row r="58" spans="1:6" x14ac:dyDescent="0.25">
      <c r="A58" s="1">
        <v>34578</v>
      </c>
      <c r="B58">
        <v>138.07999999999998</v>
      </c>
      <c r="C58" s="3">
        <f t="shared" si="0"/>
        <v>-0.36659907300115885</v>
      </c>
      <c r="D58" s="3">
        <f t="shared" si="1"/>
        <v>-0.23963766352404409</v>
      </c>
      <c r="F58" s="1"/>
    </row>
    <row r="59" spans="1:6" x14ac:dyDescent="0.25">
      <c r="A59" s="1">
        <v>34608</v>
      </c>
      <c r="B59">
        <v>135.27499999999998</v>
      </c>
      <c r="C59" s="3">
        <f t="shared" si="0"/>
        <v>-0.38218443910552596</v>
      </c>
      <c r="D59" s="3">
        <f t="shared" si="1"/>
        <v>-0.25032358822398826</v>
      </c>
      <c r="F59" s="1"/>
    </row>
    <row r="60" spans="1:6" x14ac:dyDescent="0.25">
      <c r="A60" s="1">
        <v>34639</v>
      </c>
      <c r="B60">
        <v>135.67500000000001</v>
      </c>
      <c r="C60" s="3">
        <f t="shared" si="0"/>
        <v>-0.38842822922424902</v>
      </c>
      <c r="D60" s="3">
        <f t="shared" si="1"/>
        <v>-0.25460457017873583</v>
      </c>
      <c r="F60" s="1"/>
    </row>
    <row r="61" spans="1:6" x14ac:dyDescent="0.25">
      <c r="A61" s="1">
        <v>34669</v>
      </c>
      <c r="B61">
        <v>124.52000000000001</v>
      </c>
      <c r="C61" s="3">
        <f t="shared" si="0"/>
        <v>-0.64375200770960483</v>
      </c>
      <c r="D61" s="3">
        <f t="shared" si="1"/>
        <v>-0.42966434437520068</v>
      </c>
      <c r="F61" s="1"/>
    </row>
    <row r="62" spans="1:6" x14ac:dyDescent="0.25">
      <c r="A62" s="1">
        <v>34700</v>
      </c>
      <c r="B62">
        <v>129.65</v>
      </c>
      <c r="C62" s="3">
        <f t="shared" si="0"/>
        <v>-0.36309294253760133</v>
      </c>
      <c r="D62" s="3">
        <f t="shared" si="1"/>
        <v>-0.23723372601812576</v>
      </c>
      <c r="F62" s="1"/>
    </row>
    <row r="63" spans="1:6" x14ac:dyDescent="0.25">
      <c r="A63" s="1">
        <v>34731</v>
      </c>
      <c r="B63">
        <v>139.17499999999998</v>
      </c>
      <c r="C63" s="3">
        <f t="shared" si="0"/>
        <v>-0.24591341835818234</v>
      </c>
      <c r="D63" s="3">
        <f t="shared" si="1"/>
        <v>-0.15689095040596385</v>
      </c>
      <c r="F63" s="1"/>
    </row>
    <row r="64" spans="1:6" x14ac:dyDescent="0.25">
      <c r="A64" s="1">
        <v>34759</v>
      </c>
      <c r="B64">
        <v>139.45999999999998</v>
      </c>
      <c r="C64" s="3">
        <f t="shared" si="0"/>
        <v>-0.28567331134375473</v>
      </c>
      <c r="D64" s="3">
        <f t="shared" si="1"/>
        <v>-0.18415185782876825</v>
      </c>
      <c r="F64" s="1"/>
    </row>
    <row r="65" spans="1:6" x14ac:dyDescent="0.25">
      <c r="A65" s="1">
        <v>34790</v>
      </c>
      <c r="B65">
        <v>150.02500000000001</v>
      </c>
      <c r="C65" s="3">
        <f t="shared" si="0"/>
        <v>-0.18213631061489724</v>
      </c>
      <c r="D65" s="3">
        <f t="shared" si="1"/>
        <v>-0.11316291948508563</v>
      </c>
      <c r="F65" s="1"/>
    </row>
    <row r="66" spans="1:6" x14ac:dyDescent="0.25">
      <c r="A66" s="1">
        <v>34820</v>
      </c>
      <c r="B66">
        <v>156.14999999999998</v>
      </c>
      <c r="C66" s="3">
        <f t="shared" si="0"/>
        <v>-0.21127121357668935</v>
      </c>
      <c r="D66" s="3">
        <f t="shared" si="1"/>
        <v>-0.13313892627921886</v>
      </c>
      <c r="F66" s="1"/>
    </row>
    <row r="67" spans="1:6" x14ac:dyDescent="0.25">
      <c r="A67" s="1">
        <v>34851</v>
      </c>
      <c r="B67">
        <v>172.23999999999995</v>
      </c>
      <c r="C67" s="3">
        <f t="shared" ref="C67:C130" si="2">(B67-B79)/B67</f>
        <v>-6.6389921040408931E-2</v>
      </c>
      <c r="D67" s="3">
        <f t="shared" ref="D67:D130" si="3">0.01171672+0.68563835*C67</f>
        <v>-3.380275591877626E-2</v>
      </c>
      <c r="F67" s="1"/>
    </row>
    <row r="68" spans="1:6" x14ac:dyDescent="0.25">
      <c r="A68" s="1">
        <v>34881</v>
      </c>
      <c r="B68">
        <v>161.72499999999999</v>
      </c>
      <c r="C68" s="3">
        <f t="shared" si="2"/>
        <v>-0.12227546761477839</v>
      </c>
      <c r="D68" s="3">
        <f t="shared" si="3"/>
        <v>-7.2120029860875082E-2</v>
      </c>
      <c r="F68" s="1"/>
    </row>
    <row r="69" spans="1:6" x14ac:dyDescent="0.25">
      <c r="A69" s="1">
        <v>34912</v>
      </c>
      <c r="B69">
        <v>154.35</v>
      </c>
      <c r="C69" s="3">
        <f t="shared" si="2"/>
        <v>-0.17926789763524487</v>
      </c>
      <c r="D69" s="3">
        <f t="shared" si="3"/>
        <v>-0.11119622554259818</v>
      </c>
      <c r="F69" s="1"/>
    </row>
    <row r="70" spans="1:6" x14ac:dyDescent="0.25">
      <c r="A70" s="1">
        <v>34943</v>
      </c>
      <c r="B70">
        <v>188.7</v>
      </c>
      <c r="C70" s="3">
        <f t="shared" si="2"/>
        <v>1.2321144674085792E-2</v>
      </c>
      <c r="D70" s="3">
        <f t="shared" si="3"/>
        <v>2.0164569304451471E-2</v>
      </c>
      <c r="F70" s="1"/>
    </row>
    <row r="71" spans="1:6" x14ac:dyDescent="0.25">
      <c r="A71" s="1">
        <v>34973</v>
      </c>
      <c r="B71">
        <v>186.97499999999999</v>
      </c>
      <c r="C71" s="3">
        <f t="shared" si="2"/>
        <v>2.5137050407808472E-2</v>
      </c>
      <c r="D71" s="3">
        <f t="shared" si="3"/>
        <v>2.8951645765476628E-2</v>
      </c>
      <c r="F71" s="1"/>
    </row>
    <row r="72" spans="1:6" x14ac:dyDescent="0.25">
      <c r="A72" s="1">
        <v>35004</v>
      </c>
      <c r="B72">
        <v>188.375</v>
      </c>
      <c r="C72" s="3">
        <f t="shared" si="2"/>
        <v>-6.1074983410749961E-2</v>
      </c>
      <c r="D72" s="3">
        <f t="shared" si="3"/>
        <v>-3.0158630852023971E-2</v>
      </c>
      <c r="F72" s="1"/>
    </row>
    <row r="73" spans="1:6" x14ac:dyDescent="0.25">
      <c r="A73" s="1">
        <v>35034</v>
      </c>
      <c r="B73">
        <v>204.68</v>
      </c>
      <c r="C73" s="3">
        <f t="shared" si="2"/>
        <v>7.0866718780535451E-2</v>
      </c>
      <c r="D73" s="3">
        <f t="shared" si="3"/>
        <v>6.0305660134600335E-2</v>
      </c>
      <c r="F73" s="1"/>
    </row>
    <row r="74" spans="1:6" x14ac:dyDescent="0.25">
      <c r="A74" s="1">
        <v>35065</v>
      </c>
      <c r="B74">
        <v>176.72500000000002</v>
      </c>
      <c r="C74" s="3">
        <f t="shared" si="2"/>
        <v>-4.2750035365681179E-2</v>
      </c>
      <c r="D74" s="3">
        <f t="shared" si="3"/>
        <v>-1.7594343710567287E-2</v>
      </c>
      <c r="F74" s="1"/>
    </row>
    <row r="75" spans="1:6" x14ac:dyDescent="0.25">
      <c r="A75" s="1">
        <v>35096</v>
      </c>
      <c r="B75">
        <v>173.4</v>
      </c>
      <c r="C75" s="3">
        <f t="shared" si="2"/>
        <v>-6.2283737024221519E-2</v>
      </c>
      <c r="D75" s="3">
        <f t="shared" si="3"/>
        <v>-3.0987398685121147E-2</v>
      </c>
      <c r="F75" s="1"/>
    </row>
    <row r="76" spans="1:6" x14ac:dyDescent="0.25">
      <c r="A76" s="1">
        <v>35125</v>
      </c>
      <c r="B76">
        <v>179.3</v>
      </c>
      <c r="C76" s="3">
        <f t="shared" si="2"/>
        <v>-0.14263803680981588</v>
      </c>
      <c r="D76" s="3">
        <f t="shared" si="3"/>
        <v>-8.6081388205521414E-2</v>
      </c>
      <c r="F76" s="1"/>
    </row>
    <row r="77" spans="1:6" x14ac:dyDescent="0.25">
      <c r="A77" s="1">
        <v>35156</v>
      </c>
      <c r="B77">
        <v>177.34999999999997</v>
      </c>
      <c r="C77" s="3">
        <f t="shared" si="2"/>
        <v>-1.3814491119255968E-2</v>
      </c>
      <c r="D77" s="3">
        <f t="shared" si="3"/>
        <v>2.2449751029036853E-3</v>
      </c>
      <c r="F77" s="1"/>
    </row>
    <row r="78" spans="1:6" x14ac:dyDescent="0.25">
      <c r="A78" s="1">
        <v>35186</v>
      </c>
      <c r="B78">
        <v>189.14000000000001</v>
      </c>
      <c r="C78" s="3">
        <f t="shared" si="2"/>
        <v>-2.0196679708152504E-2</v>
      </c>
      <c r="D78" s="3">
        <f t="shared" si="3"/>
        <v>-2.1308981505761635E-3</v>
      </c>
      <c r="F78" s="1"/>
    </row>
    <row r="79" spans="1:6" x14ac:dyDescent="0.25">
      <c r="A79" s="1">
        <v>35217</v>
      </c>
      <c r="B79">
        <v>183.67499999999998</v>
      </c>
      <c r="C79" s="3">
        <f t="shared" si="2"/>
        <v>-0.13107390771743579</v>
      </c>
      <c r="D79" s="3">
        <f t="shared" si="3"/>
        <v>-7.8152577815434943E-2</v>
      </c>
      <c r="F79" s="1"/>
    </row>
    <row r="80" spans="1:6" x14ac:dyDescent="0.25">
      <c r="A80" s="1">
        <v>35247</v>
      </c>
      <c r="B80">
        <v>181.50000000000003</v>
      </c>
      <c r="C80" s="3">
        <f t="shared" si="2"/>
        <v>-0.16501377410468296</v>
      </c>
      <c r="D80" s="3">
        <f t="shared" si="3"/>
        <v>-0.10142305180440754</v>
      </c>
      <c r="F80" s="1"/>
    </row>
    <row r="81" spans="1:6" x14ac:dyDescent="0.25">
      <c r="A81" s="1">
        <v>35278</v>
      </c>
      <c r="B81">
        <v>182.02000000000004</v>
      </c>
      <c r="C81" s="3">
        <f t="shared" si="2"/>
        <v>-0.17525546643225987</v>
      </c>
      <c r="D81" s="3">
        <f t="shared" si="3"/>
        <v>-0.10844514883309503</v>
      </c>
      <c r="F81" s="1"/>
    </row>
    <row r="82" spans="1:6" x14ac:dyDescent="0.25">
      <c r="A82" s="1">
        <v>35309</v>
      </c>
      <c r="B82">
        <v>186.375</v>
      </c>
      <c r="C82" s="3">
        <f t="shared" si="2"/>
        <v>-0.17142857142857137</v>
      </c>
      <c r="D82" s="3">
        <f t="shared" si="3"/>
        <v>-0.10582128285714282</v>
      </c>
      <c r="F82" s="1"/>
    </row>
    <row r="83" spans="1:6" x14ac:dyDescent="0.25">
      <c r="A83" s="1">
        <v>35339</v>
      </c>
      <c r="B83">
        <v>182.27500000000001</v>
      </c>
      <c r="C83" s="3">
        <f t="shared" si="2"/>
        <v>-0.20762584007680718</v>
      </c>
      <c r="D83" s="3">
        <f t="shared" si="3"/>
        <v>-0.13063951840762594</v>
      </c>
      <c r="F83" s="1"/>
    </row>
    <row r="84" spans="1:6" x14ac:dyDescent="0.25">
      <c r="A84" s="1">
        <v>35370</v>
      </c>
      <c r="B84">
        <v>199.88000000000002</v>
      </c>
      <c r="C84" s="3">
        <f t="shared" si="2"/>
        <v>-0.12479987992795673</v>
      </c>
      <c r="D84" s="3">
        <f t="shared" si="3"/>
        <v>-7.3850863754002363E-2</v>
      </c>
      <c r="F84" s="1"/>
    </row>
    <row r="85" spans="1:6" x14ac:dyDescent="0.25">
      <c r="A85" s="1">
        <v>35400</v>
      </c>
      <c r="B85">
        <v>190.17500000000001</v>
      </c>
      <c r="C85" s="3">
        <f t="shared" si="2"/>
        <v>-0.19823846457210473</v>
      </c>
      <c r="D85" s="3">
        <f t="shared" si="3"/>
        <v>-0.12420317375575134</v>
      </c>
      <c r="F85" s="1"/>
    </row>
    <row r="86" spans="1:6" x14ac:dyDescent="0.25">
      <c r="A86" s="1">
        <v>35431</v>
      </c>
      <c r="B86">
        <v>184.28000000000003</v>
      </c>
      <c r="C86" s="3">
        <f t="shared" si="2"/>
        <v>-0.46613848491426041</v>
      </c>
      <c r="D86" s="3">
        <f t="shared" si="3"/>
        <v>-0.30788570166811335</v>
      </c>
      <c r="F86" s="1"/>
    </row>
    <row r="87" spans="1:6" x14ac:dyDescent="0.25">
      <c r="A87" s="1">
        <v>35462</v>
      </c>
      <c r="B87">
        <v>184.20000000000002</v>
      </c>
      <c r="C87" s="3">
        <f t="shared" si="2"/>
        <v>-0.275787187839305</v>
      </c>
      <c r="D87" s="3">
        <f t="shared" si="3"/>
        <v>-0.17737355242128111</v>
      </c>
      <c r="F87" s="1"/>
    </row>
    <row r="88" spans="1:6" x14ac:dyDescent="0.25">
      <c r="A88" s="1">
        <v>35490</v>
      </c>
      <c r="B88">
        <v>204.875</v>
      </c>
      <c r="C88" s="3">
        <f t="shared" si="2"/>
        <v>-9.68883465527762E-2</v>
      </c>
      <c r="D88" s="3">
        <f t="shared" si="3"/>
        <v>-5.471364606467366E-2</v>
      </c>
      <c r="F88" s="1"/>
    </row>
    <row r="89" spans="1:6" x14ac:dyDescent="0.25">
      <c r="A89" s="1">
        <v>35521</v>
      </c>
      <c r="B89">
        <v>179.8</v>
      </c>
      <c r="C89" s="3">
        <f t="shared" si="2"/>
        <v>-0.39710789766407117</v>
      </c>
      <c r="D89" s="3">
        <f t="shared" si="3"/>
        <v>-0.26055568372636256</v>
      </c>
      <c r="F89" s="1"/>
    </row>
    <row r="90" spans="1:6" x14ac:dyDescent="0.25">
      <c r="A90" s="1">
        <v>35551</v>
      </c>
      <c r="B90">
        <v>192.95999999999998</v>
      </c>
      <c r="C90" s="3">
        <f t="shared" si="2"/>
        <v>-0.37271973466003328</v>
      </c>
      <c r="D90" s="3">
        <f t="shared" si="3"/>
        <v>-0.24383422388474302</v>
      </c>
      <c r="F90" s="1"/>
    </row>
    <row r="91" spans="1:6" x14ac:dyDescent="0.25">
      <c r="A91" s="1">
        <v>35582</v>
      </c>
      <c r="B91">
        <v>207.75</v>
      </c>
      <c r="C91" s="3">
        <f t="shared" si="2"/>
        <v>-0.26365824308062591</v>
      </c>
      <c r="D91" s="3">
        <f t="shared" si="3"/>
        <v>-0.16905748274969923</v>
      </c>
      <c r="F91" s="1"/>
    </row>
    <row r="92" spans="1:6" x14ac:dyDescent="0.25">
      <c r="A92" s="1">
        <v>35612</v>
      </c>
      <c r="B92">
        <v>211.45</v>
      </c>
      <c r="C92" s="3">
        <f t="shared" si="2"/>
        <v>-0.24237408370773234</v>
      </c>
      <c r="D92" s="3">
        <f t="shared" si="3"/>
        <v>-0.15446424683613147</v>
      </c>
      <c r="F92" s="1"/>
    </row>
    <row r="93" spans="1:6" x14ac:dyDescent="0.25">
      <c r="A93" s="1">
        <v>35643</v>
      </c>
      <c r="B93">
        <v>213.92</v>
      </c>
      <c r="C93" s="3">
        <f t="shared" si="2"/>
        <v>-0.19039827973074056</v>
      </c>
      <c r="D93" s="3">
        <f t="shared" si="3"/>
        <v>-0.11882764235742339</v>
      </c>
      <c r="F93" s="1"/>
    </row>
    <row r="94" spans="1:6" x14ac:dyDescent="0.25">
      <c r="A94" s="1">
        <v>35674</v>
      </c>
      <c r="B94">
        <v>218.32499999999999</v>
      </c>
      <c r="C94" s="3">
        <f t="shared" si="2"/>
        <v>-0.33917325088743855</v>
      </c>
      <c r="D94" s="3">
        <f t="shared" si="3"/>
        <v>-0.22083346810259941</v>
      </c>
      <c r="F94" s="1"/>
    </row>
    <row r="95" spans="1:6" x14ac:dyDescent="0.25">
      <c r="A95" s="1">
        <v>35704</v>
      </c>
      <c r="B95">
        <v>220.12000000000003</v>
      </c>
      <c r="C95" s="3">
        <f t="shared" si="2"/>
        <v>-0.35644194075958541</v>
      </c>
      <c r="D95" s="3">
        <f t="shared" si="3"/>
        <v>-0.23267354413319985</v>
      </c>
      <c r="F95" s="1"/>
    </row>
    <row r="96" spans="1:6" x14ac:dyDescent="0.25">
      <c r="A96" s="1">
        <v>35735</v>
      </c>
      <c r="B96">
        <v>224.82500000000002</v>
      </c>
      <c r="C96" s="3">
        <f t="shared" si="2"/>
        <v>-0.2685421994884909</v>
      </c>
      <c r="D96" s="3">
        <f t="shared" si="3"/>
        <v>-0.17240611056265975</v>
      </c>
      <c r="F96" s="1"/>
    </row>
    <row r="97" spans="1:7" x14ac:dyDescent="0.25">
      <c r="A97" s="1">
        <v>35765</v>
      </c>
      <c r="B97">
        <v>227.87500000000003</v>
      </c>
      <c r="C97" s="3">
        <f t="shared" si="2"/>
        <v>-0.23433900164563881</v>
      </c>
      <c r="D97" s="3">
        <f t="shared" si="3"/>
        <v>-0.14895508642896305</v>
      </c>
      <c r="F97" s="1"/>
    </row>
    <row r="98" spans="1:7" x14ac:dyDescent="0.25">
      <c r="A98" s="1">
        <v>35796</v>
      </c>
      <c r="B98">
        <v>270.17999999999995</v>
      </c>
      <c r="C98" s="3">
        <f t="shared" si="2"/>
        <v>1.4434821230290626E-2</v>
      </c>
      <c r="D98" s="3">
        <f t="shared" si="3"/>
        <v>2.1613787010881434E-2</v>
      </c>
      <c r="F98" s="1"/>
    </row>
    <row r="99" spans="1:7" x14ac:dyDescent="0.25">
      <c r="A99" s="1">
        <v>35827</v>
      </c>
      <c r="B99">
        <v>235</v>
      </c>
      <c r="C99" s="3">
        <f t="shared" si="2"/>
        <v>-4.9518850726310772E-2</v>
      </c>
      <c r="D99" s="3">
        <f t="shared" si="3"/>
        <v>-2.2235303105884015E-2</v>
      </c>
      <c r="F99" s="1"/>
    </row>
    <row r="100" spans="1:7" x14ac:dyDescent="0.25">
      <c r="A100" s="1">
        <v>35855</v>
      </c>
      <c r="B100">
        <v>224.72500000000002</v>
      </c>
      <c r="C100" s="3">
        <f t="shared" si="2"/>
        <v>-0.14138093013972602</v>
      </c>
      <c r="D100" s="3">
        <f t="shared" si="3"/>
        <v>-8.5219467662467019E-2</v>
      </c>
      <c r="F100" s="1"/>
    </row>
    <row r="101" spans="1:7" x14ac:dyDescent="0.25">
      <c r="A101" s="1">
        <v>35886</v>
      </c>
      <c r="B101">
        <v>251.20000000000002</v>
      </c>
      <c r="C101" s="3">
        <f t="shared" si="2"/>
        <v>-9.8983987964147507E-2</v>
      </c>
      <c r="D101" s="3">
        <f t="shared" si="3"/>
        <v>-5.6150498184157946E-2</v>
      </c>
      <c r="F101" s="1"/>
    </row>
    <row r="102" spans="1:7" x14ac:dyDescent="0.25">
      <c r="A102" s="1">
        <v>35916</v>
      </c>
      <c r="B102">
        <v>264.88</v>
      </c>
      <c r="C102" s="3">
        <f t="shared" si="2"/>
        <v>-8.2388410066510653E-2</v>
      </c>
      <c r="D102" s="3">
        <f t="shared" si="3"/>
        <v>-4.4771933537125753E-2</v>
      </c>
      <c r="F102" s="1"/>
    </row>
    <row r="103" spans="1:7" x14ac:dyDescent="0.25">
      <c r="A103" s="1">
        <v>35947</v>
      </c>
      <c r="B103">
        <v>262.52500000000003</v>
      </c>
      <c r="C103" s="3">
        <f t="shared" si="2"/>
        <v>-0.17128871348255234</v>
      </c>
      <c r="D103" s="3">
        <f t="shared" si="3"/>
        <v>-0.10572539088579994</v>
      </c>
      <c r="F103" s="1"/>
    </row>
    <row r="104" spans="1:7" x14ac:dyDescent="0.25">
      <c r="A104" s="1">
        <v>35977</v>
      </c>
      <c r="B104">
        <v>262.7</v>
      </c>
      <c r="C104" s="3">
        <f t="shared" si="2"/>
        <v>-7.9285017927557447E-2</v>
      </c>
      <c r="D104" s="3">
        <f t="shared" si="3"/>
        <v>-4.2644128871570902E-2</v>
      </c>
      <c r="F104" s="1"/>
    </row>
    <row r="105" spans="1:7" x14ac:dyDescent="0.25">
      <c r="A105" s="1">
        <v>36008</v>
      </c>
      <c r="B105">
        <v>254.65</v>
      </c>
      <c r="C105" s="3">
        <f t="shared" si="2"/>
        <v>-7.9179884110735357E-2</v>
      </c>
      <c r="D105" s="3">
        <f t="shared" si="3"/>
        <v>-4.2572045094875804E-2</v>
      </c>
      <c r="F105" s="1"/>
    </row>
    <row r="106" spans="1:7" x14ac:dyDescent="0.25">
      <c r="A106" s="1">
        <v>36039</v>
      </c>
      <c r="B106">
        <v>292.375</v>
      </c>
      <c r="C106" s="3">
        <f t="shared" si="2"/>
        <v>0.10396846017423311</v>
      </c>
      <c r="D106" s="3">
        <f t="shared" si="3"/>
        <v>8.3001483485901903E-2</v>
      </c>
      <c r="F106" s="1"/>
    </row>
    <row r="107" spans="1:7" x14ac:dyDescent="0.25">
      <c r="A107" s="1">
        <v>36069</v>
      </c>
      <c r="B107">
        <v>298.58</v>
      </c>
      <c r="C107" s="3">
        <f t="shared" si="2"/>
        <v>9.8865501719996293E-2</v>
      </c>
      <c r="D107" s="3">
        <f t="shared" si="3"/>
        <v>7.950269947122042E-2</v>
      </c>
      <c r="F107" s="1"/>
    </row>
    <row r="108" spans="1:7" x14ac:dyDescent="0.25">
      <c r="A108" s="1">
        <v>36100</v>
      </c>
      <c r="B108">
        <v>285.2</v>
      </c>
      <c r="C108" s="3">
        <f t="shared" si="2"/>
        <v>-2.201834325858492E-2</v>
      </c>
      <c r="D108" s="3">
        <f t="shared" si="3"/>
        <v>-3.3799005415497876E-3</v>
      </c>
      <c r="F108" s="1"/>
    </row>
    <row r="109" spans="1:7" x14ac:dyDescent="0.25">
      <c r="A109" s="1">
        <v>36130</v>
      </c>
      <c r="B109">
        <v>281.27499999999998</v>
      </c>
      <c r="C109" s="3">
        <f t="shared" si="2"/>
        <v>5.4834189824694728E-2</v>
      </c>
      <c r="D109" s="3">
        <f t="shared" si="3"/>
        <v>4.9313143434990478E-2</v>
      </c>
      <c r="F109" s="1"/>
    </row>
    <row r="110" spans="1:7" x14ac:dyDescent="0.25">
      <c r="A110" s="1">
        <v>36161</v>
      </c>
      <c r="B110" s="2">
        <v>266.28000000000003</v>
      </c>
      <c r="C110" s="3">
        <f t="shared" si="2"/>
        <v>-3.9403900128871107E-2</v>
      </c>
      <c r="D110" s="3">
        <f t="shared" si="3"/>
        <v>-1.530010506792397E-2</v>
      </c>
      <c r="F110" s="1"/>
      <c r="G110" s="2"/>
    </row>
    <row r="111" spans="1:7" x14ac:dyDescent="0.25">
      <c r="A111" s="1">
        <v>36192</v>
      </c>
      <c r="B111" s="2">
        <v>246.63692992068303</v>
      </c>
      <c r="C111" s="3">
        <f t="shared" si="2"/>
        <v>-0.11385450709948532</v>
      </c>
      <c r="D111" s="3">
        <f t="shared" si="3"/>
        <v>-6.6346296387754397E-2</v>
      </c>
      <c r="F111" s="1"/>
      <c r="G111" s="2"/>
    </row>
    <row r="112" spans="1:7" x14ac:dyDescent="0.25">
      <c r="A112" s="1">
        <v>36220</v>
      </c>
      <c r="B112" s="2">
        <v>256.49682952564996</v>
      </c>
      <c r="C112" s="3">
        <f t="shared" si="2"/>
        <v>-0.13246837763394431</v>
      </c>
      <c r="D112" s="3">
        <f t="shared" si="3"/>
        <v>-7.910867986811447E-2</v>
      </c>
      <c r="F112" s="1"/>
      <c r="G112" s="2"/>
    </row>
    <row r="113" spans="1:7" x14ac:dyDescent="0.25">
      <c r="A113" s="1">
        <v>36251</v>
      </c>
      <c r="B113" s="2">
        <v>276.06477777659387</v>
      </c>
      <c r="C113" s="3">
        <f t="shared" si="2"/>
        <v>-8.1481952750850073E-2</v>
      </c>
      <c r="D113" s="3">
        <f t="shared" si="3"/>
        <v>-4.41504316388708E-2</v>
      </c>
      <c r="F113" s="1"/>
      <c r="G113" s="2"/>
    </row>
    <row r="114" spans="1:7" x14ac:dyDescent="0.25">
      <c r="A114" s="1">
        <v>36281</v>
      </c>
      <c r="B114" s="2">
        <v>286.70304205841734</v>
      </c>
      <c r="C114" s="3">
        <f t="shared" si="2"/>
        <v>-3.5891185904280802E-2</v>
      </c>
      <c r="D114" s="3">
        <f t="shared" si="3"/>
        <v>-1.2891653482954346E-2</v>
      </c>
      <c r="F114" s="1"/>
      <c r="G114" s="2"/>
    </row>
    <row r="115" spans="1:7" x14ac:dyDescent="0.25">
      <c r="A115" s="1">
        <v>36312</v>
      </c>
      <c r="B115" s="2">
        <v>307.49256950700709</v>
      </c>
      <c r="C115" s="3">
        <f t="shared" si="2"/>
        <v>5.8764572919701302E-4</v>
      </c>
      <c r="D115" s="3">
        <f t="shared" si="3"/>
        <v>1.2119632448151186E-2</v>
      </c>
      <c r="F115" s="1"/>
      <c r="G115" s="2"/>
    </row>
    <row r="116" spans="1:7" x14ac:dyDescent="0.25">
      <c r="A116" s="1">
        <v>36342</v>
      </c>
      <c r="B116" s="2">
        <v>283.52817420956933</v>
      </c>
      <c r="C116" s="3">
        <f t="shared" si="2"/>
        <v>-7.3277804119208367E-2</v>
      </c>
      <c r="D116" s="3">
        <f t="shared" si="3"/>
        <v>-3.8525352707917224E-2</v>
      </c>
      <c r="F116" s="1"/>
      <c r="G116" s="2"/>
    </row>
    <row r="117" spans="1:7" x14ac:dyDescent="0.25">
      <c r="A117" s="1">
        <v>36373</v>
      </c>
      <c r="B117" s="2">
        <v>274.81315748879877</v>
      </c>
      <c r="C117" s="3">
        <f t="shared" si="2"/>
        <v>-9.2137874358619809E-2</v>
      </c>
      <c r="D117" s="3">
        <f t="shared" si="3"/>
        <v>-5.145654014775139E-2</v>
      </c>
      <c r="F117" s="1"/>
      <c r="G117" s="2"/>
    </row>
    <row r="118" spans="1:7" x14ac:dyDescent="0.25">
      <c r="A118" s="1">
        <v>36404</v>
      </c>
      <c r="B118" s="2">
        <v>261.9772214565586</v>
      </c>
      <c r="C118" s="3">
        <f t="shared" si="2"/>
        <v>-0.17114933433804377</v>
      </c>
      <c r="D118" s="3">
        <f t="shared" si="3"/>
        <v>-0.10562982719913466</v>
      </c>
      <c r="F118" s="1"/>
      <c r="G118" s="2"/>
    </row>
    <row r="119" spans="1:7" x14ac:dyDescent="0.25">
      <c r="A119" s="1">
        <v>36434</v>
      </c>
      <c r="B119" s="2">
        <v>269.06073849644349</v>
      </c>
      <c r="C119" s="3">
        <f t="shared" si="2"/>
        <v>-9.7159139036340103E-2</v>
      </c>
      <c r="D119" s="3">
        <f t="shared" si="3"/>
        <v>-5.4899311776296811E-2</v>
      </c>
      <c r="F119" s="1"/>
      <c r="G119" s="2"/>
    </row>
    <row r="120" spans="1:7" x14ac:dyDescent="0.25">
      <c r="A120" s="1">
        <v>36465</v>
      </c>
      <c r="B120" s="2">
        <v>291.47963149734841</v>
      </c>
      <c r="C120" s="3">
        <f t="shared" si="2"/>
        <v>-3.9784193455350253E-2</v>
      </c>
      <c r="D120" s="3">
        <f t="shared" si="3"/>
        <v>-1.5560848756807143E-2</v>
      </c>
      <c r="F120" s="1"/>
      <c r="G120" s="2"/>
    </row>
    <row r="121" spans="1:7" x14ac:dyDescent="0.25">
      <c r="A121" s="1">
        <v>36495</v>
      </c>
      <c r="B121" s="2">
        <v>265.85151325705897</v>
      </c>
      <c r="C121" s="3">
        <f t="shared" si="2"/>
        <v>-7.4525447321120777E-2</v>
      </c>
      <c r="D121" s="3">
        <f t="shared" si="3"/>
        <v>-3.9380784734265165E-2</v>
      </c>
      <c r="F121" s="1"/>
      <c r="G121" s="2"/>
    </row>
    <row r="122" spans="1:7" x14ac:dyDescent="0.25">
      <c r="A122" s="1">
        <v>36526</v>
      </c>
      <c r="B122" s="2">
        <v>276.77247052631583</v>
      </c>
      <c r="C122" s="3">
        <f t="shared" si="2"/>
        <v>-9.584652042131904E-2</v>
      </c>
      <c r="D122" s="3">
        <f t="shared" si="3"/>
        <v>-5.3999330114914493E-2</v>
      </c>
      <c r="F122" s="1"/>
      <c r="G122" s="2"/>
    </row>
    <row r="123" spans="1:7" x14ac:dyDescent="0.25">
      <c r="A123" s="1">
        <v>36557</v>
      </c>
      <c r="B123" s="2">
        <v>274.7176560093327</v>
      </c>
      <c r="C123" s="3">
        <f t="shared" si="2"/>
        <v>-1.3460628670760876E-2</v>
      </c>
      <c r="D123" s="3">
        <f t="shared" si="3"/>
        <v>2.4875967682168199E-3</v>
      </c>
      <c r="F123" s="1"/>
      <c r="G123" s="2"/>
    </row>
    <row r="124" spans="1:7" x14ac:dyDescent="0.25">
      <c r="A124" s="1">
        <v>36586</v>
      </c>
      <c r="B124" s="2">
        <v>290.47454840116319</v>
      </c>
      <c r="C124" s="3">
        <f t="shared" si="2"/>
        <v>7.1329497132200199E-3</v>
      </c>
      <c r="D124" s="3">
        <f t="shared" si="3"/>
        <v>1.6607343872005145E-2</v>
      </c>
      <c r="F124" s="1"/>
      <c r="G124" s="2"/>
    </row>
    <row r="125" spans="1:7" x14ac:dyDescent="0.25">
      <c r="A125" s="1">
        <v>36617</v>
      </c>
      <c r="B125" s="2">
        <v>298.55907495556022</v>
      </c>
      <c r="C125" s="3">
        <f t="shared" si="2"/>
        <v>2.7974145948217826E-2</v>
      </c>
      <c r="D125" s="3">
        <f t="shared" si="3"/>
        <v>3.0896867270595253E-2</v>
      </c>
      <c r="F125" s="1"/>
      <c r="G125" s="2"/>
    </row>
    <row r="126" spans="1:7" x14ac:dyDescent="0.25">
      <c r="A126" s="1">
        <v>36647</v>
      </c>
      <c r="B126" s="2">
        <v>296.99315424025883</v>
      </c>
      <c r="C126" s="3">
        <f t="shared" si="2"/>
        <v>4.0439853250830082E-3</v>
      </c>
      <c r="D126" s="3">
        <f t="shared" si="3"/>
        <v>1.4489431425714128E-2</v>
      </c>
      <c r="F126" s="1"/>
      <c r="G126" s="2"/>
    </row>
    <row r="127" spans="1:7" x14ac:dyDescent="0.25">
      <c r="A127" s="1">
        <v>36678</v>
      </c>
      <c r="B127" s="2">
        <v>307.31187281177648</v>
      </c>
      <c r="C127" s="3">
        <f t="shared" si="2"/>
        <v>-1.6170804570903547E-2</v>
      </c>
      <c r="D127" s="3">
        <f t="shared" si="3"/>
        <v>6.2939623583323397E-4</v>
      </c>
      <c r="F127" s="1"/>
      <c r="G127" s="2"/>
    </row>
    <row r="128" spans="1:7" x14ac:dyDescent="0.25">
      <c r="A128" s="1">
        <v>36708</v>
      </c>
      <c r="B128" s="2">
        <v>304.30449622157494</v>
      </c>
      <c r="C128" s="3">
        <f t="shared" si="2"/>
        <v>1.7779249693088119E-2</v>
      </c>
      <c r="D128" s="3">
        <f t="shared" si="3"/>
        <v>2.3906855423806946E-2</v>
      </c>
      <c r="F128" s="1"/>
      <c r="G128" s="2"/>
    </row>
    <row r="129" spans="1:7" x14ac:dyDescent="0.25">
      <c r="A129" s="1">
        <v>36739</v>
      </c>
      <c r="B129" s="2">
        <v>300.1338576655973</v>
      </c>
      <c r="C129" s="3">
        <f t="shared" si="2"/>
        <v>2.7799194666251539E-2</v>
      </c>
      <c r="D129" s="3">
        <f t="shared" si="3"/>
        <v>3.0776913962297505E-2</v>
      </c>
      <c r="F129" s="1"/>
      <c r="G129" s="2"/>
    </row>
    <row r="130" spans="1:7" x14ac:dyDescent="0.25">
      <c r="A130" s="1">
        <v>36770</v>
      </c>
      <c r="B130" s="2">
        <v>306.81444852057888</v>
      </c>
      <c r="C130" s="3">
        <f t="shared" si="2"/>
        <v>7.6968879665595902E-2</v>
      </c>
      <c r="D130" s="3">
        <f t="shared" si="3"/>
        <v>6.4489535655267716E-2</v>
      </c>
      <c r="F130" s="1"/>
      <c r="G130" s="2"/>
    </row>
    <row r="131" spans="1:7" x14ac:dyDescent="0.25">
      <c r="A131" s="1">
        <v>36800</v>
      </c>
      <c r="B131" s="2">
        <v>295.20244819723979</v>
      </c>
      <c r="C131" s="3">
        <f t="shared" ref="C131:C194" si="4">(B131-B143)/B131</f>
        <v>0.1203760927193661</v>
      </c>
      <c r="D131" s="3">
        <f t="shared" ref="D131:D194" si="5">0.01171672+0.68563835*C131</f>
        <v>9.4251185591553183E-2</v>
      </c>
      <c r="F131" s="1"/>
      <c r="G131" s="2"/>
    </row>
    <row r="132" spans="1:7" x14ac:dyDescent="0.25">
      <c r="A132" s="1">
        <v>36831</v>
      </c>
      <c r="B132" s="2">
        <v>303.07591354513312</v>
      </c>
      <c r="C132" s="3">
        <f t="shared" si="4"/>
        <v>9.1323411773728581E-3</v>
      </c>
      <c r="D132" s="3">
        <f t="shared" si="5"/>
        <v>1.7978203336490983E-2</v>
      </c>
      <c r="F132" s="1"/>
      <c r="G132" s="2"/>
    </row>
    <row r="133" spans="1:7" x14ac:dyDescent="0.25">
      <c r="A133" s="1">
        <v>36861</v>
      </c>
      <c r="B133" s="2">
        <v>285.66421620353816</v>
      </c>
      <c r="C133" s="3">
        <f t="shared" si="4"/>
        <v>-4.9929883076140207E-2</v>
      </c>
      <c r="D133" s="3">
        <f t="shared" si="5"/>
        <v>-2.2517122648017696E-2</v>
      </c>
      <c r="F133" s="1"/>
      <c r="G133" s="2"/>
    </row>
    <row r="134" spans="1:7" x14ac:dyDescent="0.25">
      <c r="A134" s="1">
        <v>36892</v>
      </c>
      <c r="B134" s="2">
        <v>303.30014877467528</v>
      </c>
      <c r="C134" s="3">
        <f t="shared" si="4"/>
        <v>-0.11680316649064594</v>
      </c>
      <c r="D134" s="3">
        <f t="shared" si="5"/>
        <v>-6.8368010347421765E-2</v>
      </c>
      <c r="F134" s="1"/>
      <c r="G134" s="2"/>
    </row>
    <row r="135" spans="1:7" x14ac:dyDescent="0.25">
      <c r="A135" s="1">
        <v>36923</v>
      </c>
      <c r="B135" s="2">
        <v>278.41552836617615</v>
      </c>
      <c r="C135" s="3">
        <f t="shared" si="4"/>
        <v>-7.9984361557804293E-2</v>
      </c>
      <c r="D135" s="3">
        <f t="shared" si="5"/>
        <v>-4.3123625684296361E-2</v>
      </c>
      <c r="F135" s="1"/>
      <c r="G135" s="2"/>
    </row>
    <row r="136" spans="1:7" x14ac:dyDescent="0.25">
      <c r="A136" s="1">
        <v>36951</v>
      </c>
      <c r="B136" s="2">
        <v>288.4026080544474</v>
      </c>
      <c r="C136" s="3">
        <f t="shared" si="4"/>
        <v>-8.829170190836097E-2</v>
      </c>
      <c r="D136" s="3">
        <f t="shared" si="5"/>
        <v>-4.8819456815140459E-2</v>
      </c>
      <c r="F136" s="1"/>
      <c r="G136" s="2"/>
    </row>
    <row r="137" spans="1:7" x14ac:dyDescent="0.25">
      <c r="A137" s="1">
        <v>36982</v>
      </c>
      <c r="B137" s="2">
        <v>290.20713981858847</v>
      </c>
      <c r="C137" s="3">
        <f t="shared" si="4"/>
        <v>-0.14824553321742998</v>
      </c>
      <c r="D137" s="3">
        <f t="shared" si="5"/>
        <v>-8.9926102790068879E-2</v>
      </c>
      <c r="F137" s="1"/>
      <c r="G137" s="2"/>
    </row>
    <row r="138" spans="1:7" x14ac:dyDescent="0.25">
      <c r="A138" s="1">
        <v>37012</v>
      </c>
      <c r="B138" s="2">
        <v>295.79211828286111</v>
      </c>
      <c r="C138" s="3">
        <f t="shared" si="4"/>
        <v>-0.20002971414991336</v>
      </c>
      <c r="D138" s="3">
        <f t="shared" si="5"/>
        <v>-0.12543132316071826</v>
      </c>
      <c r="F138" s="1"/>
      <c r="G138" s="2"/>
    </row>
    <row r="139" spans="1:7" x14ac:dyDescent="0.25">
      <c r="A139" s="1">
        <v>37043</v>
      </c>
      <c r="B139" s="2">
        <v>312.28135304933409</v>
      </c>
      <c r="C139" s="3">
        <f t="shared" si="4"/>
        <v>-0.15223474853642968</v>
      </c>
      <c r="D139" s="3">
        <f t="shared" si="5"/>
        <v>-9.2661261799182548E-2</v>
      </c>
      <c r="F139" s="1"/>
      <c r="G139" s="2"/>
    </row>
    <row r="140" spans="1:7" x14ac:dyDescent="0.25">
      <c r="A140" s="1">
        <v>37073</v>
      </c>
      <c r="B140" s="2">
        <v>298.89419060052217</v>
      </c>
      <c r="C140" s="3">
        <f t="shared" si="4"/>
        <v>-0.21068933565350242</v>
      </c>
      <c r="D140" s="3">
        <f t="shared" si="5"/>
        <v>-0.13273996846006358</v>
      </c>
      <c r="F140" s="1"/>
      <c r="G140" s="2"/>
    </row>
    <row r="141" spans="1:7" x14ac:dyDescent="0.25">
      <c r="A141" s="1">
        <v>37104</v>
      </c>
      <c r="B141" s="2">
        <v>291.79037813041833</v>
      </c>
      <c r="C141" s="3">
        <f t="shared" si="4"/>
        <v>-0.19828588262595986</v>
      </c>
      <c r="D141" s="3">
        <f t="shared" si="5"/>
        <v>-0.12423568539195677</v>
      </c>
      <c r="F141" s="1"/>
      <c r="G141" s="2"/>
    </row>
    <row r="142" spans="1:7" x14ac:dyDescent="0.25">
      <c r="A142" s="1">
        <v>37135</v>
      </c>
      <c r="B142" s="2">
        <v>283.19928415273228</v>
      </c>
      <c r="C142" s="3">
        <f t="shared" si="4"/>
        <v>-0.26875593997935521</v>
      </c>
      <c r="D142" s="3">
        <f t="shared" si="5"/>
        <v>-0.17255265924014412</v>
      </c>
      <c r="F142" s="1"/>
      <c r="G142" s="2"/>
    </row>
    <row r="143" spans="1:7" x14ac:dyDescent="0.25">
      <c r="A143" s="1">
        <v>37165</v>
      </c>
      <c r="B143" s="2">
        <v>259.66713092206498</v>
      </c>
      <c r="C143" s="3">
        <f t="shared" si="4"/>
        <v>-0.30915819832201191</v>
      </c>
      <c r="D143" s="3">
        <f t="shared" si="5"/>
        <v>-0.200253996986477</v>
      </c>
      <c r="F143" s="1"/>
      <c r="G143" s="2"/>
    </row>
    <row r="144" spans="1:7" x14ac:dyDescent="0.25">
      <c r="A144" s="1">
        <v>37196</v>
      </c>
      <c r="B144" s="2">
        <v>300.308120899995</v>
      </c>
      <c r="C144" s="3">
        <f t="shared" si="4"/>
        <v>-0.16220306889206196</v>
      </c>
      <c r="D144" s="3">
        <f t="shared" si="5"/>
        <v>-9.9495924520089679E-2</v>
      </c>
      <c r="F144" s="1"/>
      <c r="G144" s="2"/>
    </row>
    <row r="145" spans="1:7" x14ac:dyDescent="0.25">
      <c r="A145" s="1">
        <v>37226</v>
      </c>
      <c r="B145" s="2">
        <v>299.92739711761806</v>
      </c>
      <c r="C145" s="3">
        <f t="shared" si="4"/>
        <v>-0.16928680950162192</v>
      </c>
      <c r="D145" s="3">
        <f t="shared" si="5"/>
        <v>-0.10435280874345637</v>
      </c>
      <c r="F145" s="1"/>
      <c r="G145" s="2"/>
    </row>
    <row r="146" spans="1:7" x14ac:dyDescent="0.25">
      <c r="A146" s="1">
        <v>37257</v>
      </c>
      <c r="B146" s="2">
        <v>338.72656654864136</v>
      </c>
      <c r="C146" s="3">
        <f t="shared" si="4"/>
        <v>-6.0349945478442898E-2</v>
      </c>
      <c r="D146" s="3">
        <f t="shared" si="5"/>
        <v>-2.9661517040429547E-2</v>
      </c>
      <c r="F146" s="1"/>
      <c r="G146" s="2"/>
    </row>
    <row r="147" spans="1:7" x14ac:dyDescent="0.25">
      <c r="A147" s="1">
        <v>37288</v>
      </c>
      <c r="B147" s="2">
        <v>300.6844166503235</v>
      </c>
      <c r="C147" s="3">
        <f t="shared" si="4"/>
        <v>-7.653631382739795E-2</v>
      </c>
      <c r="D147" s="3">
        <f t="shared" si="5"/>
        <v>-4.0759511927699311E-2</v>
      </c>
      <c r="F147" s="1"/>
      <c r="G147" s="2"/>
    </row>
    <row r="148" spans="1:7" x14ac:dyDescent="0.25">
      <c r="A148" s="1">
        <v>37316</v>
      </c>
      <c r="B148" s="2">
        <v>313.86616515438453</v>
      </c>
      <c r="C148" s="3">
        <f t="shared" si="4"/>
        <v>-0.12648569289863409</v>
      </c>
      <c r="D148" s="3">
        <f t="shared" si="5"/>
        <v>-7.5006721777626198E-2</v>
      </c>
      <c r="F148" s="1"/>
      <c r="G148" s="2"/>
    </row>
    <row r="149" spans="1:7" x14ac:dyDescent="0.25">
      <c r="A149" s="1">
        <v>37347</v>
      </c>
      <c r="B149" s="2">
        <v>333.22905200450037</v>
      </c>
      <c r="C149" s="3">
        <f t="shared" si="4"/>
        <v>-9.8404425055254124E-2</v>
      </c>
      <c r="D149" s="3">
        <f t="shared" si="5"/>
        <v>-5.5753127627583096E-2</v>
      </c>
      <c r="F149" s="1"/>
      <c r="G149" s="2"/>
    </row>
    <row r="150" spans="1:7" x14ac:dyDescent="0.25">
      <c r="A150" s="1">
        <v>37377</v>
      </c>
      <c r="B150" s="2">
        <v>354.95933115077918</v>
      </c>
      <c r="C150" s="3">
        <f t="shared" si="4"/>
        <v>-0.15014632701079886</v>
      </c>
      <c r="D150" s="3">
        <f t="shared" si="5"/>
        <v>-9.1229359910244556E-2</v>
      </c>
      <c r="F150" s="1"/>
      <c r="G150" s="2"/>
    </row>
    <row r="151" spans="1:7" x14ac:dyDescent="0.25">
      <c r="A151" s="1">
        <v>37408</v>
      </c>
      <c r="B151" s="2">
        <v>359.82142630341548</v>
      </c>
      <c r="C151" s="3">
        <f t="shared" si="4"/>
        <v>-0.14789146431205746</v>
      </c>
      <c r="D151" s="3">
        <f t="shared" si="5"/>
        <v>-8.9683339570002962E-2</v>
      </c>
      <c r="F151" s="1"/>
      <c r="G151" s="2"/>
    </row>
    <row r="152" spans="1:7" x14ac:dyDescent="0.25">
      <c r="A152" s="1">
        <v>37438</v>
      </c>
      <c r="B152" s="2">
        <v>361.86800904883751</v>
      </c>
      <c r="C152" s="3">
        <f t="shared" si="4"/>
        <v>-0.16942610231859165</v>
      </c>
      <c r="D152" s="3">
        <f t="shared" si="5"/>
        <v>-0.10444831324065035</v>
      </c>
      <c r="F152" s="1"/>
      <c r="G152" s="2"/>
    </row>
    <row r="153" spans="1:7" x14ac:dyDescent="0.25">
      <c r="A153" s="1">
        <v>37469</v>
      </c>
      <c r="B153" s="2">
        <v>349.6482907997709</v>
      </c>
      <c r="C153" s="3">
        <f t="shared" si="4"/>
        <v>-0.13310022036428967</v>
      </c>
      <c r="D153" s="3">
        <f t="shared" si="5"/>
        <v>-7.9541895475207958E-2</v>
      </c>
      <c r="F153" s="1"/>
      <c r="G153" s="2"/>
    </row>
    <row r="154" spans="1:7" x14ac:dyDescent="0.25">
      <c r="A154" s="1">
        <v>37500</v>
      </c>
      <c r="B154" s="2">
        <v>359.31077396668036</v>
      </c>
      <c r="C154" s="3">
        <f t="shared" si="4"/>
        <v>-0.11482841529138495</v>
      </c>
      <c r="D154" s="3">
        <f t="shared" si="5"/>
        <v>-6.7014045193499933E-2</v>
      </c>
      <c r="F154" s="1"/>
      <c r="G154" s="2"/>
    </row>
    <row r="155" spans="1:7" x14ac:dyDescent="0.25">
      <c r="A155" s="1">
        <v>37530</v>
      </c>
      <c r="B155" s="2">
        <v>339.94535328137658</v>
      </c>
      <c r="C155" s="3">
        <f t="shared" si="4"/>
        <v>-0.12162210313528454</v>
      </c>
      <c r="D155" s="3">
        <f t="shared" si="5"/>
        <v>-7.1672058117206311E-2</v>
      </c>
      <c r="F155" s="1"/>
      <c r="G155" s="2"/>
    </row>
    <row r="156" spans="1:7" x14ac:dyDescent="0.25">
      <c r="A156" s="1">
        <v>37561</v>
      </c>
      <c r="B156" s="2">
        <v>349.01901972318257</v>
      </c>
      <c r="C156" s="3">
        <f t="shared" si="4"/>
        <v>-0.18885020196692365</v>
      </c>
      <c r="D156" s="3">
        <f t="shared" si="5"/>
        <v>-0.11776622087376827</v>
      </c>
      <c r="F156" s="1"/>
      <c r="G156" s="2"/>
    </row>
    <row r="157" spans="1:7" x14ac:dyDescent="0.25">
      <c r="A157" s="1">
        <v>37591</v>
      </c>
      <c r="B157" s="2">
        <v>350.70114925778557</v>
      </c>
      <c r="C157" s="3">
        <f t="shared" si="4"/>
        <v>-0.13745324247099369</v>
      </c>
      <c r="D157" s="3">
        <f t="shared" si="5"/>
        <v>-8.2526494369962025E-2</v>
      </c>
      <c r="F157" s="1"/>
      <c r="G157" s="2"/>
    </row>
    <row r="158" spans="1:7" x14ac:dyDescent="0.25">
      <c r="A158" s="1">
        <v>37622</v>
      </c>
      <c r="B158" s="2">
        <v>359.16869637195202</v>
      </c>
      <c r="C158" s="3">
        <f t="shared" si="4"/>
        <v>-0.21583072350496216</v>
      </c>
      <c r="D158" s="3">
        <f t="shared" si="5"/>
        <v>-0.13626510114324847</v>
      </c>
      <c r="F158" s="1"/>
      <c r="G158" s="2"/>
    </row>
    <row r="159" spans="1:7" x14ac:dyDescent="0.25">
      <c r="A159" s="1">
        <v>37653</v>
      </c>
      <c r="B159" s="2">
        <v>323.69769352608074</v>
      </c>
      <c r="C159" s="3">
        <f t="shared" si="4"/>
        <v>-0.24669932096769678</v>
      </c>
      <c r="D159" s="3">
        <f t="shared" si="5"/>
        <v>-0.15742979537441204</v>
      </c>
      <c r="F159" s="1"/>
      <c r="G159" s="2"/>
    </row>
    <row r="160" spans="1:7" x14ac:dyDescent="0.25">
      <c r="A160" s="1">
        <v>37681</v>
      </c>
      <c r="B160" s="2">
        <v>353.56574453137398</v>
      </c>
      <c r="C160" s="3">
        <f t="shared" si="4"/>
        <v>-0.21581102846038586</v>
      </c>
      <c r="D160" s="3">
        <f t="shared" si="5"/>
        <v>-0.13625159746538201</v>
      </c>
      <c r="F160" s="1"/>
      <c r="G160" s="2"/>
    </row>
    <row r="161" spans="1:7" x14ac:dyDescent="0.25">
      <c r="A161" s="1">
        <v>37712</v>
      </c>
      <c r="B161" s="2">
        <v>366.02026527871061</v>
      </c>
      <c r="C161" s="3">
        <f t="shared" si="4"/>
        <v>-0.21081524127985357</v>
      </c>
      <c r="D161" s="3">
        <f t="shared" si="5"/>
        <v>-0.13282629418597069</v>
      </c>
      <c r="F161" s="1"/>
      <c r="G161" s="2"/>
    </row>
    <row r="162" spans="1:7" x14ac:dyDescent="0.25">
      <c r="A162" s="1">
        <v>37742</v>
      </c>
      <c r="B162" s="2">
        <v>408.25517096127851</v>
      </c>
      <c r="C162" s="3">
        <f t="shared" si="4"/>
        <v>-9.9192027979982555E-2</v>
      </c>
      <c r="D162" s="3">
        <f t="shared" si="5"/>
        <v>-5.6293138397349063E-2</v>
      </c>
      <c r="F162" s="1"/>
      <c r="G162" s="2"/>
    </row>
    <row r="163" spans="1:7" x14ac:dyDescent="0.25">
      <c r="A163" s="1">
        <v>37773</v>
      </c>
      <c r="B163" s="2">
        <v>413.03594393028067</v>
      </c>
      <c r="C163" s="3">
        <f t="shared" si="4"/>
        <v>-3.4084524502510961E-2</v>
      </c>
      <c r="D163" s="3">
        <f t="shared" si="5"/>
        <v>-1.1652937140436186E-2</v>
      </c>
      <c r="F163" s="1"/>
      <c r="G163" s="2"/>
    </row>
    <row r="164" spans="1:7" x14ac:dyDescent="0.25">
      <c r="A164" s="1">
        <v>37803</v>
      </c>
      <c r="B164" s="2">
        <v>423.1778953757709</v>
      </c>
      <c r="C164" s="3">
        <f t="shared" si="4"/>
        <v>-4.9538861471787508E-2</v>
      </c>
      <c r="D164" s="3">
        <f t="shared" si="5"/>
        <v>-2.2249023240394954E-2</v>
      </c>
      <c r="F164" s="1"/>
      <c r="G164" s="2"/>
    </row>
    <row r="165" spans="1:7" x14ac:dyDescent="0.25">
      <c r="A165" s="1">
        <v>37834</v>
      </c>
      <c r="B165" s="2">
        <v>396.18655535521765</v>
      </c>
      <c r="C165" s="3">
        <f t="shared" si="4"/>
        <v>-8.7839276148744136E-2</v>
      </c>
      <c r="D165" s="3">
        <f t="shared" si="5"/>
        <v>-4.8509256363819281E-2</v>
      </c>
      <c r="F165" s="1"/>
      <c r="G165" s="2"/>
    </row>
    <row r="166" spans="1:7" x14ac:dyDescent="0.25">
      <c r="A166" s="1">
        <v>37865</v>
      </c>
      <c r="B166" s="2">
        <v>400.56986073839528</v>
      </c>
      <c r="C166" s="3">
        <f t="shared" si="4"/>
        <v>-0.11208860768776169</v>
      </c>
      <c r="D166" s="3">
        <f t="shared" si="5"/>
        <v>-6.5135528028834239E-2</v>
      </c>
      <c r="F166" s="1"/>
      <c r="G166" s="2"/>
    </row>
    <row r="167" spans="1:7" x14ac:dyDescent="0.25">
      <c r="A167" s="1">
        <v>37895</v>
      </c>
      <c r="B167" s="2">
        <v>381.29022209852491</v>
      </c>
      <c r="C167" s="3">
        <f t="shared" si="4"/>
        <v>-0.15240775469647747</v>
      </c>
      <c r="D167" s="3">
        <f t="shared" si="5"/>
        <v>-9.2779881457297556E-2</v>
      </c>
      <c r="F167" s="1"/>
      <c r="G167" s="2"/>
    </row>
    <row r="168" spans="1:7" x14ac:dyDescent="0.25">
      <c r="A168" s="1">
        <v>37926</v>
      </c>
      <c r="B168" s="2">
        <v>414.93133208820331</v>
      </c>
      <c r="C168" s="3">
        <f t="shared" si="4"/>
        <v>-8.6877887772973436E-2</v>
      </c>
      <c r="D168" s="3">
        <f t="shared" si="5"/>
        <v>-4.7850091624146676E-2</v>
      </c>
      <c r="F168" s="1"/>
      <c r="G168" s="2"/>
    </row>
    <row r="169" spans="1:7" x14ac:dyDescent="0.25">
      <c r="A169" s="1">
        <v>37956</v>
      </c>
      <c r="B169" s="2">
        <v>398.90615936157212</v>
      </c>
      <c r="C169" s="3">
        <f t="shared" si="4"/>
        <v>-0.12541979531154268</v>
      </c>
      <c r="D169" s="3">
        <f t="shared" si="5"/>
        <v>-7.427590151474385E-2</v>
      </c>
      <c r="F169" s="1"/>
      <c r="G169" s="2"/>
    </row>
    <row r="170" spans="1:7" x14ac:dyDescent="0.25">
      <c r="A170" s="1">
        <v>37987</v>
      </c>
      <c r="B170" s="2">
        <v>436.68833597024451</v>
      </c>
      <c r="C170" s="3">
        <f t="shared" si="4"/>
        <v>6.1590805413350845E-2</v>
      </c>
      <c r="D170" s="3">
        <f t="shared" si="5"/>
        <v>5.3945738198780936E-2</v>
      </c>
      <c r="F170" s="1"/>
      <c r="G170" s="2"/>
    </row>
    <row r="171" spans="1:7" x14ac:dyDescent="0.25">
      <c r="A171" s="1">
        <v>38018</v>
      </c>
      <c r="B171" s="2">
        <v>403.55369471777448</v>
      </c>
      <c r="C171" s="3">
        <f t="shared" si="4"/>
        <v>-1.7401405338578695E-2</v>
      </c>
      <c r="D171" s="3">
        <f t="shared" si="5"/>
        <v>-2.1435084402428653E-4</v>
      </c>
      <c r="F171" s="1"/>
      <c r="G171" s="2"/>
    </row>
    <row r="172" spans="1:7" x14ac:dyDescent="0.25">
      <c r="A172" s="1">
        <v>38047</v>
      </c>
      <c r="B172" s="2">
        <v>429.86913148705185</v>
      </c>
      <c r="C172" s="3">
        <f t="shared" si="4"/>
        <v>-1.2721151988803693E-2</v>
      </c>
      <c r="D172" s="3">
        <f t="shared" si="5"/>
        <v>2.994610340297417E-3</v>
      </c>
      <c r="F172" s="1"/>
      <c r="G172" s="2"/>
    </row>
    <row r="173" spans="1:7" x14ac:dyDescent="0.25">
      <c r="A173" s="1">
        <v>38078</v>
      </c>
      <c r="B173" s="2">
        <v>443.182915816758</v>
      </c>
      <c r="C173" s="3">
        <f t="shared" si="4"/>
        <v>-7.7602789418238496E-3</v>
      </c>
      <c r="D173" s="3">
        <f t="shared" si="5"/>
        <v>6.3959751507881501E-3</v>
      </c>
      <c r="F173" s="1"/>
      <c r="G173" s="2"/>
    </row>
    <row r="174" spans="1:7" x14ac:dyDescent="0.25">
      <c r="A174" s="1">
        <v>38108</v>
      </c>
      <c r="B174" s="2">
        <v>448.75082930224221</v>
      </c>
      <c r="C174" s="3">
        <f t="shared" si="4"/>
        <v>-2.5409904335446858E-2</v>
      </c>
      <c r="D174" s="3">
        <f t="shared" si="5"/>
        <v>-5.70528488221363E-3</v>
      </c>
      <c r="F174" s="1"/>
      <c r="G174" s="2"/>
    </row>
    <row r="175" spans="1:7" x14ac:dyDescent="0.25">
      <c r="A175" s="1">
        <v>38139</v>
      </c>
      <c r="B175" s="2">
        <v>427.11407768159006</v>
      </c>
      <c r="C175" s="3">
        <f t="shared" si="4"/>
        <v>-8.9977424744309364E-2</v>
      </c>
      <c r="D175" s="3">
        <f t="shared" si="5"/>
        <v>-4.9975253038937441E-2</v>
      </c>
      <c r="F175" s="1"/>
      <c r="G175" s="2"/>
    </row>
    <row r="176" spans="1:7" x14ac:dyDescent="0.25">
      <c r="A176" s="1">
        <v>38169</v>
      </c>
      <c r="B176" s="2">
        <v>444.14164651271381</v>
      </c>
      <c r="C176" s="3">
        <f t="shared" si="4"/>
        <v>-5.6135384054593195E-2</v>
      </c>
      <c r="D176" s="3">
        <f t="shared" si="5"/>
        <v>-2.6771852099807585E-2</v>
      </c>
      <c r="F176" s="1"/>
      <c r="G176" s="2"/>
    </row>
    <row r="177" spans="1:7" x14ac:dyDescent="0.25">
      <c r="A177" s="1">
        <v>38200</v>
      </c>
      <c r="B177" s="2">
        <v>430.98729559748432</v>
      </c>
      <c r="C177" s="3">
        <f t="shared" si="4"/>
        <v>-7.3255667357596199E-2</v>
      </c>
      <c r="D177" s="3">
        <f t="shared" si="5"/>
        <v>-3.8510174895211115E-2</v>
      </c>
      <c r="F177" s="1"/>
      <c r="G177" s="2"/>
    </row>
    <row r="178" spans="1:7" x14ac:dyDescent="0.25">
      <c r="A178" s="1">
        <v>38231</v>
      </c>
      <c r="B178" s="2">
        <v>445.4691787102426</v>
      </c>
      <c r="C178" s="3">
        <f t="shared" si="4"/>
        <v>-4.7114224757930728E-2</v>
      </c>
      <c r="D178" s="3">
        <f t="shared" si="5"/>
        <v>-2.0586599324556774E-2</v>
      </c>
      <c r="F178" s="1"/>
      <c r="G178" s="2"/>
    </row>
    <row r="179" spans="1:7" x14ac:dyDescent="0.25">
      <c r="A179" s="1">
        <v>38261</v>
      </c>
      <c r="B179" s="2">
        <v>439.40180873628231</v>
      </c>
      <c r="C179" s="3">
        <f t="shared" si="4"/>
        <v>-7.618003785407639E-3</v>
      </c>
      <c r="D179" s="3">
        <f t="shared" si="5"/>
        <v>6.4935244542793525E-3</v>
      </c>
      <c r="F179" s="1"/>
      <c r="G179" s="2"/>
    </row>
    <row r="180" spans="1:7" x14ac:dyDescent="0.25">
      <c r="A180" s="1">
        <v>38292</v>
      </c>
      <c r="B180" s="2">
        <v>450.9796897908526</v>
      </c>
      <c r="C180" s="3">
        <f t="shared" si="4"/>
        <v>1.164723032080347E-2</v>
      </c>
      <c r="D180" s="3">
        <f t="shared" si="5"/>
        <v>1.9702507779225661E-2</v>
      </c>
      <c r="F180" s="1"/>
      <c r="G180" s="2"/>
    </row>
    <row r="181" spans="1:7" x14ac:dyDescent="0.25">
      <c r="A181" s="1">
        <v>38322</v>
      </c>
      <c r="B181" s="2">
        <v>448.93688821721412</v>
      </c>
      <c r="C181" s="3">
        <f t="shared" si="4"/>
        <v>4.5063969564716221E-2</v>
      </c>
      <c r="D181" s="3">
        <f t="shared" si="5"/>
        <v>4.2614305736802249E-2</v>
      </c>
      <c r="F181" s="1"/>
      <c r="G181" s="2"/>
    </row>
    <row r="182" spans="1:7" x14ac:dyDescent="0.25">
      <c r="A182" s="1">
        <v>38353</v>
      </c>
      <c r="B182" s="2">
        <v>409.7923496432212</v>
      </c>
      <c r="C182" s="3">
        <f t="shared" si="4"/>
        <v>-3.8620693719923903E-2</v>
      </c>
      <c r="D182" s="3">
        <f t="shared" si="5"/>
        <v>-1.4763108717983985E-2</v>
      </c>
      <c r="F182" s="1"/>
      <c r="G182" s="2"/>
    </row>
    <row r="183" spans="1:7" x14ac:dyDescent="0.25">
      <c r="A183" s="1">
        <v>38384</v>
      </c>
      <c r="B183" s="2">
        <v>410.57609613543951</v>
      </c>
      <c r="C183" s="3">
        <f t="shared" si="4"/>
        <v>6.9792061649376944E-2</v>
      </c>
      <c r="D183" s="3">
        <f t="shared" si="5"/>
        <v>5.9568833992377085E-2</v>
      </c>
      <c r="F183" s="1"/>
      <c r="G183" s="2"/>
    </row>
    <row r="184" spans="1:7" x14ac:dyDescent="0.25">
      <c r="A184" s="1">
        <v>38412</v>
      </c>
      <c r="B184" s="2">
        <v>435.33756204399367</v>
      </c>
      <c r="C184" s="3">
        <f t="shared" si="4"/>
        <v>0.12134405722564114</v>
      </c>
      <c r="D184" s="3">
        <f t="shared" si="5"/>
        <v>9.4914859178494154E-2</v>
      </c>
      <c r="F184" s="1"/>
      <c r="G184" s="2"/>
    </row>
    <row r="185" spans="1:7" x14ac:dyDescent="0.25">
      <c r="A185" s="1">
        <v>38443</v>
      </c>
      <c r="B185" s="2">
        <v>446.62213886574688</v>
      </c>
      <c r="C185" s="3">
        <f t="shared" si="4"/>
        <v>0.13515983447834315</v>
      </c>
      <c r="D185" s="3">
        <f t="shared" si="5"/>
        <v>0.1043874858980043</v>
      </c>
      <c r="F185" s="1"/>
      <c r="G185" s="2"/>
    </row>
    <row r="186" spans="1:7" x14ac:dyDescent="0.25">
      <c r="A186" s="1">
        <v>38473</v>
      </c>
      <c r="B186" s="2">
        <v>460.15354494526463</v>
      </c>
      <c r="C186" s="3">
        <f t="shared" si="4"/>
        <v>0.16782822852807425</v>
      </c>
      <c r="D186" s="3">
        <f t="shared" si="5"/>
        <v>0.12678618969141175</v>
      </c>
      <c r="F186" s="1"/>
      <c r="G186" s="2"/>
    </row>
    <row r="187" spans="1:7" x14ac:dyDescent="0.25">
      <c r="A187" s="1">
        <v>38504</v>
      </c>
      <c r="B187" s="2">
        <v>465.54470246342044</v>
      </c>
      <c r="C187" s="3">
        <f t="shared" si="4"/>
        <v>0.18452432368077848</v>
      </c>
      <c r="D187" s="3">
        <f t="shared" si="5"/>
        <v>0.13823367282335486</v>
      </c>
      <c r="F187" s="1"/>
      <c r="G187" s="2"/>
    </row>
    <row r="188" spans="1:7" x14ac:dyDescent="0.25">
      <c r="A188" s="1">
        <v>38534</v>
      </c>
      <c r="B188" s="2">
        <v>469.07370841434437</v>
      </c>
      <c r="C188" s="3">
        <f t="shared" si="4"/>
        <v>0.20827746033678721</v>
      </c>
      <c r="D188" s="3">
        <f t="shared" si="5"/>
        <v>0.1545197342475052</v>
      </c>
      <c r="F188" s="1"/>
      <c r="G188" s="2"/>
    </row>
    <row r="189" spans="1:7" x14ac:dyDescent="0.25">
      <c r="A189" s="1">
        <v>38565</v>
      </c>
      <c r="B189" s="2">
        <v>462.55955755912362</v>
      </c>
      <c r="C189" s="3">
        <f t="shared" si="4"/>
        <v>0.22603859028770057</v>
      </c>
      <c r="D189" s="3">
        <f t="shared" si="5"/>
        <v>0.16669744608118503</v>
      </c>
      <c r="F189" s="1"/>
      <c r="G189" s="2"/>
    </row>
    <row r="190" spans="1:7" x14ac:dyDescent="0.25">
      <c r="A190" s="1">
        <v>38596</v>
      </c>
      <c r="B190" s="2">
        <v>466.45711371872778</v>
      </c>
      <c r="C190" s="3">
        <f t="shared" si="4"/>
        <v>0.20832877102644662</v>
      </c>
      <c r="D190" s="3">
        <f t="shared" si="5"/>
        <v>0.15455491482410066</v>
      </c>
      <c r="F190" s="1"/>
      <c r="G190" s="2"/>
    </row>
    <row r="191" spans="1:7" x14ac:dyDescent="0.25">
      <c r="A191" s="1">
        <v>38626</v>
      </c>
      <c r="B191" s="2">
        <v>442.74917337855027</v>
      </c>
      <c r="C191" s="3">
        <f t="shared" si="4"/>
        <v>0.19652403841979613</v>
      </c>
      <c r="D191" s="3">
        <f t="shared" si="5"/>
        <v>0.14646113743748562</v>
      </c>
      <c r="F191" s="1"/>
      <c r="G191" s="2"/>
    </row>
    <row r="192" spans="1:7" x14ac:dyDescent="0.25">
      <c r="A192" s="1">
        <v>38657</v>
      </c>
      <c r="B192" s="2">
        <v>445.72702547385404</v>
      </c>
      <c r="C192" s="3">
        <f t="shared" si="4"/>
        <v>0.15183330683578827</v>
      </c>
      <c r="D192" s="3">
        <f t="shared" si="5"/>
        <v>0.11581945797393359</v>
      </c>
      <c r="F192" s="1"/>
      <c r="G192" s="2"/>
    </row>
    <row r="193" spans="1:7" x14ac:dyDescent="0.25">
      <c r="A193" s="1">
        <v>38687</v>
      </c>
      <c r="B193" s="2">
        <v>428.70600995011517</v>
      </c>
      <c r="C193" s="3">
        <f t="shared" si="4"/>
        <v>7.7714304509304388E-2</v>
      </c>
      <c r="D193" s="3">
        <f t="shared" si="5"/>
        <v>6.500062751515702E-2</v>
      </c>
      <c r="F193" s="1"/>
      <c r="G193" s="2"/>
    </row>
    <row r="194" spans="1:7" x14ac:dyDescent="0.25">
      <c r="A194" s="1">
        <v>38718</v>
      </c>
      <c r="B194" s="2">
        <v>425.61881446756001</v>
      </c>
      <c r="C194" s="3">
        <f t="shared" si="4"/>
        <v>5.8764767668997679E-2</v>
      </c>
      <c r="D194" s="3">
        <f t="shared" si="5"/>
        <v>5.2008098342704909E-2</v>
      </c>
      <c r="F194" s="1"/>
      <c r="G194" s="2"/>
    </row>
    <row r="195" spans="1:7" x14ac:dyDescent="0.25">
      <c r="A195" s="1">
        <v>38749</v>
      </c>
      <c r="B195" s="2">
        <v>381.9211439221944</v>
      </c>
      <c r="C195" s="3">
        <f t="shared" ref="C195:C258" si="6">(B195-B207)/B195</f>
        <v>3.3073263370687583E-2</v>
      </c>
      <c r="D195" s="3">
        <f t="shared" ref="D195:D258" si="7">0.01171672+0.68563835*C195</f>
        <v>3.4393017726593672E-2</v>
      </c>
      <c r="F195" s="1"/>
      <c r="G195" s="2"/>
    </row>
    <row r="196" spans="1:7" x14ac:dyDescent="0.25">
      <c r="A196" s="1">
        <v>38777</v>
      </c>
      <c r="B196" s="2">
        <v>382.5119360028562</v>
      </c>
      <c r="C196" s="3">
        <f t="shared" si="6"/>
        <v>5.5935102356190706E-3</v>
      </c>
      <c r="D196" s="3">
        <f t="shared" si="7"/>
        <v>1.5551845128657971E-2</v>
      </c>
      <c r="F196" s="1"/>
      <c r="G196" s="2"/>
    </row>
    <row r="197" spans="1:7" x14ac:dyDescent="0.25">
      <c r="A197" s="1">
        <v>38808</v>
      </c>
      <c r="B197" s="2">
        <v>386.25676450228895</v>
      </c>
      <c r="C197" s="3">
        <f t="shared" si="6"/>
        <v>7.0190004536898297E-3</v>
      </c>
      <c r="D197" s="3">
        <f t="shared" si="7"/>
        <v>1.6529215889717147E-2</v>
      </c>
      <c r="F197" s="1"/>
      <c r="G197" s="2"/>
    </row>
    <row r="198" spans="1:7" x14ac:dyDescent="0.25">
      <c r="A198" s="1">
        <v>38838</v>
      </c>
      <c r="B198" s="2">
        <v>382.92679064618727</v>
      </c>
      <c r="C198" s="3">
        <f t="shared" si="6"/>
        <v>-5.4792053879607013E-2</v>
      </c>
      <c r="D198" s="3">
        <f t="shared" si="7"/>
        <v>-2.5850813415124851E-2</v>
      </c>
      <c r="F198" s="1"/>
      <c r="G198" s="2"/>
    </row>
    <row r="199" spans="1:7" x14ac:dyDescent="0.25">
      <c r="A199" s="1">
        <v>38869</v>
      </c>
      <c r="B199" s="2">
        <v>379.64038109818853</v>
      </c>
      <c r="C199" s="3">
        <f t="shared" si="6"/>
        <v>-8.6635522441541948E-2</v>
      </c>
      <c r="D199" s="3">
        <f t="shared" si="7"/>
        <v>-4.7683916658206787E-2</v>
      </c>
      <c r="F199" s="1"/>
      <c r="G199" s="2"/>
    </row>
    <row r="200" spans="1:7" x14ac:dyDescent="0.25">
      <c r="A200" s="1">
        <v>38899</v>
      </c>
      <c r="B200" s="2">
        <v>371.37622771504607</v>
      </c>
      <c r="C200" s="3">
        <f t="shared" si="6"/>
        <v>-9.157848468092486E-2</v>
      </c>
      <c r="D200" s="3">
        <f t="shared" si="7"/>
        <v>-5.1073001132129592E-2</v>
      </c>
      <c r="F200" s="1"/>
      <c r="G200" s="2"/>
    </row>
    <row r="201" spans="1:7" x14ac:dyDescent="0.25">
      <c r="A201" s="1">
        <v>38930</v>
      </c>
      <c r="B201" s="2">
        <v>358.00324724435683</v>
      </c>
      <c r="C201" s="3">
        <f t="shared" si="6"/>
        <v>-0.14673341689045033</v>
      </c>
      <c r="D201" s="3">
        <f t="shared" si="7"/>
        <v>-8.8889337846630487E-2</v>
      </c>
      <c r="F201" s="1"/>
      <c r="G201" s="2"/>
    </row>
    <row r="202" spans="1:7" x14ac:dyDescent="0.25">
      <c r="A202" s="1">
        <v>38961</v>
      </c>
      <c r="B202" s="2">
        <v>369.28067648116178</v>
      </c>
      <c r="C202" s="3">
        <f t="shared" si="6"/>
        <v>-9.137175319760063E-2</v>
      </c>
      <c r="D202" s="3">
        <f t="shared" si="7"/>
        <v>-5.0931258099010113E-2</v>
      </c>
      <c r="F202" s="1"/>
      <c r="G202" s="2"/>
    </row>
    <row r="203" spans="1:7" x14ac:dyDescent="0.25">
      <c r="A203" s="1">
        <v>38991</v>
      </c>
      <c r="B203" s="2">
        <v>355.73831781917107</v>
      </c>
      <c r="C203" s="3">
        <f t="shared" si="6"/>
        <v>-9.9072904192244682E-2</v>
      </c>
      <c r="D203" s="3">
        <f t="shared" si="7"/>
        <v>-5.6211462560078723E-2</v>
      </c>
      <c r="F203" s="1"/>
      <c r="G203" s="2"/>
    </row>
    <row r="204" spans="1:7" x14ac:dyDescent="0.25">
      <c r="A204" s="1">
        <v>39022</v>
      </c>
      <c r="B204" s="2">
        <v>378.05081725007915</v>
      </c>
      <c r="C204" s="3">
        <f t="shared" si="6"/>
        <v>-5.3827841944817427E-2</v>
      </c>
      <c r="D204" s="3">
        <f t="shared" si="7"/>
        <v>-2.518971273510541E-2</v>
      </c>
      <c r="F204" s="1"/>
      <c r="G204" s="2"/>
    </row>
    <row r="205" spans="1:7" x14ac:dyDescent="0.25">
      <c r="A205" s="1">
        <v>39052</v>
      </c>
      <c r="B205" s="2">
        <v>395.38942054788305</v>
      </c>
      <c r="C205" s="3">
        <f t="shared" si="6"/>
        <v>2.7523047454750999E-2</v>
      </c>
      <c r="D205" s="3">
        <f t="shared" si="7"/>
        <v>3.0587576843847174E-2</v>
      </c>
      <c r="F205" s="1"/>
      <c r="G205" s="2"/>
    </row>
    <row r="206" spans="1:7" x14ac:dyDescent="0.25">
      <c r="A206" s="1">
        <v>39083</v>
      </c>
      <c r="B206" s="2">
        <v>400.60742371981962</v>
      </c>
      <c r="C206" s="3">
        <f t="shared" si="6"/>
        <v>2.3890784529678594E-2</v>
      </c>
      <c r="D206" s="3">
        <f t="shared" si="7"/>
        <v>2.8097158085134355E-2</v>
      </c>
      <c r="F206" s="1"/>
      <c r="G206" s="2"/>
    </row>
    <row r="207" spans="1:7" x14ac:dyDescent="0.25">
      <c r="A207" s="1">
        <v>39114</v>
      </c>
      <c r="B207" s="2">
        <v>369.28976534242139</v>
      </c>
      <c r="C207" s="3">
        <f t="shared" si="6"/>
        <v>4.6742530999163381E-2</v>
      </c>
      <c r="D207" s="3">
        <f t="shared" si="7"/>
        <v>4.3765191829090229E-2</v>
      </c>
      <c r="F207" s="1"/>
      <c r="G207" s="2"/>
    </row>
    <row r="208" spans="1:7" x14ac:dyDescent="0.25">
      <c r="A208" s="1">
        <v>39142</v>
      </c>
      <c r="B208" s="2">
        <v>380.37235157357776</v>
      </c>
      <c r="C208" s="3">
        <f t="shared" si="6"/>
        <v>8.5333138153063842E-2</v>
      </c>
      <c r="D208" s="3">
        <f t="shared" si="7"/>
        <v>7.022439204358874E-2</v>
      </c>
      <c r="F208" s="1"/>
      <c r="G208" s="2"/>
    </row>
    <row r="209" spans="1:7" x14ac:dyDescent="0.25">
      <c r="A209" s="1">
        <v>39173</v>
      </c>
      <c r="B209" s="2">
        <v>383.54562809700661</v>
      </c>
      <c r="C209" s="3">
        <f t="shared" si="6"/>
        <v>0.11140076634428989</v>
      </c>
      <c r="D209" s="3">
        <f t="shared" si="7"/>
        <v>8.8097357625034442E-2</v>
      </c>
      <c r="F209" s="1"/>
      <c r="G209" s="2"/>
    </row>
    <row r="210" spans="1:7" x14ac:dyDescent="0.25">
      <c r="A210" s="1">
        <v>39203</v>
      </c>
      <c r="B210" s="2">
        <v>403.90813599121816</v>
      </c>
      <c r="C210" s="3">
        <f t="shared" si="6"/>
        <v>0.17088036536690848</v>
      </c>
      <c r="D210" s="3">
        <f t="shared" si="7"/>
        <v>0.12887885175756425</v>
      </c>
      <c r="F210" s="1"/>
      <c r="G210" s="2"/>
    </row>
    <row r="211" spans="1:7" x14ac:dyDescent="0.25">
      <c r="A211" s="1">
        <v>39234</v>
      </c>
      <c r="B211" s="2">
        <v>412.53072385453618</v>
      </c>
      <c r="C211" s="3">
        <f t="shared" si="6"/>
        <v>0.20339588904189035</v>
      </c>
      <c r="D211" s="3">
        <f t="shared" si="7"/>
        <v>0.15117274175946477</v>
      </c>
      <c r="F211" s="1"/>
      <c r="G211" s="2"/>
    </row>
    <row r="212" spans="1:7" x14ac:dyDescent="0.25">
      <c r="A212" s="1">
        <v>39264</v>
      </c>
      <c r="B212" s="2">
        <v>405.38629989570808</v>
      </c>
      <c r="C212" s="3">
        <f t="shared" si="6"/>
        <v>0.21381309961497458</v>
      </c>
      <c r="D212" s="3">
        <f t="shared" si="7"/>
        <v>0.1583151808283968</v>
      </c>
      <c r="F212" s="1"/>
      <c r="G212" s="2"/>
    </row>
    <row r="213" spans="1:7" x14ac:dyDescent="0.25">
      <c r="A213" s="1">
        <v>39295</v>
      </c>
      <c r="B213" s="2">
        <v>410.534286970398</v>
      </c>
      <c r="C213" s="3">
        <f t="shared" si="6"/>
        <v>0.27110277256148235</v>
      </c>
      <c r="D213" s="3">
        <f t="shared" si="7"/>
        <v>0.19759517765948004</v>
      </c>
      <c r="F213" s="1"/>
      <c r="G213" s="2"/>
    </row>
    <row r="214" spans="1:7" x14ac:dyDescent="0.25">
      <c r="A214" s="1">
        <v>39326</v>
      </c>
      <c r="B214" s="2">
        <v>403.0224993132415</v>
      </c>
      <c r="C214" s="3">
        <f t="shared" si="6"/>
        <v>0.19359949419920924</v>
      </c>
      <c r="D214" s="3">
        <f t="shared" si="7"/>
        <v>0.14445595776358039</v>
      </c>
      <c r="F214" s="1"/>
      <c r="G214" s="2"/>
    </row>
    <row r="215" spans="1:7" x14ac:dyDescent="0.25">
      <c r="A215" s="1">
        <v>39356</v>
      </c>
      <c r="B215" s="2">
        <v>390.9823460979801</v>
      </c>
      <c r="C215" s="3">
        <f t="shared" si="6"/>
        <v>0.30091134605512848</v>
      </c>
      <c r="D215" s="3">
        <f t="shared" si="7"/>
        <v>0.21803307880551731</v>
      </c>
      <c r="F215" s="1"/>
      <c r="G215" s="2"/>
    </row>
    <row r="216" spans="1:7" x14ac:dyDescent="0.25">
      <c r="A216" s="1">
        <v>39387</v>
      </c>
      <c r="B216" s="2">
        <v>398.40047688812547</v>
      </c>
      <c r="C216" s="3">
        <f t="shared" si="6"/>
        <v>0.32672774483895001</v>
      </c>
      <c r="D216" s="3">
        <f t="shared" si="7"/>
        <v>0.23573379187059867</v>
      </c>
      <c r="F216" s="1"/>
      <c r="G216" s="2"/>
    </row>
    <row r="217" spans="1:7" x14ac:dyDescent="0.25">
      <c r="A217" s="1">
        <v>39417</v>
      </c>
      <c r="B217" s="2">
        <v>384.50709876303716</v>
      </c>
      <c r="C217" s="3">
        <f t="shared" si="6"/>
        <v>0.26198433432808421</v>
      </c>
      <c r="D217" s="3">
        <f t="shared" si="7"/>
        <v>0.191343226714556</v>
      </c>
      <c r="F217" s="1"/>
      <c r="G217" s="2"/>
    </row>
    <row r="218" spans="1:7" x14ac:dyDescent="0.25">
      <c r="A218" s="1">
        <v>39448</v>
      </c>
      <c r="B218" s="2">
        <v>391.03659807873976</v>
      </c>
      <c r="C218" s="3">
        <f t="shared" si="6"/>
        <v>0.28890230375171383</v>
      </c>
      <c r="D218" s="3">
        <f t="shared" si="7"/>
        <v>0.20979921885552388</v>
      </c>
      <c r="F218" s="1"/>
      <c r="G218" s="2"/>
    </row>
    <row r="219" spans="1:7" x14ac:dyDescent="0.25">
      <c r="A219" s="1">
        <v>39479</v>
      </c>
      <c r="B219" s="2">
        <v>352.02822703822949</v>
      </c>
      <c r="C219" s="3">
        <f t="shared" si="6"/>
        <v>0.35394370911018924</v>
      </c>
      <c r="D219" s="3">
        <f t="shared" si="7"/>
        <v>0.2543941007071901</v>
      </c>
      <c r="F219" s="1"/>
      <c r="G219" s="2"/>
    </row>
    <row r="220" spans="1:7" x14ac:dyDescent="0.25">
      <c r="A220" s="1">
        <v>39508</v>
      </c>
      <c r="B220" s="2">
        <v>347.91398514714388</v>
      </c>
      <c r="C220" s="3">
        <f t="shared" si="6"/>
        <v>0.30179186937432045</v>
      </c>
      <c r="D220" s="3">
        <f t="shared" si="7"/>
        <v>0.2186367993612246</v>
      </c>
      <c r="F220" s="1"/>
      <c r="G220" s="2"/>
    </row>
    <row r="221" spans="1:7" x14ac:dyDescent="0.25">
      <c r="A221" s="1">
        <v>39539</v>
      </c>
      <c r="B221" s="2">
        <v>340.81835119899807</v>
      </c>
      <c r="C221" s="3">
        <f t="shared" si="6"/>
        <v>0.27305088347389722</v>
      </c>
      <c r="D221" s="3">
        <f t="shared" si="7"/>
        <v>0.19893087721108516</v>
      </c>
      <c r="F221" s="1"/>
      <c r="G221" s="2"/>
    </row>
    <row r="222" spans="1:7" x14ac:dyDescent="0.25">
      <c r="A222" s="1">
        <v>39569</v>
      </c>
      <c r="B222" s="2">
        <v>334.88816613837184</v>
      </c>
      <c r="C222" s="3">
        <f t="shared" si="6"/>
        <v>0.27344363537545524</v>
      </c>
      <c r="D222" s="3">
        <f t="shared" si="7"/>
        <v>0.19920016297682874</v>
      </c>
      <c r="F222" s="1"/>
      <c r="G222" s="2"/>
    </row>
    <row r="223" spans="1:7" x14ac:dyDescent="0.25">
      <c r="A223" s="1">
        <v>39600</v>
      </c>
      <c r="B223" s="2">
        <v>328.62367051904823</v>
      </c>
      <c r="C223" s="3">
        <f t="shared" si="6"/>
        <v>0.23559840990030745</v>
      </c>
      <c r="D223" s="3">
        <f t="shared" si="7"/>
        <v>0.17325202502667048</v>
      </c>
      <c r="F223" s="1"/>
      <c r="G223" s="2"/>
    </row>
    <row r="224" spans="1:7" x14ac:dyDescent="0.25">
      <c r="A224" s="1">
        <v>39630</v>
      </c>
      <c r="B224" s="2">
        <v>318.70939857356109</v>
      </c>
      <c r="C224" s="3">
        <f t="shared" si="6"/>
        <v>0.22125579623180641</v>
      </c>
      <c r="D224" s="3">
        <f t="shared" si="7"/>
        <v>0.16341817905631195</v>
      </c>
      <c r="F224" s="1"/>
      <c r="G224" s="2"/>
    </row>
    <row r="225" spans="1:7" x14ac:dyDescent="0.25">
      <c r="A225" s="1">
        <v>39661</v>
      </c>
      <c r="B225" s="2">
        <v>299.23730354117185</v>
      </c>
      <c r="C225" s="3">
        <f t="shared" si="6"/>
        <v>0.14160343805115991</v>
      </c>
      <c r="D225" s="3">
        <f t="shared" si="7"/>
        <v>0.10880546761972448</v>
      </c>
      <c r="F225" s="1"/>
      <c r="G225" s="2"/>
    </row>
    <row r="226" spans="1:7" x14ac:dyDescent="0.25">
      <c r="A226" s="1">
        <v>39692</v>
      </c>
      <c r="B226" s="2">
        <v>324.99754729529678</v>
      </c>
      <c r="C226" s="3">
        <f t="shared" si="6"/>
        <v>0.18563951478182528</v>
      </c>
      <c r="D226" s="3">
        <f t="shared" si="7"/>
        <v>0.13899829060981128</v>
      </c>
      <c r="F226" s="1"/>
      <c r="G226" s="2"/>
    </row>
    <row r="227" spans="1:7" x14ac:dyDescent="0.25">
      <c r="A227" s="1">
        <v>39722</v>
      </c>
      <c r="B227" s="2">
        <v>273.3313220498448</v>
      </c>
      <c r="C227" s="3">
        <f t="shared" si="6"/>
        <v>6.4299337099340839E-2</v>
      </c>
      <c r="D227" s="3">
        <f t="shared" si="7"/>
        <v>5.5802811394885833E-2</v>
      </c>
      <c r="F227" s="1"/>
      <c r="G227" s="2"/>
    </row>
    <row r="228" spans="1:7" x14ac:dyDescent="0.25">
      <c r="A228" s="1">
        <v>39753</v>
      </c>
      <c r="B228" s="2">
        <v>268.23198753170601</v>
      </c>
      <c r="C228" s="3">
        <f t="shared" si="6"/>
        <v>0.23460158713541074</v>
      </c>
      <c r="D228" s="3">
        <f t="shared" si="7"/>
        <v>0.17256856511090424</v>
      </c>
      <c r="F228" s="1"/>
      <c r="G228" s="2"/>
    </row>
    <row r="229" spans="1:7" x14ac:dyDescent="0.25">
      <c r="A229" s="1">
        <v>39783</v>
      </c>
      <c r="B229" s="2">
        <v>283.77226244917995</v>
      </c>
      <c r="C229" s="3">
        <f t="shared" si="6"/>
        <v>0.25896094006071302</v>
      </c>
      <c r="D229" s="3">
        <f t="shared" si="7"/>
        <v>0.18927027165767618</v>
      </c>
      <c r="F229" s="1"/>
      <c r="G229" s="2"/>
    </row>
    <row r="230" spans="1:7" x14ac:dyDescent="0.25">
      <c r="A230" s="1">
        <v>39814</v>
      </c>
      <c r="B230" s="2">
        <v>278.06522404255884</v>
      </c>
      <c r="C230" s="3">
        <f t="shared" si="6"/>
        <v>0.25920024152203636</v>
      </c>
      <c r="D230" s="3">
        <f t="shared" si="7"/>
        <v>0.1894343459167705</v>
      </c>
      <c r="F230" s="1"/>
      <c r="G230" s="2"/>
    </row>
    <row r="231" spans="1:7" x14ac:dyDescent="0.25">
      <c r="A231" s="1">
        <v>39845</v>
      </c>
      <c r="B231" s="2">
        <v>227.43005064883474</v>
      </c>
      <c r="C231" s="3">
        <f t="shared" si="6"/>
        <v>0.13201788818632079</v>
      </c>
      <c r="D231" s="3">
        <f t="shared" si="7"/>
        <v>0.10223324702655347</v>
      </c>
      <c r="F231" s="1"/>
      <c r="G231" s="2"/>
    </row>
    <row r="232" spans="1:7" x14ac:dyDescent="0.25">
      <c r="A232" s="1">
        <v>39873</v>
      </c>
      <c r="B232" s="2">
        <v>242.91637318811777</v>
      </c>
      <c r="C232" s="3">
        <f t="shared" si="6"/>
        <v>0.1159505782658987</v>
      </c>
      <c r="D232" s="3">
        <f t="shared" si="7"/>
        <v>9.1216883163776644E-2</v>
      </c>
      <c r="F232" s="1"/>
      <c r="G232" s="2"/>
    </row>
    <row r="233" spans="1:7" x14ac:dyDescent="0.25">
      <c r="A233" s="1">
        <v>39904</v>
      </c>
      <c r="B233" s="2">
        <v>247.75759929999467</v>
      </c>
      <c r="C233" s="3">
        <f t="shared" si="6"/>
        <v>5.5709551785527618E-2</v>
      </c>
      <c r="D233" s="3">
        <f t="shared" si="7"/>
        <v>4.991332516546871E-2</v>
      </c>
      <c r="F233" s="1"/>
      <c r="G233" s="2"/>
    </row>
    <row r="234" spans="1:7" x14ac:dyDescent="0.25">
      <c r="A234" s="1">
        <v>39934</v>
      </c>
      <c r="B234" s="2">
        <v>243.31512854527602</v>
      </c>
      <c r="C234" s="3">
        <f t="shared" si="6"/>
        <v>0.21249280571097623</v>
      </c>
      <c r="D234" s="3">
        <f t="shared" si="7"/>
        <v>0.15740993669454428</v>
      </c>
      <c r="F234" s="1"/>
      <c r="G234" s="2"/>
    </row>
    <row r="235" spans="1:7" x14ac:dyDescent="0.25">
      <c r="A235" s="1">
        <v>39965</v>
      </c>
      <c r="B235" s="2">
        <v>251.20045628915793</v>
      </c>
      <c r="C235" s="3">
        <f t="shared" si="6"/>
        <v>0.35025053159754638</v>
      </c>
      <c r="D235" s="3">
        <f t="shared" si="7"/>
        <v>0.25186191657116452</v>
      </c>
      <c r="F235" s="1"/>
      <c r="G235" s="2"/>
    </row>
    <row r="236" spans="1:7" x14ac:dyDescent="0.25">
      <c r="A236" s="1">
        <v>39995</v>
      </c>
      <c r="B236" s="2">
        <v>248.19309682560768</v>
      </c>
      <c r="C236" s="3">
        <f t="shared" si="6"/>
        <v>0.36050188575230097</v>
      </c>
      <c r="D236" s="3">
        <f t="shared" si="7"/>
        <v>0.25889063811909613</v>
      </c>
      <c r="F236" s="1"/>
      <c r="G236" s="2"/>
    </row>
    <row r="237" spans="1:7" x14ac:dyDescent="0.25">
      <c r="A237" s="1">
        <v>40026</v>
      </c>
      <c r="B237" s="2">
        <v>256.8642725665834</v>
      </c>
      <c r="C237" s="3">
        <f t="shared" si="6"/>
        <v>0.37237046637712973</v>
      </c>
      <c r="D237" s="3">
        <f t="shared" si="7"/>
        <v>0.26702819215554568</v>
      </c>
      <c r="F237" s="1"/>
      <c r="G237" s="2"/>
    </row>
    <row r="238" spans="1:7" x14ac:dyDescent="0.25">
      <c r="A238" s="1">
        <v>40057</v>
      </c>
      <c r="B238" s="2">
        <v>264.66516031011457</v>
      </c>
      <c r="C238" s="3">
        <f t="shared" si="6"/>
        <v>0.35649104916734226</v>
      </c>
      <c r="D238" s="3">
        <f t="shared" si="7"/>
        <v>0.25614065474086539</v>
      </c>
      <c r="F238" s="1"/>
      <c r="G238" s="2"/>
    </row>
    <row r="239" spans="1:7" x14ac:dyDescent="0.25">
      <c r="A239" s="1">
        <v>40087</v>
      </c>
      <c r="B239" s="2">
        <v>255.75629923355334</v>
      </c>
      <c r="C239" s="3">
        <f t="shared" si="6"/>
        <v>0.33683958359680327</v>
      </c>
      <c r="D239" s="3">
        <f t="shared" si="7"/>
        <v>0.24266685631199925</v>
      </c>
      <c r="F239" s="1"/>
      <c r="G239" s="2"/>
    </row>
    <row r="240" spans="1:7" x14ac:dyDescent="0.25">
      <c r="A240" s="1">
        <v>40118</v>
      </c>
      <c r="B240" s="2">
        <v>205.30433753628208</v>
      </c>
      <c r="C240" s="3">
        <f t="shared" si="6"/>
        <v>0.11013015882127031</v>
      </c>
      <c r="D240" s="3">
        <f t="shared" si="7"/>
        <v>8.7226180379453719E-2</v>
      </c>
      <c r="F240" s="1"/>
      <c r="G240" s="2"/>
    </row>
    <row r="241" spans="1:7" x14ac:dyDescent="0.25">
      <c r="A241" s="1">
        <v>40148</v>
      </c>
      <c r="B241" s="2">
        <v>210.28633060218493</v>
      </c>
      <c r="C241" s="3">
        <f t="shared" si="6"/>
        <v>0.10196677036268086</v>
      </c>
      <c r="D241" s="3">
        <f t="shared" si="7"/>
        <v>8.1629048186297404E-2</v>
      </c>
      <c r="F241" s="1"/>
      <c r="G241" s="2"/>
    </row>
    <row r="242" spans="1:7" x14ac:dyDescent="0.25">
      <c r="A242" s="1">
        <v>40179</v>
      </c>
      <c r="B242" s="2">
        <v>205.99065081184844</v>
      </c>
      <c r="C242" s="3">
        <f t="shared" si="6"/>
        <v>0.15576463570226132</v>
      </c>
      <c r="D242" s="3">
        <f t="shared" si="7"/>
        <v>0.11851492781124953</v>
      </c>
      <c r="F242" s="1"/>
      <c r="G242" s="2"/>
    </row>
    <row r="243" spans="1:7" x14ac:dyDescent="0.25">
      <c r="A243" s="1">
        <v>40210</v>
      </c>
      <c r="B243" s="2">
        <v>197.4052156520676</v>
      </c>
      <c r="C243" s="3">
        <f t="shared" si="6"/>
        <v>0.14793787924586255</v>
      </c>
      <c r="D243" s="3">
        <f t="shared" si="7"/>
        <v>0.11314860342863244</v>
      </c>
      <c r="F243" s="1"/>
      <c r="G243" s="2"/>
    </row>
    <row r="244" spans="1:7" x14ac:dyDescent="0.25">
      <c r="A244" s="1">
        <v>40238</v>
      </c>
      <c r="B244" s="2">
        <v>214.75007924670066</v>
      </c>
      <c r="C244" s="3">
        <f t="shared" si="6"/>
        <v>0.17002443768318459</v>
      </c>
      <c r="D244" s="3">
        <f t="shared" si="7"/>
        <v>0.12829199491277649</v>
      </c>
      <c r="F244" s="1"/>
      <c r="G244" s="2"/>
    </row>
    <row r="245" spans="1:7" x14ac:dyDescent="0.25">
      <c r="A245" s="1">
        <v>40269</v>
      </c>
      <c r="B245" s="2">
        <v>233.95513449153361</v>
      </c>
      <c r="C245" s="3">
        <f t="shared" si="6"/>
        <v>0.22480343178103435</v>
      </c>
      <c r="D245" s="3">
        <f t="shared" si="7"/>
        <v>0.16585057404068593</v>
      </c>
      <c r="F245" s="1"/>
      <c r="G245" s="2"/>
    </row>
    <row r="246" spans="1:7" x14ac:dyDescent="0.25">
      <c r="A246" s="1">
        <v>40299</v>
      </c>
      <c r="B246" s="2">
        <v>191.61241420876348</v>
      </c>
      <c r="C246" s="3">
        <f t="shared" si="6"/>
        <v>6.4195792936312973E-2</v>
      </c>
      <c r="D246" s="3">
        <f t="shared" si="7"/>
        <v>5.573181754579528E-2</v>
      </c>
      <c r="F246" s="1"/>
      <c r="G246" s="2"/>
    </row>
    <row r="247" spans="1:7" x14ac:dyDescent="0.25">
      <c r="A247" s="1">
        <v>40330</v>
      </c>
      <c r="B247" s="2">
        <v>163.21736293633415</v>
      </c>
      <c r="C247" s="3">
        <f t="shared" si="6"/>
        <v>-6.0691055571998595E-2</v>
      </c>
      <c r="D247" s="3">
        <f t="shared" si="7"/>
        <v>-2.9895395202143418E-2</v>
      </c>
      <c r="F247" s="1"/>
      <c r="G247" s="2"/>
    </row>
    <row r="248" spans="1:7" x14ac:dyDescent="0.25">
      <c r="A248" s="1">
        <v>40360</v>
      </c>
      <c r="B248" s="2">
        <v>158.71901738927269</v>
      </c>
      <c r="C248" s="3">
        <f t="shared" si="6"/>
        <v>-8.3169664223906772E-2</v>
      </c>
      <c r="D248" s="3">
        <f t="shared" si="7"/>
        <v>-4.5307591348533467E-2</v>
      </c>
      <c r="F248" s="1"/>
      <c r="G248" s="2"/>
    </row>
    <row r="249" spans="1:7" x14ac:dyDescent="0.25">
      <c r="A249" s="1">
        <v>40391</v>
      </c>
      <c r="B249" s="2">
        <v>161.21560359534257</v>
      </c>
      <c r="C249" s="3">
        <f t="shared" si="6"/>
        <v>3.0094942535785499E-2</v>
      </c>
      <c r="D249" s="3">
        <f t="shared" si="7"/>
        <v>3.2350966743580782E-2</v>
      </c>
      <c r="F249" s="1"/>
      <c r="G249" s="2"/>
    </row>
    <row r="250" spans="1:7" x14ac:dyDescent="0.25">
      <c r="A250" s="1">
        <v>40422</v>
      </c>
      <c r="B250" s="2">
        <v>170.314399633119</v>
      </c>
      <c r="C250" s="3">
        <f t="shared" si="6"/>
        <v>6.2178925743277942E-2</v>
      </c>
      <c r="D250" s="3">
        <f t="shared" si="7"/>
        <v>5.4348976051393612E-2</v>
      </c>
      <c r="F250" s="1"/>
      <c r="G250" s="2"/>
    </row>
    <row r="251" spans="1:7" x14ac:dyDescent="0.25">
      <c r="A251" s="1">
        <v>40452</v>
      </c>
      <c r="B251" s="2">
        <v>169.60745389746381</v>
      </c>
      <c r="C251" s="3">
        <f t="shared" si="6"/>
        <v>5.6523311654861082E-2</v>
      </c>
      <c r="D251" s="3">
        <f t="shared" si="7"/>
        <v>5.0471270139574718E-2</v>
      </c>
      <c r="F251" s="1"/>
      <c r="G251" s="2"/>
    </row>
    <row r="252" spans="1:7" x14ac:dyDescent="0.25">
      <c r="A252" s="1">
        <v>40483</v>
      </c>
      <c r="B252" s="2">
        <v>182.69413823671565</v>
      </c>
      <c r="C252" s="3">
        <f t="shared" si="6"/>
        <v>4.4238784155370754E-2</v>
      </c>
      <c r="D252" s="3">
        <f t="shared" si="7"/>
        <v>4.2048526974294544E-2</v>
      </c>
      <c r="F252" s="1"/>
      <c r="G252" s="2"/>
    </row>
    <row r="253" spans="1:7" x14ac:dyDescent="0.25">
      <c r="A253" s="1">
        <v>40513</v>
      </c>
      <c r="B253" s="2">
        <v>188.84411261926115</v>
      </c>
      <c r="C253" s="3">
        <f t="shared" si="6"/>
        <v>8.438277947439618E-2</v>
      </c>
      <c r="D253" s="3">
        <f t="shared" si="7"/>
        <v>6.9572789687238859E-2</v>
      </c>
      <c r="F253" s="1"/>
      <c r="G253" s="2"/>
    </row>
    <row r="254" spans="1:7" x14ac:dyDescent="0.25">
      <c r="A254" s="1">
        <v>40544</v>
      </c>
      <c r="B254" s="2">
        <v>173.90459213006915</v>
      </c>
      <c r="C254" s="3">
        <f t="shared" si="6"/>
        <v>8.302853384027295E-3</v>
      </c>
      <c r="D254" s="3">
        <f t="shared" si="7"/>
        <v>1.740947469451639E-2</v>
      </c>
      <c r="F254" s="1"/>
      <c r="G254" s="2"/>
    </row>
    <row r="255" spans="1:7" x14ac:dyDescent="0.25">
      <c r="A255" s="1">
        <v>40575</v>
      </c>
      <c r="B255" s="2">
        <v>168.20150669642857</v>
      </c>
      <c r="C255" s="3">
        <f t="shared" si="6"/>
        <v>4.858566759948757E-2</v>
      </c>
      <c r="D255" s="3">
        <f t="shared" si="7"/>
        <v>4.5028916966561118E-2</v>
      </c>
      <c r="F255" s="1"/>
      <c r="G255" s="2"/>
    </row>
    <row r="256" spans="1:7" x14ac:dyDescent="0.25">
      <c r="A256" s="1">
        <v>40603</v>
      </c>
      <c r="B256" s="2">
        <v>178.23731778036105</v>
      </c>
      <c r="C256" s="3">
        <f t="shared" si="6"/>
        <v>9.4173446506162477E-3</v>
      </c>
      <c r="D256" s="3">
        <f t="shared" si="7"/>
        <v>1.8173612647629851E-2</v>
      </c>
      <c r="F256" s="1"/>
      <c r="G256" s="2"/>
    </row>
    <row r="257" spans="1:7" x14ac:dyDescent="0.25">
      <c r="A257" s="1">
        <v>40634</v>
      </c>
      <c r="B257" s="2">
        <v>181.36121737504342</v>
      </c>
      <c r="C257" s="3">
        <f t="shared" si="6"/>
        <v>2.0790499054557571E-2</v>
      </c>
      <c r="D257" s="3">
        <f t="shared" si="7"/>
        <v>2.5971483467443414E-2</v>
      </c>
      <c r="F257" s="1"/>
      <c r="G257" s="2"/>
    </row>
    <row r="258" spans="1:7" x14ac:dyDescent="0.25">
      <c r="A258" s="1">
        <v>40664</v>
      </c>
      <c r="B258" s="2">
        <v>179.31170334219067</v>
      </c>
      <c r="C258" s="3">
        <f t="shared" si="6"/>
        <v>6.6549425224715622E-3</v>
      </c>
      <c r="D258" s="3">
        <f t="shared" si="7"/>
        <v>1.627960381045224E-2</v>
      </c>
      <c r="F258" s="1"/>
      <c r="G258" s="2"/>
    </row>
    <row r="259" spans="1:7" x14ac:dyDescent="0.25">
      <c r="A259" s="1">
        <v>40695</v>
      </c>
      <c r="B259" s="2">
        <v>173.12319698061827</v>
      </c>
      <c r="C259" s="3">
        <f t="shared" ref="C259:C307" si="8">(B259-B271)/B259</f>
        <v>-2.4527295925030661E-2</v>
      </c>
      <c r="D259" s="3">
        <f t="shared" ref="D259:D307" si="9">0.01171672+0.68563835*C259</f>
        <v>-5.1001347079997449E-3</v>
      </c>
      <c r="F259" s="1"/>
      <c r="G259" s="2"/>
    </row>
    <row r="260" spans="1:7" x14ac:dyDescent="0.25">
      <c r="A260" s="1">
        <v>40725</v>
      </c>
      <c r="B260" s="2">
        <v>171.91962477148692</v>
      </c>
      <c r="C260" s="3">
        <f t="shared" si="8"/>
        <v>-2.5324561905304407E-2</v>
      </c>
      <c r="D260" s="3">
        <f t="shared" si="9"/>
        <v>-5.6467708392257676E-3</v>
      </c>
      <c r="F260" s="1"/>
      <c r="G260" s="2"/>
    </row>
    <row r="261" spans="1:7" x14ac:dyDescent="0.25">
      <c r="A261" s="1">
        <v>40756</v>
      </c>
      <c r="B261" s="2">
        <v>156.36382926926876</v>
      </c>
      <c r="C261" s="3">
        <f t="shared" si="8"/>
        <v>-6.7483405700880086E-2</v>
      </c>
      <c r="D261" s="3">
        <f t="shared" si="9"/>
        <v>-3.4552490937132016E-2</v>
      </c>
      <c r="F261" s="1"/>
      <c r="G261" s="2"/>
    </row>
    <row r="262" spans="1:7" x14ac:dyDescent="0.25">
      <c r="A262" s="1">
        <v>40787</v>
      </c>
      <c r="B262" s="2">
        <v>159.72443322532033</v>
      </c>
      <c r="C262" s="3">
        <f t="shared" si="8"/>
        <v>-0.11447589495368908</v>
      </c>
      <c r="D262" s="3">
        <f t="shared" si="9"/>
        <v>-6.6772343730820707E-2</v>
      </c>
      <c r="F262" s="1"/>
      <c r="G262" s="2"/>
    </row>
    <row r="263" spans="1:7" x14ac:dyDescent="0.25">
      <c r="A263" s="1">
        <v>40817</v>
      </c>
      <c r="B263" s="2">
        <v>160.02067892182998</v>
      </c>
      <c r="C263" s="3">
        <f t="shared" si="8"/>
        <v>-0.12699708841867646</v>
      </c>
      <c r="D263" s="3">
        <f t="shared" si="9"/>
        <v>-7.5357354158185438E-2</v>
      </c>
      <c r="F263" s="1"/>
      <c r="G263" s="2"/>
    </row>
    <row r="264" spans="1:7" x14ac:dyDescent="0.25">
      <c r="A264" s="1">
        <v>40848</v>
      </c>
      <c r="B264" s="2">
        <v>174.61197168881012</v>
      </c>
      <c r="C264" s="3">
        <f t="shared" si="8"/>
        <v>-5.9224331562148208E-2</v>
      </c>
      <c r="D264" s="3">
        <f t="shared" si="9"/>
        <v>-2.8889752972124219E-2</v>
      </c>
      <c r="F264" s="1"/>
      <c r="G264" s="2"/>
    </row>
    <row r="265" spans="1:7" x14ac:dyDescent="0.25">
      <c r="A265" s="1">
        <v>40878</v>
      </c>
      <c r="B265" s="2">
        <v>172.908921509072</v>
      </c>
      <c r="C265" s="3">
        <f t="shared" si="8"/>
        <v>-3.7736763811509699E-2</v>
      </c>
      <c r="D265" s="3">
        <f t="shared" si="9"/>
        <v>-1.4157052474063219E-2</v>
      </c>
      <c r="F265" s="1"/>
      <c r="G265" s="2"/>
    </row>
    <row r="266" spans="1:7" x14ac:dyDescent="0.25">
      <c r="A266" s="1">
        <v>40909</v>
      </c>
      <c r="B266" s="2">
        <v>172.46068779880412</v>
      </c>
      <c r="C266" s="3">
        <f t="shared" si="8"/>
        <v>-0.11767781441735921</v>
      </c>
      <c r="D266" s="3">
        <f t="shared" si="9"/>
        <v>-6.8967702508724374E-2</v>
      </c>
      <c r="F266" s="1"/>
      <c r="G266" s="2"/>
    </row>
    <row r="267" spans="1:7" x14ac:dyDescent="0.25">
      <c r="A267" s="1">
        <v>40940</v>
      </c>
      <c r="B267" s="2">
        <v>160.02932420234291</v>
      </c>
      <c r="C267" s="3">
        <f t="shared" si="8"/>
        <v>-0.1523074420049437</v>
      </c>
      <c r="D267" s="3">
        <f t="shared" si="9"/>
        <v>-9.2711103228990288E-2</v>
      </c>
      <c r="F267" s="1"/>
      <c r="G267" s="2"/>
    </row>
    <row r="268" spans="1:7" x14ac:dyDescent="0.25">
      <c r="A268" s="1">
        <v>40969</v>
      </c>
      <c r="B268" s="2">
        <v>176.55879552922198</v>
      </c>
      <c r="C268" s="3">
        <f t="shared" si="8"/>
        <v>-9.8254753094330891E-2</v>
      </c>
      <c r="D268" s="3">
        <f t="shared" si="9"/>
        <v>-5.5650506791254425E-2</v>
      </c>
      <c r="F268" s="1"/>
      <c r="G268" s="2"/>
    </row>
    <row r="269" spans="1:7" x14ac:dyDescent="0.25">
      <c r="A269" s="1">
        <v>41000</v>
      </c>
      <c r="B269" s="2">
        <v>177.59062715667417</v>
      </c>
      <c r="C269" s="3">
        <f t="shared" si="8"/>
        <v>-0.13943810279183536</v>
      </c>
      <c r="D269" s="3">
        <f t="shared" si="9"/>
        <v>-8.3887390725324376E-2</v>
      </c>
      <c r="F269" s="1"/>
      <c r="G269" s="2"/>
    </row>
    <row r="270" spans="1:7" x14ac:dyDescent="0.25">
      <c r="A270" s="1">
        <v>41030</v>
      </c>
      <c r="B270" s="2">
        <v>178.11839426284192</v>
      </c>
      <c r="C270" s="3">
        <f t="shared" si="8"/>
        <v>-0.11370642315720274</v>
      </c>
      <c r="D270" s="3">
        <f t="shared" si="9"/>
        <v>-6.6244764357906272E-2</v>
      </c>
      <c r="F270" s="1"/>
      <c r="G270" s="2"/>
    </row>
    <row r="271" spans="1:7" x14ac:dyDescent="0.25">
      <c r="A271" s="1">
        <v>41061</v>
      </c>
      <c r="B271" s="2">
        <v>177.36944086444927</v>
      </c>
      <c r="C271" s="3">
        <f t="shared" si="8"/>
        <v>-0.1267662406314683</v>
      </c>
      <c r="D271" s="3">
        <f t="shared" si="9"/>
        <v>-7.5199076062262879E-2</v>
      </c>
      <c r="F271" s="1"/>
      <c r="G271" s="2"/>
    </row>
    <row r="272" spans="1:7" x14ac:dyDescent="0.25">
      <c r="A272" s="1">
        <v>41091</v>
      </c>
      <c r="B272" s="2">
        <v>176.27341395174915</v>
      </c>
      <c r="C272" s="3">
        <f t="shared" si="8"/>
        <v>-5.9663807717074684E-2</v>
      </c>
      <c r="D272" s="3">
        <f t="shared" si="9"/>
        <v>-2.9191074677852348E-2</v>
      </c>
      <c r="F272" s="1"/>
      <c r="G272" s="2"/>
    </row>
    <row r="273" spans="1:7" x14ac:dyDescent="0.25">
      <c r="A273" s="1">
        <v>41122</v>
      </c>
      <c r="B273" s="2">
        <v>166.91579299678997</v>
      </c>
      <c r="C273" s="3">
        <f t="shared" si="8"/>
        <v>-5.7895445417944141E-2</v>
      </c>
      <c r="D273" s="3">
        <f t="shared" si="9"/>
        <v>-2.797861766887428E-2</v>
      </c>
      <c r="F273" s="1"/>
      <c r="G273" s="2"/>
    </row>
    <row r="274" spans="1:7" x14ac:dyDescent="0.25">
      <c r="A274" s="1">
        <v>41153</v>
      </c>
      <c r="B274" s="2">
        <v>178.00903066475962</v>
      </c>
      <c r="C274" s="3">
        <f t="shared" si="8"/>
        <v>-6.4271417576107744E-3</v>
      </c>
      <c r="D274" s="3">
        <f t="shared" si="9"/>
        <v>7.310025130095649E-3</v>
      </c>
      <c r="F274" s="1"/>
      <c r="G274" s="2"/>
    </row>
    <row r="275" spans="1:7" x14ac:dyDescent="0.25">
      <c r="A275" s="1">
        <v>41183</v>
      </c>
      <c r="B275" s="2">
        <v>180.34283923168226</v>
      </c>
      <c r="C275" s="3">
        <f t="shared" si="8"/>
        <v>4.5204543304506538E-2</v>
      </c>
      <c r="D275" s="3">
        <f t="shared" si="9"/>
        <v>4.2710688483805409E-2</v>
      </c>
      <c r="F275" s="1"/>
      <c r="G275" s="2"/>
    </row>
    <row r="276" spans="1:7" x14ac:dyDescent="0.25">
      <c r="A276" s="1">
        <v>41214</v>
      </c>
      <c r="B276" s="2">
        <v>184.95324899482864</v>
      </c>
      <c r="C276" s="3">
        <f t="shared" si="8"/>
        <v>4.8167149905232305E-2</v>
      </c>
      <c r="D276" s="3">
        <f t="shared" si="9"/>
        <v>4.4741965185226135E-2</v>
      </c>
      <c r="F276" s="1"/>
      <c r="G276" s="2"/>
    </row>
    <row r="277" spans="1:7" x14ac:dyDescent="0.25">
      <c r="A277" s="1">
        <v>41244</v>
      </c>
      <c r="B277" s="2">
        <v>179.43394464096272</v>
      </c>
      <c r="C277" s="3">
        <f t="shared" si="8"/>
        <v>7.8943820237856746E-2</v>
      </c>
      <c r="D277" s="3">
        <f t="shared" si="9"/>
        <v>6.5843630650580701E-2</v>
      </c>
      <c r="F277" s="1"/>
      <c r="G277" s="2"/>
    </row>
    <row r="278" spans="1:7" x14ac:dyDescent="0.25">
      <c r="A278" s="1">
        <v>41275</v>
      </c>
      <c r="B278" s="2">
        <v>192.75548461188191</v>
      </c>
      <c r="C278" s="3">
        <f t="shared" si="8"/>
        <v>0.10437823628309874</v>
      </c>
      <c r="D278" s="3">
        <f t="shared" si="9"/>
        <v>8.328244170105395E-2</v>
      </c>
      <c r="F278" s="1"/>
      <c r="G278" s="2"/>
    </row>
    <row r="279" spans="1:7" x14ac:dyDescent="0.25">
      <c r="A279" s="1">
        <v>41306</v>
      </c>
      <c r="B279" s="2">
        <v>184.40298121738158</v>
      </c>
      <c r="C279" s="3">
        <f t="shared" si="8"/>
        <v>0.16162467848093054</v>
      </c>
      <c r="D279" s="3">
        <f t="shared" si="9"/>
        <v>0.12253279787294571</v>
      </c>
      <c r="F279" s="1"/>
      <c r="G279" s="2"/>
    </row>
    <row r="280" spans="1:7" x14ac:dyDescent="0.25">
      <c r="A280" s="1">
        <v>41334</v>
      </c>
      <c r="B280" s="2">
        <v>193.90653639057814</v>
      </c>
      <c r="C280" s="3">
        <f t="shared" si="8"/>
        <v>0.16558693686333753</v>
      </c>
      <c r="D280" s="3">
        <f t="shared" si="9"/>
        <v>0.1252494741725329</v>
      </c>
      <c r="F280" s="1"/>
      <c r="G280" s="2"/>
    </row>
    <row r="281" spans="1:7" x14ac:dyDescent="0.25">
      <c r="A281" s="1">
        <v>41365</v>
      </c>
      <c r="B281" s="2">
        <v>202.35352728101302</v>
      </c>
      <c r="C281" s="3">
        <f t="shared" si="8"/>
        <v>0.17334934707300942</v>
      </c>
      <c r="D281" s="3">
        <f t="shared" si="9"/>
        <v>0.1305716803007155</v>
      </c>
      <c r="F281" s="1"/>
      <c r="G281" s="2"/>
    </row>
    <row r="282" spans="1:7" x14ac:dyDescent="0.25">
      <c r="A282" s="1">
        <v>41395</v>
      </c>
      <c r="B282" s="2">
        <v>198.37159977297409</v>
      </c>
      <c r="C282" s="3">
        <f t="shared" si="8"/>
        <v>0.14646841929718402</v>
      </c>
      <c r="D282" s="3">
        <f t="shared" si="9"/>
        <v>0.1121410853340294</v>
      </c>
      <c r="F282" s="1"/>
      <c r="G282" s="2"/>
    </row>
    <row r="283" spans="1:7" x14ac:dyDescent="0.25">
      <c r="A283" s="1">
        <v>41426</v>
      </c>
      <c r="B283" s="2">
        <v>199.85389808574104</v>
      </c>
      <c r="C283" s="3">
        <f t="shared" si="8"/>
        <v>0.15576871995966057</v>
      </c>
      <c r="D283" s="3">
        <f t="shared" si="9"/>
        <v>0.11851772813475374</v>
      </c>
      <c r="F283" s="1"/>
      <c r="G283" s="2"/>
    </row>
    <row r="284" spans="1:7" x14ac:dyDescent="0.25">
      <c r="A284" s="1">
        <v>41456</v>
      </c>
      <c r="B284" s="2">
        <v>186.79055702739862</v>
      </c>
      <c r="C284" s="3">
        <f t="shared" si="8"/>
        <v>0.13626343367272115</v>
      </c>
      <c r="D284" s="3">
        <f t="shared" si="9"/>
        <v>0.10514415582869896</v>
      </c>
      <c r="F284" s="1"/>
      <c r="G284" s="2"/>
    </row>
    <row r="285" spans="1:7" x14ac:dyDescent="0.25">
      <c r="A285" s="1">
        <v>41487</v>
      </c>
      <c r="B285" s="2">
        <v>176.57945717962849</v>
      </c>
      <c r="C285" s="3">
        <f t="shared" si="8"/>
        <v>0.11696312137049575</v>
      </c>
      <c r="D285" s="3">
        <f t="shared" si="9"/>
        <v>9.1911121547316441E-2</v>
      </c>
      <c r="F285" s="1"/>
      <c r="G285" s="2"/>
    </row>
    <row r="286" spans="1:7" x14ac:dyDescent="0.25">
      <c r="A286" s="1">
        <v>41518</v>
      </c>
      <c r="B286" s="2">
        <v>179.15311993897691</v>
      </c>
      <c r="C286" s="3">
        <f t="shared" si="8"/>
        <v>0.12373189669899676</v>
      </c>
      <c r="D286" s="3">
        <f t="shared" si="9"/>
        <v>9.6552053495070581E-2</v>
      </c>
      <c r="F286" s="1"/>
      <c r="G286" s="2"/>
    </row>
    <row r="287" spans="1:7" x14ac:dyDescent="0.25">
      <c r="A287" s="1">
        <v>41548</v>
      </c>
      <c r="B287" s="2">
        <v>172.19052354597602</v>
      </c>
      <c r="C287" s="3">
        <f t="shared" si="8"/>
        <v>0.10287394166851106</v>
      </c>
      <c r="D287" s="3">
        <f t="shared" si="9"/>
        <v>8.225103962359416E-2</v>
      </c>
      <c r="F287" s="1"/>
      <c r="G287" s="2"/>
    </row>
    <row r="288" spans="1:7" x14ac:dyDescent="0.25">
      <c r="A288" s="1">
        <v>41579</v>
      </c>
      <c r="B288" s="2">
        <v>176.04457812503497</v>
      </c>
      <c r="C288" s="3">
        <f t="shared" si="8"/>
        <v>8.3481497592362772E-2</v>
      </c>
      <c r="D288" s="3">
        <f t="shared" si="9"/>
        <v>6.8954836264756569E-2</v>
      </c>
      <c r="F288" s="1"/>
      <c r="G288" s="2"/>
    </row>
    <row r="289" spans="1:7" x14ac:dyDescent="0.25">
      <c r="A289" s="1">
        <v>41609</v>
      </c>
      <c r="B289" s="2">
        <v>165.26874357065702</v>
      </c>
      <c r="C289" s="3">
        <f t="shared" si="8"/>
        <v>5.8243967767733995E-2</v>
      </c>
      <c r="D289" s="3">
        <f t="shared" si="9"/>
        <v>5.1651017957722319E-2</v>
      </c>
      <c r="F289" s="1"/>
      <c r="G289" s="2"/>
    </row>
    <row r="290" spans="1:7" x14ac:dyDescent="0.25">
      <c r="A290" s="1">
        <v>41640</v>
      </c>
      <c r="B290" s="2">
        <v>172.6360070941997</v>
      </c>
      <c r="C290" s="3">
        <f t="shared" si="8"/>
        <v>-2.896258954304053E-3</v>
      </c>
      <c r="D290" s="3">
        <f t="shared" si="9"/>
        <v>9.7309337893982436E-3</v>
      </c>
      <c r="F290" s="1"/>
      <c r="G290" s="2"/>
    </row>
    <row r="291" spans="1:7" x14ac:dyDescent="0.25">
      <c r="A291" s="1">
        <v>41671</v>
      </c>
      <c r="B291" s="2">
        <v>154.59890866719721</v>
      </c>
      <c r="C291" s="3">
        <f t="shared" si="8"/>
        <v>-2.8440325907031862E-2</v>
      </c>
      <c r="D291" s="3">
        <f t="shared" si="9"/>
        <v>-7.7830581283595789E-3</v>
      </c>
      <c r="F291" s="1"/>
      <c r="G291" s="2"/>
    </row>
    <row r="292" spans="1:7" x14ac:dyDescent="0.25">
      <c r="A292" s="1">
        <v>41699</v>
      </c>
      <c r="B292" s="2">
        <v>161.79814699188302</v>
      </c>
      <c r="C292" s="3">
        <f t="shared" si="8"/>
        <v>-3.0813301229825871E-2</v>
      </c>
      <c r="D292" s="3">
        <f t="shared" si="9"/>
        <v>-9.4100610132707811E-3</v>
      </c>
      <c r="F292" s="1"/>
      <c r="G292" s="2"/>
    </row>
    <row r="293" spans="1:7" x14ac:dyDescent="0.25">
      <c r="A293" s="1">
        <v>41730</v>
      </c>
      <c r="B293" s="2">
        <v>167.27567544892901</v>
      </c>
      <c r="C293" s="3">
        <f t="shared" si="8"/>
        <v>-0.13336555771694908</v>
      </c>
      <c r="D293" s="3">
        <f t="shared" si="9"/>
        <v>-7.9723820939878731E-2</v>
      </c>
      <c r="F293" s="1"/>
      <c r="G293" s="2"/>
    </row>
    <row r="294" spans="1:7" x14ac:dyDescent="0.25">
      <c r="A294" s="1">
        <v>41760</v>
      </c>
      <c r="B294" s="2">
        <v>169.31642512077295</v>
      </c>
      <c r="C294" s="3">
        <f t="shared" si="8"/>
        <v>-0.11920648943859918</v>
      </c>
      <c r="D294" s="3">
        <f t="shared" si="9"/>
        <v>-7.0015820727973563E-2</v>
      </c>
      <c r="F294" s="1"/>
      <c r="G294" s="2"/>
    </row>
    <row r="295" spans="1:7" x14ac:dyDescent="0.25">
      <c r="A295" s="1">
        <v>41791</v>
      </c>
      <c r="B295" s="2">
        <v>168.7229122019767</v>
      </c>
      <c r="C295" s="3">
        <f t="shared" si="8"/>
        <v>-0.14936463854570203</v>
      </c>
      <c r="D295" s="3">
        <f t="shared" si="9"/>
        <v>-9.0693404320821541E-2</v>
      </c>
      <c r="F295" s="1"/>
      <c r="G295" s="2"/>
    </row>
    <row r="296" spans="1:7" x14ac:dyDescent="0.25">
      <c r="A296" s="1">
        <v>41821</v>
      </c>
      <c r="B296" s="2">
        <v>161.33783434920505</v>
      </c>
      <c r="C296" s="3">
        <f t="shared" si="8"/>
        <v>-0.17455426700195723</v>
      </c>
      <c r="D296" s="3">
        <f t="shared" si="9"/>
        <v>-0.10796437961268139</v>
      </c>
      <c r="F296" s="1"/>
      <c r="G296" s="2"/>
    </row>
    <row r="297" spans="1:7" x14ac:dyDescent="0.25">
      <c r="A297" s="1">
        <v>41852</v>
      </c>
      <c r="B297" s="2">
        <v>155.92617269799135</v>
      </c>
      <c r="C297" s="3">
        <f t="shared" si="8"/>
        <v>-0.20096698023223064</v>
      </c>
      <c r="D297" s="3">
        <f t="shared" si="9"/>
        <v>-0.12607394873090921</v>
      </c>
      <c r="F297" s="1"/>
      <c r="G297" s="2"/>
    </row>
    <row r="298" spans="1:7" x14ac:dyDescent="0.25">
      <c r="A298" s="1">
        <v>41883</v>
      </c>
      <c r="B298" s="2">
        <v>156.98616460938445</v>
      </c>
      <c r="C298" s="3">
        <f t="shared" si="8"/>
        <v>-0.22169686739943956</v>
      </c>
      <c r="D298" s="3">
        <f t="shared" si="9"/>
        <v>-0.14028715436392053</v>
      </c>
      <c r="F298" s="1"/>
      <c r="G298" s="2"/>
    </row>
    <row r="299" spans="1:7" x14ac:dyDescent="0.25">
      <c r="A299" s="1">
        <v>41913</v>
      </c>
      <c r="B299" s="2">
        <v>154.4766056708369</v>
      </c>
      <c r="C299" s="3">
        <f t="shared" si="8"/>
        <v>-0.22162100140722807</v>
      </c>
      <c r="D299" s="3">
        <f t="shared" si="9"/>
        <v>-0.14023513773019952</v>
      </c>
      <c r="F299" s="1"/>
      <c r="G299" s="2"/>
    </row>
    <row r="300" spans="1:7" x14ac:dyDescent="0.25">
      <c r="A300" s="1">
        <v>41944</v>
      </c>
      <c r="B300" s="2">
        <v>161.34811310014135</v>
      </c>
      <c r="C300" s="3">
        <f t="shared" si="8"/>
        <v>-0.22516070678175656</v>
      </c>
      <c r="D300" s="3">
        <f t="shared" si="9"/>
        <v>-0.14266209548267739</v>
      </c>
      <c r="F300" s="1"/>
      <c r="G300" s="2"/>
    </row>
    <row r="301" spans="1:7" x14ac:dyDescent="0.25">
      <c r="A301" s="1">
        <v>41974</v>
      </c>
      <c r="B301" s="2">
        <v>155.64283619711378</v>
      </c>
      <c r="C301" s="3">
        <f t="shared" si="8"/>
        <v>-0.35869054000592315</v>
      </c>
      <c r="D301" s="3">
        <f t="shared" si="9"/>
        <v>-0.23421527001027015</v>
      </c>
      <c r="F301" s="1"/>
      <c r="G301" s="2"/>
    </row>
    <row r="302" spans="1:7" x14ac:dyDescent="0.25">
      <c r="A302" s="1">
        <v>42005</v>
      </c>
      <c r="B302" s="2">
        <v>173.13600567558157</v>
      </c>
      <c r="C302" s="3">
        <f t="shared" si="8"/>
        <v>-0.20691523954042915</v>
      </c>
      <c r="D302" s="3">
        <f t="shared" si="9"/>
        <v>-0.1301523034283546</v>
      </c>
      <c r="F302" s="1"/>
      <c r="G302" s="2"/>
    </row>
    <row r="303" spans="1:7" x14ac:dyDescent="0.25">
      <c r="A303" s="1">
        <v>42036</v>
      </c>
      <c r="B303" s="2">
        <v>158.99575201456375</v>
      </c>
      <c r="C303" s="3">
        <f t="shared" si="8"/>
        <v>-0.28282679256417825</v>
      </c>
      <c r="D303" s="3">
        <f t="shared" si="9"/>
        <v>-0.18220017538949546</v>
      </c>
      <c r="F303" s="1"/>
      <c r="G303" s="2"/>
    </row>
    <row r="304" spans="1:7" x14ac:dyDescent="0.25">
      <c r="A304" s="1">
        <v>42064</v>
      </c>
      <c r="B304" s="2">
        <v>166.78368203357155</v>
      </c>
      <c r="C304" s="3">
        <f t="shared" si="8"/>
        <v>-0.27229254571026756</v>
      </c>
      <c r="D304" s="3">
        <f t="shared" si="9"/>
        <v>-0.17497749175808741</v>
      </c>
      <c r="F304" s="1"/>
      <c r="G304" s="2"/>
    </row>
    <row r="305" spans="1:7" x14ac:dyDescent="0.25">
      <c r="A305" s="1">
        <v>42095</v>
      </c>
      <c r="B305" s="2">
        <v>189.58448919765479</v>
      </c>
      <c r="C305" s="3">
        <f t="shared" si="8"/>
        <v>-0.16357337292749322</v>
      </c>
      <c r="D305" s="3">
        <f t="shared" si="9"/>
        <v>-0.10043545751794111</v>
      </c>
      <c r="F305" s="1"/>
      <c r="G305" s="2"/>
    </row>
    <row r="306" spans="1:7" x14ac:dyDescent="0.25">
      <c r="A306" s="1">
        <v>42125</v>
      </c>
      <c r="B306" s="2">
        <v>189.50004176371374</v>
      </c>
      <c r="C306" s="3">
        <f t="shared" si="8"/>
        <v>-0.13685878391760764</v>
      </c>
      <c r="D306" s="3">
        <f t="shared" si="9"/>
        <v>-8.2118910788275032E-2</v>
      </c>
      <c r="F306" s="1"/>
      <c r="G306" s="2"/>
    </row>
    <row r="307" spans="1:7" x14ac:dyDescent="0.25">
      <c r="A307" s="1">
        <v>42156</v>
      </c>
      <c r="B307" s="2">
        <v>193.92414899740317</v>
      </c>
      <c r="C307" s="3">
        <f t="shared" si="8"/>
        <v>-0.16029901981425271</v>
      </c>
      <c r="D307" s="3">
        <f t="shared" si="9"/>
        <v>-9.819043545206152E-2</v>
      </c>
      <c r="F307" s="1"/>
      <c r="G307" s="2"/>
    </row>
    <row r="308" spans="1:7" x14ac:dyDescent="0.25">
      <c r="A308" s="1">
        <v>42186</v>
      </c>
      <c r="B308" s="2">
        <v>189.50004176371374</v>
      </c>
      <c r="C308" s="3"/>
      <c r="D308" s="3"/>
      <c r="F308" s="1"/>
      <c r="G308" s="2"/>
    </row>
    <row r="309" spans="1:7" x14ac:dyDescent="0.25">
      <c r="A309" s="1">
        <v>42217</v>
      </c>
      <c r="B309" s="2">
        <v>187.26218476427596</v>
      </c>
      <c r="C309" s="3"/>
      <c r="D309" s="3"/>
      <c r="F309" s="1"/>
      <c r="G309" s="2"/>
    </row>
    <row r="310" spans="1:7" x14ac:dyDescent="0.25">
      <c r="A310" s="1">
        <v>42248</v>
      </c>
      <c r="B310" s="2">
        <v>191.78950552833774</v>
      </c>
      <c r="C310" s="3"/>
      <c r="D310" s="3"/>
      <c r="F310" s="1"/>
      <c r="G310" s="2"/>
    </row>
    <row r="311" spans="1:7" x14ac:dyDescent="0.25">
      <c r="A311" s="1">
        <v>42278</v>
      </c>
      <c r="B311" s="2">
        <v>188.71186571359726</v>
      </c>
      <c r="C311" s="3"/>
      <c r="D311" s="3"/>
      <c r="F311" s="1"/>
      <c r="G311" s="2"/>
    </row>
    <row r="312" spans="1:7" x14ac:dyDescent="0.25">
      <c r="A312" s="1">
        <v>42309</v>
      </c>
      <c r="B312" s="2">
        <v>197.67736828367197</v>
      </c>
      <c r="C312" s="3"/>
      <c r="D312" s="3"/>
      <c r="F312" s="1"/>
      <c r="G312" s="2"/>
    </row>
    <row r="313" spans="1:7" x14ac:dyDescent="0.25">
      <c r="A313" s="1">
        <v>42339</v>
      </c>
      <c r="B313" s="2">
        <v>211.47044916070996</v>
      </c>
      <c r="C313" s="3"/>
      <c r="D313" s="3"/>
      <c r="F313" s="1"/>
      <c r="G313" s="2"/>
    </row>
    <row r="314" spans="1:7" x14ac:dyDescent="0.25">
      <c r="A314" s="1">
        <v>42370</v>
      </c>
      <c r="B314" s="2">
        <v>208.96048376301763</v>
      </c>
      <c r="C314" s="3"/>
      <c r="D314" s="3"/>
      <c r="F314" s="1"/>
      <c r="G314" s="2"/>
    </row>
    <row r="315" spans="1:7" x14ac:dyDescent="0.25">
      <c r="A315" s="1">
        <v>42401</v>
      </c>
      <c r="B315" s="2">
        <v>203.9640105881723</v>
      </c>
      <c r="C315" s="3"/>
      <c r="D315" s="3"/>
      <c r="F315" s="1"/>
      <c r="G315" s="2"/>
    </row>
    <row r="316" spans="1:7" x14ac:dyDescent="0.25">
      <c r="A316" s="1">
        <v>42430</v>
      </c>
      <c r="B316" s="2">
        <v>212.19763539742456</v>
      </c>
      <c r="C316" s="3"/>
      <c r="D316" s="3"/>
      <c r="F316" s="1"/>
      <c r="G316" s="2"/>
    </row>
    <row r="317" spans="1:7" x14ac:dyDescent="0.25">
      <c r="A317" s="1">
        <v>42461</v>
      </c>
      <c r="B317" s="2">
        <v>220.59546355045109</v>
      </c>
      <c r="C317" s="3"/>
      <c r="D317" s="3"/>
      <c r="F317" s="1"/>
      <c r="G317" s="2"/>
    </row>
    <row r="318" spans="1:7" x14ac:dyDescent="0.25">
      <c r="A318" s="1">
        <v>42491</v>
      </c>
      <c r="B318" s="2">
        <v>215.43478703183146</v>
      </c>
      <c r="C318" s="3"/>
      <c r="D318" s="3"/>
      <c r="F318" s="1"/>
      <c r="G318" s="2"/>
    </row>
    <row r="319" spans="1:7" x14ac:dyDescent="0.25">
      <c r="A319" s="1">
        <v>42522</v>
      </c>
      <c r="B319" s="2">
        <v>225.01</v>
      </c>
      <c r="C319" s="3"/>
      <c r="D319" s="3"/>
      <c r="F319" s="1"/>
      <c r="G319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E319"/>
  <sheetViews>
    <sheetView topLeftCell="A139" workbookViewId="0">
      <selection activeCell="U34" sqref="U34"/>
    </sheetView>
  </sheetViews>
  <sheetFormatPr defaultRowHeight="15" x14ac:dyDescent="0.25"/>
  <cols>
    <col min="2" max="2" width="12.140625" customWidth="1"/>
    <col min="3" max="3" width="14.28515625" style="4" bestFit="1" customWidth="1"/>
    <col min="4" max="4" width="9.140625" style="2"/>
  </cols>
  <sheetData>
    <row r="1" spans="1:4" x14ac:dyDescent="0.25">
      <c r="B1" t="s">
        <v>14</v>
      </c>
      <c r="C1" s="4" t="s">
        <v>15</v>
      </c>
      <c r="D1" s="2" t="s">
        <v>16</v>
      </c>
    </row>
    <row r="2" spans="1:4" x14ac:dyDescent="0.25">
      <c r="A2" s="1">
        <v>32874</v>
      </c>
      <c r="B2" s="2"/>
      <c r="C2" s="5">
        <f>VLOOKUP(A2,'step4 Pred. Chg'!A:D,4,0)</f>
        <v>4.9003870527597443E-2</v>
      </c>
      <c r="D2" s="2">
        <f t="shared" ref="D2:D65" si="0">D14/(1+C2)</f>
        <v>1639.9690065769048</v>
      </c>
    </row>
    <row r="3" spans="1:4" x14ac:dyDescent="0.25">
      <c r="A3" s="1">
        <v>32905</v>
      </c>
      <c r="B3" s="2"/>
      <c r="C3" s="5">
        <f>VLOOKUP(A3,'step4 Pred. Chg'!A:D,4,0)</f>
        <v>2.1127777961068128E-2</v>
      </c>
      <c r="D3" s="2">
        <f t="shared" si="0"/>
        <v>1463.8347004742591</v>
      </c>
    </row>
    <row r="4" spans="1:4" x14ac:dyDescent="0.25">
      <c r="A4" s="1">
        <v>32933</v>
      </c>
      <c r="B4" s="2"/>
      <c r="C4" s="5">
        <f>VLOOKUP(A4,'step4 Pred. Chg'!A:D,4,0)</f>
        <v>-0.15412038416124829</v>
      </c>
      <c r="D4" s="2">
        <f t="shared" si="0"/>
        <v>1801.3866185783754</v>
      </c>
    </row>
    <row r="5" spans="1:4" x14ac:dyDescent="0.25">
      <c r="A5" s="1">
        <v>32964</v>
      </c>
      <c r="B5" s="2"/>
      <c r="C5" s="5">
        <f>VLOOKUP(A5,'step4 Pred. Chg'!A:D,4,0)</f>
        <v>-0.14419556232876712</v>
      </c>
      <c r="D5" s="2">
        <f t="shared" si="0"/>
        <v>2211.7568533021281</v>
      </c>
    </row>
    <row r="6" spans="1:4" x14ac:dyDescent="0.25">
      <c r="A6" s="1">
        <v>32994</v>
      </c>
      <c r="B6" s="2"/>
      <c r="C6" s="5">
        <f>VLOOKUP(A6,'step4 Pred. Chg'!A:D,4,0)</f>
        <v>-0.24345301446783629</v>
      </c>
      <c r="D6" s="2">
        <f t="shared" si="0"/>
        <v>2541.5441010827099</v>
      </c>
    </row>
    <row r="7" spans="1:4" x14ac:dyDescent="0.25">
      <c r="A7" s="1">
        <v>33025</v>
      </c>
      <c r="B7" s="2"/>
      <c r="C7" s="5">
        <f>VLOOKUP(A7,'step4 Pred. Chg'!A:D,4,0)</f>
        <v>-0.15130870289402171</v>
      </c>
      <c r="D7" s="2">
        <f t="shared" si="0"/>
        <v>1122.4785994280635</v>
      </c>
    </row>
    <row r="8" spans="1:4" x14ac:dyDescent="0.25">
      <c r="A8" s="1">
        <v>33055</v>
      </c>
      <c r="B8" s="2"/>
      <c r="C8" s="5">
        <f>VLOOKUP(A8,'step4 Pred. Chg'!A:D,4,0)</f>
        <v>-0.20658155894811048</v>
      </c>
      <c r="D8" s="2">
        <f t="shared" si="0"/>
        <v>1209.6422783842659</v>
      </c>
    </row>
    <row r="9" spans="1:4" x14ac:dyDescent="0.25">
      <c r="A9" s="1">
        <v>33086</v>
      </c>
      <c r="B9" s="2"/>
      <c r="C9" s="5">
        <f>VLOOKUP(A9,'step4 Pred. Chg'!A:D,4,0)</f>
        <v>-0.11191037876653956</v>
      </c>
      <c r="D9" s="2">
        <f t="shared" si="0"/>
        <v>1172.5062837450166</v>
      </c>
    </row>
    <row r="10" spans="1:4" x14ac:dyDescent="0.25">
      <c r="A10" s="1">
        <v>33117</v>
      </c>
      <c r="B10" s="2"/>
      <c r="C10" s="5">
        <f>VLOOKUP(A10,'step4 Pred. Chg'!A:D,4,0)</f>
        <v>-0.21370446530142934</v>
      </c>
      <c r="D10" s="2">
        <f t="shared" si="0"/>
        <v>1640.3945524927881</v>
      </c>
    </row>
    <row r="11" spans="1:4" x14ac:dyDescent="0.25">
      <c r="A11" s="1">
        <v>33147</v>
      </c>
      <c r="B11" s="2"/>
      <c r="C11" s="5">
        <f>VLOOKUP(A11,'step4 Pred. Chg'!A:D,4,0)</f>
        <v>-0.32927286634089398</v>
      </c>
      <c r="D11" s="2">
        <f t="shared" si="0"/>
        <v>1820.6378260426727</v>
      </c>
    </row>
    <row r="12" spans="1:4" x14ac:dyDescent="0.25">
      <c r="A12" s="1">
        <v>33178</v>
      </c>
      <c r="B12" s="2"/>
      <c r="C12" s="5">
        <f>VLOOKUP(A12,'step4 Pred. Chg'!A:D,4,0)</f>
        <v>-0.16974621574046916</v>
      </c>
      <c r="D12" s="2">
        <f t="shared" si="0"/>
        <v>1502.18947724849</v>
      </c>
    </row>
    <row r="13" spans="1:4" x14ac:dyDescent="0.25">
      <c r="A13" s="1">
        <v>33208</v>
      </c>
      <c r="B13" s="2"/>
      <c r="C13" s="5">
        <f>VLOOKUP(A13,'step4 Pred. Chg'!A:D,4,0)</f>
        <v>-0.1738140629214196</v>
      </c>
      <c r="D13" s="2">
        <f t="shared" si="0"/>
        <v>1830.9185959518234</v>
      </c>
    </row>
    <row r="14" spans="1:4" x14ac:dyDescent="0.25">
      <c r="A14" s="1">
        <v>33239</v>
      </c>
      <c r="B14" s="2"/>
      <c r="C14" s="5">
        <f>VLOOKUP(A14,'step4 Pred. Chg'!A:D,4,0)</f>
        <v>-0.34505063430901262</v>
      </c>
      <c r="D14" s="2">
        <f t="shared" si="0"/>
        <v>1720.333835444472</v>
      </c>
    </row>
    <row r="15" spans="1:4" x14ac:dyDescent="0.25">
      <c r="A15" s="1">
        <v>33270</v>
      </c>
      <c r="B15" s="2"/>
      <c r="C15" s="5">
        <f>VLOOKUP(A15,'step4 Pred. Chg'!A:D,4,0)</f>
        <v>-0.20046336655111341</v>
      </c>
      <c r="D15" s="2">
        <f t="shared" si="0"/>
        <v>1494.7622749975858</v>
      </c>
    </row>
    <row r="16" spans="1:4" x14ac:dyDescent="0.25">
      <c r="A16" s="1">
        <v>33298</v>
      </c>
      <c r="B16" s="2"/>
      <c r="C16" s="5">
        <f>VLOOKUP(A16,'step4 Pred. Chg'!A:D,4,0)</f>
        <v>3.7894005082896014E-3</v>
      </c>
      <c r="D16" s="2">
        <f t="shared" si="0"/>
        <v>1523.7562209001442</v>
      </c>
    </row>
    <row r="17" spans="1:4" x14ac:dyDescent="0.25">
      <c r="A17" s="1">
        <v>33329</v>
      </c>
      <c r="B17" s="2"/>
      <c r="C17" s="5">
        <f>VLOOKUP(A17,'step4 Pred. Chg'!A:D,4,0)</f>
        <v>-2.4707817343749931E-2</v>
      </c>
      <c r="D17" s="2">
        <f t="shared" si="0"/>
        <v>1892.8313301057233</v>
      </c>
    </row>
    <row r="18" spans="1:4" x14ac:dyDescent="0.25">
      <c r="A18" s="1">
        <v>33359</v>
      </c>
      <c r="B18" s="2"/>
      <c r="C18" s="5">
        <f>VLOOKUP(A18,'step4 Pred. Chg'!A:D,4,0)</f>
        <v>9.7297012563927528E-3</v>
      </c>
      <c r="D18" s="2">
        <f t="shared" si="0"/>
        <v>1922.7975282711768</v>
      </c>
    </row>
    <row r="19" spans="1:4" x14ac:dyDescent="0.25">
      <c r="A19" s="1">
        <v>33390</v>
      </c>
      <c r="B19" s="2"/>
      <c r="C19" s="5">
        <f>VLOOKUP(A19,'step4 Pred. Chg'!A:D,4,0)</f>
        <v>-7.3998706586167994E-3</v>
      </c>
      <c r="D19" s="2">
        <f t="shared" si="0"/>
        <v>952.637818522305</v>
      </c>
    </row>
    <row r="20" spans="1:4" x14ac:dyDescent="0.25">
      <c r="A20" s="1">
        <v>33420</v>
      </c>
      <c r="B20" s="2"/>
      <c r="C20" s="5">
        <f>VLOOKUP(A20,'step4 Pred. Chg'!A:D,4,0)</f>
        <v>-0.11479272186310159</v>
      </c>
      <c r="D20" s="2">
        <f t="shared" si="0"/>
        <v>959.75249074609997</v>
      </c>
    </row>
    <row r="21" spans="1:4" x14ac:dyDescent="0.25">
      <c r="A21" s="1">
        <v>33451</v>
      </c>
      <c r="B21" s="2"/>
      <c r="C21" s="5">
        <f>VLOOKUP(A21,'step4 Pred. Chg'!A:D,4,0)</f>
        <v>-0.23248413256982714</v>
      </c>
      <c r="D21" s="2">
        <f t="shared" si="0"/>
        <v>1041.2906614249641</v>
      </c>
    </row>
    <row r="22" spans="1:4" x14ac:dyDescent="0.25">
      <c r="A22" s="1">
        <v>33482</v>
      </c>
      <c r="B22" s="2"/>
      <c r="C22" s="5">
        <f>VLOOKUP(A22,'step4 Pred. Chg'!A:D,4,0)</f>
        <v>-0.24660025423994397</v>
      </c>
      <c r="D22" s="2">
        <f t="shared" si="0"/>
        <v>1289.8349117689395</v>
      </c>
    </row>
    <row r="23" spans="1:4" x14ac:dyDescent="0.25">
      <c r="A23" s="1">
        <v>33512</v>
      </c>
      <c r="B23" s="2"/>
      <c r="C23" s="5">
        <f>VLOOKUP(A23,'step4 Pred. Chg'!A:D,4,0)</f>
        <v>-0.15113193421474719</v>
      </c>
      <c r="D23" s="2">
        <f t="shared" si="0"/>
        <v>1221.151190492948</v>
      </c>
    </row>
    <row r="24" spans="1:4" x14ac:dyDescent="0.25">
      <c r="A24" s="1">
        <v>33543</v>
      </c>
      <c r="B24" s="2"/>
      <c r="C24" s="5">
        <f>VLOOKUP(A24,'step4 Pred. Chg'!A:D,4,0)</f>
        <v>-0.21798868856280196</v>
      </c>
      <c r="D24" s="2">
        <f t="shared" si="0"/>
        <v>1247.1984981604051</v>
      </c>
    </row>
    <row r="25" spans="1:4" x14ac:dyDescent="0.25">
      <c r="A25" s="1">
        <v>33573</v>
      </c>
      <c r="B25" s="2"/>
      <c r="C25" s="5">
        <f>VLOOKUP(A25,'step4 Pred. Chg'!A:D,4,0)</f>
        <v>-0.2274872829052369</v>
      </c>
      <c r="D25" s="2">
        <f t="shared" si="0"/>
        <v>1512.679195911056</v>
      </c>
    </row>
    <row r="26" spans="1:4" x14ac:dyDescent="0.25">
      <c r="A26" s="1">
        <v>33604</v>
      </c>
      <c r="B26" s="2"/>
      <c r="C26" s="5">
        <f>VLOOKUP(A26,'step4 Pred. Chg'!A:D,4,0)</f>
        <v>-1.4916025302619824E-2</v>
      </c>
      <c r="D26" s="2">
        <f t="shared" si="0"/>
        <v>1126.7315543011005</v>
      </c>
    </row>
    <row r="27" spans="1:4" x14ac:dyDescent="0.25">
      <c r="A27" s="1">
        <v>33635</v>
      </c>
      <c r="B27" s="2"/>
      <c r="C27" s="5">
        <f>VLOOKUP(A27,'step4 Pred. Chg'!A:D,4,0)</f>
        <v>-0.11891891538164238</v>
      </c>
      <c r="D27" s="2">
        <f t="shared" si="0"/>
        <v>1195.1171971579686</v>
      </c>
    </row>
    <row r="28" spans="1:4" x14ac:dyDescent="0.25">
      <c r="A28" s="1">
        <v>33664</v>
      </c>
      <c r="B28" s="2"/>
      <c r="C28" s="5">
        <f>VLOOKUP(A28,'step4 Pred. Chg'!A:D,4,0)</f>
        <v>-0.19188992394004734</v>
      </c>
      <c r="D28" s="2">
        <f t="shared" si="0"/>
        <v>1529.5303434981327</v>
      </c>
    </row>
    <row r="29" spans="1:4" x14ac:dyDescent="0.25">
      <c r="A29" s="1">
        <v>33695</v>
      </c>
      <c r="B29" s="2"/>
      <c r="C29" s="5">
        <f>VLOOKUP(A29,'step4 Pred. Chg'!A:D,4,0)</f>
        <v>-0.27166496344637575</v>
      </c>
      <c r="D29" s="2">
        <f t="shared" si="0"/>
        <v>1846.0635993389437</v>
      </c>
    </row>
    <row r="30" spans="1:4" x14ac:dyDescent="0.25">
      <c r="A30" s="1">
        <v>33725</v>
      </c>
      <c r="B30" s="2"/>
      <c r="C30" s="5">
        <f>VLOOKUP(A30,'step4 Pred. Chg'!A:D,4,0)</f>
        <v>-0.17775745091832396</v>
      </c>
      <c r="D30" s="2">
        <f t="shared" si="0"/>
        <v>1941.5057737977859</v>
      </c>
    </row>
    <row r="31" spans="1:4" x14ac:dyDescent="0.25">
      <c r="A31" s="1">
        <v>33756</v>
      </c>
      <c r="B31" s="2"/>
      <c r="C31" s="5">
        <f>VLOOKUP(A31,'step4 Pred. Chg'!A:D,4,0)</f>
        <v>-0.22727554552755241</v>
      </c>
      <c r="D31" s="2">
        <f t="shared" si="0"/>
        <v>945.58842188073311</v>
      </c>
    </row>
    <row r="32" spans="1:4" x14ac:dyDescent="0.25">
      <c r="A32" s="1">
        <v>33786</v>
      </c>
      <c r="B32" s="2"/>
      <c r="C32" s="5">
        <f>VLOOKUP(A32,'step4 Pred. Chg'!A:D,4,0)</f>
        <v>-0.1256684853524993</v>
      </c>
      <c r="D32" s="2">
        <f t="shared" si="0"/>
        <v>849.57989001846386</v>
      </c>
    </row>
    <row r="33" spans="1:4" x14ac:dyDescent="0.25">
      <c r="A33" s="1">
        <v>33817</v>
      </c>
      <c r="B33" s="2"/>
      <c r="C33" s="5">
        <f>VLOOKUP(A33,'step4 Pred. Chg'!A:D,4,0)</f>
        <v>-3.0790456164623434E-2</v>
      </c>
      <c r="D33" s="2">
        <f t="shared" si="0"/>
        <v>799.20710525051982</v>
      </c>
    </row>
    <row r="34" spans="1:4" x14ac:dyDescent="0.25">
      <c r="A34" s="1">
        <v>33848</v>
      </c>
      <c r="B34" s="2"/>
      <c r="C34" s="5">
        <f>VLOOKUP(A34,'step4 Pred. Chg'!A:D,4,0)</f>
        <v>-0.12722782757091888</v>
      </c>
      <c r="D34" s="2">
        <f t="shared" si="0"/>
        <v>971.76129459916331</v>
      </c>
    </row>
    <row r="35" spans="1:4" x14ac:dyDescent="0.25">
      <c r="A35" s="1">
        <v>33878</v>
      </c>
      <c r="B35" s="2"/>
      <c r="C35" s="5">
        <f>VLOOKUP(A35,'step4 Pred. Chg'!A:D,4,0)</f>
        <v>-0.11219977326756909</v>
      </c>
      <c r="D35" s="2">
        <f t="shared" si="0"/>
        <v>1036.5962491051075</v>
      </c>
    </row>
    <row r="36" spans="1:4" x14ac:dyDescent="0.25">
      <c r="A36" s="1">
        <v>33909</v>
      </c>
      <c r="B36" s="2"/>
      <c r="C36" s="5">
        <f>VLOOKUP(A36,'step4 Pred. Chg'!A:D,4,0)</f>
        <v>-0.107621816764972</v>
      </c>
      <c r="D36" s="2">
        <f t="shared" si="0"/>
        <v>975.3233331689222</v>
      </c>
    </row>
    <row r="37" spans="1:4" x14ac:dyDescent="0.25">
      <c r="A37" s="1">
        <v>33939</v>
      </c>
      <c r="B37" s="2"/>
      <c r="C37" s="5">
        <f>VLOOKUP(A37,'step4 Pred. Chg'!A:D,4,0)</f>
        <v>-7.0296223695692259E-2</v>
      </c>
      <c r="D37" s="2">
        <f t="shared" si="0"/>
        <v>1168.5639157259714</v>
      </c>
    </row>
    <row r="38" spans="1:4" x14ac:dyDescent="0.25">
      <c r="A38" s="1">
        <v>33970</v>
      </c>
      <c r="B38" s="2"/>
      <c r="C38" s="5">
        <f>VLOOKUP(A38,'step4 Pred. Chg'!A:D,4,0)</f>
        <v>2.7739790135869535E-2</v>
      </c>
      <c r="D38" s="2">
        <f t="shared" si="0"/>
        <v>1109.9251979278852</v>
      </c>
    </row>
    <row r="39" spans="1:4" x14ac:dyDescent="0.25">
      <c r="A39" s="1">
        <v>34001</v>
      </c>
      <c r="B39" s="2"/>
      <c r="C39" s="5">
        <f>VLOOKUP(A39,'step4 Pred. Chg'!A:D,4,0)</f>
        <v>7.1539587031325827E-3</v>
      </c>
      <c r="D39" s="2">
        <f t="shared" si="0"/>
        <v>1052.9951563179945</v>
      </c>
    </row>
    <row r="40" spans="1:4" x14ac:dyDescent="0.25">
      <c r="A40" s="1">
        <v>34029</v>
      </c>
      <c r="B40" s="2"/>
      <c r="C40" s="5">
        <f>VLOOKUP(A40,'step4 Pred. Chg'!A:D,4,0)</f>
        <v>9.4365791619554374E-3</v>
      </c>
      <c r="D40" s="2">
        <f t="shared" si="0"/>
        <v>1236.0288822202815</v>
      </c>
    </row>
    <row r="41" spans="1:4" x14ac:dyDescent="0.25">
      <c r="A41" s="1">
        <v>34060</v>
      </c>
      <c r="B41" s="2"/>
      <c r="C41" s="5">
        <f>VLOOKUP(A41,'step4 Pred. Chg'!A:D,4,0)</f>
        <v>3.4831822141571697E-2</v>
      </c>
      <c r="D41" s="2">
        <f t="shared" si="0"/>
        <v>1344.5527991048448</v>
      </c>
    </row>
    <row r="42" spans="1:4" x14ac:dyDescent="0.25">
      <c r="A42" s="1">
        <v>34090</v>
      </c>
      <c r="B42" s="2"/>
      <c r="C42" s="5">
        <f>VLOOKUP(A42,'step4 Pred. Chg'!A:D,4,0)</f>
        <v>3.1234642065923114E-2</v>
      </c>
      <c r="D42" s="2">
        <f t="shared" si="0"/>
        <v>1596.3886565042833</v>
      </c>
    </row>
    <row r="43" spans="1:4" x14ac:dyDescent="0.25">
      <c r="A43" s="1">
        <v>34121</v>
      </c>
      <c r="B43" s="2"/>
      <c r="C43" s="5">
        <f>VLOOKUP(A43,'step4 Pred. Chg'!A:D,4,0)</f>
        <v>6.6771937524548547E-2</v>
      </c>
      <c r="D43" s="2">
        <f t="shared" si="0"/>
        <v>730.67929745325216</v>
      </c>
    </row>
    <row r="44" spans="1:4" x14ac:dyDescent="0.25">
      <c r="A44" s="1">
        <v>34151</v>
      </c>
      <c r="B44" s="2"/>
      <c r="C44" s="5">
        <f>VLOOKUP(A44,'step4 Pred. Chg'!A:D,4,0)</f>
        <v>0.1028986163473343</v>
      </c>
      <c r="D44" s="2">
        <f t="shared" si="0"/>
        <v>742.81447205390054</v>
      </c>
    </row>
    <row r="45" spans="1:4" x14ac:dyDescent="0.25">
      <c r="A45" s="1">
        <v>34182</v>
      </c>
      <c r="B45" s="2"/>
      <c r="C45" s="5">
        <f>VLOOKUP(A45,'step4 Pred. Chg'!A:D,4,0)</f>
        <v>5.6265122028364083E-2</v>
      </c>
      <c r="D45" s="2">
        <f t="shared" si="0"/>
        <v>774.59915390984816</v>
      </c>
    </row>
    <row r="46" spans="1:4" x14ac:dyDescent="0.25">
      <c r="A46" s="1">
        <v>34213</v>
      </c>
      <c r="B46" s="2"/>
      <c r="C46" s="5">
        <f>VLOOKUP(A46,'step4 Pred. Chg'!A:D,4,0)</f>
        <v>0.16247968374011307</v>
      </c>
      <c r="D46" s="2">
        <f t="shared" si="0"/>
        <v>848.126216169808</v>
      </c>
    </row>
    <row r="47" spans="1:4" x14ac:dyDescent="0.25">
      <c r="A47" s="1">
        <v>34243</v>
      </c>
      <c r="B47" s="2"/>
      <c r="C47" s="5">
        <f>VLOOKUP(A47,'step4 Pred. Chg'!A:D,4,0)</f>
        <v>0.1317389717181974</v>
      </c>
      <c r="D47" s="2">
        <f t="shared" si="0"/>
        <v>920.29038498550176</v>
      </c>
    </row>
    <row r="48" spans="1:4" x14ac:dyDescent="0.25">
      <c r="A48" s="1">
        <v>34274</v>
      </c>
      <c r="B48" s="2"/>
      <c r="C48" s="5">
        <f>VLOOKUP(A48,'step4 Pred. Chg'!A:D,4,0)</f>
        <v>0.12392937644937589</v>
      </c>
      <c r="D48" s="2">
        <f t="shared" si="0"/>
        <v>870.35726412001475</v>
      </c>
    </row>
    <row r="49" spans="1:4" x14ac:dyDescent="0.25">
      <c r="A49" s="1">
        <v>34304</v>
      </c>
      <c r="B49" s="2"/>
      <c r="C49" s="5">
        <f>VLOOKUP(A49,'step4 Pred. Chg'!A:D,4,0)</f>
        <v>0.13344696338177012</v>
      </c>
      <c r="D49" s="2">
        <f t="shared" si="0"/>
        <v>1086.4182853033844</v>
      </c>
    </row>
    <row r="50" spans="1:4" x14ac:dyDescent="0.25">
      <c r="A50" s="1">
        <v>34335</v>
      </c>
      <c r="B50" s="2"/>
      <c r="C50" s="5">
        <f>VLOOKUP(A50,'step4 Pred. Chg'!A:D,4,0)</f>
        <v>3.7789037148951952E-2</v>
      </c>
      <c r="D50" s="2">
        <f t="shared" si="0"/>
        <v>1140.7142899849182</v>
      </c>
    </row>
    <row r="51" spans="1:4" x14ac:dyDescent="0.25">
      <c r="A51" s="1">
        <v>34366</v>
      </c>
      <c r="B51" s="2"/>
      <c r="C51" s="5">
        <f>VLOOKUP(A51,'step4 Pred. Chg'!A:D,4,0)</f>
        <v>8.1916712300870692E-2</v>
      </c>
      <c r="D51" s="2">
        <f t="shared" si="0"/>
        <v>1060.5282401808922</v>
      </c>
    </row>
    <row r="52" spans="1:4" x14ac:dyDescent="0.25">
      <c r="A52" s="1">
        <v>34394</v>
      </c>
      <c r="B52" s="2"/>
      <c r="C52" s="5">
        <f>VLOOKUP(A52,'step4 Pred. Chg'!A:D,4,0)</f>
        <v>6.3486165187272181E-2</v>
      </c>
      <c r="D52" s="2">
        <f t="shared" si="0"/>
        <v>1247.6927666138165</v>
      </c>
    </row>
    <row r="53" spans="1:4" x14ac:dyDescent="0.25">
      <c r="A53" s="1">
        <v>34425</v>
      </c>
      <c r="B53" s="2"/>
      <c r="C53" s="5">
        <f>VLOOKUP(A53,'step4 Pred. Chg'!A:D,4,0)</f>
        <v>5.877241877855726E-2</v>
      </c>
      <c r="D53" s="2">
        <f t="shared" si="0"/>
        <v>1391.3860230632172</v>
      </c>
    </row>
    <row r="54" spans="1:4" x14ac:dyDescent="0.25">
      <c r="A54" s="1">
        <v>34455</v>
      </c>
      <c r="B54" s="2"/>
      <c r="C54" s="5">
        <f>VLOOKUP(A54,'step4 Pred. Chg'!A:D,4,0)</f>
        <v>-3.6451841257710622E-2</v>
      </c>
      <c r="D54" s="2">
        <f t="shared" si="0"/>
        <v>1646.2512847882945</v>
      </c>
    </row>
    <row r="55" spans="1:4" x14ac:dyDescent="0.25">
      <c r="A55" s="1">
        <v>34486</v>
      </c>
      <c r="B55" s="2"/>
      <c r="C55" s="5">
        <f>VLOOKUP(A55,'step4 Pred. Chg'!A:D,4,0)</f>
        <v>-0.11610695448079873</v>
      </c>
      <c r="D55" s="2">
        <f t="shared" si="0"/>
        <v>779.46816985328178</v>
      </c>
    </row>
    <row r="56" spans="1:4" x14ac:dyDescent="0.25">
      <c r="A56" s="1">
        <v>34516</v>
      </c>
      <c r="B56" s="2"/>
      <c r="C56" s="5">
        <f>VLOOKUP(A56,'step4 Pred. Chg'!A:D,4,0)</f>
        <v>-7.2251135953289886E-2</v>
      </c>
      <c r="D56" s="2">
        <f t="shared" si="0"/>
        <v>819.2490534310225</v>
      </c>
    </row>
    <row r="57" spans="1:4" x14ac:dyDescent="0.25">
      <c r="A57" s="1">
        <v>34547</v>
      </c>
      <c r="B57" s="2"/>
      <c r="C57" s="5">
        <f>VLOOKUP(A57,'step4 Pred. Chg'!A:D,4,0)</f>
        <v>-4.9228911111111079E-2</v>
      </c>
      <c r="D57" s="2">
        <f t="shared" si="0"/>
        <v>818.18206982765332</v>
      </c>
    </row>
    <row r="58" spans="1:4" x14ac:dyDescent="0.25">
      <c r="A58" s="1">
        <v>34578</v>
      </c>
      <c r="B58" s="2"/>
      <c r="C58" s="5">
        <f>VLOOKUP(A58,'step4 Pred. Chg'!A:D,4,0)</f>
        <v>-0.23963766352404409</v>
      </c>
      <c r="D58" s="2">
        <f t="shared" si="0"/>
        <v>985.92949554477707</v>
      </c>
    </row>
    <row r="59" spans="1:4" x14ac:dyDescent="0.25">
      <c r="A59" s="1">
        <v>34608</v>
      </c>
      <c r="B59" s="2"/>
      <c r="C59" s="5">
        <f>VLOOKUP(A59,'step4 Pred. Chg'!A:D,4,0)</f>
        <v>-0.25032358822398826</v>
      </c>
      <c r="D59" s="2">
        <f t="shared" si="0"/>
        <v>1041.5284939856358</v>
      </c>
    </row>
    <row r="60" spans="1:4" x14ac:dyDescent="0.25">
      <c r="A60" s="1">
        <v>34639</v>
      </c>
      <c r="B60" s="2"/>
      <c r="C60" s="5">
        <f>VLOOKUP(A60,'step4 Pred. Chg'!A:D,4,0)</f>
        <v>-0.25460457017873583</v>
      </c>
      <c r="D60" s="2">
        <f t="shared" si="0"/>
        <v>978.22009715059289</v>
      </c>
    </row>
    <row r="61" spans="1:4" x14ac:dyDescent="0.25">
      <c r="A61" s="1">
        <v>34669</v>
      </c>
      <c r="B61" s="2"/>
      <c r="C61" s="5">
        <f>VLOOKUP(A61,'step4 Pred. Chg'!A:D,4,0)</f>
        <v>-0.42966434437520068</v>
      </c>
      <c r="D61" s="2">
        <f t="shared" si="0"/>
        <v>1231.3975064395506</v>
      </c>
    </row>
    <row r="62" spans="1:4" x14ac:dyDescent="0.25">
      <c r="A62" s="1">
        <v>34700</v>
      </c>
      <c r="B62" s="2"/>
      <c r="C62" s="5">
        <f>VLOOKUP(A62,'step4 Pred. Chg'!A:D,4,0)</f>
        <v>-0.23723372601812576</v>
      </c>
      <c r="D62" s="2">
        <f t="shared" si="0"/>
        <v>1183.8207846654986</v>
      </c>
    </row>
    <row r="63" spans="1:4" x14ac:dyDescent="0.25">
      <c r="A63" s="1">
        <v>34731</v>
      </c>
      <c r="B63" s="2"/>
      <c r="C63" s="5">
        <f>VLOOKUP(A63,'step4 Pred. Chg'!A:D,4,0)</f>
        <v>-0.15689095040596385</v>
      </c>
      <c r="D63" s="2">
        <f t="shared" si="0"/>
        <v>1147.4032269187389</v>
      </c>
    </row>
    <row r="64" spans="1:4" x14ac:dyDescent="0.25">
      <c r="A64" s="1">
        <v>34759</v>
      </c>
      <c r="B64" s="2"/>
      <c r="C64" s="5">
        <f>VLOOKUP(A64,'step4 Pred. Chg'!A:D,4,0)</f>
        <v>-0.18415185782876825</v>
      </c>
      <c r="D64" s="2">
        <f t="shared" si="0"/>
        <v>1326.9039956980259</v>
      </c>
    </row>
    <row r="65" spans="1:4" x14ac:dyDescent="0.25">
      <c r="A65" s="1">
        <v>34790</v>
      </c>
      <c r="B65" s="2"/>
      <c r="C65" s="5">
        <f>VLOOKUP(A65,'step4 Pred. Chg'!A:D,4,0)</f>
        <v>-0.11316291948508563</v>
      </c>
      <c r="D65" s="2">
        <f t="shared" si="0"/>
        <v>1473.1611450933199</v>
      </c>
    </row>
    <row r="66" spans="1:4" x14ac:dyDescent="0.25">
      <c r="A66" s="1">
        <v>34820</v>
      </c>
      <c r="B66" s="2"/>
      <c r="C66" s="5">
        <f>VLOOKUP(A66,'step4 Pred. Chg'!A:D,4,0)</f>
        <v>-0.13313892627921886</v>
      </c>
      <c r="D66" s="2">
        <f t="shared" ref="D66:D129" si="1">D78/(1+C66)</f>
        <v>1586.2423942848893</v>
      </c>
    </row>
    <row r="67" spans="1:4" x14ac:dyDescent="0.25">
      <c r="A67" s="1">
        <v>34851</v>
      </c>
      <c r="B67" s="2"/>
      <c r="C67" s="5">
        <f>VLOOKUP(A67,'step4 Pred. Chg'!A:D,4,0)</f>
        <v>-3.380275591877626E-2</v>
      </c>
      <c r="D67" s="2">
        <f t="shared" si="1"/>
        <v>688.96649453689531</v>
      </c>
    </row>
    <row r="68" spans="1:4" x14ac:dyDescent="0.25">
      <c r="A68" s="1">
        <v>34881</v>
      </c>
      <c r="B68" s="2"/>
      <c r="C68" s="5">
        <f>VLOOKUP(A68,'step4 Pred. Chg'!A:D,4,0)</f>
        <v>-7.2120029860875082E-2</v>
      </c>
      <c r="D68" s="2">
        <f t="shared" si="1"/>
        <v>760.05737869197367</v>
      </c>
    </row>
    <row r="69" spans="1:4" x14ac:dyDescent="0.25">
      <c r="A69" s="1">
        <v>34912</v>
      </c>
      <c r="B69" s="2"/>
      <c r="C69" s="5">
        <f>VLOOKUP(A69,'step4 Pred. Chg'!A:D,4,0)</f>
        <v>-0.11119622554259818</v>
      </c>
      <c r="D69" s="2">
        <f t="shared" si="1"/>
        <v>777.90385743940294</v>
      </c>
    </row>
    <row r="70" spans="1:4" x14ac:dyDescent="0.25">
      <c r="A70" s="1">
        <v>34943</v>
      </c>
      <c r="B70" s="2"/>
      <c r="C70" s="5">
        <f>VLOOKUP(A70,'step4 Pred. Chg'!A:D,4,0)</f>
        <v>2.0164569304451471E-2</v>
      </c>
      <c r="D70" s="2">
        <f t="shared" si="1"/>
        <v>749.66365483298728</v>
      </c>
    </row>
    <row r="71" spans="1:4" x14ac:dyDescent="0.25">
      <c r="A71" s="1">
        <v>34973</v>
      </c>
      <c r="B71" s="2"/>
      <c r="C71" s="5">
        <f>VLOOKUP(A71,'step4 Pred. Chg'!A:D,4,0)</f>
        <v>2.8951645765476628E-2</v>
      </c>
      <c r="D71" s="2">
        <f t="shared" si="1"/>
        <v>780.8093441336249</v>
      </c>
    </row>
    <row r="72" spans="1:4" x14ac:dyDescent="0.25">
      <c r="A72" s="1">
        <v>35004</v>
      </c>
      <c r="B72" s="2"/>
      <c r="C72" s="5">
        <f>VLOOKUP(A72,'step4 Pred. Chg'!A:D,4,0)</f>
        <v>-3.0158630852023971E-2</v>
      </c>
      <c r="D72" s="2">
        <f t="shared" si="1"/>
        <v>729.16078977536495</v>
      </c>
    </row>
    <row r="73" spans="1:4" x14ac:dyDescent="0.25">
      <c r="A73" s="1">
        <v>35034</v>
      </c>
      <c r="B73" s="2"/>
      <c r="C73" s="5">
        <f>VLOOKUP(A73,'step4 Pred. Chg'!A:D,4,0)</f>
        <v>6.0305660134600335E-2</v>
      </c>
      <c r="D73" s="2">
        <f t="shared" si="1"/>
        <v>702.30990416994416</v>
      </c>
    </row>
    <row r="74" spans="1:4" x14ac:dyDescent="0.25">
      <c r="A74" s="1">
        <v>35065</v>
      </c>
      <c r="B74" s="2"/>
      <c r="C74" s="5">
        <f>VLOOKUP(A74,'step4 Pred. Chg'!A:D,4,0)</f>
        <v>-1.7594343710567287E-2</v>
      </c>
      <c r="D74" s="2">
        <f t="shared" si="1"/>
        <v>902.97856898160103</v>
      </c>
    </row>
    <row r="75" spans="1:4" x14ac:dyDescent="0.25">
      <c r="A75" s="1">
        <v>35096</v>
      </c>
      <c r="B75" s="2"/>
      <c r="C75" s="5">
        <f>VLOOKUP(A75,'step4 Pred. Chg'!A:D,4,0)</f>
        <v>-3.0987398685121147E-2</v>
      </c>
      <c r="D75" s="2">
        <f t="shared" si="1"/>
        <v>967.38604414858821</v>
      </c>
    </row>
    <row r="76" spans="1:4" x14ac:dyDescent="0.25">
      <c r="A76" s="1">
        <v>35125</v>
      </c>
      <c r="B76" s="2"/>
      <c r="C76" s="5">
        <f>VLOOKUP(A76,'step4 Pred. Chg'!A:D,4,0)</f>
        <v>-8.6081388205521414E-2</v>
      </c>
      <c r="D76" s="2">
        <f t="shared" si="1"/>
        <v>1082.5521597298186</v>
      </c>
    </row>
    <row r="77" spans="1:4" x14ac:dyDescent="0.25">
      <c r="A77" s="1">
        <v>35156</v>
      </c>
      <c r="B77" s="2"/>
      <c r="C77" s="5">
        <f>VLOOKUP(A77,'step4 Pred. Chg'!A:D,4,0)</f>
        <v>2.2449751029036853E-3</v>
      </c>
      <c r="D77" s="2">
        <f t="shared" si="1"/>
        <v>1306.453929042568</v>
      </c>
    </row>
    <row r="78" spans="1:4" x14ac:dyDescent="0.25">
      <c r="A78" s="1">
        <v>35186</v>
      </c>
      <c r="B78" s="2"/>
      <c r="C78" s="5">
        <f>VLOOKUP(A78,'step4 Pred. Chg'!A:D,4,0)</f>
        <v>-2.1308981505761635E-3</v>
      </c>
      <c r="D78" s="2">
        <f t="shared" si="1"/>
        <v>1375.0517850912217</v>
      </c>
    </row>
    <row r="79" spans="1:4" x14ac:dyDescent="0.25">
      <c r="A79" s="1">
        <v>35217</v>
      </c>
      <c r="B79" s="2"/>
      <c r="C79" s="5">
        <f>VLOOKUP(A79,'step4 Pred. Chg'!A:D,4,0)</f>
        <v>-7.8152577815434943E-2</v>
      </c>
      <c r="D79" s="2">
        <f t="shared" si="1"/>
        <v>665.6775282858498</v>
      </c>
    </row>
    <row r="80" spans="1:4" x14ac:dyDescent="0.25">
      <c r="A80" s="1">
        <v>35247</v>
      </c>
      <c r="B80" s="2"/>
      <c r="C80" s="5">
        <f>VLOOKUP(A80,'step4 Pred. Chg'!A:D,4,0)</f>
        <v>-0.10142305180440754</v>
      </c>
      <c r="D80" s="2">
        <f t="shared" si="1"/>
        <v>705.24201784473007</v>
      </c>
    </row>
    <row r="81" spans="1:4" x14ac:dyDescent="0.25">
      <c r="A81" s="1">
        <v>35278</v>
      </c>
      <c r="B81" s="2"/>
      <c r="C81" s="5">
        <f>VLOOKUP(A81,'step4 Pred. Chg'!A:D,4,0)</f>
        <v>-0.10844514883309503</v>
      </c>
      <c r="D81" s="2">
        <f t="shared" si="1"/>
        <v>691.40388465711396</v>
      </c>
    </row>
    <row r="82" spans="1:4" x14ac:dyDescent="0.25">
      <c r="A82" s="1">
        <v>35309</v>
      </c>
      <c r="B82" s="2"/>
      <c r="C82" s="5">
        <f>VLOOKUP(A82,'step4 Pred. Chg'!A:D,4,0)</f>
        <v>-0.10582128285714282</v>
      </c>
      <c r="D82" s="2">
        <f t="shared" si="1"/>
        <v>764.78029955589545</v>
      </c>
    </row>
    <row r="83" spans="1:4" x14ac:dyDescent="0.25">
      <c r="A83" s="1">
        <v>35339</v>
      </c>
      <c r="B83" s="2"/>
      <c r="C83" s="5">
        <f>VLOOKUP(A83,'step4 Pred. Chg'!A:D,4,0)</f>
        <v>-0.13063951840762594</v>
      </c>
      <c r="D83" s="2">
        <f t="shared" si="1"/>
        <v>803.41505967535568</v>
      </c>
    </row>
    <row r="84" spans="1:4" x14ac:dyDescent="0.25">
      <c r="A84" s="1">
        <v>35370</v>
      </c>
      <c r="B84" s="2"/>
      <c r="C84" s="5">
        <f>VLOOKUP(A84,'step4 Pred. Chg'!A:D,4,0)</f>
        <v>-7.3850863754002363E-2</v>
      </c>
      <c r="D84" s="2">
        <f t="shared" si="1"/>
        <v>707.17029868475947</v>
      </c>
    </row>
    <row r="85" spans="1:4" x14ac:dyDescent="0.25">
      <c r="A85" s="1">
        <v>35400</v>
      </c>
      <c r="B85" s="2"/>
      <c r="C85" s="5">
        <f>VLOOKUP(A85,'step4 Pred. Chg'!A:D,4,0)</f>
        <v>-0.12420317375575134</v>
      </c>
      <c r="D85" s="2">
        <f t="shared" si="1"/>
        <v>744.6631665599806</v>
      </c>
    </row>
    <row r="86" spans="1:4" x14ac:dyDescent="0.25">
      <c r="A86" s="1">
        <v>35431</v>
      </c>
      <c r="B86" s="2"/>
      <c r="C86" s="5">
        <f>VLOOKUP(A86,'step4 Pred. Chg'!A:D,4,0)</f>
        <v>-0.30788570166811335</v>
      </c>
      <c r="D86" s="2">
        <f t="shared" si="1"/>
        <v>887.09125367566253</v>
      </c>
    </row>
    <row r="87" spans="1:4" x14ac:dyDescent="0.25">
      <c r="A87" s="1">
        <v>35462</v>
      </c>
      <c r="B87" s="2"/>
      <c r="C87" s="5">
        <f>VLOOKUP(A87,'step4 Pred. Chg'!A:D,4,0)</f>
        <v>-0.17737355242128111</v>
      </c>
      <c r="D87" s="2">
        <f t="shared" si="1"/>
        <v>937.40926711613372</v>
      </c>
    </row>
    <row r="88" spans="1:4" x14ac:dyDescent="0.25">
      <c r="A88" s="1">
        <v>35490</v>
      </c>
      <c r="B88" s="2"/>
      <c r="C88" s="5">
        <f>VLOOKUP(A88,'step4 Pred. Chg'!A:D,4,0)</f>
        <v>-5.471364606467366E-2</v>
      </c>
      <c r="D88" s="2">
        <f t="shared" si="1"/>
        <v>989.36456701539055</v>
      </c>
    </row>
    <row r="89" spans="1:4" x14ac:dyDescent="0.25">
      <c r="A89" s="1">
        <v>35521</v>
      </c>
      <c r="B89" s="2"/>
      <c r="C89" s="5">
        <f>VLOOKUP(A89,'step4 Pred. Chg'!A:D,4,0)</f>
        <v>-0.26055568372636256</v>
      </c>
      <c r="D89" s="2">
        <f t="shared" si="1"/>
        <v>1309.3868855863593</v>
      </c>
    </row>
    <row r="90" spans="1:4" x14ac:dyDescent="0.25">
      <c r="A90" s="1">
        <v>35551</v>
      </c>
      <c r="B90" s="2"/>
      <c r="C90" s="5">
        <f>VLOOKUP(A90,'step4 Pred. Chg'!A:D,4,0)</f>
        <v>-0.24383422388474302</v>
      </c>
      <c r="D90" s="2">
        <f t="shared" si="1"/>
        <v>1372.1216897854245</v>
      </c>
    </row>
    <row r="91" spans="1:4" x14ac:dyDescent="0.25">
      <c r="A91" s="1">
        <v>35582</v>
      </c>
      <c r="B91" s="2"/>
      <c r="C91" s="5">
        <f>VLOOKUP(A91,'step4 Pred. Chg'!A:D,4,0)</f>
        <v>-0.16905748274969923</v>
      </c>
      <c r="D91" s="2">
        <f t="shared" si="1"/>
        <v>613.65311345650355</v>
      </c>
    </row>
    <row r="92" spans="1:4" x14ac:dyDescent="0.25">
      <c r="A92" s="1">
        <v>35612</v>
      </c>
      <c r="B92" s="2"/>
      <c r="C92" s="5">
        <f>VLOOKUP(A92,'step4 Pred. Chg'!A:D,4,0)</f>
        <v>-0.15446424683613147</v>
      </c>
      <c r="D92" s="2">
        <f t="shared" si="1"/>
        <v>633.71422013421909</v>
      </c>
    </row>
    <row r="93" spans="1:4" x14ac:dyDescent="0.25">
      <c r="A93" s="1">
        <v>35643</v>
      </c>
      <c r="B93" s="2"/>
      <c r="C93" s="5">
        <f>VLOOKUP(A93,'step4 Pred. Chg'!A:D,4,0)</f>
        <v>-0.11882764235742339</v>
      </c>
      <c r="D93" s="2">
        <f t="shared" si="1"/>
        <v>616.42448748169318</v>
      </c>
    </row>
    <row r="94" spans="1:4" x14ac:dyDescent="0.25">
      <c r="A94" s="1">
        <v>35674</v>
      </c>
      <c r="B94" s="2"/>
      <c r="C94" s="5">
        <f>VLOOKUP(A94,'step4 Pred. Chg'!A:D,4,0)</f>
        <v>-0.22083346810259941</v>
      </c>
      <c r="D94" s="2">
        <f t="shared" si="1"/>
        <v>683.8502671530207</v>
      </c>
    </row>
    <row r="95" spans="1:4" x14ac:dyDescent="0.25">
      <c r="A95" s="1">
        <v>35704</v>
      </c>
      <c r="B95" s="2"/>
      <c r="C95" s="5">
        <f>VLOOKUP(A95,'step4 Pred. Chg'!A:D,4,0)</f>
        <v>-0.23267354413319985</v>
      </c>
      <c r="D95" s="2">
        <f t="shared" si="1"/>
        <v>698.45730319793324</v>
      </c>
    </row>
    <row r="96" spans="1:4" x14ac:dyDescent="0.25">
      <c r="A96" s="1">
        <v>35735</v>
      </c>
      <c r="B96" s="2"/>
      <c r="C96" s="5">
        <f>VLOOKUP(A96,'step4 Pred. Chg'!A:D,4,0)</f>
        <v>-0.17240611056265975</v>
      </c>
      <c r="D96" s="2">
        <f t="shared" si="1"/>
        <v>654.94516130571412</v>
      </c>
    </row>
    <row r="97" spans="1:4" x14ac:dyDescent="0.25">
      <c r="A97" s="1">
        <v>35765</v>
      </c>
      <c r="B97" s="2"/>
      <c r="C97" s="5">
        <f>VLOOKUP(A97,'step4 Pred. Chg'!A:D,4,0)</f>
        <v>-0.14895508642896305</v>
      </c>
      <c r="D97" s="2">
        <f t="shared" si="1"/>
        <v>652.17363789422336</v>
      </c>
    </row>
    <row r="98" spans="1:4" x14ac:dyDescent="0.25">
      <c r="A98" s="1">
        <v>35796</v>
      </c>
      <c r="B98" s="2"/>
      <c r="C98" s="5">
        <f>VLOOKUP(A98,'step4 Pred. Chg'!A:D,4,0)</f>
        <v>2.1613787010881434E-2</v>
      </c>
      <c r="D98" s="2">
        <f t="shared" si="1"/>
        <v>613.96854059408486</v>
      </c>
    </row>
    <row r="99" spans="1:4" x14ac:dyDescent="0.25">
      <c r="A99" s="1">
        <v>35827</v>
      </c>
      <c r="B99" s="2"/>
      <c r="C99" s="5">
        <f>VLOOKUP(A99,'step4 Pred. Chg'!A:D,4,0)</f>
        <v>-2.2235303105884015E-2</v>
      </c>
      <c r="D99" s="2">
        <f t="shared" si="1"/>
        <v>771.13765533511537</v>
      </c>
    </row>
    <row r="100" spans="1:4" x14ac:dyDescent="0.25">
      <c r="A100" s="1">
        <v>35855</v>
      </c>
      <c r="B100" s="2"/>
      <c r="C100" s="5">
        <f>VLOOKUP(A100,'step4 Pred. Chg'!A:D,4,0)</f>
        <v>-8.5219467662467019E-2</v>
      </c>
      <c r="D100" s="2">
        <f t="shared" si="1"/>
        <v>935.23282426678134</v>
      </c>
    </row>
    <row r="101" spans="1:4" x14ac:dyDescent="0.25">
      <c r="A101" s="1">
        <v>35886</v>
      </c>
      <c r="B101" s="2"/>
      <c r="C101" s="5">
        <f>VLOOKUP(A101,'step4 Pred. Chg'!A:D,4,0)</f>
        <v>-5.6150498184157946E-2</v>
      </c>
      <c r="D101" s="2">
        <f t="shared" si="1"/>
        <v>968.21869035007308</v>
      </c>
    </row>
    <row r="102" spans="1:4" x14ac:dyDescent="0.25">
      <c r="A102" s="1">
        <v>35916</v>
      </c>
      <c r="B102" s="2"/>
      <c r="C102" s="5">
        <f>VLOOKUP(A102,'step4 Pred. Chg'!A:D,4,0)</f>
        <v>-4.4771933537125753E-2</v>
      </c>
      <c r="D102" s="2">
        <f t="shared" si="1"/>
        <v>1037.5514624811733</v>
      </c>
    </row>
    <row r="103" spans="1:4" x14ac:dyDescent="0.25">
      <c r="A103" s="1">
        <v>35947</v>
      </c>
      <c r="B103" s="2"/>
      <c r="C103" s="5">
        <f>VLOOKUP(A103,'step4 Pred. Chg'!A:D,4,0)</f>
        <v>-0.10572539088579994</v>
      </c>
      <c r="D103" s="2">
        <f t="shared" si="1"/>
        <v>509.91046281403146</v>
      </c>
    </row>
    <row r="104" spans="1:4" x14ac:dyDescent="0.25">
      <c r="A104" s="1">
        <v>35977</v>
      </c>
      <c r="B104" s="2"/>
      <c r="C104" s="5">
        <f>VLOOKUP(A104,'step4 Pred. Chg'!A:D,4,0)</f>
        <v>-4.2644128871570902E-2</v>
      </c>
      <c r="D104" s="2">
        <f t="shared" si="1"/>
        <v>535.82803041184047</v>
      </c>
    </row>
    <row r="105" spans="1:4" x14ac:dyDescent="0.25">
      <c r="A105" s="1">
        <v>36008</v>
      </c>
      <c r="B105" s="2"/>
      <c r="C105" s="5">
        <f>VLOOKUP(A105,'step4 Pred. Chg'!A:D,4,0)</f>
        <v>-4.2572045094875804E-2</v>
      </c>
      <c r="D105" s="2">
        <f t="shared" si="1"/>
        <v>543.17621894286049</v>
      </c>
    </row>
    <row r="106" spans="1:4" x14ac:dyDescent="0.25">
      <c r="A106" s="1">
        <v>36039</v>
      </c>
      <c r="B106" s="2"/>
      <c r="C106" s="5">
        <f>VLOOKUP(A106,'step4 Pred. Chg'!A:D,4,0)</f>
        <v>8.3001483485901903E-2</v>
      </c>
      <c r="D106" s="2">
        <f t="shared" si="1"/>
        <v>532.83324099472998</v>
      </c>
    </row>
    <row r="107" spans="1:4" x14ac:dyDescent="0.25">
      <c r="A107" s="1">
        <v>36069</v>
      </c>
      <c r="B107" s="2"/>
      <c r="C107" s="5">
        <f>VLOOKUP(A107,'step4 Pred. Chg'!A:D,4,0)</f>
        <v>7.950269947122042E-2</v>
      </c>
      <c r="D107" s="2">
        <f t="shared" si="1"/>
        <v>535.94476703715316</v>
      </c>
    </row>
    <row r="108" spans="1:4" x14ac:dyDescent="0.25">
      <c r="A108" s="1">
        <v>36100</v>
      </c>
      <c r="B108" s="2"/>
      <c r="C108" s="5">
        <f>VLOOKUP(A108,'step4 Pred. Chg'!A:D,4,0)</f>
        <v>-3.3799005415497876E-3</v>
      </c>
      <c r="D108" s="2">
        <f t="shared" si="1"/>
        <v>542.02861341316213</v>
      </c>
    </row>
    <row r="109" spans="1:4" x14ac:dyDescent="0.25">
      <c r="A109" s="1">
        <v>36130</v>
      </c>
      <c r="B109" s="2"/>
      <c r="C109" s="5">
        <f>VLOOKUP(A109,'step4 Pred. Chg'!A:D,4,0)</f>
        <v>4.9313143434990478E-2</v>
      </c>
      <c r="D109" s="2">
        <f t="shared" si="1"/>
        <v>555.0290572949981</v>
      </c>
    </row>
    <row r="110" spans="1:4" x14ac:dyDescent="0.25">
      <c r="A110" s="1">
        <v>36161</v>
      </c>
      <c r="B110" s="2"/>
      <c r="C110" s="5">
        <f>VLOOKUP(A110,'step4 Pred. Chg'!A:D,4,0)</f>
        <v>-1.530010506792397E-2</v>
      </c>
      <c r="D110" s="2">
        <f t="shared" si="1"/>
        <v>627.23872586186712</v>
      </c>
    </row>
    <row r="111" spans="1:4" x14ac:dyDescent="0.25">
      <c r="A111" s="1">
        <v>36192</v>
      </c>
      <c r="B111" s="2"/>
      <c r="C111" s="5">
        <f>VLOOKUP(A111,'step4 Pred. Chg'!A:D,4,0)</f>
        <v>-6.6346296387754397E-2</v>
      </c>
      <c r="D111" s="2">
        <f t="shared" si="1"/>
        <v>753.9911758323783</v>
      </c>
    </row>
    <row r="112" spans="1:4" x14ac:dyDescent="0.25">
      <c r="A112" s="1">
        <v>36220</v>
      </c>
      <c r="B112" s="2"/>
      <c r="C112" s="5">
        <f>VLOOKUP(A112,'step4 Pred. Chg'!A:D,4,0)</f>
        <v>-7.910867986811447E-2</v>
      </c>
      <c r="D112" s="2">
        <f t="shared" si="1"/>
        <v>855.53278084230067</v>
      </c>
    </row>
    <row r="113" spans="1:4" x14ac:dyDescent="0.25">
      <c r="A113" s="1">
        <v>36251</v>
      </c>
      <c r="B113" s="2"/>
      <c r="C113" s="5">
        <f>VLOOKUP(A113,'step4 Pred. Chg'!A:D,4,0)</f>
        <v>-4.41504316388708E-2</v>
      </c>
      <c r="D113" s="2">
        <f t="shared" si="1"/>
        <v>913.85272853570348</v>
      </c>
    </row>
    <row r="114" spans="1:4" x14ac:dyDescent="0.25">
      <c r="A114" s="1">
        <v>36281</v>
      </c>
      <c r="B114" s="2"/>
      <c r="C114" s="5">
        <f>VLOOKUP(A114,'step4 Pred. Chg'!A:D,4,0)</f>
        <v>-1.2891653482954346E-2</v>
      </c>
      <c r="D114" s="2">
        <f t="shared" si="1"/>
        <v>991.09827736161867</v>
      </c>
    </row>
    <row r="115" spans="1:4" x14ac:dyDescent="0.25">
      <c r="A115" s="1">
        <v>36312</v>
      </c>
      <c r="B115" s="2"/>
      <c r="C115" s="5">
        <f>VLOOKUP(A115,'step4 Pred. Chg'!A:D,4,0)</f>
        <v>1.2119632448151186E-2</v>
      </c>
      <c r="D115" s="2">
        <f t="shared" si="1"/>
        <v>455.99997981625887</v>
      </c>
    </row>
    <row r="116" spans="1:4" x14ac:dyDescent="0.25">
      <c r="A116" s="1">
        <v>36342</v>
      </c>
      <c r="B116" s="2"/>
      <c r="C116" s="5">
        <f>VLOOKUP(A116,'step4 Pred. Chg'!A:D,4,0)</f>
        <v>-3.8525352707917224E-2</v>
      </c>
      <c r="D116" s="2">
        <f t="shared" si="1"/>
        <v>512.97811082995793</v>
      </c>
    </row>
    <row r="117" spans="1:4" x14ac:dyDescent="0.25">
      <c r="A117" s="1">
        <v>36373</v>
      </c>
      <c r="B117" s="2"/>
      <c r="C117" s="5">
        <f>VLOOKUP(A117,'step4 Pred. Chg'!A:D,4,0)</f>
        <v>-5.145654014775139E-2</v>
      </c>
      <c r="D117" s="2">
        <f t="shared" si="1"/>
        <v>520.0520964555609</v>
      </c>
    </row>
    <row r="118" spans="1:4" x14ac:dyDescent="0.25">
      <c r="A118" s="1">
        <v>36404</v>
      </c>
      <c r="B118" s="2"/>
      <c r="C118" s="5">
        <f>VLOOKUP(A118,'step4 Pred. Chg'!A:D,4,0)</f>
        <v>-0.10562982719913466</v>
      </c>
      <c r="D118" s="2">
        <f t="shared" si="1"/>
        <v>577.05919044789357</v>
      </c>
    </row>
    <row r="119" spans="1:4" x14ac:dyDescent="0.25">
      <c r="A119" s="1">
        <v>36434</v>
      </c>
      <c r="B119" s="2"/>
      <c r="C119" s="5">
        <f>VLOOKUP(A119,'step4 Pred. Chg'!A:D,4,0)</f>
        <v>-5.4899311776296811E-2</v>
      </c>
      <c r="D119" s="2">
        <f t="shared" si="1"/>
        <v>578.55382278408126</v>
      </c>
    </row>
    <row r="120" spans="1:4" x14ac:dyDescent="0.25">
      <c r="A120" s="1">
        <v>36465</v>
      </c>
      <c r="B120" s="2"/>
      <c r="C120" s="5">
        <f>VLOOKUP(A120,'step4 Pred. Chg'!A:D,4,0)</f>
        <v>-1.5560848756807143E-2</v>
      </c>
      <c r="D120" s="2">
        <f t="shared" si="1"/>
        <v>540.19661060915155</v>
      </c>
    </row>
    <row r="121" spans="1:4" x14ac:dyDescent="0.25">
      <c r="A121" s="1">
        <v>36495</v>
      </c>
      <c r="B121" s="2"/>
      <c r="C121" s="5">
        <f>VLOOKUP(A121,'step4 Pred. Chg'!A:D,4,0)</f>
        <v>-3.9380784734265165E-2</v>
      </c>
      <c r="D121" s="2">
        <f t="shared" si="1"/>
        <v>582.39928480797391</v>
      </c>
    </row>
    <row r="122" spans="1:4" x14ac:dyDescent="0.25">
      <c r="A122" s="1">
        <v>36526</v>
      </c>
      <c r="B122" s="2"/>
      <c r="C122" s="5">
        <f>VLOOKUP(A122,'step4 Pred. Chg'!A:D,4,0)</f>
        <v>-5.3999330114914493E-2</v>
      </c>
      <c r="D122" s="2">
        <f t="shared" si="1"/>
        <v>617.64190745350982</v>
      </c>
    </row>
    <row r="123" spans="1:4" x14ac:dyDescent="0.25">
      <c r="A123" s="1">
        <v>36557</v>
      </c>
      <c r="B123" s="2"/>
      <c r="C123" s="5">
        <f>VLOOKUP(A123,'step4 Pred. Chg'!A:D,4,0)</f>
        <v>2.4875967682168199E-3</v>
      </c>
      <c r="D123" s="2">
        <f t="shared" si="1"/>
        <v>703.96665380685192</v>
      </c>
    </row>
    <row r="124" spans="1:4" x14ac:dyDescent="0.25">
      <c r="A124" s="1">
        <v>36586</v>
      </c>
      <c r="B124" s="2"/>
      <c r="C124" s="5">
        <f>VLOOKUP(A124,'step4 Pred. Chg'!A:D,4,0)</f>
        <v>1.6607343872005145E-2</v>
      </c>
      <c r="D124" s="2">
        <f t="shared" si="1"/>
        <v>787.85271196596943</v>
      </c>
    </row>
    <row r="125" spans="1:4" x14ac:dyDescent="0.25">
      <c r="A125" s="1">
        <v>36617</v>
      </c>
      <c r="B125" s="2"/>
      <c r="C125" s="5">
        <f>VLOOKUP(A125,'step4 Pred. Chg'!A:D,4,0)</f>
        <v>3.0896867270595253E-2</v>
      </c>
      <c r="D125" s="2">
        <f t="shared" si="1"/>
        <v>873.50573611649236</v>
      </c>
    </row>
    <row r="126" spans="1:4" x14ac:dyDescent="0.25">
      <c r="A126" s="1">
        <v>36647</v>
      </c>
      <c r="B126" s="2"/>
      <c r="C126" s="5">
        <f>VLOOKUP(A126,'step4 Pred. Chg'!A:D,4,0)</f>
        <v>1.4489431425714128E-2</v>
      </c>
      <c r="D126" s="2">
        <f t="shared" si="1"/>
        <v>978.32138180231971</v>
      </c>
    </row>
    <row r="127" spans="1:4" x14ac:dyDescent="0.25">
      <c r="A127" s="1">
        <v>36678</v>
      </c>
      <c r="B127" s="2"/>
      <c r="C127" s="5">
        <f>VLOOKUP(A127,'step4 Pred. Chg'!A:D,4,0)</f>
        <v>6.2939623583323397E-4</v>
      </c>
      <c r="D127" s="2">
        <f t="shared" si="1"/>
        <v>461.52653196799628</v>
      </c>
    </row>
    <row r="128" spans="1:4" x14ac:dyDescent="0.25">
      <c r="A128" s="1">
        <v>36708</v>
      </c>
      <c r="B128" s="2"/>
      <c r="C128" s="5">
        <f>VLOOKUP(A128,'step4 Pred. Chg'!A:D,4,0)</f>
        <v>2.3906855423806946E-2</v>
      </c>
      <c r="D128" s="2">
        <f t="shared" si="1"/>
        <v>493.21544817879271</v>
      </c>
    </row>
    <row r="129" spans="1:4" x14ac:dyDescent="0.25">
      <c r="A129" s="1">
        <v>36739</v>
      </c>
      <c r="B129" s="2"/>
      <c r="C129" s="5">
        <f>VLOOKUP(A129,'step4 Pred. Chg'!A:D,4,0)</f>
        <v>3.0776913962297505E-2</v>
      </c>
      <c r="D129" s="2">
        <f t="shared" si="1"/>
        <v>493.29201487537307</v>
      </c>
    </row>
    <row r="130" spans="1:4" x14ac:dyDescent="0.25">
      <c r="A130" s="1">
        <v>36770</v>
      </c>
      <c r="B130" s="2"/>
      <c r="C130" s="5">
        <f>VLOOKUP(A130,'step4 Pred. Chg'!A:D,4,0)</f>
        <v>6.4489535655267716E-2</v>
      </c>
      <c r="D130" s="2">
        <f t="shared" ref="D130:D161" si="2">D142/(1+C130)</f>
        <v>516.10452787720999</v>
      </c>
    </row>
    <row r="131" spans="1:4" x14ac:dyDescent="0.25">
      <c r="A131" s="1">
        <v>36800</v>
      </c>
      <c r="B131" s="2"/>
      <c r="C131" s="5">
        <f>VLOOKUP(A131,'step4 Pred. Chg'!A:D,4,0)</f>
        <v>9.4251185591553183E-2</v>
      </c>
      <c r="D131" s="2">
        <f t="shared" si="2"/>
        <v>546.79161608768959</v>
      </c>
    </row>
    <row r="132" spans="1:4" x14ac:dyDescent="0.25">
      <c r="A132" s="1">
        <v>36831</v>
      </c>
      <c r="B132" s="2"/>
      <c r="C132" s="5">
        <f>VLOOKUP(A132,'step4 Pred. Chg'!A:D,4,0)</f>
        <v>1.7978203336490983E-2</v>
      </c>
      <c r="D132" s="2">
        <f t="shared" si="2"/>
        <v>531.79069285252262</v>
      </c>
    </row>
    <row r="133" spans="1:4" x14ac:dyDescent="0.25">
      <c r="A133" s="1">
        <v>36861</v>
      </c>
      <c r="B133" s="2"/>
      <c r="C133" s="5">
        <f>VLOOKUP(A133,'step4 Pred. Chg'!A:D,4,0)</f>
        <v>-2.2517122648017696E-2</v>
      </c>
      <c r="D133" s="2">
        <f t="shared" si="2"/>
        <v>559.46394394356105</v>
      </c>
    </row>
    <row r="134" spans="1:4" x14ac:dyDescent="0.25">
      <c r="A134" s="1">
        <v>36892</v>
      </c>
      <c r="B134" s="2"/>
      <c r="C134" s="5">
        <f>VLOOKUP(A134,'step4 Pred. Chg'!A:D,4,0)</f>
        <v>-6.8368010347421765E-2</v>
      </c>
      <c r="D134" s="2">
        <f t="shared" si="2"/>
        <v>584.28965820012229</v>
      </c>
    </row>
    <row r="135" spans="1:4" x14ac:dyDescent="0.25">
      <c r="A135" s="1">
        <v>36923</v>
      </c>
      <c r="B135" s="2"/>
      <c r="C135" s="5">
        <f>VLOOKUP(A135,'step4 Pred. Chg'!A:D,4,0)</f>
        <v>-4.3123625684296361E-2</v>
      </c>
      <c r="D135" s="2">
        <f t="shared" si="2"/>
        <v>705.71783897979424</v>
      </c>
    </row>
    <row r="136" spans="1:4" x14ac:dyDescent="0.25">
      <c r="A136" s="1">
        <v>36951</v>
      </c>
      <c r="B136" s="2"/>
      <c r="C136" s="5">
        <f>VLOOKUP(A136,'step4 Pred. Chg'!A:D,4,0)</f>
        <v>-4.8819456815140459E-2</v>
      </c>
      <c r="D136" s="2">
        <f t="shared" si="2"/>
        <v>800.93685287408005</v>
      </c>
    </row>
    <row r="137" spans="1:4" x14ac:dyDescent="0.25">
      <c r="A137" s="1">
        <v>36982</v>
      </c>
      <c r="B137" s="2"/>
      <c r="C137" s="5">
        <f>VLOOKUP(A137,'step4 Pred. Chg'!A:D,4,0)</f>
        <v>-8.9926102790068879E-2</v>
      </c>
      <c r="D137" s="2">
        <f t="shared" si="2"/>
        <v>900.49432690538708</v>
      </c>
    </row>
    <row r="138" spans="1:4" x14ac:dyDescent="0.25">
      <c r="A138" s="1">
        <v>37012</v>
      </c>
      <c r="B138" s="2"/>
      <c r="C138" s="5">
        <f>VLOOKUP(A138,'step4 Pred. Chg'!A:D,4,0)</f>
        <v>-0.12543132316071826</v>
      </c>
      <c r="D138" s="2">
        <f t="shared" si="2"/>
        <v>992.49670237625423</v>
      </c>
    </row>
    <row r="139" spans="1:4" x14ac:dyDescent="0.25">
      <c r="A139" s="1">
        <v>37043</v>
      </c>
      <c r="B139" s="2"/>
      <c r="C139" s="5">
        <f>VLOOKUP(A139,'step4 Pred. Chg'!A:D,4,0)</f>
        <v>-9.2661261799182548E-2</v>
      </c>
      <c r="D139" s="2">
        <f t="shared" si="2"/>
        <v>461.81701502995412</v>
      </c>
    </row>
    <row r="140" spans="1:4" x14ac:dyDescent="0.25">
      <c r="A140" s="1">
        <v>37073</v>
      </c>
      <c r="B140" s="2"/>
      <c r="C140" s="5">
        <f>VLOOKUP(A140,'step4 Pred. Chg'!A:D,4,0)</f>
        <v>-0.13273996846006358</v>
      </c>
      <c r="D140" s="2">
        <f t="shared" si="2"/>
        <v>505.00667859119125</v>
      </c>
    </row>
    <row r="141" spans="1:4" x14ac:dyDescent="0.25">
      <c r="A141" s="1">
        <v>37104</v>
      </c>
      <c r="B141" s="2"/>
      <c r="C141" s="5">
        <f>VLOOKUP(A141,'step4 Pred. Chg'!A:D,4,0)</f>
        <v>-0.12423568539195677</v>
      </c>
      <c r="D141" s="2">
        <f t="shared" si="2"/>
        <v>508.47402077548082</v>
      </c>
    </row>
    <row r="142" spans="1:4" x14ac:dyDescent="0.25">
      <c r="A142" s="1">
        <v>37135</v>
      </c>
      <c r="B142" s="2"/>
      <c r="C142" s="5">
        <f>VLOOKUP(A142,'step4 Pred. Chg'!A:D,4,0)</f>
        <v>-0.17255265924014412</v>
      </c>
      <c r="D142" s="2">
        <f t="shared" si="2"/>
        <v>549.38786922959241</v>
      </c>
    </row>
    <row r="143" spans="1:4" x14ac:dyDescent="0.25">
      <c r="A143" s="1">
        <v>37165</v>
      </c>
      <c r="B143" s="2"/>
      <c r="C143" s="5">
        <f>VLOOKUP(A143,'step4 Pred. Chg'!A:D,4,0)</f>
        <v>-0.200253996986477</v>
      </c>
      <c r="D143" s="2">
        <f t="shared" si="2"/>
        <v>598.32737417547571</v>
      </c>
    </row>
    <row r="144" spans="1:4" x14ac:dyDescent="0.25">
      <c r="A144" s="1">
        <v>37196</v>
      </c>
      <c r="B144" s="2"/>
      <c r="C144" s="5">
        <f>VLOOKUP(A144,'step4 Pred. Chg'!A:D,4,0)</f>
        <v>-9.9495924520089679E-2</v>
      </c>
      <c r="D144" s="2">
        <f t="shared" si="2"/>
        <v>541.35133406107877</v>
      </c>
    </row>
    <row r="145" spans="1:4" x14ac:dyDescent="0.25">
      <c r="A145" s="1">
        <v>37226</v>
      </c>
      <c r="B145" s="2"/>
      <c r="C145" s="5">
        <f>VLOOKUP(A145,'step4 Pred. Chg'!A:D,4,0)</f>
        <v>-0.10435280874345637</v>
      </c>
      <c r="D145" s="2">
        <f t="shared" si="2"/>
        <v>546.86642570064021</v>
      </c>
    </row>
    <row r="146" spans="1:4" x14ac:dyDescent="0.25">
      <c r="A146" s="1">
        <v>37257</v>
      </c>
      <c r="B146" s="2"/>
      <c r="C146" s="5">
        <f>VLOOKUP(A146,'step4 Pred. Chg'!A:D,4,0)</f>
        <v>-2.9661517040429547E-2</v>
      </c>
      <c r="D146" s="2">
        <f t="shared" si="2"/>
        <v>544.34293680240478</v>
      </c>
    </row>
    <row r="147" spans="1:4" x14ac:dyDescent="0.25">
      <c r="A147" s="1">
        <v>37288</v>
      </c>
      <c r="B147" s="2"/>
      <c r="C147" s="5">
        <f>VLOOKUP(A147,'step4 Pred. Chg'!A:D,4,0)</f>
        <v>-4.0759511927699311E-2</v>
      </c>
      <c r="D147" s="2">
        <f t="shared" si="2"/>
        <v>675.28472705289903</v>
      </c>
    </row>
    <row r="148" spans="1:4" x14ac:dyDescent="0.25">
      <c r="A148" s="1">
        <v>37316</v>
      </c>
      <c r="B148" s="2"/>
      <c r="C148" s="5">
        <f>VLOOKUP(A148,'step4 Pred. Chg'!A:D,4,0)</f>
        <v>-7.5006721777626198E-2</v>
      </c>
      <c r="D148" s="2">
        <f t="shared" si="2"/>
        <v>761.83555077353935</v>
      </c>
    </row>
    <row r="149" spans="1:4" x14ac:dyDescent="0.25">
      <c r="A149" s="1">
        <v>37347</v>
      </c>
      <c r="B149" s="2"/>
      <c r="C149" s="5">
        <f>VLOOKUP(A149,'step4 Pred. Chg'!A:D,4,0)</f>
        <v>-5.5753127627583096E-2</v>
      </c>
      <c r="D149" s="2">
        <f t="shared" si="2"/>
        <v>819.51638150221936</v>
      </c>
    </row>
    <row r="150" spans="1:4" x14ac:dyDescent="0.25">
      <c r="A150" s="1">
        <v>37377</v>
      </c>
      <c r="B150" s="2"/>
      <c r="C150" s="5">
        <f>VLOOKUP(A150,'step4 Pred. Chg'!A:D,4,0)</f>
        <v>-9.1229359910244556E-2</v>
      </c>
      <c r="D150" s="2">
        <f t="shared" si="2"/>
        <v>868.00652776455104</v>
      </c>
    </row>
    <row r="151" spans="1:4" x14ac:dyDescent="0.25">
      <c r="A151" s="1">
        <v>37408</v>
      </c>
      <c r="B151" s="2"/>
      <c r="C151" s="5">
        <f>VLOOKUP(A151,'step4 Pred. Chg'!A:D,4,0)</f>
        <v>-8.9683339570002962E-2</v>
      </c>
      <c r="D151" s="2">
        <f t="shared" si="2"/>
        <v>419.02446769694654</v>
      </c>
    </row>
    <row r="152" spans="1:4" x14ac:dyDescent="0.25">
      <c r="A152" s="1">
        <v>37438</v>
      </c>
      <c r="B152" s="2"/>
      <c r="C152" s="5">
        <f>VLOOKUP(A152,'step4 Pred. Chg'!A:D,4,0)</f>
        <v>-0.10444831324065035</v>
      </c>
      <c r="D152" s="2">
        <f t="shared" si="2"/>
        <v>437.97210800287502</v>
      </c>
    </row>
    <row r="153" spans="1:4" x14ac:dyDescent="0.25">
      <c r="A153" s="1">
        <v>37469</v>
      </c>
      <c r="B153" s="2"/>
      <c r="C153" s="5">
        <f>VLOOKUP(A153,'step4 Pred. Chg'!A:D,4,0)</f>
        <v>-7.9541895475207958E-2</v>
      </c>
      <c r="D153" s="2">
        <f t="shared" si="2"/>
        <v>445.30340230043493</v>
      </c>
    </row>
    <row r="154" spans="1:4" x14ac:dyDescent="0.25">
      <c r="A154" s="1">
        <v>37500</v>
      </c>
      <c r="B154" s="2"/>
      <c r="C154" s="5">
        <f>VLOOKUP(A154,'step4 Pred. Chg'!A:D,4,0)</f>
        <v>-6.7014045193499933E-2</v>
      </c>
      <c r="D154" s="2">
        <f t="shared" si="2"/>
        <v>454.58953143974969</v>
      </c>
    </row>
    <row r="155" spans="1:4" x14ac:dyDescent="0.25">
      <c r="A155" s="1">
        <v>37530</v>
      </c>
      <c r="B155" s="2"/>
      <c r="C155" s="5">
        <f>VLOOKUP(A155,'step4 Pred. Chg'!A:D,4,0)</f>
        <v>-7.1672058117206311E-2</v>
      </c>
      <c r="D155" s="2">
        <f t="shared" si="2"/>
        <v>478.50992599041331</v>
      </c>
    </row>
    <row r="156" spans="1:4" x14ac:dyDescent="0.25">
      <c r="A156" s="1">
        <v>37561</v>
      </c>
      <c r="B156" s="2"/>
      <c r="C156" s="5">
        <f>VLOOKUP(A156,'step4 Pred. Chg'!A:D,4,0)</f>
        <v>-0.11776622087376827</v>
      </c>
      <c r="D156" s="2">
        <f t="shared" si="2"/>
        <v>487.48908258848786</v>
      </c>
    </row>
    <row r="157" spans="1:4" x14ac:dyDescent="0.25">
      <c r="A157" s="1">
        <v>37591</v>
      </c>
      <c r="B157" s="2"/>
      <c r="C157" s="5">
        <f>VLOOKUP(A157,'step4 Pred. Chg'!A:D,4,0)</f>
        <v>-8.2526494369962025E-2</v>
      </c>
      <c r="D157" s="2">
        <f t="shared" si="2"/>
        <v>489.79937817128365</v>
      </c>
    </row>
    <row r="158" spans="1:4" x14ac:dyDescent="0.25">
      <c r="A158" s="1">
        <v>37622</v>
      </c>
      <c r="B158" s="2"/>
      <c r="C158" s="5">
        <f>VLOOKUP(A158,'step4 Pred. Chg'!A:D,4,0)</f>
        <v>-0.13626510114324847</v>
      </c>
      <c r="D158" s="2">
        <f t="shared" si="2"/>
        <v>528.19689950660279</v>
      </c>
    </row>
    <row r="159" spans="1:4" x14ac:dyDescent="0.25">
      <c r="A159" s="1">
        <v>37653</v>
      </c>
      <c r="B159" s="2"/>
      <c r="C159" s="5">
        <f>VLOOKUP(A159,'step4 Pred. Chg'!A:D,4,0)</f>
        <v>-0.15742979537441204</v>
      </c>
      <c r="D159" s="2">
        <f t="shared" si="2"/>
        <v>647.76045116599323</v>
      </c>
    </row>
    <row r="160" spans="1:4" x14ac:dyDescent="0.25">
      <c r="A160" s="1">
        <v>37681</v>
      </c>
      <c r="B160" s="2"/>
      <c r="C160" s="5">
        <f>VLOOKUP(A160,'step4 Pred. Chg'!A:D,4,0)</f>
        <v>-0.13625159746538201</v>
      </c>
      <c r="D160" s="2">
        <f t="shared" si="2"/>
        <v>704.69276357636386</v>
      </c>
    </row>
    <row r="161" spans="1:5" x14ac:dyDescent="0.25">
      <c r="A161" s="1">
        <v>37712</v>
      </c>
      <c r="B161" s="2"/>
      <c r="C161" s="5">
        <f>VLOOKUP(A161,'step4 Pred. Chg'!A:D,4,0)</f>
        <v>-0.13282629418597069</v>
      </c>
      <c r="D161" s="2">
        <f t="shared" si="2"/>
        <v>773.82578009143106</v>
      </c>
    </row>
    <row r="162" spans="1:5" x14ac:dyDescent="0.25">
      <c r="A162" s="1">
        <v>37742</v>
      </c>
      <c r="B162" s="2"/>
      <c r="C162" s="5">
        <f>VLOOKUP(A162,'step4 Pred. Chg'!A:D,4,0)</f>
        <v>-5.6293138397349063E-2</v>
      </c>
      <c r="D162" s="2">
        <f>D174/(1+C162)</f>
        <v>788.81884783867713</v>
      </c>
    </row>
    <row r="163" spans="1:5" x14ac:dyDescent="0.25">
      <c r="A163" s="1">
        <v>37773</v>
      </c>
      <c r="B163" s="2"/>
      <c r="C163" s="5">
        <f>VLOOKUP(A163,'step4 Pred. Chg'!A:D,4,0)</f>
        <v>-1.1652937140436186E-2</v>
      </c>
      <c r="D163" s="2">
        <f t="shared" ref="D163:D173" si="3">B175/(1+C163)</f>
        <v>381.44495407234155</v>
      </c>
    </row>
    <row r="164" spans="1:5" x14ac:dyDescent="0.25">
      <c r="A164" s="1">
        <v>37803</v>
      </c>
      <c r="B164" s="2"/>
      <c r="C164" s="5">
        <f>VLOOKUP(A164,'step4 Pred. Chg'!A:D,4,0)</f>
        <v>-2.2249023240394954E-2</v>
      </c>
      <c r="D164" s="2">
        <f t="shared" si="3"/>
        <v>392.22666007552277</v>
      </c>
    </row>
    <row r="165" spans="1:5" x14ac:dyDescent="0.25">
      <c r="A165" s="1">
        <v>37834</v>
      </c>
      <c r="B165" s="2"/>
      <c r="C165" s="5">
        <f>VLOOKUP(A165,'step4 Pred. Chg'!A:D,4,0)</f>
        <v>-4.8509256363819281E-2</v>
      </c>
      <c r="D165" s="2">
        <f t="shared" si="3"/>
        <v>409.88312561989926</v>
      </c>
    </row>
    <row r="166" spans="1:5" x14ac:dyDescent="0.25">
      <c r="A166" s="1">
        <v>37865</v>
      </c>
      <c r="B166" s="2"/>
      <c r="C166" s="5">
        <f>VLOOKUP(A166,'step4 Pred. Chg'!A:D,4,0)</f>
        <v>-6.5135528028834239E-2</v>
      </c>
      <c r="D166" s="2">
        <f t="shared" si="3"/>
        <v>424.12564803535435</v>
      </c>
    </row>
    <row r="167" spans="1:5" x14ac:dyDescent="0.25">
      <c r="A167" s="1">
        <v>37895</v>
      </c>
      <c r="B167" s="2"/>
      <c r="C167" s="5">
        <f>VLOOKUP(A167,'step4 Pred. Chg'!A:D,4,0)</f>
        <v>-9.2779881457297556E-2</v>
      </c>
      <c r="D167" s="2">
        <f t="shared" si="3"/>
        <v>444.2141347651683</v>
      </c>
    </row>
    <row r="168" spans="1:5" x14ac:dyDescent="0.25">
      <c r="A168" s="1">
        <v>37926</v>
      </c>
      <c r="B168" s="2"/>
      <c r="C168" s="5">
        <f>VLOOKUP(A168,'step4 Pred. Chg'!A:D,4,0)</f>
        <v>-4.7850091624146676E-2</v>
      </c>
      <c r="D168" s="2">
        <f t="shared" si="3"/>
        <v>430.07933561482133</v>
      </c>
    </row>
    <row r="169" spans="1:5" x14ac:dyDescent="0.25">
      <c r="A169" s="1">
        <v>37956</v>
      </c>
      <c r="B169" s="2"/>
      <c r="C169" s="5">
        <f>VLOOKUP(A169,'step4 Pred. Chg'!A:D,4,0)</f>
        <v>-7.427590151474385E-2</v>
      </c>
      <c r="D169" s="2">
        <f t="shared" si="3"/>
        <v>449.37795254622029</v>
      </c>
    </row>
    <row r="170" spans="1:5" x14ac:dyDescent="0.25">
      <c r="A170" s="1">
        <v>37987</v>
      </c>
      <c r="B170" s="2"/>
      <c r="C170" s="5">
        <f>VLOOKUP(A170,'step4 Pred. Chg'!A:D,4,0)</f>
        <v>5.3945738198780936E-2</v>
      </c>
      <c r="D170" s="2">
        <f t="shared" si="3"/>
        <v>456.22209557178525</v>
      </c>
    </row>
    <row r="171" spans="1:5" x14ac:dyDescent="0.25">
      <c r="A171" s="1">
        <v>38018</v>
      </c>
      <c r="B171" s="2"/>
      <c r="C171" s="5">
        <f>VLOOKUP(A171,'step4 Pred. Chg'!A:D,4,0)</f>
        <v>-2.1435084402428653E-4</v>
      </c>
      <c r="D171" s="2">
        <f t="shared" si="3"/>
        <v>545.78365588729412</v>
      </c>
    </row>
    <row r="172" spans="1:5" x14ac:dyDescent="0.25">
      <c r="A172" s="1">
        <v>38047</v>
      </c>
      <c r="B172" s="2"/>
      <c r="C172" s="5">
        <f>VLOOKUP(A172,'step4 Pred. Chg'!A:D,4,0)</f>
        <v>2.994610340297417E-3</v>
      </c>
      <c r="D172" s="2">
        <f t="shared" si="3"/>
        <v>608.67724881678953</v>
      </c>
    </row>
    <row r="173" spans="1:5" x14ac:dyDescent="0.25">
      <c r="A173" s="1">
        <v>38078</v>
      </c>
      <c r="B173" s="2"/>
      <c r="C173" s="5">
        <f>VLOOKUP(A173,'step4 Pred. Chg'!A:D,4,0)</f>
        <v>6.3959751507881501E-3</v>
      </c>
      <c r="D173" s="2">
        <f t="shared" si="3"/>
        <v>671.04136937631836</v>
      </c>
    </row>
    <row r="174" spans="1:5" x14ac:dyDescent="0.25">
      <c r="A174" s="1">
        <v>38108</v>
      </c>
      <c r="B174" s="2"/>
      <c r="C174" s="5">
        <f>VLOOKUP(A174,'step4 Pred. Chg'!A:D,4,0)</f>
        <v>-5.70528488221363E-3</v>
      </c>
      <c r="D174" s="2">
        <f>B186/(1+C174)</f>
        <v>744.41375926685703</v>
      </c>
      <c r="E174" s="5"/>
    </row>
    <row r="175" spans="1:5" x14ac:dyDescent="0.25">
      <c r="A175" s="1">
        <v>38139</v>
      </c>
      <c r="B175" s="2">
        <f>VLOOKUP(A175,'step1 Raw'!A:C,3,0)</f>
        <v>377</v>
      </c>
      <c r="C175" s="5">
        <f>VLOOKUP(A175,'step4 Pred. Chg'!A:D,4,0)</f>
        <v>-4.9975253038937441E-2</v>
      </c>
    </row>
    <row r="176" spans="1:5" x14ac:dyDescent="0.25">
      <c r="A176" s="1">
        <v>38169</v>
      </c>
      <c r="B176" s="2">
        <f>VLOOKUP(A176,'step1 Raw'!A:C,3,0)</f>
        <v>383.5</v>
      </c>
      <c r="C176" s="5">
        <f>VLOOKUP(A176,'step4 Pred. Chg'!A:D,4,0)</f>
        <v>-2.6771852099807585E-2</v>
      </c>
    </row>
    <row r="177" spans="1:3" x14ac:dyDescent="0.25">
      <c r="A177" s="1">
        <v>38200</v>
      </c>
      <c r="B177" s="2">
        <f>VLOOKUP(A177,'step1 Raw'!A:C,3,0)</f>
        <v>390</v>
      </c>
      <c r="C177" s="5">
        <f>VLOOKUP(A177,'step4 Pred. Chg'!A:D,4,0)</f>
        <v>-3.8510174895211115E-2</v>
      </c>
    </row>
    <row r="178" spans="1:3" x14ac:dyDescent="0.25">
      <c r="A178" s="1">
        <v>38231</v>
      </c>
      <c r="B178" s="2">
        <f>VLOOKUP(A178,'step1 Raw'!A:C,3,0)</f>
        <v>396.5</v>
      </c>
      <c r="C178" s="5">
        <f>VLOOKUP(A178,'step4 Pred. Chg'!A:D,4,0)</f>
        <v>-2.0586599324556774E-2</v>
      </c>
    </row>
    <row r="179" spans="1:3" x14ac:dyDescent="0.25">
      <c r="A179" s="1">
        <v>38261</v>
      </c>
      <c r="B179" s="2">
        <f>VLOOKUP(A179,'step1 Raw'!A:C,3,0)</f>
        <v>403</v>
      </c>
      <c r="C179" s="5">
        <f>VLOOKUP(A179,'step4 Pred. Chg'!A:D,4,0)</f>
        <v>6.4935244542793525E-3</v>
      </c>
    </row>
    <row r="180" spans="1:3" x14ac:dyDescent="0.25">
      <c r="A180" s="1">
        <v>38292</v>
      </c>
      <c r="B180" s="2">
        <f>VLOOKUP(A180,'step1 Raw'!A:C,3,0)</f>
        <v>409.5</v>
      </c>
      <c r="C180" s="5">
        <f>VLOOKUP(A180,'step4 Pred. Chg'!A:D,4,0)</f>
        <v>1.9702507779225661E-2</v>
      </c>
    </row>
    <row r="181" spans="1:3" x14ac:dyDescent="0.25">
      <c r="A181" s="1">
        <v>38322</v>
      </c>
      <c r="B181" s="2">
        <f>VLOOKUP(A181,'step1 Raw'!A:C,3,0)</f>
        <v>416</v>
      </c>
      <c r="C181" s="5">
        <f>VLOOKUP(A181,'step4 Pred. Chg'!A:D,4,0)</f>
        <v>4.2614305736802249E-2</v>
      </c>
    </row>
    <row r="182" spans="1:3" x14ac:dyDescent="0.25">
      <c r="A182" s="1">
        <v>38353</v>
      </c>
      <c r="B182" s="2">
        <f>VLOOKUP(A182,'step1 Raw'!A:C,3,0)</f>
        <v>480.83333329999999</v>
      </c>
      <c r="C182" s="5">
        <f>VLOOKUP(A182,'step4 Pred. Chg'!A:D,4,0)</f>
        <v>-1.4763108717983985E-2</v>
      </c>
    </row>
    <row r="183" spans="1:3" x14ac:dyDescent="0.25">
      <c r="A183" s="1">
        <v>38384</v>
      </c>
      <c r="B183" s="2">
        <f>VLOOKUP(A183,'step1 Raw'!A:C,3,0)</f>
        <v>545.66666669999995</v>
      </c>
      <c r="C183" s="5">
        <f>VLOOKUP(A183,'step4 Pred. Chg'!A:D,4,0)</f>
        <v>5.9568833992377085E-2</v>
      </c>
    </row>
    <row r="184" spans="1:3" x14ac:dyDescent="0.25">
      <c r="A184" s="1">
        <v>38412</v>
      </c>
      <c r="B184" s="2">
        <f>VLOOKUP(A184,'step1 Raw'!A:C,3,0)</f>
        <v>610.5</v>
      </c>
      <c r="C184" s="5">
        <f>VLOOKUP(A184,'step4 Pred. Chg'!A:D,4,0)</f>
        <v>9.4914859178494154E-2</v>
      </c>
    </row>
    <row r="185" spans="1:3" x14ac:dyDescent="0.25">
      <c r="A185" s="1">
        <v>38443</v>
      </c>
      <c r="B185" s="2">
        <f>VLOOKUP(A185,'step1 Raw'!A:C,3,0)</f>
        <v>675.33333330000005</v>
      </c>
      <c r="C185" s="5">
        <f>VLOOKUP(A185,'step4 Pred. Chg'!A:D,4,0)</f>
        <v>0.1043874858980043</v>
      </c>
    </row>
    <row r="186" spans="1:3" x14ac:dyDescent="0.25">
      <c r="A186" s="1">
        <v>38473</v>
      </c>
      <c r="B186" s="2">
        <f>VLOOKUP(A186,'step1 Raw'!A:C,3,0)</f>
        <v>740.16666669999995</v>
      </c>
      <c r="C186" s="5">
        <f>VLOOKUP(A186,'step4 Pred. Chg'!A:D,4,0)</f>
        <v>0.12678618969141175</v>
      </c>
    </row>
    <row r="187" spans="1:3" x14ac:dyDescent="0.25">
      <c r="A187" s="1">
        <v>38504</v>
      </c>
      <c r="B187" s="2">
        <f>VLOOKUP(A187,'step1 Raw'!A:C,3,0)</f>
        <v>805</v>
      </c>
      <c r="C187" s="5">
        <f>VLOOKUP(A187,'step4 Pred. Chg'!A:D,4,0)</f>
        <v>0.13823367282335486</v>
      </c>
    </row>
    <row r="188" spans="1:3" x14ac:dyDescent="0.25">
      <c r="A188" s="1">
        <v>38534</v>
      </c>
      <c r="B188" s="2">
        <f>VLOOKUP(A188,'step1 Raw'!A:C,3,0)</f>
        <v>812.16666669999995</v>
      </c>
      <c r="C188" s="5">
        <f>VLOOKUP(A188,'step4 Pred. Chg'!A:D,4,0)</f>
        <v>0.1545197342475052</v>
      </c>
    </row>
    <row r="189" spans="1:3" x14ac:dyDescent="0.25">
      <c r="A189" s="1">
        <v>38565</v>
      </c>
      <c r="B189" s="2">
        <f>VLOOKUP(A189,'step1 Raw'!A:C,3,0)</f>
        <v>819.33333330000005</v>
      </c>
      <c r="C189" s="5">
        <f>VLOOKUP(A189,'step4 Pred. Chg'!A:D,4,0)</f>
        <v>0.16669744608118503</v>
      </c>
    </row>
    <row r="190" spans="1:3" x14ac:dyDescent="0.25">
      <c r="A190" s="1">
        <v>38596</v>
      </c>
      <c r="B190" s="2">
        <f>VLOOKUP(A190,'step1 Raw'!A:C,3,0)</f>
        <v>826.5</v>
      </c>
      <c r="C190" s="5">
        <f>VLOOKUP(A190,'step4 Pred. Chg'!A:D,4,0)</f>
        <v>0.15455491482410066</v>
      </c>
    </row>
    <row r="191" spans="1:3" x14ac:dyDescent="0.25">
      <c r="A191" s="1">
        <v>38626</v>
      </c>
      <c r="B191" s="2">
        <f>VLOOKUP(A191,'step1 Raw'!A:C,3,0)</f>
        <v>833.66666669999995</v>
      </c>
      <c r="C191" s="5">
        <f>VLOOKUP(A191,'step4 Pred. Chg'!A:D,4,0)</f>
        <v>0.14646113743748562</v>
      </c>
    </row>
    <row r="192" spans="1:3" x14ac:dyDescent="0.25">
      <c r="A192" s="1">
        <v>38657</v>
      </c>
      <c r="B192" s="2">
        <f>VLOOKUP(A192,'step1 Raw'!A:C,3,0)</f>
        <v>840.83333330000005</v>
      </c>
      <c r="C192" s="5">
        <f>VLOOKUP(A192,'step4 Pred. Chg'!A:D,4,0)</f>
        <v>0.11581945797393359</v>
      </c>
    </row>
    <row r="193" spans="1:3" x14ac:dyDescent="0.25">
      <c r="A193" s="1">
        <v>38687</v>
      </c>
      <c r="B193" s="2">
        <f>VLOOKUP(A193,'step1 Raw'!A:C,3,0)</f>
        <v>848</v>
      </c>
      <c r="C193" s="5">
        <f>VLOOKUP(A193,'step4 Pred. Chg'!A:D,4,0)</f>
        <v>6.500062751515702E-2</v>
      </c>
    </row>
    <row r="194" spans="1:3" x14ac:dyDescent="0.25">
      <c r="A194" s="1">
        <v>38718</v>
      </c>
      <c r="B194" s="2">
        <f>VLOOKUP(A194,'step1 Raw'!A:C,3,0)</f>
        <v>851.83333330000005</v>
      </c>
      <c r="C194" s="5">
        <f>VLOOKUP(A194,'step4 Pred. Chg'!A:D,4,0)</f>
        <v>5.2008098342704909E-2</v>
      </c>
    </row>
    <row r="195" spans="1:3" x14ac:dyDescent="0.25">
      <c r="A195" s="1">
        <v>38749</v>
      </c>
      <c r="B195" s="2">
        <f>VLOOKUP(A195,'step1 Raw'!A:C,3,0)</f>
        <v>855.66666669999995</v>
      </c>
      <c r="C195" s="5">
        <f>VLOOKUP(A195,'step4 Pred. Chg'!A:D,4,0)</f>
        <v>3.4393017726593672E-2</v>
      </c>
    </row>
    <row r="196" spans="1:3" x14ac:dyDescent="0.25">
      <c r="A196" s="1">
        <v>38777</v>
      </c>
      <c r="B196" s="2">
        <f>VLOOKUP(A196,'step1 Raw'!A:C,3,0)</f>
        <v>859.5</v>
      </c>
      <c r="C196" s="5">
        <f>VLOOKUP(A196,'step4 Pred. Chg'!A:D,4,0)</f>
        <v>1.5551845128657971E-2</v>
      </c>
    </row>
    <row r="197" spans="1:3" x14ac:dyDescent="0.25">
      <c r="A197" s="1">
        <v>38808</v>
      </c>
      <c r="B197" s="2">
        <f>VLOOKUP(A197,'step1 Raw'!A:C,3,0)</f>
        <v>863.33333330000005</v>
      </c>
      <c r="C197" s="5">
        <f>VLOOKUP(A197,'step4 Pred. Chg'!A:D,4,0)</f>
        <v>1.6529215889717147E-2</v>
      </c>
    </row>
    <row r="198" spans="1:3" x14ac:dyDescent="0.25">
      <c r="A198" s="1">
        <v>38838</v>
      </c>
      <c r="B198" s="2">
        <f>VLOOKUP(A198,'step1 Raw'!A:C,3,0)</f>
        <v>867.16666669999995</v>
      </c>
      <c r="C198" s="5">
        <f>VLOOKUP(A198,'step4 Pred. Chg'!A:D,4,0)</f>
        <v>-2.5850813415124851E-2</v>
      </c>
    </row>
    <row r="199" spans="1:3" x14ac:dyDescent="0.25">
      <c r="A199" s="1">
        <v>38869</v>
      </c>
      <c r="B199" s="2">
        <f>VLOOKUP(A199,'step1 Raw'!A:C,3,0)</f>
        <v>871</v>
      </c>
      <c r="C199" s="5">
        <f>VLOOKUP(A199,'step4 Pred. Chg'!A:D,4,0)</f>
        <v>-4.7683916658206787E-2</v>
      </c>
    </row>
    <row r="200" spans="1:3" x14ac:dyDescent="0.25">
      <c r="A200" s="1">
        <v>38899</v>
      </c>
      <c r="B200" s="2">
        <f>VLOOKUP(A200,'step1 Raw'!A:C,3,0)</f>
        <v>846.83333330000005</v>
      </c>
      <c r="C200" s="5">
        <f>VLOOKUP(A200,'step4 Pred. Chg'!A:D,4,0)</f>
        <v>-5.1073001132129592E-2</v>
      </c>
    </row>
    <row r="201" spans="1:3" x14ac:dyDescent="0.25">
      <c r="A201" s="1">
        <v>38930</v>
      </c>
      <c r="B201" s="2">
        <f>VLOOKUP(A201,'step1 Raw'!A:C,3,0)</f>
        <v>822.66666669999995</v>
      </c>
      <c r="C201" s="5">
        <f>VLOOKUP(A201,'step4 Pred. Chg'!A:D,4,0)</f>
        <v>-8.8889337846630487E-2</v>
      </c>
    </row>
    <row r="202" spans="1:3" x14ac:dyDescent="0.25">
      <c r="A202" s="1">
        <v>38961</v>
      </c>
      <c r="B202" s="2">
        <f>VLOOKUP(A202,'step1 Raw'!A:C,3,0)</f>
        <v>798.5</v>
      </c>
      <c r="C202" s="5">
        <f>VLOOKUP(A202,'step4 Pred. Chg'!A:D,4,0)</f>
        <v>-5.0931258099010113E-2</v>
      </c>
    </row>
    <row r="203" spans="1:3" x14ac:dyDescent="0.25">
      <c r="A203" s="1">
        <v>38991</v>
      </c>
      <c r="B203" s="2">
        <f>VLOOKUP(A203,'step1 Raw'!A:C,3,0)</f>
        <v>774.33333330000005</v>
      </c>
      <c r="C203" s="5">
        <f>VLOOKUP(A203,'step4 Pred. Chg'!A:D,4,0)</f>
        <v>-5.6211462560078723E-2</v>
      </c>
    </row>
    <row r="204" spans="1:3" x14ac:dyDescent="0.25">
      <c r="A204" s="1">
        <v>39022</v>
      </c>
      <c r="B204" s="2">
        <f>VLOOKUP(A204,'step1 Raw'!A:C,3,0)</f>
        <v>750.16666669999995</v>
      </c>
      <c r="C204" s="5">
        <f>VLOOKUP(A204,'step4 Pred. Chg'!A:D,4,0)</f>
        <v>-2.518971273510541E-2</v>
      </c>
    </row>
    <row r="205" spans="1:3" x14ac:dyDescent="0.25">
      <c r="A205" s="1">
        <v>39052</v>
      </c>
      <c r="B205" s="2">
        <f>VLOOKUP(A205,'step1 Raw'!A:C,3,0)</f>
        <v>726</v>
      </c>
      <c r="C205" s="5">
        <f>VLOOKUP(A205,'step4 Pred. Chg'!A:D,4,0)</f>
        <v>3.0587576843847174E-2</v>
      </c>
    </row>
    <row r="206" spans="1:3" x14ac:dyDescent="0.25">
      <c r="A206" s="1">
        <v>39083</v>
      </c>
      <c r="B206" s="2">
        <f>VLOOKUP(A206,'step1 Raw'!A:C,3,0)</f>
        <v>696.33333330000005</v>
      </c>
      <c r="C206" s="5">
        <f>VLOOKUP(A206,'step4 Pred. Chg'!A:D,4,0)</f>
        <v>2.8097158085134355E-2</v>
      </c>
    </row>
    <row r="207" spans="1:3" x14ac:dyDescent="0.25">
      <c r="A207" s="1">
        <v>39114</v>
      </c>
      <c r="B207" s="2">
        <f>VLOOKUP(A207,'step1 Raw'!A:C,3,0)</f>
        <v>666.66666669999995</v>
      </c>
      <c r="C207" s="5">
        <f>VLOOKUP(A207,'step4 Pred. Chg'!A:D,4,0)</f>
        <v>4.3765191829090229E-2</v>
      </c>
    </row>
    <row r="208" spans="1:3" x14ac:dyDescent="0.25">
      <c r="A208" s="1">
        <v>39142</v>
      </c>
      <c r="B208" s="2">
        <f>VLOOKUP(A208,'step1 Raw'!A:C,3,0)</f>
        <v>637</v>
      </c>
      <c r="C208" s="5">
        <f>VLOOKUP(A208,'step4 Pred. Chg'!A:D,4,0)</f>
        <v>7.022439204358874E-2</v>
      </c>
    </row>
    <row r="209" spans="1:3" x14ac:dyDescent="0.25">
      <c r="A209" s="1">
        <v>39173</v>
      </c>
      <c r="B209" s="2">
        <f>VLOOKUP(A209,'step1 Raw'!A:C,3,0)</f>
        <v>607.33333330000005</v>
      </c>
      <c r="C209" s="5">
        <f>VLOOKUP(A209,'step4 Pred. Chg'!A:D,4,0)</f>
        <v>8.8097357625034442E-2</v>
      </c>
    </row>
    <row r="210" spans="1:3" x14ac:dyDescent="0.25">
      <c r="A210" s="1">
        <v>39203</v>
      </c>
      <c r="B210" s="2">
        <f>VLOOKUP(A210,'step1 Raw'!A:C,3,0)</f>
        <v>577.66666669999995</v>
      </c>
      <c r="C210" s="5">
        <f>VLOOKUP(A210,'step4 Pred. Chg'!A:D,4,0)</f>
        <v>0.12887885175756425</v>
      </c>
    </row>
    <row r="211" spans="1:3" x14ac:dyDescent="0.25">
      <c r="A211" s="1">
        <v>39234</v>
      </c>
      <c r="B211" s="2">
        <f>VLOOKUP(A211,'step1 Raw'!A:C,3,0)</f>
        <v>548</v>
      </c>
      <c r="C211" s="5">
        <f>VLOOKUP(A211,'step4 Pred. Chg'!A:D,4,0)</f>
        <v>0.15117274175946477</v>
      </c>
    </row>
    <row r="212" spans="1:3" x14ac:dyDescent="0.25">
      <c r="A212" s="1">
        <v>39264</v>
      </c>
      <c r="B212" s="2">
        <f>VLOOKUP(A212,'step1 Raw'!A:C,3,0)</f>
        <v>509.5</v>
      </c>
      <c r="C212" s="5">
        <f>VLOOKUP(A212,'step4 Pred. Chg'!A:D,4,0)</f>
        <v>0.1583151808283968</v>
      </c>
    </row>
    <row r="213" spans="1:3" x14ac:dyDescent="0.25">
      <c r="A213" s="1">
        <v>39295</v>
      </c>
      <c r="B213" s="2">
        <f>VLOOKUP(A213,'step1 Raw'!A:C,3,0)</f>
        <v>471</v>
      </c>
      <c r="C213" s="5">
        <f>VLOOKUP(A213,'step4 Pred. Chg'!A:D,4,0)</f>
        <v>0.19759517765948004</v>
      </c>
    </row>
    <row r="214" spans="1:3" x14ac:dyDescent="0.25">
      <c r="A214" s="1">
        <v>39326</v>
      </c>
      <c r="B214" s="2">
        <f>VLOOKUP(A214,'step1 Raw'!A:C,3,0)</f>
        <v>432.5</v>
      </c>
      <c r="C214" s="5">
        <f>VLOOKUP(A214,'step4 Pred. Chg'!A:D,4,0)</f>
        <v>0.14445595776358039</v>
      </c>
    </row>
    <row r="215" spans="1:3" x14ac:dyDescent="0.25">
      <c r="A215" s="1">
        <v>39356</v>
      </c>
      <c r="B215" s="2">
        <f>VLOOKUP(A215,'step1 Raw'!A:C,3,0)</f>
        <v>394</v>
      </c>
      <c r="C215" s="5">
        <f>VLOOKUP(A215,'step4 Pred. Chg'!A:D,4,0)</f>
        <v>0.21803307880551731</v>
      </c>
    </row>
    <row r="216" spans="1:3" x14ac:dyDescent="0.25">
      <c r="A216" s="1">
        <v>39387</v>
      </c>
      <c r="B216" s="2">
        <f>VLOOKUP(A216,'step1 Raw'!A:C,3,0)</f>
        <v>355.5</v>
      </c>
      <c r="C216" s="5">
        <f>VLOOKUP(A216,'step4 Pred. Chg'!A:D,4,0)</f>
        <v>0.23573379187059867</v>
      </c>
    </row>
    <row r="217" spans="1:3" x14ac:dyDescent="0.25">
      <c r="A217" s="1">
        <v>39417</v>
      </c>
      <c r="B217" s="2">
        <f>VLOOKUP(A217,'step1 Raw'!A:C,3,0)</f>
        <v>317</v>
      </c>
      <c r="C217" s="5">
        <f>VLOOKUP(A217,'step4 Pred. Chg'!A:D,4,0)</f>
        <v>0.191343226714556</v>
      </c>
    </row>
    <row r="218" spans="1:3" x14ac:dyDescent="0.25">
      <c r="A218" s="1">
        <v>39448</v>
      </c>
      <c r="B218" s="2">
        <f>VLOOKUP(A218,'step1 Raw'!A:C,3,0)</f>
        <v>283.83333329999999</v>
      </c>
      <c r="C218" s="5">
        <f>VLOOKUP(A218,'step4 Pred. Chg'!A:D,4,0)</f>
        <v>0.20979921885552388</v>
      </c>
    </row>
    <row r="219" spans="1:3" x14ac:dyDescent="0.25">
      <c r="A219" s="1">
        <v>39479</v>
      </c>
      <c r="B219" s="2">
        <f>VLOOKUP(A219,'step1 Raw'!A:C,3,0)</f>
        <v>250.66666670000001</v>
      </c>
      <c r="C219" s="5">
        <f>VLOOKUP(A219,'step4 Pred. Chg'!A:D,4,0)</f>
        <v>0.2543941007071901</v>
      </c>
    </row>
    <row r="220" spans="1:3" x14ac:dyDescent="0.25">
      <c r="A220" s="1">
        <v>39508</v>
      </c>
      <c r="B220" s="2">
        <f>VLOOKUP(A220,'step1 Raw'!A:C,3,0)</f>
        <v>217.5</v>
      </c>
      <c r="C220" s="5">
        <f>VLOOKUP(A220,'step4 Pred. Chg'!A:D,4,0)</f>
        <v>0.2186367993612246</v>
      </c>
    </row>
    <row r="221" spans="1:3" x14ac:dyDescent="0.25">
      <c r="A221" s="1">
        <v>39539</v>
      </c>
      <c r="B221" s="2">
        <f>VLOOKUP(A221,'step1 Raw'!A:C,3,0)</f>
        <v>184.33333329999999</v>
      </c>
      <c r="C221" s="5">
        <f>VLOOKUP(A221,'step4 Pred. Chg'!A:D,4,0)</f>
        <v>0.19893087721108516</v>
      </c>
    </row>
    <row r="222" spans="1:3" x14ac:dyDescent="0.25">
      <c r="A222" s="1">
        <v>39569</v>
      </c>
      <c r="B222" s="2">
        <f>VLOOKUP(A222,'step1 Raw'!A:C,3,0)</f>
        <v>151.16666670000001</v>
      </c>
      <c r="C222" s="5">
        <f>VLOOKUP(A222,'step4 Pred. Chg'!A:D,4,0)</f>
        <v>0.19920016297682874</v>
      </c>
    </row>
    <row r="223" spans="1:3" x14ac:dyDescent="0.25">
      <c r="A223" s="1">
        <v>39600</v>
      </c>
      <c r="B223" s="2">
        <f>VLOOKUP(A223,'step1 Raw'!A:C,3,0)</f>
        <v>118</v>
      </c>
      <c r="C223" s="5">
        <f>VLOOKUP(A223,'step4 Pred. Chg'!A:D,4,0)</f>
        <v>0.17325202502667048</v>
      </c>
    </row>
    <row r="224" spans="1:3" x14ac:dyDescent="0.25">
      <c r="A224" s="1">
        <v>39630</v>
      </c>
      <c r="B224" s="2">
        <f>VLOOKUP(A224,'step1 Raw'!A:C,3,0)</f>
        <v>112.33333330000001</v>
      </c>
      <c r="C224" s="5">
        <f>VLOOKUP(A224,'step4 Pred. Chg'!A:D,4,0)</f>
        <v>0.16341817905631195</v>
      </c>
    </row>
    <row r="225" spans="1:3" x14ac:dyDescent="0.25">
      <c r="A225" s="1">
        <v>39661</v>
      </c>
      <c r="B225" s="2">
        <f>VLOOKUP(A225,'step1 Raw'!A:C,3,0)</f>
        <v>106.66666669999999</v>
      </c>
      <c r="C225" s="5">
        <f>VLOOKUP(A225,'step4 Pred. Chg'!A:D,4,0)</f>
        <v>0.10880546761972448</v>
      </c>
    </row>
    <row r="226" spans="1:3" x14ac:dyDescent="0.25">
      <c r="A226" s="1">
        <v>39692</v>
      </c>
      <c r="B226" s="2">
        <f>VLOOKUP(A226,'step1 Raw'!A:C,3,0)</f>
        <v>101</v>
      </c>
      <c r="C226" s="5">
        <f>VLOOKUP(A226,'step4 Pred. Chg'!A:D,4,0)</f>
        <v>0.13899829060981128</v>
      </c>
    </row>
    <row r="227" spans="1:3" x14ac:dyDescent="0.25">
      <c r="A227" s="1">
        <v>39722</v>
      </c>
      <c r="B227" s="2">
        <f>VLOOKUP(A227,'step1 Raw'!A:C,3,0)</f>
        <v>95.333333330000002</v>
      </c>
      <c r="C227" s="5">
        <f>VLOOKUP(A227,'step4 Pred. Chg'!A:D,4,0)</f>
        <v>5.5802811394885833E-2</v>
      </c>
    </row>
    <row r="228" spans="1:3" x14ac:dyDescent="0.25">
      <c r="A228" s="1">
        <v>39753</v>
      </c>
      <c r="B228" s="2">
        <f>VLOOKUP(A228,'step1 Raw'!A:C,3,0)</f>
        <v>89.666666669999998</v>
      </c>
      <c r="C228" s="5">
        <f>VLOOKUP(A228,'step4 Pred. Chg'!A:D,4,0)</f>
        <v>0.17256856511090424</v>
      </c>
    </row>
    <row r="229" spans="1:3" x14ac:dyDescent="0.25">
      <c r="A229" s="1">
        <v>39783</v>
      </c>
      <c r="B229" s="2">
        <f>VLOOKUP(A229,'step1 Raw'!A:C,3,0)</f>
        <v>84</v>
      </c>
      <c r="C229" s="5">
        <f>VLOOKUP(A229,'step4 Pred. Chg'!A:D,4,0)</f>
        <v>0.18927027165767618</v>
      </c>
    </row>
    <row r="230" spans="1:3" x14ac:dyDescent="0.25">
      <c r="A230" s="1">
        <v>39814</v>
      </c>
      <c r="B230" s="2">
        <f>VLOOKUP(A230,'step1 Raw'!A:C,3,0)</f>
        <v>91.166666669999998</v>
      </c>
      <c r="C230" s="5">
        <f>VLOOKUP(A230,'step4 Pred. Chg'!A:D,4,0)</f>
        <v>0.1894343459167705</v>
      </c>
    </row>
    <row r="231" spans="1:3" x14ac:dyDescent="0.25">
      <c r="A231" s="1">
        <v>39845</v>
      </c>
      <c r="B231" s="2">
        <f>VLOOKUP(A231,'step1 Raw'!A:C,3,0)</f>
        <v>98.333333330000002</v>
      </c>
      <c r="C231" s="5">
        <f>VLOOKUP(A231,'step4 Pred. Chg'!A:D,4,0)</f>
        <v>0.10223324702655347</v>
      </c>
    </row>
    <row r="232" spans="1:3" x14ac:dyDescent="0.25">
      <c r="A232" s="1">
        <v>39873</v>
      </c>
      <c r="B232" s="2">
        <f>VLOOKUP(A232,'step1 Raw'!A:C,3,0)</f>
        <v>105.5</v>
      </c>
      <c r="C232" s="5">
        <f>VLOOKUP(A232,'step4 Pred. Chg'!A:D,4,0)</f>
        <v>9.1216883163776644E-2</v>
      </c>
    </row>
    <row r="233" spans="1:3" x14ac:dyDescent="0.25">
      <c r="A233" s="1">
        <v>39904</v>
      </c>
      <c r="B233" s="2">
        <f>VLOOKUP(A233,'step1 Raw'!A:C,3,0)</f>
        <v>112.66666669999999</v>
      </c>
      <c r="C233" s="5">
        <f>VLOOKUP(A233,'step4 Pred. Chg'!A:D,4,0)</f>
        <v>4.991332516546871E-2</v>
      </c>
    </row>
    <row r="234" spans="1:3" x14ac:dyDescent="0.25">
      <c r="A234" s="1">
        <v>39934</v>
      </c>
      <c r="B234" s="2">
        <f>VLOOKUP(A234,'step1 Raw'!A:C,3,0)</f>
        <v>119.83333330000001</v>
      </c>
      <c r="C234" s="5">
        <f>VLOOKUP(A234,'step4 Pred. Chg'!A:D,4,0)</f>
        <v>0.15740993669454428</v>
      </c>
    </row>
    <row r="235" spans="1:3" x14ac:dyDescent="0.25">
      <c r="A235" s="1">
        <v>39965</v>
      </c>
      <c r="B235" s="2">
        <f>VLOOKUP(A235,'step1 Raw'!A:C,3,0)</f>
        <v>127</v>
      </c>
      <c r="C235" s="5">
        <f>VLOOKUP(A235,'step4 Pred. Chg'!A:D,4,0)</f>
        <v>0.25186191657116452</v>
      </c>
    </row>
    <row r="236" spans="1:3" x14ac:dyDescent="0.25">
      <c r="A236" s="1">
        <v>39995</v>
      </c>
      <c r="B236" s="2">
        <f>VLOOKUP(A236,'step1 Raw'!A:C,3,0)</f>
        <v>121.5</v>
      </c>
      <c r="C236" s="5">
        <f>VLOOKUP(A236,'step4 Pred. Chg'!A:D,4,0)</f>
        <v>0.25889063811909613</v>
      </c>
    </row>
    <row r="237" spans="1:3" x14ac:dyDescent="0.25">
      <c r="A237" s="1">
        <v>40026</v>
      </c>
      <c r="B237" s="2">
        <f>VLOOKUP(A237,'step1 Raw'!A:C,3,0)</f>
        <v>116</v>
      </c>
      <c r="C237" s="5">
        <f>VLOOKUP(A237,'step4 Pred. Chg'!A:D,4,0)</f>
        <v>0.26702819215554568</v>
      </c>
    </row>
    <row r="238" spans="1:3" x14ac:dyDescent="0.25">
      <c r="A238" s="1">
        <v>40057</v>
      </c>
      <c r="B238" s="2">
        <f>VLOOKUP(A238,'step1 Raw'!A:C,3,0)</f>
        <v>110.5</v>
      </c>
      <c r="C238" s="5">
        <f>VLOOKUP(A238,'step4 Pred. Chg'!A:D,4,0)</f>
        <v>0.25614065474086539</v>
      </c>
    </row>
    <row r="239" spans="1:3" x14ac:dyDescent="0.25">
      <c r="A239" s="1">
        <v>40087</v>
      </c>
      <c r="B239" s="2">
        <f>VLOOKUP(A239,'step1 Raw'!A:C,3,0)</f>
        <v>105</v>
      </c>
      <c r="C239" s="5">
        <f>VLOOKUP(A239,'step4 Pred. Chg'!A:D,4,0)</f>
        <v>0.24266685631199925</v>
      </c>
    </row>
    <row r="240" spans="1:3" x14ac:dyDescent="0.25">
      <c r="A240" s="1">
        <v>40118</v>
      </c>
      <c r="B240" s="2">
        <f>VLOOKUP(A240,'step1 Raw'!A:C,3,0)</f>
        <v>99.5</v>
      </c>
      <c r="C240" s="5">
        <f>VLOOKUP(A240,'step4 Pred. Chg'!A:D,4,0)</f>
        <v>8.7226180379453719E-2</v>
      </c>
    </row>
    <row r="241" spans="1:3" x14ac:dyDescent="0.25">
      <c r="A241" s="1">
        <v>40148</v>
      </c>
      <c r="B241" s="2">
        <f>VLOOKUP(A241,'step1 Raw'!A:C,3,0)</f>
        <v>94</v>
      </c>
      <c r="C241" s="5">
        <f>VLOOKUP(A241,'step4 Pred. Chg'!A:D,4,0)</f>
        <v>8.1629048186297404E-2</v>
      </c>
    </row>
    <row r="242" spans="1:3" x14ac:dyDescent="0.25">
      <c r="A242" s="1">
        <v>40179</v>
      </c>
      <c r="B242" s="2">
        <f>VLOOKUP(A242,'step1 Raw'!A:C,3,0)</f>
        <v>94.666666669999998</v>
      </c>
      <c r="C242" s="5">
        <f>VLOOKUP(A242,'step4 Pred. Chg'!A:D,4,0)</f>
        <v>0.11851492781124953</v>
      </c>
    </row>
    <row r="243" spans="1:3" x14ac:dyDescent="0.25">
      <c r="A243" s="1">
        <v>40210</v>
      </c>
      <c r="B243" s="2">
        <f>VLOOKUP(A243,'step1 Raw'!A:C,3,0)</f>
        <v>95.333333330000002</v>
      </c>
      <c r="C243" s="5">
        <f>VLOOKUP(A243,'step4 Pred. Chg'!A:D,4,0)</f>
        <v>0.11314860342863244</v>
      </c>
    </row>
    <row r="244" spans="1:3" x14ac:dyDescent="0.25">
      <c r="A244" s="1">
        <v>40238</v>
      </c>
      <c r="B244" s="2">
        <f>VLOOKUP(A244,'step1 Raw'!A:C,3,0)</f>
        <v>96</v>
      </c>
      <c r="C244" s="5">
        <f>VLOOKUP(A244,'step4 Pred. Chg'!A:D,4,0)</f>
        <v>0.12829199491277649</v>
      </c>
    </row>
    <row r="245" spans="1:3" x14ac:dyDescent="0.25">
      <c r="A245" s="1">
        <v>40269</v>
      </c>
      <c r="B245" s="2">
        <f>VLOOKUP(A245,'step1 Raw'!A:C,3,0)</f>
        <v>96.666666669999998</v>
      </c>
      <c r="C245" s="5">
        <f>VLOOKUP(A245,'step4 Pred. Chg'!A:D,4,0)</f>
        <v>0.16585057404068593</v>
      </c>
    </row>
    <row r="246" spans="1:3" x14ac:dyDescent="0.25">
      <c r="A246" s="1">
        <v>40299</v>
      </c>
      <c r="B246" s="2">
        <f>VLOOKUP(A246,'step1 Raw'!A:C,3,0)</f>
        <v>97.333333330000002</v>
      </c>
      <c r="C246" s="5">
        <f>VLOOKUP(A246,'step4 Pred. Chg'!A:D,4,0)</f>
        <v>5.573181754579528E-2</v>
      </c>
    </row>
    <row r="247" spans="1:3" x14ac:dyDescent="0.25">
      <c r="A247" s="1">
        <v>40330</v>
      </c>
      <c r="B247" s="2">
        <f>VLOOKUP(A247,'step1 Raw'!A:C,3,0)</f>
        <v>98</v>
      </c>
      <c r="C247" s="5">
        <f>VLOOKUP(A247,'step4 Pred. Chg'!A:D,4,0)</f>
        <v>-2.9895395202143418E-2</v>
      </c>
    </row>
    <row r="248" spans="1:3" x14ac:dyDescent="0.25">
      <c r="A248" s="1">
        <v>40360</v>
      </c>
      <c r="B248" s="2">
        <f>VLOOKUP(A248,'step1 Raw'!A:C,3,0)</f>
        <v>101.16666669999999</v>
      </c>
      <c r="C248" s="5">
        <f>VLOOKUP(A248,'step4 Pred. Chg'!A:D,4,0)</f>
        <v>-4.5307591348533467E-2</v>
      </c>
    </row>
    <row r="249" spans="1:3" x14ac:dyDescent="0.25">
      <c r="A249" s="1">
        <v>40391</v>
      </c>
      <c r="B249" s="2">
        <f>VLOOKUP(A249,'step1 Raw'!A:C,3,0)</f>
        <v>104.33333330000001</v>
      </c>
      <c r="C249" s="5">
        <f>VLOOKUP(A249,'step4 Pred. Chg'!A:D,4,0)</f>
        <v>3.2350966743580782E-2</v>
      </c>
    </row>
    <row r="250" spans="1:3" x14ac:dyDescent="0.25">
      <c r="A250" s="1">
        <v>40422</v>
      </c>
      <c r="B250" s="2">
        <f>VLOOKUP(A250,'step1 Raw'!A:C,3,0)</f>
        <v>107.5</v>
      </c>
      <c r="C250" s="5">
        <f>VLOOKUP(A250,'step4 Pred. Chg'!A:D,4,0)</f>
        <v>5.4348976051393612E-2</v>
      </c>
    </row>
    <row r="251" spans="1:3" x14ac:dyDescent="0.25">
      <c r="A251" s="1">
        <v>40452</v>
      </c>
      <c r="B251" s="2">
        <f>VLOOKUP(A251,'step1 Raw'!A:C,3,0)</f>
        <v>110.66666669999999</v>
      </c>
      <c r="C251" s="5">
        <f>VLOOKUP(A251,'step4 Pred. Chg'!A:D,4,0)</f>
        <v>5.0471270139574718E-2</v>
      </c>
    </row>
    <row r="252" spans="1:3" x14ac:dyDescent="0.25">
      <c r="A252" s="1">
        <v>40483</v>
      </c>
      <c r="B252" s="2">
        <f>VLOOKUP(A252,'step1 Raw'!A:C,3,0)</f>
        <v>113.83333330000001</v>
      </c>
      <c r="C252" s="5">
        <f>VLOOKUP(A252,'step4 Pred. Chg'!A:D,4,0)</f>
        <v>4.2048526974294544E-2</v>
      </c>
    </row>
    <row r="253" spans="1:3" x14ac:dyDescent="0.25">
      <c r="A253" s="1">
        <v>40513</v>
      </c>
      <c r="B253" s="2">
        <f>VLOOKUP(A253,'step1 Raw'!A:C,3,0)</f>
        <v>117</v>
      </c>
      <c r="C253" s="5">
        <f>VLOOKUP(A253,'step4 Pred. Chg'!A:D,4,0)</f>
        <v>6.9572789687238859E-2</v>
      </c>
    </row>
    <row r="254" spans="1:3" x14ac:dyDescent="0.25">
      <c r="A254" s="1">
        <v>40544</v>
      </c>
      <c r="B254" s="2">
        <f>VLOOKUP(A254,'step1 Raw'!A:C,3,0)</f>
        <v>115.83333330000001</v>
      </c>
      <c r="C254" s="5">
        <f>VLOOKUP(A254,'step4 Pred. Chg'!A:D,4,0)</f>
        <v>1.740947469451639E-2</v>
      </c>
    </row>
    <row r="255" spans="1:3" x14ac:dyDescent="0.25">
      <c r="A255" s="1">
        <v>40575</v>
      </c>
      <c r="B255" s="2">
        <f>VLOOKUP(A255,'step1 Raw'!A:C,3,0)</f>
        <v>114.66666669999999</v>
      </c>
      <c r="C255" s="5">
        <f>VLOOKUP(A255,'step4 Pred. Chg'!A:D,4,0)</f>
        <v>4.5028916966561118E-2</v>
      </c>
    </row>
    <row r="256" spans="1:3" x14ac:dyDescent="0.25">
      <c r="A256" s="1">
        <v>40603</v>
      </c>
      <c r="B256" s="2">
        <f>VLOOKUP(A256,'step1 Raw'!A:C,3,0)</f>
        <v>112.08</v>
      </c>
      <c r="C256" s="5">
        <f>VLOOKUP(A256,'step4 Pred. Chg'!A:D,4,0)</f>
        <v>1.8173612647629851E-2</v>
      </c>
    </row>
    <row r="257" spans="1:3" x14ac:dyDescent="0.25">
      <c r="A257" s="1">
        <v>40634</v>
      </c>
      <c r="B257" s="2">
        <f>VLOOKUP(A257,'step1 Raw'!A:C,3,0)</f>
        <v>107.04</v>
      </c>
      <c r="C257" s="5">
        <f>VLOOKUP(A257,'step4 Pred. Chg'!A:D,4,0)</f>
        <v>2.5971483467443414E-2</v>
      </c>
    </row>
    <row r="258" spans="1:3" x14ac:dyDescent="0.25">
      <c r="A258" s="1">
        <v>40664</v>
      </c>
      <c r="B258" s="2">
        <f>VLOOKUP(A258,'step1 Raw'!A:C,3,0)</f>
        <v>109.28</v>
      </c>
      <c r="C258" s="5">
        <f>VLOOKUP(A258,'step4 Pred. Chg'!A:D,4,0)</f>
        <v>1.627960381045224E-2</v>
      </c>
    </row>
    <row r="259" spans="1:3" x14ac:dyDescent="0.25">
      <c r="A259" s="1">
        <v>40695</v>
      </c>
      <c r="B259" s="2">
        <f>VLOOKUP(A259,'step1 Raw'!A:C,3,0)</f>
        <v>110.55</v>
      </c>
      <c r="C259" s="5">
        <f>VLOOKUP(A259,'step4 Pred. Chg'!A:D,4,0)</f>
        <v>-5.1001347079997449E-3</v>
      </c>
    </row>
    <row r="260" spans="1:3" x14ac:dyDescent="0.25">
      <c r="A260" s="1">
        <v>40725</v>
      </c>
      <c r="B260" s="2">
        <f>VLOOKUP(A260,'step1 Raw'!A:C,3,0)</f>
        <v>109.95</v>
      </c>
      <c r="C260" s="5">
        <f>VLOOKUP(A260,'step4 Pred. Chg'!A:D,4,0)</f>
        <v>-5.6467708392257676E-3</v>
      </c>
    </row>
    <row r="261" spans="1:3" x14ac:dyDescent="0.25">
      <c r="A261" s="1">
        <v>40756</v>
      </c>
      <c r="B261" s="2">
        <f>VLOOKUP(A261,'step1 Raw'!A:C,3,0)</f>
        <v>107.75</v>
      </c>
      <c r="C261" s="5">
        <f>VLOOKUP(A261,'step4 Pred. Chg'!A:D,4,0)</f>
        <v>-3.4552490937132016E-2</v>
      </c>
    </row>
    <row r="262" spans="1:3" x14ac:dyDescent="0.25">
      <c r="A262" s="1">
        <v>40787</v>
      </c>
      <c r="B262" s="2">
        <f>VLOOKUP(A262,'step1 Raw'!A:C,3,0)</f>
        <v>111.19</v>
      </c>
      <c r="C262" s="5">
        <f>VLOOKUP(A262,'step4 Pred. Chg'!A:D,4,0)</f>
        <v>-6.6772343730820707E-2</v>
      </c>
    </row>
    <row r="263" spans="1:3" x14ac:dyDescent="0.25">
      <c r="A263" s="1">
        <v>40817</v>
      </c>
      <c r="B263" s="2">
        <f>VLOOKUP(A263,'step1 Raw'!A:C,3,0)</f>
        <v>107.1</v>
      </c>
      <c r="C263" s="5">
        <f>VLOOKUP(A263,'step4 Pred. Chg'!A:D,4,0)</f>
        <v>-7.5357354158185438E-2</v>
      </c>
    </row>
    <row r="264" spans="1:3" x14ac:dyDescent="0.25">
      <c r="A264" s="1">
        <v>40848</v>
      </c>
      <c r="B264" s="2">
        <f>VLOOKUP(A264,'step1 Raw'!A:C,3,0)</f>
        <v>106.28</v>
      </c>
      <c r="C264" s="5">
        <f>VLOOKUP(A264,'step4 Pred. Chg'!A:D,4,0)</f>
        <v>-2.8889752972124219E-2</v>
      </c>
    </row>
    <row r="265" spans="1:3" x14ac:dyDescent="0.25">
      <c r="A265" s="1">
        <v>40878</v>
      </c>
      <c r="B265" s="2">
        <f>VLOOKUP(A265,'step1 Raw'!A:C,3,0)</f>
        <v>104.92</v>
      </c>
      <c r="C265" s="5">
        <f>VLOOKUP(A265,'step4 Pred. Chg'!A:D,4,0)</f>
        <v>-1.4157052474063219E-2</v>
      </c>
    </row>
    <row r="266" spans="1:3" x14ac:dyDescent="0.25">
      <c r="A266" s="1">
        <v>40909</v>
      </c>
      <c r="B266" s="2">
        <f>VLOOKUP(A266,'step1 Raw'!A:C,3,0)</f>
        <v>102.38</v>
      </c>
      <c r="C266" s="5">
        <f>VLOOKUP(A266,'step4 Pred. Chg'!A:D,4,0)</f>
        <v>-6.8967702508724374E-2</v>
      </c>
    </row>
    <row r="267" spans="1:3" x14ac:dyDescent="0.25">
      <c r="A267" s="1">
        <v>40940</v>
      </c>
      <c r="B267" s="2">
        <f>VLOOKUP(A267,'step1 Raw'!A:C,3,0)</f>
        <v>99.04</v>
      </c>
      <c r="C267" s="5">
        <f>VLOOKUP(A267,'step4 Pred. Chg'!A:D,4,0)</f>
        <v>-9.2711103228990288E-2</v>
      </c>
    </row>
    <row r="268" spans="1:3" x14ac:dyDescent="0.25">
      <c r="A268" s="1">
        <v>40969</v>
      </c>
      <c r="B268" s="2">
        <f>VLOOKUP(A268,'step1 Raw'!A:C,3,0)</f>
        <v>100</v>
      </c>
      <c r="C268" s="5">
        <f>VLOOKUP(A268,'step4 Pred. Chg'!A:D,4,0)</f>
        <v>-5.5650506791254425E-2</v>
      </c>
    </row>
    <row r="269" spans="1:3" x14ac:dyDescent="0.25">
      <c r="A269" s="1">
        <v>41000</v>
      </c>
      <c r="B269" s="2">
        <f>VLOOKUP(A269,'step1 Raw'!A:C,3,0)</f>
        <v>101.71</v>
      </c>
      <c r="C269" s="5">
        <f>VLOOKUP(A269,'step4 Pred. Chg'!A:D,4,0)</f>
        <v>-8.3887390725324376E-2</v>
      </c>
    </row>
    <row r="270" spans="1:3" x14ac:dyDescent="0.25">
      <c r="A270" s="1">
        <v>41030</v>
      </c>
      <c r="B270" s="2">
        <f>VLOOKUP(A270,'step1 Raw'!A:C,3,0)</f>
        <v>101.55</v>
      </c>
      <c r="C270" s="5">
        <f>VLOOKUP(A270,'step4 Pred. Chg'!A:D,4,0)</f>
        <v>-6.6244764357906272E-2</v>
      </c>
    </row>
    <row r="271" spans="1:3" x14ac:dyDescent="0.25">
      <c r="A271" s="1">
        <v>41061</v>
      </c>
      <c r="B271" s="2">
        <f>VLOOKUP(A271,'step1 Raw'!A:C,3,0)</f>
        <v>103.01</v>
      </c>
      <c r="C271" s="5">
        <f>VLOOKUP(A271,'step4 Pred. Chg'!A:D,4,0)</f>
        <v>-7.5199076062262879E-2</v>
      </c>
    </row>
    <row r="272" spans="1:3" x14ac:dyDescent="0.25">
      <c r="A272" s="1">
        <v>41091</v>
      </c>
      <c r="B272" s="2">
        <f>VLOOKUP(A272,'step1 Raw'!A:C,3,0)</f>
        <v>99.67</v>
      </c>
      <c r="C272" s="5">
        <f>VLOOKUP(A272,'step4 Pred. Chg'!A:D,4,0)</f>
        <v>-2.9191074677852348E-2</v>
      </c>
    </row>
    <row r="273" spans="1:3" x14ac:dyDescent="0.25">
      <c r="A273" s="1">
        <v>41122</v>
      </c>
      <c r="B273" s="2">
        <f>VLOOKUP(A273,'step1 Raw'!A:C,3,0)</f>
        <v>103.93</v>
      </c>
      <c r="C273" s="5">
        <f>VLOOKUP(A273,'step4 Pred. Chg'!A:D,4,0)</f>
        <v>-2.797861766887428E-2</v>
      </c>
    </row>
    <row r="274" spans="1:3" x14ac:dyDescent="0.25">
      <c r="A274" s="1">
        <v>41153</v>
      </c>
      <c r="B274" s="2">
        <f>VLOOKUP(A274,'step1 Raw'!A:C,3,0)</f>
        <v>103.92</v>
      </c>
      <c r="C274" s="5">
        <f>VLOOKUP(A274,'step4 Pred. Chg'!A:D,4,0)</f>
        <v>7.310025130095649E-3</v>
      </c>
    </row>
    <row r="275" spans="1:3" x14ac:dyDescent="0.25">
      <c r="A275" s="1">
        <v>41183</v>
      </c>
      <c r="B275" s="2">
        <f>VLOOKUP(A275,'step1 Raw'!A:C,3,0)</f>
        <v>101.4</v>
      </c>
      <c r="C275" s="5">
        <f>VLOOKUP(A275,'step4 Pred. Chg'!A:D,4,0)</f>
        <v>4.2710688483805409E-2</v>
      </c>
    </row>
    <row r="276" spans="1:3" x14ac:dyDescent="0.25">
      <c r="A276" s="1">
        <v>41214</v>
      </c>
      <c r="B276" s="2">
        <f>VLOOKUP(A276,'step1 Raw'!A:C,3,0)</f>
        <v>105.95</v>
      </c>
      <c r="C276" s="5">
        <f>VLOOKUP(A276,'step4 Pred. Chg'!A:D,4,0)</f>
        <v>4.4741965185226135E-2</v>
      </c>
    </row>
    <row r="277" spans="1:3" x14ac:dyDescent="0.25">
      <c r="A277" s="1">
        <v>41244</v>
      </c>
      <c r="B277" s="2">
        <f>VLOOKUP(A277,'step1 Raw'!A:C,3,0)</f>
        <v>108.16</v>
      </c>
      <c r="C277" s="5">
        <f>VLOOKUP(A277,'step4 Pred. Chg'!A:D,4,0)</f>
        <v>6.5843630650580701E-2</v>
      </c>
    </row>
    <row r="278" spans="1:3" x14ac:dyDescent="0.25">
      <c r="A278" s="1">
        <v>41275</v>
      </c>
      <c r="B278" s="2">
        <f>VLOOKUP(A278,'step1 Raw'!A:C,3,0)</f>
        <v>108.21</v>
      </c>
      <c r="C278" s="5">
        <f>VLOOKUP(A278,'step4 Pred. Chg'!A:D,4,0)</f>
        <v>8.328244170105395E-2</v>
      </c>
    </row>
    <row r="279" spans="1:3" x14ac:dyDescent="0.25">
      <c r="A279" s="1">
        <v>41306</v>
      </c>
      <c r="B279" s="2">
        <f>VLOOKUP(A279,'step1 Raw'!A:C,3,0)</f>
        <v>109.13</v>
      </c>
      <c r="C279" s="5">
        <f>VLOOKUP(A279,'step4 Pred. Chg'!A:D,4,0)</f>
        <v>0.12253279787294571</v>
      </c>
    </row>
    <row r="280" spans="1:3" x14ac:dyDescent="0.25">
      <c r="A280" s="1">
        <v>41334</v>
      </c>
      <c r="B280" s="2">
        <f>VLOOKUP(A280,'step1 Raw'!A:C,3,0)</f>
        <v>108.01</v>
      </c>
      <c r="C280" s="5">
        <f>VLOOKUP(A280,'step4 Pred. Chg'!A:D,4,0)</f>
        <v>0.1252494741725329</v>
      </c>
    </row>
    <row r="281" spans="1:3" x14ac:dyDescent="0.25">
      <c r="A281" s="1">
        <v>41365</v>
      </c>
      <c r="B281" s="2">
        <f>VLOOKUP(A281,'step1 Raw'!A:C,3,0)</f>
        <v>108.56</v>
      </c>
      <c r="C281" s="5">
        <f>VLOOKUP(A281,'step4 Pred. Chg'!A:D,4,0)</f>
        <v>0.1305716803007155</v>
      </c>
    </row>
    <row r="282" spans="1:3" x14ac:dyDescent="0.25">
      <c r="A282" s="1">
        <v>41395</v>
      </c>
      <c r="B282" s="2">
        <f>VLOOKUP(A282,'step1 Raw'!A:C,3,0)</f>
        <v>108.87</v>
      </c>
      <c r="C282" s="5">
        <f>VLOOKUP(A282,'step4 Pred. Chg'!A:D,4,0)</f>
        <v>0.1121410853340294</v>
      </c>
    </row>
    <row r="283" spans="1:3" x14ac:dyDescent="0.25">
      <c r="A283" s="1">
        <v>41426</v>
      </c>
      <c r="B283" s="2">
        <f>VLOOKUP(A283,'step1 Raw'!A:C,3,0)</f>
        <v>109.81</v>
      </c>
      <c r="C283" s="5">
        <f>VLOOKUP(A283,'step4 Pred. Chg'!A:D,4,0)</f>
        <v>0.11851772813475374</v>
      </c>
    </row>
    <row r="284" spans="1:3" x14ac:dyDescent="0.25">
      <c r="A284" s="1">
        <v>41456</v>
      </c>
      <c r="B284" s="2">
        <f>VLOOKUP(A284,'step1 Raw'!A:C,3,0)</f>
        <v>112.3</v>
      </c>
      <c r="C284" s="5">
        <f>VLOOKUP(A284,'step4 Pred. Chg'!A:D,4,0)</f>
        <v>0.10514415582869896</v>
      </c>
    </row>
    <row r="285" spans="1:3" x14ac:dyDescent="0.25">
      <c r="A285" s="1">
        <v>41487</v>
      </c>
      <c r="B285" s="2">
        <f>VLOOKUP(A285,'step1 Raw'!A:C,3,0)</f>
        <v>111.5</v>
      </c>
      <c r="C285" s="5">
        <f>VLOOKUP(A285,'step4 Pred. Chg'!A:D,4,0)</f>
        <v>9.1911121547316441E-2</v>
      </c>
    </row>
    <row r="286" spans="1:3" x14ac:dyDescent="0.25">
      <c r="A286" s="1">
        <v>41518</v>
      </c>
      <c r="B286" s="2">
        <f>VLOOKUP(A286,'step1 Raw'!A:C,3,0)</f>
        <v>110.7</v>
      </c>
      <c r="C286" s="5">
        <f>VLOOKUP(A286,'step4 Pred. Chg'!A:D,4,0)</f>
        <v>9.6552053495070581E-2</v>
      </c>
    </row>
    <row r="287" spans="1:3" x14ac:dyDescent="0.25">
      <c r="A287" s="1">
        <v>41548</v>
      </c>
      <c r="B287" s="2">
        <f>VLOOKUP(A287,'step1 Raw'!A:C,3,0)</f>
        <v>111.5</v>
      </c>
      <c r="C287" s="5">
        <f>VLOOKUP(A287,'step4 Pred. Chg'!A:D,4,0)</f>
        <v>8.225103962359416E-2</v>
      </c>
    </row>
    <row r="288" spans="1:3" x14ac:dyDescent="0.25">
      <c r="A288" s="1">
        <v>41579</v>
      </c>
      <c r="B288" s="2">
        <f>VLOOKUP(A288,'step1 Raw'!A:C,3,0)</f>
        <v>110.2</v>
      </c>
      <c r="C288" s="5">
        <f>VLOOKUP(A288,'step4 Pred. Chg'!A:D,4,0)</f>
        <v>6.8954836264756569E-2</v>
      </c>
    </row>
    <row r="289" spans="1:3" x14ac:dyDescent="0.25">
      <c r="A289" s="1">
        <v>41609</v>
      </c>
      <c r="B289" s="2">
        <f>VLOOKUP(A289,'step1 Raw'!A:C,3,0)</f>
        <v>110.9</v>
      </c>
      <c r="C289" s="5">
        <f>VLOOKUP(A289,'step4 Pred. Chg'!A:D,4,0)</f>
        <v>5.1651017957722319E-2</v>
      </c>
    </row>
    <row r="290" spans="1:3" x14ac:dyDescent="0.25">
      <c r="A290" s="1">
        <v>41640</v>
      </c>
      <c r="B290" s="2">
        <f>VLOOKUP(A290,'step1 Raw'!A:C,3,0)</f>
        <v>113</v>
      </c>
      <c r="C290" s="5">
        <f>VLOOKUP(A290,'step4 Pred. Chg'!A:D,4,0)</f>
        <v>9.7309337893982436E-3</v>
      </c>
    </row>
    <row r="291" spans="1:3" x14ac:dyDescent="0.25">
      <c r="A291" s="1">
        <v>41671</v>
      </c>
      <c r="B291" s="2">
        <f>VLOOKUP(A291,'step1 Raw'!A:C,3,0)</f>
        <v>113.5</v>
      </c>
      <c r="C291" s="5">
        <f>VLOOKUP(A291,'step4 Pred. Chg'!A:D,4,0)</f>
        <v>-7.7830581283595789E-3</v>
      </c>
    </row>
    <row r="292" spans="1:3" x14ac:dyDescent="0.25">
      <c r="A292" s="1">
        <v>41699</v>
      </c>
      <c r="B292" s="2">
        <f>VLOOKUP(A292,'step1 Raw'!A:C,3,0)</f>
        <v>114</v>
      </c>
      <c r="C292" s="5">
        <f>VLOOKUP(A292,'step4 Pred. Chg'!A:D,4,0)</f>
        <v>-9.4100610132707811E-3</v>
      </c>
    </row>
    <row r="293" spans="1:3" x14ac:dyDescent="0.25">
      <c r="A293" s="1">
        <v>41730</v>
      </c>
      <c r="B293" s="2">
        <f>VLOOKUP(A293,'step1 Raw'!A:C,3,0)</f>
        <v>113.8</v>
      </c>
      <c r="C293" s="5">
        <f>VLOOKUP(A293,'step4 Pred. Chg'!A:D,4,0)</f>
        <v>-7.9723820939878731E-2</v>
      </c>
    </row>
    <row r="294" spans="1:3" x14ac:dyDescent="0.25">
      <c r="A294" s="1">
        <v>41760</v>
      </c>
      <c r="B294" s="2">
        <f>VLOOKUP(A294,'step1 Raw'!A:C,3,0)</f>
        <v>115.1</v>
      </c>
      <c r="C294" s="5">
        <f>VLOOKUP(A294,'step4 Pred. Chg'!A:D,4,0)</f>
        <v>-7.0015820727973563E-2</v>
      </c>
    </row>
    <row r="295" spans="1:3" x14ac:dyDescent="0.25">
      <c r="A295" s="1">
        <v>41791</v>
      </c>
      <c r="B295" s="2">
        <f>VLOOKUP(A295,'step1 Raw'!A:C,3,0)</f>
        <v>115.8</v>
      </c>
      <c r="C295" s="5">
        <f>VLOOKUP(A295,'step4 Pred. Chg'!A:D,4,0)</f>
        <v>-9.0693404320821541E-2</v>
      </c>
    </row>
    <row r="296" spans="1:3" x14ac:dyDescent="0.25">
      <c r="A296" s="1">
        <v>41821</v>
      </c>
      <c r="B296" s="2">
        <f>VLOOKUP(A296,'step1 Raw'!A:C,3,0)</f>
        <v>116.4</v>
      </c>
      <c r="C296" s="5">
        <f>VLOOKUP(A296,'step4 Pred. Chg'!A:D,4,0)</f>
        <v>-0.10796437961268139</v>
      </c>
    </row>
    <row r="297" spans="1:3" x14ac:dyDescent="0.25">
      <c r="A297" s="1">
        <v>41852</v>
      </c>
      <c r="B297" s="2">
        <f>VLOOKUP(A297,'step1 Raw'!A:C,3,0)</f>
        <v>116.1</v>
      </c>
      <c r="C297" s="5">
        <f>VLOOKUP(A297,'step4 Pred. Chg'!A:D,4,0)</f>
        <v>-0.12607394873090921</v>
      </c>
    </row>
    <row r="298" spans="1:3" x14ac:dyDescent="0.25">
      <c r="A298" s="1">
        <v>41883</v>
      </c>
      <c r="B298" s="2">
        <f>VLOOKUP(A298,'step1 Raw'!A:C,3,0)</f>
        <v>116.1</v>
      </c>
      <c r="C298" s="5">
        <f>VLOOKUP(A298,'step4 Pred. Chg'!A:D,4,0)</f>
        <v>-0.14028715436392053</v>
      </c>
    </row>
    <row r="299" spans="1:3" x14ac:dyDescent="0.25">
      <c r="A299" s="1">
        <v>41913</v>
      </c>
      <c r="B299" s="2">
        <f>VLOOKUP(A299,'step1 Raw'!A:C,3,0)</f>
        <v>113.2</v>
      </c>
      <c r="C299" s="5">
        <f>VLOOKUP(A299,'step4 Pred. Chg'!A:D,4,0)</f>
        <v>-0.14023513773019952</v>
      </c>
    </row>
    <row r="300" spans="1:3" x14ac:dyDescent="0.25">
      <c r="A300" s="1">
        <v>41944</v>
      </c>
      <c r="B300" s="2">
        <f>VLOOKUP(A300,'step1 Raw'!A:C,3,0)</f>
        <v>114.6</v>
      </c>
      <c r="C300" s="5">
        <f>VLOOKUP(A300,'step4 Pred. Chg'!A:D,4,0)</f>
        <v>-0.14266209548267739</v>
      </c>
    </row>
    <row r="301" spans="1:3" x14ac:dyDescent="0.25">
      <c r="A301" s="1">
        <v>41974</v>
      </c>
      <c r="B301" s="2">
        <f>VLOOKUP(A301,'step1 Raw'!A:C,3,0)</f>
        <v>115.7</v>
      </c>
      <c r="C301" s="5">
        <f>VLOOKUP(A301,'step4 Pred. Chg'!A:D,4,0)</f>
        <v>-0.23421527001027015</v>
      </c>
    </row>
    <row r="302" spans="1:3" x14ac:dyDescent="0.25">
      <c r="A302" s="1">
        <v>42005</v>
      </c>
      <c r="B302" s="2">
        <f>VLOOKUP(A302,'step1 Raw'!A:C,3,0)</f>
        <v>117.8</v>
      </c>
      <c r="C302" s="5">
        <f>VLOOKUP(A302,'step4 Pred. Chg'!A:D,4,0)</f>
        <v>-0.1301523034283546</v>
      </c>
    </row>
    <row r="303" spans="1:3" x14ac:dyDescent="0.25">
      <c r="A303" s="1">
        <v>42036</v>
      </c>
      <c r="B303" s="2">
        <f>VLOOKUP(A303,'step1 Raw'!A:C,3,0)</f>
        <v>118.6</v>
      </c>
      <c r="C303" s="5">
        <f>VLOOKUP(A303,'step4 Pred. Chg'!A:D,4,0)</f>
        <v>-0.18220017538949546</v>
      </c>
    </row>
    <row r="304" spans="1:3" x14ac:dyDescent="0.25">
      <c r="A304" s="1">
        <v>42064</v>
      </c>
      <c r="B304" s="2">
        <f>VLOOKUP(A304,'step1 Raw'!A:C,3,0)</f>
        <v>121.35899999999999</v>
      </c>
      <c r="C304" s="5">
        <f>VLOOKUP(A304,'step4 Pred. Chg'!A:D,4,0)</f>
        <v>-0.17497749175808741</v>
      </c>
    </row>
    <row r="305" spans="1:3" x14ac:dyDescent="0.25">
      <c r="A305" s="1">
        <v>42095</v>
      </c>
      <c r="B305" s="2">
        <f>VLOOKUP(A305,'step1 Raw'!A:C,3,0)</f>
        <v>122</v>
      </c>
      <c r="C305" s="5">
        <f>VLOOKUP(A305,'step4 Pred. Chg'!A:D,4,0)</f>
        <v>-0.10043545751794111</v>
      </c>
    </row>
    <row r="306" spans="1:3" x14ac:dyDescent="0.25">
      <c r="A306" s="1">
        <v>42125</v>
      </c>
      <c r="B306" s="2">
        <f>VLOOKUP(A306,'step1 Raw'!A:C,3,0)</f>
        <v>122.6</v>
      </c>
      <c r="C306" s="5">
        <f>VLOOKUP(A306,'step4 Pred. Chg'!A:D,4,0)</f>
        <v>-8.2118910788275032E-2</v>
      </c>
    </row>
    <row r="307" spans="1:3" x14ac:dyDescent="0.25">
      <c r="A307" s="1">
        <v>42156</v>
      </c>
      <c r="B307" s="2">
        <f>VLOOKUP(A307,'step1 Raw'!A:C,3,0)</f>
        <v>122</v>
      </c>
      <c r="C307" s="5">
        <f>VLOOKUP(A307,'step4 Pred. Chg'!A:D,4,0)</f>
        <v>-9.819043545206152E-2</v>
      </c>
    </row>
    <row r="308" spans="1:3" x14ac:dyDescent="0.25">
      <c r="A308" s="1">
        <v>42186</v>
      </c>
      <c r="B308" s="2">
        <f>VLOOKUP(A308,'step1 Raw'!A:C,3,0)</f>
        <v>125.5</v>
      </c>
      <c r="C308" s="5">
        <f>VLOOKUP(A308,'step4 Pred. Chg'!A:D,4,0)</f>
        <v>0</v>
      </c>
    </row>
    <row r="309" spans="1:3" x14ac:dyDescent="0.25">
      <c r="A309" s="1">
        <v>42217</v>
      </c>
      <c r="B309" s="2">
        <f>VLOOKUP(A309,'step1 Raw'!A:C,3,0)</f>
        <v>126.1</v>
      </c>
      <c r="C309" s="5">
        <f>VLOOKUP(A309,'step4 Pred. Chg'!A:D,4,0)</f>
        <v>0</v>
      </c>
    </row>
    <row r="310" spans="1:3" x14ac:dyDescent="0.25">
      <c r="A310" s="1">
        <v>42248</v>
      </c>
      <c r="B310" s="2">
        <f>VLOOKUP(A310,'step1 Raw'!A:C,3,0)</f>
        <v>126.5</v>
      </c>
      <c r="C310" s="5">
        <f>VLOOKUP(A310,'step4 Pred. Chg'!A:D,4,0)</f>
        <v>0</v>
      </c>
    </row>
    <row r="311" spans="1:3" x14ac:dyDescent="0.25">
      <c r="A311" s="1">
        <v>42278</v>
      </c>
      <c r="B311" s="2">
        <f>VLOOKUP(A311,'step1 Raw'!A:C,3,0)</f>
        <v>128.4</v>
      </c>
      <c r="C311" s="5">
        <f>VLOOKUP(A311,'step4 Pred. Chg'!A:D,4,0)</f>
        <v>0</v>
      </c>
    </row>
    <row r="312" spans="1:3" x14ac:dyDescent="0.25">
      <c r="A312" s="1">
        <v>42309</v>
      </c>
      <c r="B312" s="2">
        <f>VLOOKUP(A312,'step1 Raw'!A:C,3,0)</f>
        <v>127.4</v>
      </c>
      <c r="C312" s="5">
        <f>VLOOKUP(A312,'step4 Pred. Chg'!A:D,4,0)</f>
        <v>0</v>
      </c>
    </row>
    <row r="313" spans="1:3" x14ac:dyDescent="0.25">
      <c r="A313" s="1">
        <v>42339</v>
      </c>
      <c r="B313" s="2">
        <f>VLOOKUP(A313,'step1 Raw'!A:C,3,0)</f>
        <v>124.346</v>
      </c>
      <c r="C313" s="5">
        <f>VLOOKUP(A313,'step4 Pred. Chg'!A:D,4,0)</f>
        <v>0</v>
      </c>
    </row>
    <row r="314" spans="1:3" x14ac:dyDescent="0.25">
      <c r="A314" s="1">
        <v>42370</v>
      </c>
      <c r="B314" s="2">
        <f>VLOOKUP(A314,'step1 Raw'!A:C,3,0)</f>
        <v>123.8</v>
      </c>
      <c r="C314" s="5">
        <f>VLOOKUP(A314,'step4 Pred. Chg'!A:D,4,0)</f>
        <v>0</v>
      </c>
    </row>
    <row r="315" spans="1:3" x14ac:dyDescent="0.25">
      <c r="A315" s="1">
        <v>42401</v>
      </c>
      <c r="B315" s="2">
        <f>VLOOKUP(A315,'step1 Raw'!A:C,3,0)</f>
        <v>123.8</v>
      </c>
      <c r="C315" s="5">
        <f>VLOOKUP(A315,'step4 Pred. Chg'!A:D,4,0)</f>
        <v>0</v>
      </c>
    </row>
    <row r="316" spans="1:3" x14ac:dyDescent="0.25">
      <c r="A316" s="1">
        <v>42430</v>
      </c>
      <c r="B316" s="2">
        <f>VLOOKUP(A316,'step1 Raw'!A:C,3,0)</f>
        <v>123.5</v>
      </c>
      <c r="C316" s="5">
        <f>VLOOKUP(A316,'step4 Pred. Chg'!A:D,4,0)</f>
        <v>0</v>
      </c>
    </row>
    <row r="317" spans="1:3" x14ac:dyDescent="0.25">
      <c r="A317" s="1">
        <v>42461</v>
      </c>
      <c r="B317" s="2">
        <f>VLOOKUP(A317,'step1 Raw'!A:C,3,0)</f>
        <v>122.4</v>
      </c>
      <c r="C317" s="5">
        <f>VLOOKUP(A317,'step4 Pred. Chg'!A:D,4,0)</f>
        <v>0</v>
      </c>
    </row>
    <row r="318" spans="1:3" x14ac:dyDescent="0.25">
      <c r="A318" s="1">
        <v>42491</v>
      </c>
      <c r="B318" s="2">
        <f>VLOOKUP(A318,'step1 Raw'!A:C,3,0)</f>
        <v>121.4</v>
      </c>
      <c r="C318" s="5">
        <f>VLOOKUP(A318,'step4 Pred. Chg'!A:D,4,0)</f>
        <v>0</v>
      </c>
    </row>
    <row r="319" spans="1:3" x14ac:dyDescent="0.25">
      <c r="A319" s="1">
        <v>42522</v>
      </c>
      <c r="B319" s="2">
        <f>VLOOKUP(A319,'step1 Raw'!A:C,3,0)</f>
        <v>119.8</v>
      </c>
      <c r="C319" s="5">
        <f>VLOOKUP(A319,'step4 Pred. Chg'!A:D,4,0)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J319"/>
  <sheetViews>
    <sheetView workbookViewId="0">
      <selection activeCell="N54" sqref="N54"/>
    </sheetView>
  </sheetViews>
  <sheetFormatPr defaultRowHeight="15" x14ac:dyDescent="0.25"/>
  <sheetData>
    <row r="1" spans="1:10" x14ac:dyDescent="0.25">
      <c r="A1" s="1"/>
      <c r="B1" t="s">
        <v>7</v>
      </c>
      <c r="C1" t="s">
        <v>4</v>
      </c>
      <c r="D1" t="s">
        <v>6</v>
      </c>
      <c r="G1" s="1"/>
      <c r="H1" t="s">
        <v>3</v>
      </c>
      <c r="I1" t="s">
        <v>4</v>
      </c>
      <c r="J1" t="s">
        <v>5</v>
      </c>
    </row>
    <row r="2" spans="1:10" x14ac:dyDescent="0.25">
      <c r="A2" s="1">
        <v>38139</v>
      </c>
      <c r="B2">
        <v>442.9</v>
      </c>
      <c r="C2">
        <v>1.0369594989799849</v>
      </c>
      <c r="D2" s="2">
        <v>427.11407768159006</v>
      </c>
      <c r="G2" s="1">
        <v>32874</v>
      </c>
      <c r="H2">
        <v>92.4</v>
      </c>
      <c r="I2" t="e">
        <v>#N/A</v>
      </c>
      <c r="J2" s="2">
        <f t="shared" ref="J2:J65" si="0">H2/1</f>
        <v>92.4</v>
      </c>
    </row>
    <row r="3" spans="1:10" x14ac:dyDescent="0.25">
      <c r="A3" s="1">
        <v>38169</v>
      </c>
      <c r="B3">
        <v>461.36</v>
      </c>
      <c r="C3">
        <v>1.0387677076051758</v>
      </c>
      <c r="D3" s="2">
        <v>444.14164651271381</v>
      </c>
      <c r="G3" s="1">
        <v>32905</v>
      </c>
      <c r="H3">
        <v>100.175</v>
      </c>
      <c r="I3" t="e">
        <v>#N/A</v>
      </c>
      <c r="J3" s="2">
        <f t="shared" si="0"/>
        <v>100.175</v>
      </c>
    </row>
    <row r="4" spans="1:10" x14ac:dyDescent="0.25">
      <c r="A4" s="1">
        <v>38200</v>
      </c>
      <c r="B4">
        <v>448.47500000000002</v>
      </c>
      <c r="C4">
        <v>1.0405759162303665</v>
      </c>
      <c r="D4" s="2">
        <v>430.98729559748432</v>
      </c>
      <c r="G4" s="1">
        <v>32933</v>
      </c>
      <c r="H4">
        <v>92.28</v>
      </c>
      <c r="I4" t="e">
        <v>#N/A</v>
      </c>
      <c r="J4" s="2">
        <f t="shared" si="0"/>
        <v>92.28</v>
      </c>
    </row>
    <row r="5" spans="1:10" x14ac:dyDescent="0.25">
      <c r="A5" s="1">
        <v>38231</v>
      </c>
      <c r="B5">
        <v>464.35</v>
      </c>
      <c r="C5">
        <v>1.0423841248555572</v>
      </c>
      <c r="D5" s="2">
        <v>445.4691787102426</v>
      </c>
      <c r="G5" s="1">
        <v>32964</v>
      </c>
      <c r="H5">
        <v>91.25</v>
      </c>
      <c r="I5" t="e">
        <v>#N/A</v>
      </c>
      <c r="J5" s="2">
        <f t="shared" si="0"/>
        <v>91.25</v>
      </c>
    </row>
    <row r="6" spans="1:10" x14ac:dyDescent="0.25">
      <c r="A6" s="1">
        <v>38261</v>
      </c>
      <c r="B6">
        <v>458.82</v>
      </c>
      <c r="C6">
        <v>1.0441923334807481</v>
      </c>
      <c r="D6" s="2">
        <v>439.40180873628231</v>
      </c>
      <c r="G6" s="1">
        <v>32994</v>
      </c>
      <c r="H6">
        <v>85.5</v>
      </c>
      <c r="I6" t="e">
        <v>#N/A</v>
      </c>
      <c r="J6" s="2">
        <f t="shared" si="0"/>
        <v>85.5</v>
      </c>
    </row>
    <row r="7" spans="1:10" x14ac:dyDescent="0.25">
      <c r="A7" s="1">
        <v>38292</v>
      </c>
      <c r="B7">
        <v>471.72499999999997</v>
      </c>
      <c r="C7">
        <v>1.0460005421059388</v>
      </c>
      <c r="D7" s="2">
        <v>450.9796897908526</v>
      </c>
      <c r="G7" s="1">
        <v>33025</v>
      </c>
      <c r="H7">
        <v>92</v>
      </c>
      <c r="I7" t="e">
        <v>#N/A</v>
      </c>
      <c r="J7" s="2">
        <f t="shared" si="0"/>
        <v>92</v>
      </c>
    </row>
    <row r="8" spans="1:10" x14ac:dyDescent="0.25">
      <c r="A8" s="1">
        <v>38322</v>
      </c>
      <c r="B8">
        <v>470.4</v>
      </c>
      <c r="C8">
        <v>1.0478087507311298</v>
      </c>
      <c r="D8" s="2">
        <v>448.93688821721412</v>
      </c>
      <c r="G8" s="1">
        <v>33055</v>
      </c>
      <c r="H8">
        <v>88.65</v>
      </c>
      <c r="I8" t="e">
        <v>#N/A</v>
      </c>
      <c r="J8" s="2">
        <f t="shared" si="0"/>
        <v>88.65</v>
      </c>
    </row>
    <row r="9" spans="1:10" x14ac:dyDescent="0.25">
      <c r="A9" s="1">
        <v>38353</v>
      </c>
      <c r="B9">
        <v>430.125</v>
      </c>
      <c r="C9">
        <v>1.0496169593563205</v>
      </c>
      <c r="D9" s="2">
        <v>409.7923496432212</v>
      </c>
      <c r="G9" s="1">
        <v>33086</v>
      </c>
      <c r="H9">
        <v>89.179999999999993</v>
      </c>
      <c r="I9" t="e">
        <v>#N/A</v>
      </c>
      <c r="J9" s="2">
        <f t="shared" si="0"/>
        <v>89.179999999999993</v>
      </c>
    </row>
    <row r="10" spans="1:10" x14ac:dyDescent="0.25">
      <c r="A10" s="1">
        <v>38384</v>
      </c>
      <c r="B10">
        <v>431.42500000000001</v>
      </c>
      <c r="C10">
        <v>1.0507796339358317</v>
      </c>
      <c r="D10" s="2">
        <v>410.57609613543951</v>
      </c>
      <c r="G10" s="1">
        <v>33117</v>
      </c>
      <c r="H10">
        <v>80.45</v>
      </c>
      <c r="I10" t="e">
        <v>#N/A</v>
      </c>
      <c r="J10" s="2">
        <f t="shared" si="0"/>
        <v>80.45</v>
      </c>
    </row>
    <row r="11" spans="1:10" x14ac:dyDescent="0.25">
      <c r="A11" s="1">
        <v>38412</v>
      </c>
      <c r="B11">
        <v>457.95000000000005</v>
      </c>
      <c r="C11">
        <v>1.051942308515343</v>
      </c>
      <c r="D11" s="2">
        <v>435.33756204399367</v>
      </c>
      <c r="G11" s="1">
        <v>33147</v>
      </c>
      <c r="H11">
        <v>74.949999999999989</v>
      </c>
      <c r="I11" t="e">
        <v>#N/A</v>
      </c>
      <c r="J11" s="2">
        <f t="shared" si="0"/>
        <v>74.949999999999989</v>
      </c>
    </row>
    <row r="12" spans="1:10" x14ac:dyDescent="0.25">
      <c r="A12" s="1">
        <v>38443</v>
      </c>
      <c r="B12">
        <v>470.34</v>
      </c>
      <c r="C12">
        <v>1.0531049830948542</v>
      </c>
      <c r="D12" s="2">
        <v>446.62213886574688</v>
      </c>
      <c r="G12" s="1">
        <v>33178</v>
      </c>
      <c r="H12">
        <v>81.84</v>
      </c>
      <c r="I12" t="e">
        <v>#N/A</v>
      </c>
      <c r="J12" s="2">
        <f t="shared" si="0"/>
        <v>81.84</v>
      </c>
    </row>
    <row r="13" spans="1:10" x14ac:dyDescent="0.25">
      <c r="A13" s="1">
        <v>38473</v>
      </c>
      <c r="B13">
        <v>485.125</v>
      </c>
      <c r="C13">
        <v>1.0542676576743655</v>
      </c>
      <c r="D13" s="2">
        <v>460.15354494526463</v>
      </c>
      <c r="G13" s="1">
        <v>33208</v>
      </c>
      <c r="H13">
        <v>78.900000000000006</v>
      </c>
      <c r="I13" t="e">
        <v>#N/A</v>
      </c>
      <c r="J13" s="2">
        <f t="shared" si="0"/>
        <v>78.900000000000006</v>
      </c>
    </row>
    <row r="14" spans="1:10" x14ac:dyDescent="0.25">
      <c r="A14" s="1">
        <v>38504</v>
      </c>
      <c r="B14">
        <v>491.35</v>
      </c>
      <c r="C14">
        <v>1.0554303322538767</v>
      </c>
      <c r="D14" s="2">
        <v>465.54470246342044</v>
      </c>
      <c r="G14" s="1">
        <v>33239</v>
      </c>
      <c r="H14">
        <v>87.375</v>
      </c>
      <c r="I14" t="e">
        <v>#N/A</v>
      </c>
      <c r="J14" s="2">
        <f t="shared" si="0"/>
        <v>87.375</v>
      </c>
    </row>
    <row r="15" spans="1:10" x14ac:dyDescent="0.25">
      <c r="A15" s="1">
        <v>38534</v>
      </c>
      <c r="B15">
        <v>495.62</v>
      </c>
      <c r="C15">
        <v>1.056593006833388</v>
      </c>
      <c r="D15" s="2">
        <v>469.07370841434437</v>
      </c>
      <c r="G15" s="1">
        <v>33270</v>
      </c>
      <c r="H15">
        <v>98.8</v>
      </c>
      <c r="I15" t="e">
        <v>#N/A</v>
      </c>
      <c r="J15" s="2">
        <f t="shared" si="0"/>
        <v>98.8</v>
      </c>
    </row>
    <row r="16" spans="1:10" x14ac:dyDescent="0.25">
      <c r="A16" s="1">
        <v>38565</v>
      </c>
      <c r="B16">
        <v>489.27499999999998</v>
      </c>
      <c r="C16">
        <v>1.0577556814128992</v>
      </c>
      <c r="D16" s="2">
        <v>462.55955755912362</v>
      </c>
      <c r="G16" s="1">
        <v>33298</v>
      </c>
      <c r="H16">
        <v>114.6</v>
      </c>
      <c r="I16" t="e">
        <v>#N/A</v>
      </c>
      <c r="J16" s="2">
        <f t="shared" si="0"/>
        <v>114.6</v>
      </c>
    </row>
    <row r="17" spans="1:10" x14ac:dyDescent="0.25">
      <c r="A17" s="1">
        <v>38596</v>
      </c>
      <c r="B17">
        <v>493.94000000000005</v>
      </c>
      <c r="C17">
        <v>1.0589183559924105</v>
      </c>
      <c r="D17" s="2">
        <v>466.45711371872778</v>
      </c>
      <c r="G17" s="1">
        <v>33329</v>
      </c>
      <c r="H17">
        <v>112</v>
      </c>
      <c r="I17" t="e">
        <v>#N/A</v>
      </c>
      <c r="J17" s="2">
        <f t="shared" si="0"/>
        <v>112</v>
      </c>
    </row>
    <row r="18" spans="1:10" x14ac:dyDescent="0.25">
      <c r="A18" s="1">
        <v>38626</v>
      </c>
      <c r="B18">
        <v>469.35</v>
      </c>
      <c r="C18">
        <v>1.0600810305719217</v>
      </c>
      <c r="D18" s="2">
        <v>442.74917337855027</v>
      </c>
      <c r="G18" s="1">
        <v>33359</v>
      </c>
      <c r="H18">
        <v>117.32000000000001</v>
      </c>
      <c r="I18" t="e">
        <v>#N/A</v>
      </c>
      <c r="J18" s="2">
        <f t="shared" si="0"/>
        <v>117.32000000000001</v>
      </c>
    </row>
    <row r="19" spans="1:10" x14ac:dyDescent="0.25">
      <c r="A19" s="1">
        <v>38657</v>
      </c>
      <c r="B19">
        <v>473.02499999999998</v>
      </c>
      <c r="C19">
        <v>1.061243705151433</v>
      </c>
      <c r="D19" s="2">
        <v>445.72702547385404</v>
      </c>
      <c r="G19" s="1">
        <v>33390</v>
      </c>
      <c r="H19">
        <v>113.875</v>
      </c>
      <c r="I19" t="e">
        <v>#N/A</v>
      </c>
      <c r="J19" s="2">
        <f t="shared" si="0"/>
        <v>113.875</v>
      </c>
    </row>
    <row r="20" spans="1:10" x14ac:dyDescent="0.25">
      <c r="A20" s="1">
        <v>38687</v>
      </c>
      <c r="B20">
        <v>455.46000000000004</v>
      </c>
      <c r="C20">
        <v>1.0624063797309442</v>
      </c>
      <c r="D20" s="2">
        <v>428.70600995011517</v>
      </c>
      <c r="G20" s="1">
        <v>33420</v>
      </c>
      <c r="H20">
        <v>116.875</v>
      </c>
      <c r="I20" t="e">
        <v>#N/A</v>
      </c>
      <c r="J20" s="2">
        <f t="shared" si="0"/>
        <v>116.875</v>
      </c>
    </row>
    <row r="21" spans="1:10" x14ac:dyDescent="0.25">
      <c r="A21" s="1">
        <v>38718</v>
      </c>
      <c r="B21">
        <v>452.67500000000001</v>
      </c>
      <c r="C21">
        <v>1.0635690543104555</v>
      </c>
      <c r="D21" s="2">
        <v>425.61881446756001</v>
      </c>
      <c r="G21" s="1">
        <v>33451</v>
      </c>
      <c r="H21">
        <v>105.25999999999999</v>
      </c>
      <c r="I21" t="e">
        <v>#N/A</v>
      </c>
      <c r="J21" s="2">
        <f t="shared" si="0"/>
        <v>105.25999999999999</v>
      </c>
    </row>
    <row r="22" spans="1:10" x14ac:dyDescent="0.25">
      <c r="A22" s="1">
        <v>38749</v>
      </c>
      <c r="B22">
        <v>406.57499999999999</v>
      </c>
      <c r="C22">
        <v>1.0645522157391425</v>
      </c>
      <c r="D22" s="2">
        <v>381.9211439221944</v>
      </c>
      <c r="G22" s="1">
        <v>33482</v>
      </c>
      <c r="H22">
        <v>106.89999999999999</v>
      </c>
      <c r="I22" t="e">
        <v>#N/A</v>
      </c>
      <c r="J22" s="2">
        <f t="shared" si="0"/>
        <v>106.89999999999999</v>
      </c>
    </row>
    <row r="23" spans="1:10" x14ac:dyDescent="0.25">
      <c r="A23" s="1">
        <v>38777</v>
      </c>
      <c r="B23">
        <v>407.58</v>
      </c>
      <c r="C23">
        <v>1.0655353771678293</v>
      </c>
      <c r="D23" s="2">
        <v>382.5119360028562</v>
      </c>
      <c r="G23" s="1">
        <v>33512</v>
      </c>
      <c r="H23">
        <v>112.22499999999999</v>
      </c>
      <c r="I23" t="e">
        <v>#N/A</v>
      </c>
      <c r="J23" s="2">
        <f t="shared" si="0"/>
        <v>112.22499999999999</v>
      </c>
    </row>
    <row r="24" spans="1:10" x14ac:dyDescent="0.25">
      <c r="A24" s="1">
        <v>38808</v>
      </c>
      <c r="B24">
        <v>411.95</v>
      </c>
      <c r="C24">
        <v>1.0665185385965164</v>
      </c>
      <c r="D24" s="2">
        <v>386.25676450228895</v>
      </c>
      <c r="G24" s="1">
        <v>33543</v>
      </c>
      <c r="H24">
        <v>103.5</v>
      </c>
      <c r="I24" t="e">
        <v>#N/A</v>
      </c>
      <c r="J24" s="2">
        <f t="shared" si="0"/>
        <v>103.5</v>
      </c>
    </row>
    <row r="25" spans="1:10" x14ac:dyDescent="0.25">
      <c r="A25" s="1">
        <v>38838</v>
      </c>
      <c r="B25">
        <v>408.77499999999998</v>
      </c>
      <c r="C25">
        <v>1.0675017000252032</v>
      </c>
      <c r="D25" s="2">
        <v>382.92679064618727</v>
      </c>
      <c r="G25" s="1">
        <v>33573</v>
      </c>
      <c r="H25">
        <v>100.25000000000001</v>
      </c>
      <c r="I25" t="e">
        <v>#N/A</v>
      </c>
      <c r="J25" s="2">
        <f t="shared" si="0"/>
        <v>100.25000000000001</v>
      </c>
    </row>
    <row r="26" spans="1:10" x14ac:dyDescent="0.25">
      <c r="A26" s="1">
        <v>38869</v>
      </c>
      <c r="B26">
        <v>405.64</v>
      </c>
      <c r="C26">
        <v>1.06848486145389</v>
      </c>
      <c r="D26" s="2">
        <v>379.64038109818853</v>
      </c>
      <c r="G26" s="1">
        <v>33604</v>
      </c>
      <c r="H26">
        <v>132.83999999999997</v>
      </c>
      <c r="I26" t="e">
        <v>#N/A</v>
      </c>
      <c r="J26" s="2">
        <f t="shared" si="0"/>
        <v>132.83999999999997</v>
      </c>
    </row>
    <row r="27" spans="1:10" x14ac:dyDescent="0.25">
      <c r="A27" s="1">
        <v>38899</v>
      </c>
      <c r="B27">
        <v>397.17500000000001</v>
      </c>
      <c r="C27">
        <v>1.069468022882577</v>
      </c>
      <c r="D27" s="2">
        <v>371.37622771504607</v>
      </c>
      <c r="G27" s="1">
        <v>33635</v>
      </c>
      <c r="H27">
        <v>129.375</v>
      </c>
      <c r="I27" t="e">
        <v>#N/A</v>
      </c>
      <c r="J27" s="2">
        <f t="shared" si="0"/>
        <v>129.375</v>
      </c>
    </row>
    <row r="28" spans="1:10" x14ac:dyDescent="0.25">
      <c r="A28" s="1">
        <v>38930</v>
      </c>
      <c r="B28">
        <v>383.22500000000002</v>
      </c>
      <c r="C28">
        <v>1.0704511843112641</v>
      </c>
      <c r="D28" s="2">
        <v>358.00324724435683</v>
      </c>
      <c r="G28" s="1">
        <v>33664</v>
      </c>
      <c r="H28">
        <v>115.92500000000001</v>
      </c>
      <c r="I28" t="e">
        <v>#N/A</v>
      </c>
      <c r="J28" s="2">
        <f t="shared" si="0"/>
        <v>115.92500000000001</v>
      </c>
    </row>
    <row r="29" spans="1:10" x14ac:dyDescent="0.25">
      <c r="A29" s="1">
        <v>38961</v>
      </c>
      <c r="B29">
        <v>395.65999999999997</v>
      </c>
      <c r="C29">
        <v>1.0714343457399507</v>
      </c>
      <c r="D29" s="2">
        <v>369.28067648116178</v>
      </c>
      <c r="G29" s="1">
        <v>33695</v>
      </c>
      <c r="H29">
        <v>117.94999999999999</v>
      </c>
      <c r="I29" t="e">
        <v>#N/A</v>
      </c>
      <c r="J29" s="2">
        <f t="shared" si="0"/>
        <v>117.94999999999999</v>
      </c>
    </row>
    <row r="30" spans="1:10" x14ac:dyDescent="0.25">
      <c r="A30" s="1">
        <v>38991</v>
      </c>
      <c r="B30">
        <v>381.5</v>
      </c>
      <c r="C30">
        <v>1.0724175071686377</v>
      </c>
      <c r="D30" s="2">
        <v>355.73831781917107</v>
      </c>
      <c r="G30" s="1">
        <v>33725</v>
      </c>
      <c r="H30">
        <v>117.66000000000001</v>
      </c>
      <c r="I30" t="e">
        <v>#N/A</v>
      </c>
      <c r="J30" s="2">
        <f t="shared" si="0"/>
        <v>117.66000000000001</v>
      </c>
    </row>
    <row r="31" spans="1:10" x14ac:dyDescent="0.25">
      <c r="A31" s="1">
        <v>39022</v>
      </c>
      <c r="B31">
        <v>405.8</v>
      </c>
      <c r="C31">
        <v>1.0734006685973247</v>
      </c>
      <c r="D31" s="2">
        <v>378.05081725007915</v>
      </c>
      <c r="G31" s="1">
        <v>33756</v>
      </c>
      <c r="H31">
        <v>117.04999999999998</v>
      </c>
      <c r="I31" t="e">
        <v>#N/A</v>
      </c>
      <c r="J31" s="2">
        <f t="shared" si="0"/>
        <v>117.04999999999998</v>
      </c>
    </row>
    <row r="32" spans="1:10" x14ac:dyDescent="0.25">
      <c r="A32" s="1">
        <v>39052</v>
      </c>
      <c r="B32">
        <v>424.8</v>
      </c>
      <c r="C32">
        <v>1.0743838300260116</v>
      </c>
      <c r="D32" s="2">
        <v>395.38942054788305</v>
      </c>
      <c r="G32" s="1">
        <v>33786</v>
      </c>
      <c r="H32">
        <v>138.44</v>
      </c>
      <c r="I32" t="e">
        <v>#N/A</v>
      </c>
      <c r="J32" s="2">
        <f t="shared" si="0"/>
        <v>138.44</v>
      </c>
    </row>
    <row r="33" spans="1:10" x14ac:dyDescent="0.25">
      <c r="A33" s="1">
        <v>39083</v>
      </c>
      <c r="B33">
        <v>430.8</v>
      </c>
      <c r="C33">
        <v>1.0753669914546984</v>
      </c>
      <c r="D33" s="2">
        <v>400.60742371981962</v>
      </c>
      <c r="G33" s="1">
        <v>33817</v>
      </c>
      <c r="H33">
        <v>142.75</v>
      </c>
      <c r="I33" t="e">
        <v>#N/A</v>
      </c>
      <c r="J33" s="2">
        <f t="shared" si="0"/>
        <v>142.75</v>
      </c>
    </row>
    <row r="34" spans="1:10" x14ac:dyDescent="0.25">
      <c r="A34" s="1">
        <v>39114</v>
      </c>
      <c r="B34">
        <v>397.02499999999998</v>
      </c>
      <c r="C34">
        <v>1.0751042602869356</v>
      </c>
      <c r="D34" s="2">
        <v>369.28976534242139</v>
      </c>
      <c r="G34" s="1">
        <v>33848</v>
      </c>
      <c r="H34">
        <v>147.17500000000001</v>
      </c>
      <c r="I34" t="e">
        <v>#N/A</v>
      </c>
      <c r="J34" s="2">
        <f t="shared" si="0"/>
        <v>147.17500000000001</v>
      </c>
    </row>
    <row r="35" spans="1:10" x14ac:dyDescent="0.25">
      <c r="A35" s="1">
        <v>39142</v>
      </c>
      <c r="B35">
        <v>408.84000000000003</v>
      </c>
      <c r="C35">
        <v>1.0748415291191731</v>
      </c>
      <c r="D35" s="2">
        <v>380.37235157357776</v>
      </c>
      <c r="G35" s="1">
        <v>33878</v>
      </c>
      <c r="H35">
        <v>138.88</v>
      </c>
      <c r="I35" t="e">
        <v>#N/A</v>
      </c>
      <c r="J35" s="2">
        <f t="shared" si="0"/>
        <v>138.88</v>
      </c>
    </row>
    <row r="36" spans="1:10" x14ac:dyDescent="0.25">
      <c r="A36" s="1">
        <v>39173</v>
      </c>
      <c r="B36">
        <v>412.15</v>
      </c>
      <c r="C36">
        <v>1.0745787979514101</v>
      </c>
      <c r="D36" s="2">
        <v>383.54562809700661</v>
      </c>
      <c r="G36" s="1">
        <v>33909</v>
      </c>
      <c r="H36">
        <v>138.17500000000001</v>
      </c>
      <c r="I36" t="e">
        <v>#N/A</v>
      </c>
      <c r="J36" s="2">
        <f t="shared" si="0"/>
        <v>138.17500000000001</v>
      </c>
    </row>
    <row r="37" spans="1:10" x14ac:dyDescent="0.25">
      <c r="A37" s="1">
        <v>39203</v>
      </c>
      <c r="B37">
        <v>433.92500000000001</v>
      </c>
      <c r="C37">
        <v>1.0743160667836473</v>
      </c>
      <c r="D37" s="2">
        <v>403.90813599121816</v>
      </c>
      <c r="G37" s="1">
        <v>33939</v>
      </c>
      <c r="H37">
        <v>135.22500000000002</v>
      </c>
      <c r="I37" t="e">
        <v>#N/A</v>
      </c>
      <c r="J37" s="2">
        <f t="shared" si="0"/>
        <v>135.22500000000002</v>
      </c>
    </row>
    <row r="38" spans="1:10" x14ac:dyDescent="0.25">
      <c r="A38" s="1">
        <v>39234</v>
      </c>
      <c r="B38">
        <v>443.08000000000004</v>
      </c>
      <c r="C38">
        <v>1.0740533356158848</v>
      </c>
      <c r="D38" s="2">
        <v>412.53072385453618</v>
      </c>
      <c r="G38" s="1">
        <v>33970</v>
      </c>
      <c r="H38">
        <v>138</v>
      </c>
      <c r="I38" t="e">
        <v>#N/A</v>
      </c>
      <c r="J38" s="2">
        <f t="shared" si="0"/>
        <v>138</v>
      </c>
    </row>
    <row r="39" spans="1:10" x14ac:dyDescent="0.25">
      <c r="A39" s="1">
        <v>39264</v>
      </c>
      <c r="B39">
        <v>435.29999999999995</v>
      </c>
      <c r="C39">
        <v>1.0737906044481218</v>
      </c>
      <c r="D39" s="2">
        <v>405.38629989570808</v>
      </c>
      <c r="G39" s="1">
        <v>34001</v>
      </c>
      <c r="H39">
        <v>154.02499999999998</v>
      </c>
      <c r="I39" t="e">
        <v>#N/A</v>
      </c>
      <c r="J39" s="2">
        <f t="shared" si="0"/>
        <v>154.02499999999998</v>
      </c>
    </row>
    <row r="40" spans="1:10" x14ac:dyDescent="0.25">
      <c r="A40" s="1">
        <v>39295</v>
      </c>
      <c r="B40">
        <v>440.71999999999997</v>
      </c>
      <c r="C40">
        <v>1.073527873280359</v>
      </c>
      <c r="D40" s="2">
        <v>410.534286970398</v>
      </c>
      <c r="G40" s="1">
        <v>34029</v>
      </c>
      <c r="H40">
        <v>150.35</v>
      </c>
      <c r="I40" t="e">
        <v>#N/A</v>
      </c>
      <c r="J40" s="2">
        <f t="shared" si="0"/>
        <v>150.35</v>
      </c>
    </row>
    <row r="41" spans="1:10" x14ac:dyDescent="0.25">
      <c r="A41" s="1">
        <v>39326</v>
      </c>
      <c r="B41">
        <v>432.54999999999995</v>
      </c>
      <c r="C41">
        <v>1.0732651421125965</v>
      </c>
      <c r="D41" s="2">
        <v>403.0224993132415</v>
      </c>
      <c r="G41" s="1">
        <v>34060</v>
      </c>
      <c r="H41">
        <v>166.70000000000002</v>
      </c>
      <c r="I41" t="e">
        <v>#N/A</v>
      </c>
      <c r="J41" s="2">
        <f t="shared" si="0"/>
        <v>166.70000000000002</v>
      </c>
    </row>
    <row r="42" spans="1:10" x14ac:dyDescent="0.25">
      <c r="A42" s="1">
        <v>39356</v>
      </c>
      <c r="B42">
        <v>419.52499999999998</v>
      </c>
      <c r="C42">
        <v>1.0730024109448335</v>
      </c>
      <c r="D42" s="2">
        <v>390.9823460979801</v>
      </c>
      <c r="G42" s="1">
        <v>34090</v>
      </c>
      <c r="H42">
        <v>150.17500000000001</v>
      </c>
      <c r="I42" t="e">
        <v>#N/A</v>
      </c>
      <c r="J42" s="2">
        <f t="shared" si="0"/>
        <v>150.17500000000001</v>
      </c>
    </row>
    <row r="43" spans="1:10" x14ac:dyDescent="0.25">
      <c r="A43" s="1">
        <v>39387</v>
      </c>
      <c r="B43">
        <v>427.38</v>
      </c>
      <c r="C43">
        <v>1.0727396797770707</v>
      </c>
      <c r="D43" s="2">
        <v>398.40047688812547</v>
      </c>
      <c r="G43" s="1">
        <v>34121</v>
      </c>
      <c r="H43">
        <v>157.85</v>
      </c>
      <c r="I43" t="e">
        <v>#N/A</v>
      </c>
      <c r="J43" s="2">
        <f t="shared" si="0"/>
        <v>157.85</v>
      </c>
    </row>
    <row r="44" spans="1:10" x14ac:dyDescent="0.25">
      <c r="A44" s="1">
        <v>39417</v>
      </c>
      <c r="B44">
        <v>412.375</v>
      </c>
      <c r="C44">
        <v>1.0724769486093082</v>
      </c>
      <c r="D44" s="2">
        <v>384.50709876303716</v>
      </c>
      <c r="G44" s="1">
        <v>34151</v>
      </c>
      <c r="H44">
        <v>166.18</v>
      </c>
      <c r="I44" t="e">
        <v>#N/A</v>
      </c>
      <c r="J44" s="2">
        <f t="shared" si="0"/>
        <v>166.18</v>
      </c>
    </row>
    <row r="45" spans="1:10" x14ac:dyDescent="0.25">
      <c r="A45" s="1">
        <v>39448</v>
      </c>
      <c r="B45">
        <v>419.27499999999998</v>
      </c>
      <c r="C45">
        <v>1.0722142174415452</v>
      </c>
      <c r="D45" s="2">
        <v>391.03659807873976</v>
      </c>
      <c r="G45" s="1">
        <v>34182</v>
      </c>
      <c r="H45">
        <v>151.6</v>
      </c>
      <c r="I45" t="e">
        <v>#N/A</v>
      </c>
      <c r="J45" s="2">
        <f t="shared" si="0"/>
        <v>151.6</v>
      </c>
    </row>
    <row r="46" spans="1:10" x14ac:dyDescent="0.25">
      <c r="A46" s="1">
        <v>39479</v>
      </c>
      <c r="B46">
        <v>377.62000000000006</v>
      </c>
      <c r="C46">
        <v>1.0726980707686016</v>
      </c>
      <c r="D46" s="2">
        <v>352.02822703822949</v>
      </c>
      <c r="G46" s="1">
        <v>34213</v>
      </c>
      <c r="H46">
        <v>177</v>
      </c>
      <c r="I46" t="e">
        <v>#N/A</v>
      </c>
      <c r="J46" s="2">
        <f t="shared" si="0"/>
        <v>177</v>
      </c>
    </row>
    <row r="47" spans="1:10" x14ac:dyDescent="0.25">
      <c r="A47" s="1">
        <v>39508</v>
      </c>
      <c r="B47">
        <v>373.375</v>
      </c>
      <c r="C47">
        <v>1.0731819240956579</v>
      </c>
      <c r="D47" s="2">
        <v>347.91398514714388</v>
      </c>
      <c r="G47" s="1">
        <v>34243</v>
      </c>
      <c r="H47">
        <v>163.98</v>
      </c>
      <c r="I47" t="e">
        <v>#N/A</v>
      </c>
      <c r="J47" s="2">
        <f t="shared" si="0"/>
        <v>163.98</v>
      </c>
    </row>
    <row r="48" spans="1:10" x14ac:dyDescent="0.25">
      <c r="A48" s="1">
        <v>39539</v>
      </c>
      <c r="B48">
        <v>365.92499999999995</v>
      </c>
      <c r="C48">
        <v>1.0736657774227143</v>
      </c>
      <c r="D48" s="2">
        <v>340.81835119899807</v>
      </c>
      <c r="G48" s="1">
        <v>34274</v>
      </c>
      <c r="H48">
        <v>162.22500000000002</v>
      </c>
      <c r="I48" t="e">
        <v>#N/A</v>
      </c>
      <c r="J48" s="2">
        <f t="shared" si="0"/>
        <v>162.22500000000002</v>
      </c>
    </row>
    <row r="49" spans="1:10" x14ac:dyDescent="0.25">
      <c r="A49" s="1">
        <v>39569</v>
      </c>
      <c r="B49">
        <v>359.71999999999997</v>
      </c>
      <c r="C49">
        <v>1.0741496307497707</v>
      </c>
      <c r="D49" s="2">
        <v>334.88816613837184</v>
      </c>
      <c r="G49" s="1">
        <v>34304</v>
      </c>
      <c r="H49">
        <v>151.4</v>
      </c>
      <c r="I49" t="e">
        <v>#N/A</v>
      </c>
      <c r="J49" s="2">
        <f t="shared" si="0"/>
        <v>151.4</v>
      </c>
    </row>
    <row r="50" spans="1:10" x14ac:dyDescent="0.25">
      <c r="A50" s="1">
        <v>39600</v>
      </c>
      <c r="B50">
        <v>353.15</v>
      </c>
      <c r="C50">
        <v>1.0746334840768268</v>
      </c>
      <c r="D50" s="2">
        <v>328.62367051904823</v>
      </c>
      <c r="G50" s="1">
        <v>34335</v>
      </c>
      <c r="H50">
        <v>134.77500000000001</v>
      </c>
      <c r="I50" t="e">
        <v>#N/A</v>
      </c>
      <c r="J50" s="2">
        <f t="shared" si="0"/>
        <v>134.77500000000001</v>
      </c>
    </row>
    <row r="51" spans="1:10" x14ac:dyDescent="0.25">
      <c r="A51" s="1">
        <v>39630</v>
      </c>
      <c r="B51">
        <v>342.65</v>
      </c>
      <c r="C51">
        <v>1.0751173374038832</v>
      </c>
      <c r="D51" s="2">
        <v>318.70939857356109</v>
      </c>
      <c r="G51" s="1">
        <v>34366</v>
      </c>
      <c r="H51">
        <v>155.04999999999998</v>
      </c>
      <c r="I51" t="e">
        <v>#N/A</v>
      </c>
      <c r="J51" s="2">
        <f t="shared" si="0"/>
        <v>155.04999999999998</v>
      </c>
    </row>
    <row r="52" spans="1:10" x14ac:dyDescent="0.25">
      <c r="A52" s="1">
        <v>39661</v>
      </c>
      <c r="B52">
        <v>321.86</v>
      </c>
      <c r="C52">
        <v>1.0756011907309395</v>
      </c>
      <c r="D52" s="2">
        <v>299.23730354117185</v>
      </c>
      <c r="G52" s="1">
        <v>34394</v>
      </c>
      <c r="H52">
        <v>150.85</v>
      </c>
      <c r="I52" t="e">
        <v>#N/A</v>
      </c>
      <c r="J52" s="2">
        <f t="shared" si="0"/>
        <v>150.85</v>
      </c>
    </row>
    <row r="53" spans="1:10" x14ac:dyDescent="0.25">
      <c r="A53" s="1">
        <v>39692</v>
      </c>
      <c r="B53">
        <v>349.72499999999997</v>
      </c>
      <c r="C53">
        <v>1.0760850440579957</v>
      </c>
      <c r="D53" s="2">
        <v>324.99754729529678</v>
      </c>
      <c r="G53" s="1">
        <v>34425</v>
      </c>
      <c r="H53">
        <v>161.08000000000001</v>
      </c>
      <c r="I53" t="e">
        <v>#N/A</v>
      </c>
      <c r="J53" s="2">
        <f t="shared" si="0"/>
        <v>161.08000000000001</v>
      </c>
    </row>
    <row r="54" spans="1:10" x14ac:dyDescent="0.25">
      <c r="A54" s="1">
        <v>39722</v>
      </c>
      <c r="B54">
        <v>294.26000000000005</v>
      </c>
      <c r="C54">
        <v>1.0765688973850522</v>
      </c>
      <c r="D54" s="2">
        <v>273.3313220498448</v>
      </c>
      <c r="G54" s="1">
        <v>34455</v>
      </c>
      <c r="H54">
        <v>145.9</v>
      </c>
      <c r="I54" t="e">
        <v>#N/A</v>
      </c>
      <c r="J54" s="2">
        <f t="shared" si="0"/>
        <v>145.9</v>
      </c>
    </row>
    <row r="55" spans="1:10" x14ac:dyDescent="0.25">
      <c r="A55" s="1">
        <v>39753</v>
      </c>
      <c r="B55">
        <v>288.89999999999998</v>
      </c>
      <c r="C55">
        <v>1.0770527507121086</v>
      </c>
      <c r="D55" s="2">
        <v>268.23198753170601</v>
      </c>
      <c r="G55" s="1">
        <v>34486</v>
      </c>
      <c r="H55">
        <v>145.17500000000001</v>
      </c>
      <c r="I55" t="e">
        <v>#N/A</v>
      </c>
      <c r="J55" s="2">
        <f t="shared" si="0"/>
        <v>145.17500000000001</v>
      </c>
    </row>
    <row r="56" spans="1:10" x14ac:dyDescent="0.25">
      <c r="A56" s="1">
        <v>39783</v>
      </c>
      <c r="B56">
        <v>305.77499999999998</v>
      </c>
      <c r="C56">
        <v>1.0775366040391647</v>
      </c>
      <c r="D56" s="2">
        <v>283.77226244917995</v>
      </c>
      <c r="G56" s="1">
        <v>34516</v>
      </c>
      <c r="H56">
        <v>144.07999999999998</v>
      </c>
      <c r="I56" t="e">
        <v>#N/A</v>
      </c>
      <c r="J56" s="2">
        <f t="shared" si="0"/>
        <v>144.07999999999998</v>
      </c>
    </row>
    <row r="57" spans="1:10" x14ac:dyDescent="0.25">
      <c r="A57" s="1">
        <v>39814</v>
      </c>
      <c r="B57">
        <v>299.76000000000005</v>
      </c>
      <c r="C57">
        <v>1.0780204573662211</v>
      </c>
      <c r="D57" s="2">
        <v>278.06522404255884</v>
      </c>
      <c r="G57" s="1">
        <v>34547</v>
      </c>
      <c r="H57">
        <v>141.75</v>
      </c>
      <c r="I57" t="e">
        <v>#N/A</v>
      </c>
      <c r="J57" s="2">
        <f t="shared" si="0"/>
        <v>141.75</v>
      </c>
    </row>
    <row r="58" spans="1:10" x14ac:dyDescent="0.25">
      <c r="A58" s="1">
        <v>39845</v>
      </c>
      <c r="B58">
        <v>245.02500000000001</v>
      </c>
      <c r="C58">
        <v>1.0773642238612209</v>
      </c>
      <c r="D58" s="2">
        <v>227.43005064883474</v>
      </c>
      <c r="G58" s="1">
        <v>34578</v>
      </c>
      <c r="H58">
        <v>138.07999999999998</v>
      </c>
      <c r="I58" t="e">
        <v>#N/A</v>
      </c>
      <c r="J58" s="2">
        <f t="shared" si="0"/>
        <v>138.07999999999998</v>
      </c>
    </row>
    <row r="59" spans="1:10" x14ac:dyDescent="0.25">
      <c r="A59" s="1">
        <v>39873</v>
      </c>
      <c r="B59">
        <v>261.55</v>
      </c>
      <c r="C59">
        <v>1.0767079903562207</v>
      </c>
      <c r="D59" s="2">
        <v>242.91637318811777</v>
      </c>
      <c r="G59" s="1">
        <v>34608</v>
      </c>
      <c r="H59">
        <v>135.27499999999998</v>
      </c>
      <c r="I59" t="e">
        <v>#N/A</v>
      </c>
      <c r="J59" s="2">
        <f t="shared" si="0"/>
        <v>135.27499999999998</v>
      </c>
    </row>
    <row r="60" spans="1:10" x14ac:dyDescent="0.25">
      <c r="A60" s="1">
        <v>39904</v>
      </c>
      <c r="B60">
        <v>266.59999999999997</v>
      </c>
      <c r="C60">
        <v>1.0760517568512205</v>
      </c>
      <c r="D60" s="2">
        <v>247.75759929999467</v>
      </c>
      <c r="G60" s="1">
        <v>34639</v>
      </c>
      <c r="H60">
        <v>135.67500000000001</v>
      </c>
      <c r="I60" t="e">
        <v>#N/A</v>
      </c>
      <c r="J60" s="2">
        <f t="shared" si="0"/>
        <v>135.67500000000001</v>
      </c>
    </row>
    <row r="61" spans="1:10" x14ac:dyDescent="0.25">
      <c r="A61" s="1">
        <v>39934</v>
      </c>
      <c r="B61">
        <v>261.65999999999997</v>
      </c>
      <c r="C61">
        <v>1.0753955233462202</v>
      </c>
      <c r="D61" s="2">
        <v>243.31512854527602</v>
      </c>
      <c r="G61" s="1">
        <v>34669</v>
      </c>
      <c r="H61">
        <v>124.52000000000001</v>
      </c>
      <c r="I61" t="e">
        <v>#N/A</v>
      </c>
      <c r="J61" s="2">
        <f t="shared" si="0"/>
        <v>124.52000000000001</v>
      </c>
    </row>
    <row r="62" spans="1:10" x14ac:dyDescent="0.25">
      <c r="A62" s="1">
        <v>39965</v>
      </c>
      <c r="B62">
        <v>269.97500000000002</v>
      </c>
      <c r="C62">
        <v>1.07473928984122</v>
      </c>
      <c r="D62" s="2">
        <v>251.20045628915793</v>
      </c>
      <c r="G62" s="1">
        <v>34700</v>
      </c>
      <c r="H62">
        <v>129.65</v>
      </c>
      <c r="I62" t="e">
        <v>#N/A</v>
      </c>
      <c r="J62" s="2">
        <f t="shared" si="0"/>
        <v>129.65</v>
      </c>
    </row>
    <row r="63" spans="1:10" x14ac:dyDescent="0.25">
      <c r="A63" s="1">
        <v>39995</v>
      </c>
      <c r="B63">
        <v>266.58000000000004</v>
      </c>
      <c r="C63">
        <v>1.0740830563362198</v>
      </c>
      <c r="D63" s="2">
        <v>248.19309682560768</v>
      </c>
      <c r="G63" s="1">
        <v>34731</v>
      </c>
      <c r="H63">
        <v>139.17499999999998</v>
      </c>
      <c r="I63" t="e">
        <v>#N/A</v>
      </c>
      <c r="J63" s="2">
        <f t="shared" si="0"/>
        <v>139.17499999999998</v>
      </c>
    </row>
    <row r="64" spans="1:10" x14ac:dyDescent="0.25">
      <c r="A64" s="1">
        <v>40026</v>
      </c>
      <c r="B64">
        <v>275.72500000000002</v>
      </c>
      <c r="C64">
        <v>1.0734268228312196</v>
      </c>
      <c r="D64" s="2">
        <v>256.8642725665834</v>
      </c>
      <c r="G64" s="1">
        <v>34759</v>
      </c>
      <c r="H64">
        <v>139.45999999999998</v>
      </c>
      <c r="I64" t="e">
        <v>#N/A</v>
      </c>
      <c r="J64" s="2">
        <f t="shared" si="0"/>
        <v>139.45999999999998</v>
      </c>
    </row>
    <row r="65" spans="1:10" x14ac:dyDescent="0.25">
      <c r="A65" s="1">
        <v>40057</v>
      </c>
      <c r="B65">
        <v>283.92499999999995</v>
      </c>
      <c r="C65">
        <v>1.0727705893262194</v>
      </c>
      <c r="D65" s="2">
        <v>264.66516031011457</v>
      </c>
      <c r="G65" s="1">
        <v>34790</v>
      </c>
      <c r="H65">
        <v>150.02500000000001</v>
      </c>
      <c r="I65" t="e">
        <v>#N/A</v>
      </c>
      <c r="J65" s="2">
        <f t="shared" si="0"/>
        <v>150.02500000000001</v>
      </c>
    </row>
    <row r="66" spans="1:10" x14ac:dyDescent="0.25">
      <c r="A66" s="1">
        <v>40087</v>
      </c>
      <c r="B66">
        <v>274.2</v>
      </c>
      <c r="C66">
        <v>1.0721143558212192</v>
      </c>
      <c r="D66" s="2">
        <v>255.75629923355334</v>
      </c>
      <c r="G66" s="1">
        <v>34820</v>
      </c>
      <c r="H66">
        <v>156.14999999999998</v>
      </c>
      <c r="I66" t="e">
        <v>#N/A</v>
      </c>
      <c r="J66" s="2">
        <f t="shared" ref="J66:J108" si="1">H66/1</f>
        <v>156.14999999999998</v>
      </c>
    </row>
    <row r="67" spans="1:10" x14ac:dyDescent="0.25">
      <c r="A67" s="1">
        <v>40118</v>
      </c>
      <c r="B67">
        <v>219.97500000000002</v>
      </c>
      <c r="C67">
        <v>1.071458122316219</v>
      </c>
      <c r="D67" s="2">
        <v>205.30433753628208</v>
      </c>
      <c r="G67" s="1">
        <v>34851</v>
      </c>
      <c r="H67">
        <v>172.23999999999995</v>
      </c>
      <c r="I67" t="e">
        <v>#N/A</v>
      </c>
      <c r="J67" s="2">
        <f t="shared" si="1"/>
        <v>172.23999999999995</v>
      </c>
    </row>
    <row r="68" spans="1:10" x14ac:dyDescent="0.25">
      <c r="A68" s="1">
        <v>40148</v>
      </c>
      <c r="B68">
        <v>225.17500000000001</v>
      </c>
      <c r="C68">
        <v>1.0708018888112187</v>
      </c>
      <c r="D68" s="2">
        <v>210.28633060218493</v>
      </c>
      <c r="G68" s="1">
        <v>34881</v>
      </c>
      <c r="H68">
        <v>161.72499999999999</v>
      </c>
      <c r="I68" t="e">
        <v>#N/A</v>
      </c>
      <c r="J68" s="2">
        <f t="shared" si="1"/>
        <v>161.72499999999999</v>
      </c>
    </row>
    <row r="69" spans="1:10" x14ac:dyDescent="0.25">
      <c r="A69" s="1">
        <v>40179</v>
      </c>
      <c r="B69">
        <v>220.44</v>
      </c>
      <c r="C69">
        <v>1.0701456553062185</v>
      </c>
      <c r="D69" s="2">
        <v>205.99065081184844</v>
      </c>
      <c r="G69" s="1">
        <v>34912</v>
      </c>
      <c r="H69">
        <v>154.35</v>
      </c>
      <c r="I69" t="e">
        <v>#N/A</v>
      </c>
      <c r="J69" s="2">
        <f t="shared" si="1"/>
        <v>154.35</v>
      </c>
    </row>
    <row r="70" spans="1:10" x14ac:dyDescent="0.25">
      <c r="A70" s="1">
        <v>40210</v>
      </c>
      <c r="B70">
        <v>211.2</v>
      </c>
      <c r="C70">
        <v>1.069880546480829</v>
      </c>
      <c r="D70" s="2">
        <v>197.4052156520676</v>
      </c>
      <c r="G70" s="1">
        <v>34943</v>
      </c>
      <c r="H70">
        <v>188.7</v>
      </c>
      <c r="I70" t="e">
        <v>#N/A</v>
      </c>
      <c r="J70" s="2">
        <f t="shared" si="1"/>
        <v>188.7</v>
      </c>
    </row>
    <row r="71" spans="1:10" x14ac:dyDescent="0.25">
      <c r="A71" s="1">
        <v>40238</v>
      </c>
      <c r="B71">
        <v>229.7</v>
      </c>
      <c r="C71">
        <v>1.0696154376554392</v>
      </c>
      <c r="D71" s="2">
        <v>214.75007924670066</v>
      </c>
      <c r="G71" s="1">
        <v>34973</v>
      </c>
      <c r="H71">
        <v>186.97499999999999</v>
      </c>
      <c r="I71" t="e">
        <v>#N/A</v>
      </c>
      <c r="J71" s="2">
        <f t="shared" si="1"/>
        <v>186.97499999999999</v>
      </c>
    </row>
    <row r="72" spans="1:10" x14ac:dyDescent="0.25">
      <c r="A72" s="1">
        <v>40269</v>
      </c>
      <c r="B72">
        <v>250.18</v>
      </c>
      <c r="C72">
        <v>1.0693503288300499</v>
      </c>
      <c r="D72" s="2">
        <v>233.95513449153361</v>
      </c>
      <c r="G72" s="1">
        <v>35004</v>
      </c>
      <c r="H72">
        <v>188.375</v>
      </c>
      <c r="I72" t="e">
        <v>#N/A</v>
      </c>
      <c r="J72" s="2">
        <f t="shared" si="1"/>
        <v>188.375</v>
      </c>
    </row>
    <row r="73" spans="1:10" x14ac:dyDescent="0.25">
      <c r="A73" s="1">
        <v>40299</v>
      </c>
      <c r="B73">
        <v>204.85000000000002</v>
      </c>
      <c r="C73">
        <v>1.0690852200046603</v>
      </c>
      <c r="D73" s="2">
        <v>191.61241420876348</v>
      </c>
      <c r="G73" s="1">
        <v>35034</v>
      </c>
      <c r="H73">
        <v>204.68</v>
      </c>
      <c r="I73" t="e">
        <v>#N/A</v>
      </c>
      <c r="J73" s="2">
        <f t="shared" si="1"/>
        <v>204.68</v>
      </c>
    </row>
    <row r="74" spans="1:10" x14ac:dyDescent="0.25">
      <c r="A74" s="1">
        <v>40330</v>
      </c>
      <c r="B74">
        <v>174.45000000000002</v>
      </c>
      <c r="C74">
        <v>1.0688201111792706</v>
      </c>
      <c r="D74" s="2">
        <v>163.21736293633415</v>
      </c>
      <c r="G74" s="1">
        <v>35065</v>
      </c>
      <c r="H74">
        <v>176.72500000000002</v>
      </c>
      <c r="I74" t="e">
        <v>#N/A</v>
      </c>
      <c r="J74" s="2">
        <f t="shared" si="1"/>
        <v>176.72500000000002</v>
      </c>
    </row>
    <row r="75" spans="1:10" x14ac:dyDescent="0.25">
      <c r="A75" s="1">
        <v>40360</v>
      </c>
      <c r="B75">
        <v>169.59999999999997</v>
      </c>
      <c r="C75">
        <v>1.068555002353881</v>
      </c>
      <c r="D75" s="2">
        <v>158.71901738927269</v>
      </c>
      <c r="G75" s="1">
        <v>35096</v>
      </c>
      <c r="H75">
        <v>173.4</v>
      </c>
      <c r="I75" t="e">
        <v>#N/A</v>
      </c>
      <c r="J75" s="2">
        <f t="shared" si="1"/>
        <v>173.4</v>
      </c>
    </row>
    <row r="76" spans="1:10" x14ac:dyDescent="0.25">
      <c r="A76" s="1">
        <v>40391</v>
      </c>
      <c r="B76">
        <v>172.22499999999999</v>
      </c>
      <c r="C76">
        <v>1.0682898935284915</v>
      </c>
      <c r="D76" s="2">
        <v>161.21560359534257</v>
      </c>
      <c r="G76" s="1">
        <v>35125</v>
      </c>
      <c r="H76">
        <v>179.3</v>
      </c>
      <c r="I76" t="e">
        <v>#N/A</v>
      </c>
      <c r="J76" s="2">
        <f t="shared" si="1"/>
        <v>179.3</v>
      </c>
    </row>
    <row r="77" spans="1:10" x14ac:dyDescent="0.25">
      <c r="A77" s="1">
        <v>40422</v>
      </c>
      <c r="B77">
        <v>181.89999999999998</v>
      </c>
      <c r="C77">
        <v>1.0680247847031019</v>
      </c>
      <c r="D77" s="2">
        <v>170.314399633119</v>
      </c>
      <c r="G77" s="1">
        <v>35156</v>
      </c>
      <c r="H77">
        <v>177.34999999999997</v>
      </c>
      <c r="I77" t="e">
        <v>#N/A</v>
      </c>
      <c r="J77" s="2">
        <f t="shared" si="1"/>
        <v>177.34999999999997</v>
      </c>
    </row>
    <row r="78" spans="1:10" x14ac:dyDescent="0.25">
      <c r="A78" s="1">
        <v>40452</v>
      </c>
      <c r="B78">
        <v>181.1</v>
      </c>
      <c r="C78">
        <v>1.0677596758777124</v>
      </c>
      <c r="D78" s="2">
        <v>169.60745389746381</v>
      </c>
      <c r="G78" s="1">
        <v>35186</v>
      </c>
      <c r="H78">
        <v>189.14000000000001</v>
      </c>
      <c r="I78" t="e">
        <v>#N/A</v>
      </c>
      <c r="J78" s="2">
        <f t="shared" si="1"/>
        <v>189.14000000000001</v>
      </c>
    </row>
    <row r="79" spans="1:10" x14ac:dyDescent="0.25">
      <c r="A79" s="1">
        <v>40483</v>
      </c>
      <c r="B79">
        <v>195.02499999999998</v>
      </c>
      <c r="C79">
        <v>1.0674945670523228</v>
      </c>
      <c r="D79" s="2">
        <v>182.69413823671565</v>
      </c>
      <c r="G79" s="1">
        <v>35217</v>
      </c>
      <c r="H79">
        <v>183.67499999999998</v>
      </c>
      <c r="I79" t="e">
        <v>#N/A</v>
      </c>
      <c r="J79" s="2">
        <f t="shared" si="1"/>
        <v>183.67499999999998</v>
      </c>
    </row>
    <row r="80" spans="1:10" x14ac:dyDescent="0.25">
      <c r="A80" s="1">
        <v>40513</v>
      </c>
      <c r="B80">
        <v>201.54000000000002</v>
      </c>
      <c r="C80">
        <v>1.067229458226933</v>
      </c>
      <c r="D80" s="2">
        <v>188.84411261926115</v>
      </c>
      <c r="G80" s="1">
        <v>35247</v>
      </c>
      <c r="H80">
        <v>181.50000000000003</v>
      </c>
      <c r="I80" t="e">
        <v>#N/A</v>
      </c>
      <c r="J80" s="2">
        <f t="shared" si="1"/>
        <v>181.50000000000003</v>
      </c>
    </row>
    <row r="81" spans="1:10" x14ac:dyDescent="0.25">
      <c r="A81" s="1">
        <v>40544</v>
      </c>
      <c r="B81">
        <v>185.55</v>
      </c>
      <c r="C81">
        <v>1.0669643494015435</v>
      </c>
      <c r="D81" s="2">
        <v>173.90459213006915</v>
      </c>
      <c r="G81" s="1">
        <v>35278</v>
      </c>
      <c r="H81">
        <v>182.02000000000004</v>
      </c>
      <c r="I81" t="e">
        <v>#N/A</v>
      </c>
      <c r="J81" s="2">
        <f t="shared" si="1"/>
        <v>182.02000000000004</v>
      </c>
    </row>
    <row r="82" spans="1:10" x14ac:dyDescent="0.25">
      <c r="A82" s="1">
        <v>40575</v>
      </c>
      <c r="B82">
        <v>179.52499999999998</v>
      </c>
      <c r="C82">
        <v>1.0673209980455654</v>
      </c>
      <c r="D82" s="2">
        <v>168.20150669642857</v>
      </c>
      <c r="G82" s="1">
        <v>35309</v>
      </c>
      <c r="H82">
        <v>186.375</v>
      </c>
      <c r="I82" t="e">
        <v>#N/A</v>
      </c>
      <c r="J82" s="2">
        <f t="shared" si="1"/>
        <v>186.375</v>
      </c>
    </row>
    <row r="83" spans="1:10" x14ac:dyDescent="0.25">
      <c r="A83" s="1">
        <v>40603</v>
      </c>
      <c r="B83">
        <v>190.3</v>
      </c>
      <c r="C83">
        <v>1.0676776466895872</v>
      </c>
      <c r="D83" s="2">
        <v>178.23731778036105</v>
      </c>
      <c r="G83" s="1">
        <v>35339</v>
      </c>
      <c r="H83">
        <v>182.27500000000001</v>
      </c>
      <c r="I83" t="e">
        <v>#N/A</v>
      </c>
      <c r="J83" s="2">
        <f t="shared" si="1"/>
        <v>182.27500000000001</v>
      </c>
    </row>
    <row r="84" spans="1:10" x14ac:dyDescent="0.25">
      <c r="A84" s="1">
        <v>40634</v>
      </c>
      <c r="B84">
        <v>193.7</v>
      </c>
      <c r="C84">
        <v>1.0680342953336091</v>
      </c>
      <c r="D84" s="2">
        <v>181.36121737504342</v>
      </c>
      <c r="G84" s="1">
        <v>35370</v>
      </c>
      <c r="H84">
        <v>199.88000000000002</v>
      </c>
      <c r="I84" t="e">
        <v>#N/A</v>
      </c>
      <c r="J84" s="2">
        <f t="shared" si="1"/>
        <v>199.88000000000002</v>
      </c>
    </row>
    <row r="85" spans="1:10" x14ac:dyDescent="0.25">
      <c r="A85" s="1">
        <v>40664</v>
      </c>
      <c r="B85">
        <v>191.57499999999999</v>
      </c>
      <c r="C85">
        <v>1.0683909439776309</v>
      </c>
      <c r="D85" s="2">
        <v>179.31170334219067</v>
      </c>
      <c r="G85" s="1">
        <v>35400</v>
      </c>
      <c r="H85">
        <v>190.17500000000001</v>
      </c>
      <c r="I85" t="e">
        <v>#N/A</v>
      </c>
      <c r="J85" s="2">
        <f t="shared" si="1"/>
        <v>190.17500000000001</v>
      </c>
    </row>
    <row r="86" spans="1:10" x14ac:dyDescent="0.25">
      <c r="A86" s="1">
        <v>40695</v>
      </c>
      <c r="B86">
        <v>185.02499999999998</v>
      </c>
      <c r="C86">
        <v>1.0687475926216528</v>
      </c>
      <c r="D86" s="2">
        <v>173.12319698061827</v>
      </c>
      <c r="G86" s="1">
        <v>35431</v>
      </c>
      <c r="H86">
        <v>184.28000000000003</v>
      </c>
      <c r="I86" t="e">
        <v>#N/A</v>
      </c>
      <c r="J86" s="2">
        <f t="shared" si="1"/>
        <v>184.28000000000003</v>
      </c>
    </row>
    <row r="87" spans="1:10" x14ac:dyDescent="0.25">
      <c r="A87" s="1">
        <v>40725</v>
      </c>
      <c r="B87">
        <v>183.8</v>
      </c>
      <c r="C87">
        <v>1.0691042412656746</v>
      </c>
      <c r="D87" s="2">
        <v>171.91962477148692</v>
      </c>
      <c r="G87" s="1">
        <v>35462</v>
      </c>
      <c r="H87">
        <v>184.20000000000002</v>
      </c>
      <c r="I87" t="e">
        <v>#N/A</v>
      </c>
      <c r="J87" s="2">
        <f t="shared" si="1"/>
        <v>184.20000000000002</v>
      </c>
    </row>
    <row r="88" spans="1:10" x14ac:dyDescent="0.25">
      <c r="A88" s="1">
        <v>40756</v>
      </c>
      <c r="B88">
        <v>167.22500000000002</v>
      </c>
      <c r="C88">
        <v>1.0694608899096965</v>
      </c>
      <c r="D88" s="2">
        <v>156.36382926926876</v>
      </c>
      <c r="G88" s="1">
        <v>35490</v>
      </c>
      <c r="H88">
        <v>204.875</v>
      </c>
      <c r="I88" t="e">
        <v>#N/A</v>
      </c>
      <c r="J88" s="2">
        <f t="shared" si="1"/>
        <v>204.875</v>
      </c>
    </row>
    <row r="89" spans="1:10" x14ac:dyDescent="0.25">
      <c r="A89" s="1">
        <v>40787</v>
      </c>
      <c r="B89">
        <v>170.87599999999998</v>
      </c>
      <c r="C89">
        <v>1.0698175385537185</v>
      </c>
      <c r="D89" s="2">
        <v>159.72443322532033</v>
      </c>
      <c r="G89" s="1">
        <v>35521</v>
      </c>
      <c r="H89">
        <v>179.8</v>
      </c>
      <c r="I89" t="e">
        <v>#N/A</v>
      </c>
      <c r="J89" s="2">
        <f t="shared" si="1"/>
        <v>179.8</v>
      </c>
    </row>
    <row r="90" spans="1:10" x14ac:dyDescent="0.25">
      <c r="A90" s="1">
        <v>40817</v>
      </c>
      <c r="B90">
        <v>171.25</v>
      </c>
      <c r="C90">
        <v>1.0701741871977404</v>
      </c>
      <c r="D90" s="2">
        <v>160.02067892182998</v>
      </c>
      <c r="G90" s="1">
        <v>35551</v>
      </c>
      <c r="H90">
        <v>192.95999999999998</v>
      </c>
      <c r="I90" t="e">
        <v>#N/A</v>
      </c>
      <c r="J90" s="2">
        <f t="shared" si="1"/>
        <v>192.95999999999998</v>
      </c>
    </row>
    <row r="91" spans="1:10" x14ac:dyDescent="0.25">
      <c r="A91" s="1">
        <v>40848</v>
      </c>
      <c r="B91">
        <v>186.92750000000001</v>
      </c>
      <c r="C91">
        <v>1.0705308358417622</v>
      </c>
      <c r="D91" s="2">
        <v>174.61197168881012</v>
      </c>
      <c r="G91" s="1">
        <v>35582</v>
      </c>
      <c r="H91">
        <v>207.75</v>
      </c>
      <c r="I91" t="e">
        <v>#N/A</v>
      </c>
      <c r="J91" s="2">
        <f t="shared" si="1"/>
        <v>207.75</v>
      </c>
    </row>
    <row r="92" spans="1:10" x14ac:dyDescent="0.25">
      <c r="A92" s="1">
        <v>40878</v>
      </c>
      <c r="B92">
        <v>185.166</v>
      </c>
      <c r="C92">
        <v>1.0708874844857841</v>
      </c>
      <c r="D92" s="2">
        <v>172.908921509072</v>
      </c>
      <c r="G92" s="1">
        <v>35612</v>
      </c>
      <c r="H92">
        <v>211.45</v>
      </c>
      <c r="I92" t="e">
        <v>#N/A</v>
      </c>
      <c r="J92" s="2">
        <f t="shared" si="1"/>
        <v>211.45</v>
      </c>
    </row>
    <row r="93" spans="1:10" x14ac:dyDescent="0.25">
      <c r="A93" s="1">
        <v>40909</v>
      </c>
      <c r="B93">
        <v>184.7475</v>
      </c>
      <c r="C93">
        <v>1.0712441331298059</v>
      </c>
      <c r="D93" s="2">
        <v>172.46068779880412</v>
      </c>
      <c r="G93" s="1">
        <v>35643</v>
      </c>
      <c r="H93">
        <v>213.92</v>
      </c>
      <c r="I93" t="e">
        <v>#N/A</v>
      </c>
      <c r="J93" s="2">
        <f t="shared" si="1"/>
        <v>213.92</v>
      </c>
    </row>
    <row r="94" spans="1:10" x14ac:dyDescent="0.25">
      <c r="A94" s="1">
        <v>40940</v>
      </c>
      <c r="B94">
        <v>171.35</v>
      </c>
      <c r="C94">
        <v>1.0707412585417351</v>
      </c>
      <c r="D94" s="2">
        <v>160.02932420234291</v>
      </c>
      <c r="G94" s="1">
        <v>35674</v>
      </c>
      <c r="H94">
        <v>218.32499999999999</v>
      </c>
      <c r="I94" t="e">
        <v>#N/A</v>
      </c>
      <c r="J94" s="2">
        <f t="shared" si="1"/>
        <v>218.32499999999999</v>
      </c>
    </row>
    <row r="95" spans="1:10" x14ac:dyDescent="0.25">
      <c r="A95" s="1">
        <v>40969</v>
      </c>
      <c r="B95">
        <v>188.95999999999998</v>
      </c>
      <c r="C95">
        <v>1.0702383839536642</v>
      </c>
      <c r="D95" s="2">
        <v>176.55879552922198</v>
      </c>
      <c r="G95" s="1">
        <v>35704</v>
      </c>
      <c r="H95">
        <v>220.12000000000003</v>
      </c>
      <c r="I95" t="e">
        <v>#N/A</v>
      </c>
      <c r="J95" s="2">
        <f t="shared" si="1"/>
        <v>220.12000000000003</v>
      </c>
    </row>
    <row r="96" spans="1:10" x14ac:dyDescent="0.25">
      <c r="A96" s="1">
        <v>41000</v>
      </c>
      <c r="B96">
        <v>189.97500000000002</v>
      </c>
      <c r="C96">
        <v>1.0697355093655934</v>
      </c>
      <c r="D96" s="2">
        <v>177.59062715667417</v>
      </c>
      <c r="G96" s="1">
        <v>35735</v>
      </c>
      <c r="H96">
        <v>224.82500000000002</v>
      </c>
      <c r="I96" t="e">
        <v>#N/A</v>
      </c>
      <c r="J96" s="2">
        <f t="shared" si="1"/>
        <v>224.82500000000002</v>
      </c>
    </row>
    <row r="97" spans="1:10" x14ac:dyDescent="0.25">
      <c r="A97" s="1">
        <v>41030</v>
      </c>
      <c r="B97">
        <v>190.45000000000002</v>
      </c>
      <c r="C97">
        <v>1.0692326347775225</v>
      </c>
      <c r="D97" s="2">
        <v>178.11839426284192</v>
      </c>
      <c r="G97" s="1">
        <v>35765</v>
      </c>
      <c r="H97">
        <v>227.87500000000003</v>
      </c>
      <c r="I97" t="e">
        <v>#N/A</v>
      </c>
      <c r="J97" s="2">
        <f t="shared" si="1"/>
        <v>227.87500000000003</v>
      </c>
    </row>
    <row r="98" spans="1:10" x14ac:dyDescent="0.25">
      <c r="A98" s="1">
        <v>41061</v>
      </c>
      <c r="B98">
        <v>189.56</v>
      </c>
      <c r="C98">
        <v>1.0687297601894516</v>
      </c>
      <c r="D98" s="2">
        <v>177.36944086444927</v>
      </c>
      <c r="G98" s="1">
        <v>35796</v>
      </c>
      <c r="H98">
        <v>270.17999999999995</v>
      </c>
      <c r="I98" t="e">
        <v>#N/A</v>
      </c>
      <c r="J98" s="2">
        <f t="shared" si="1"/>
        <v>270.17999999999995</v>
      </c>
    </row>
    <row r="99" spans="1:10" x14ac:dyDescent="0.25">
      <c r="A99" s="1">
        <v>41091</v>
      </c>
      <c r="B99">
        <v>188.3</v>
      </c>
      <c r="C99">
        <v>1.068226885601381</v>
      </c>
      <c r="D99" s="2">
        <v>176.27341395174915</v>
      </c>
      <c r="G99" s="1">
        <v>35827</v>
      </c>
      <c r="H99">
        <v>235</v>
      </c>
      <c r="I99" t="e">
        <v>#N/A</v>
      </c>
      <c r="J99" s="2">
        <f t="shared" si="1"/>
        <v>235</v>
      </c>
    </row>
    <row r="100" spans="1:10" x14ac:dyDescent="0.25">
      <c r="A100" s="1">
        <v>41122</v>
      </c>
      <c r="B100">
        <v>178.21999999999997</v>
      </c>
      <c r="C100">
        <v>1.0677240110133102</v>
      </c>
      <c r="D100" s="2">
        <v>166.91579299678997</v>
      </c>
      <c r="G100" s="1">
        <v>35855</v>
      </c>
      <c r="H100">
        <v>224.72500000000002</v>
      </c>
      <c r="I100" t="e">
        <v>#N/A</v>
      </c>
      <c r="J100" s="2">
        <f t="shared" si="1"/>
        <v>224.72500000000002</v>
      </c>
    </row>
    <row r="101" spans="1:10" x14ac:dyDescent="0.25">
      <c r="A101" s="1">
        <v>41153</v>
      </c>
      <c r="B101">
        <v>189.97500000000002</v>
      </c>
      <c r="C101">
        <v>1.0672211364252393</v>
      </c>
      <c r="D101" s="2">
        <v>178.00903066475962</v>
      </c>
      <c r="G101" s="1">
        <v>35886</v>
      </c>
      <c r="H101">
        <v>251.20000000000002</v>
      </c>
      <c r="I101" t="e">
        <v>#N/A</v>
      </c>
      <c r="J101" s="2">
        <f t="shared" si="1"/>
        <v>251.20000000000002</v>
      </c>
    </row>
    <row r="102" spans="1:10" x14ac:dyDescent="0.25">
      <c r="A102" s="1">
        <v>41183</v>
      </c>
      <c r="B102">
        <v>192.375</v>
      </c>
      <c r="C102">
        <v>1.0667182618371684</v>
      </c>
      <c r="D102" s="2">
        <v>180.34283923168226</v>
      </c>
      <c r="G102" s="1">
        <v>35916</v>
      </c>
      <c r="H102">
        <v>264.88</v>
      </c>
      <c r="I102" t="e">
        <v>#N/A</v>
      </c>
      <c r="J102" s="2">
        <f t="shared" si="1"/>
        <v>264.88</v>
      </c>
    </row>
    <row r="103" spans="1:10" x14ac:dyDescent="0.25">
      <c r="A103" s="1">
        <v>41214</v>
      </c>
      <c r="B103">
        <v>197.2</v>
      </c>
      <c r="C103">
        <v>1.0662153872490976</v>
      </c>
      <c r="D103" s="2">
        <v>184.95324899482864</v>
      </c>
      <c r="G103" s="1">
        <v>35947</v>
      </c>
      <c r="H103">
        <v>262.52500000000003</v>
      </c>
      <c r="I103" t="e">
        <v>#N/A</v>
      </c>
      <c r="J103" s="2">
        <f t="shared" si="1"/>
        <v>262.52500000000003</v>
      </c>
    </row>
    <row r="104" spans="1:10" x14ac:dyDescent="0.25">
      <c r="A104" s="1">
        <v>41244</v>
      </c>
      <c r="B104">
        <v>191.22499999999999</v>
      </c>
      <c r="C104">
        <v>1.065712512661027</v>
      </c>
      <c r="D104" s="2">
        <v>179.43394464096272</v>
      </c>
      <c r="G104" s="1">
        <v>35977</v>
      </c>
      <c r="H104">
        <v>262.7</v>
      </c>
      <c r="I104" t="e">
        <v>#N/A</v>
      </c>
      <c r="J104" s="2">
        <f t="shared" si="1"/>
        <v>262.7</v>
      </c>
    </row>
    <row r="105" spans="1:10" x14ac:dyDescent="0.25">
      <c r="A105" s="1">
        <v>41275</v>
      </c>
      <c r="B105">
        <v>205.32499999999999</v>
      </c>
      <c r="C105">
        <v>1.0652096380729561</v>
      </c>
      <c r="D105" s="2">
        <v>192.75548461188191</v>
      </c>
      <c r="G105" s="1">
        <v>36008</v>
      </c>
      <c r="H105">
        <v>254.65</v>
      </c>
      <c r="I105" t="e">
        <v>#N/A</v>
      </c>
      <c r="J105" s="2">
        <f t="shared" si="1"/>
        <v>254.65</v>
      </c>
    </row>
    <row r="106" spans="1:10" x14ac:dyDescent="0.25">
      <c r="A106" s="1">
        <v>41306</v>
      </c>
      <c r="B106">
        <v>196.375</v>
      </c>
      <c r="C106">
        <v>1.0649231303289253</v>
      </c>
      <c r="D106" s="2">
        <v>184.40298121738158</v>
      </c>
      <c r="G106" s="1">
        <v>36039</v>
      </c>
      <c r="H106">
        <v>292.375</v>
      </c>
      <c r="I106" t="e">
        <v>#N/A</v>
      </c>
      <c r="J106" s="2">
        <f t="shared" si="1"/>
        <v>292.375</v>
      </c>
    </row>
    <row r="107" spans="1:10" x14ac:dyDescent="0.25">
      <c r="A107" s="1">
        <v>41334</v>
      </c>
      <c r="B107">
        <v>206.44</v>
      </c>
      <c r="C107">
        <v>1.0646366225848942</v>
      </c>
      <c r="D107" s="2">
        <v>193.90653639057814</v>
      </c>
      <c r="G107" s="1">
        <v>36069</v>
      </c>
      <c r="H107">
        <v>298.58</v>
      </c>
      <c r="I107" t="e">
        <v>#N/A</v>
      </c>
      <c r="J107" s="2">
        <f t="shared" si="1"/>
        <v>298.58</v>
      </c>
    </row>
    <row r="108" spans="1:10" x14ac:dyDescent="0.25">
      <c r="A108" s="1">
        <v>41365</v>
      </c>
      <c r="B108">
        <v>215.375</v>
      </c>
      <c r="C108">
        <v>1.0643501148408634</v>
      </c>
      <c r="D108" s="2">
        <v>202.35352728101302</v>
      </c>
      <c r="G108" s="1">
        <v>36100</v>
      </c>
      <c r="H108">
        <v>285.2</v>
      </c>
      <c r="I108" t="e">
        <v>#N/A</v>
      </c>
      <c r="J108" s="2">
        <f t="shared" si="1"/>
        <v>285.2</v>
      </c>
    </row>
    <row r="109" spans="1:10" x14ac:dyDescent="0.25">
      <c r="A109" s="1">
        <v>41395</v>
      </c>
      <c r="B109">
        <v>211.08</v>
      </c>
      <c r="C109">
        <v>1.0640636070968326</v>
      </c>
      <c r="D109" s="2">
        <v>198.37159977297409</v>
      </c>
      <c r="G109" s="1">
        <v>36130</v>
      </c>
      <c r="H109">
        <v>281.27499999999998</v>
      </c>
      <c r="I109" t="e">
        <v>#N/A</v>
      </c>
      <c r="J109" s="2">
        <f>H109/1</f>
        <v>281.27499999999998</v>
      </c>
    </row>
    <row r="110" spans="1:10" x14ac:dyDescent="0.25">
      <c r="A110" s="1">
        <v>41426</v>
      </c>
      <c r="B110">
        <v>212.60000000000002</v>
      </c>
      <c r="C110">
        <v>1.0637770993528015</v>
      </c>
      <c r="D110" s="2">
        <v>199.85389808574104</v>
      </c>
      <c r="G110" s="1">
        <v>36161</v>
      </c>
      <c r="H110">
        <v>266.28000000000003</v>
      </c>
      <c r="I110">
        <v>1</v>
      </c>
      <c r="J110" s="2">
        <v>266.28000000000003</v>
      </c>
    </row>
    <row r="111" spans="1:10" x14ac:dyDescent="0.25">
      <c r="A111" s="1">
        <v>41456</v>
      </c>
      <c r="B111">
        <v>198.64999999999998</v>
      </c>
      <c r="C111">
        <v>1.0634905916087707</v>
      </c>
      <c r="D111" s="2">
        <v>186.79055702739862</v>
      </c>
      <c r="G111" s="1">
        <v>36192</v>
      </c>
      <c r="H111">
        <v>246.97499999999997</v>
      </c>
      <c r="I111">
        <v>1.0013707196218573</v>
      </c>
      <c r="J111" s="2">
        <v>246.63692992068303</v>
      </c>
    </row>
    <row r="112" spans="1:10" x14ac:dyDescent="0.25">
      <c r="A112" s="1">
        <v>41487</v>
      </c>
      <c r="B112">
        <v>187.73999999999998</v>
      </c>
      <c r="C112">
        <v>1.0632040838647399</v>
      </c>
      <c r="D112" s="2">
        <v>176.57945717962849</v>
      </c>
      <c r="G112" s="1">
        <v>36220</v>
      </c>
      <c r="H112">
        <v>257.2</v>
      </c>
      <c r="I112">
        <v>1.0027414392437148</v>
      </c>
      <c r="J112" s="2">
        <v>256.49682952564996</v>
      </c>
    </row>
    <row r="113" spans="1:10" x14ac:dyDescent="0.25">
      <c r="A113" s="1">
        <v>41518</v>
      </c>
      <c r="B113">
        <v>190.42499999999998</v>
      </c>
      <c r="C113">
        <v>1.0629175761207088</v>
      </c>
      <c r="D113" s="2">
        <v>179.15311993897691</v>
      </c>
      <c r="G113" s="1">
        <v>36251</v>
      </c>
      <c r="H113">
        <v>277.20000000000005</v>
      </c>
      <c r="I113">
        <v>1.0041121588655719</v>
      </c>
      <c r="J113" s="2">
        <v>276.06477777659387</v>
      </c>
    </row>
    <row r="114" spans="1:10" x14ac:dyDescent="0.25">
      <c r="A114" s="1">
        <v>41548</v>
      </c>
      <c r="B114">
        <v>182.97500000000002</v>
      </c>
      <c r="C114">
        <v>1.062631068376678</v>
      </c>
      <c r="D114" s="2">
        <v>172.19052354597602</v>
      </c>
      <c r="G114" s="1">
        <v>36281</v>
      </c>
      <c r="H114">
        <v>288.27499999999998</v>
      </c>
      <c r="I114">
        <v>1.0054828784874292</v>
      </c>
      <c r="J114" s="2">
        <v>286.70304205841734</v>
      </c>
    </row>
    <row r="115" spans="1:10" x14ac:dyDescent="0.25">
      <c r="A115" s="1">
        <v>41579</v>
      </c>
      <c r="B115">
        <v>187.02</v>
      </c>
      <c r="C115">
        <v>1.0623445606326472</v>
      </c>
      <c r="D115" s="2">
        <v>176.04457812503497</v>
      </c>
      <c r="G115" s="1">
        <v>36312</v>
      </c>
      <c r="H115">
        <v>309.60000000000002</v>
      </c>
      <c r="I115">
        <v>1.0068535981092868</v>
      </c>
      <c r="J115" s="2">
        <v>307.49256950700709</v>
      </c>
    </row>
    <row r="116" spans="1:10" x14ac:dyDescent="0.25">
      <c r="A116" s="1">
        <v>41609</v>
      </c>
      <c r="B116">
        <v>175.52499999999998</v>
      </c>
      <c r="C116">
        <v>1.0620580528886161</v>
      </c>
      <c r="D116" s="2">
        <v>165.26874357065702</v>
      </c>
      <c r="G116" s="1">
        <v>36342</v>
      </c>
      <c r="H116">
        <v>285.86</v>
      </c>
      <c r="I116">
        <v>1.0082243177311441</v>
      </c>
      <c r="J116" s="2">
        <v>283.52817420956933</v>
      </c>
    </row>
    <row r="117" spans="1:10" x14ac:dyDescent="0.25">
      <c r="A117" s="1">
        <v>41640</v>
      </c>
      <c r="B117">
        <v>183.3</v>
      </c>
      <c r="C117">
        <v>1.0617715451445853</v>
      </c>
      <c r="D117" s="2">
        <v>172.6360070941997</v>
      </c>
      <c r="G117" s="1">
        <v>36373</v>
      </c>
      <c r="H117">
        <v>277.45</v>
      </c>
      <c r="I117">
        <v>1.0095950373530012</v>
      </c>
      <c r="J117" s="2">
        <v>274.81315748879877</v>
      </c>
    </row>
    <row r="118" spans="1:10" x14ac:dyDescent="0.25">
      <c r="A118" s="1">
        <v>41671</v>
      </c>
      <c r="B118">
        <v>164.2</v>
      </c>
      <c r="C118">
        <v>1.0621032283835257</v>
      </c>
      <c r="D118" s="2">
        <v>154.59890866719721</v>
      </c>
      <c r="G118" s="1">
        <v>36404</v>
      </c>
      <c r="H118">
        <v>264.84999999999997</v>
      </c>
      <c r="I118">
        <v>1.0109657569748587</v>
      </c>
      <c r="J118" s="2">
        <v>261.9772214565586</v>
      </c>
    </row>
    <row r="119" spans="1:10" x14ac:dyDescent="0.25">
      <c r="A119" s="1">
        <v>41699</v>
      </c>
      <c r="B119">
        <v>171.9</v>
      </c>
      <c r="C119">
        <v>1.0624349116224661</v>
      </c>
      <c r="D119" s="2">
        <v>161.79814699188302</v>
      </c>
      <c r="G119" s="1">
        <v>36434</v>
      </c>
      <c r="H119">
        <v>272.38</v>
      </c>
      <c r="I119">
        <v>1.012336476596716</v>
      </c>
      <c r="J119" s="2">
        <v>269.06073849644349</v>
      </c>
    </row>
    <row r="120" spans="1:10" x14ac:dyDescent="0.25">
      <c r="A120" s="1">
        <v>41730</v>
      </c>
      <c r="B120">
        <v>177.77500000000001</v>
      </c>
      <c r="C120">
        <v>1.0627665948614062</v>
      </c>
      <c r="D120" s="2">
        <v>167.27567544892901</v>
      </c>
      <c r="G120" s="1">
        <v>36465</v>
      </c>
      <c r="H120">
        <v>295.47500000000002</v>
      </c>
      <c r="I120">
        <v>1.0137071962185733</v>
      </c>
      <c r="J120" s="2">
        <v>291.47963149734841</v>
      </c>
    </row>
    <row r="121" spans="1:10" x14ac:dyDescent="0.25">
      <c r="A121" s="1">
        <v>41760</v>
      </c>
      <c r="B121">
        <v>180</v>
      </c>
      <c r="C121">
        <v>1.0630982781003466</v>
      </c>
      <c r="D121" s="2">
        <v>169.31642512077295</v>
      </c>
      <c r="G121" s="1">
        <v>36495</v>
      </c>
      <c r="H121">
        <v>269.86</v>
      </c>
      <c r="I121">
        <v>1.0150779158404306</v>
      </c>
      <c r="J121" s="2">
        <v>265.85151325705897</v>
      </c>
    </row>
    <row r="122" spans="1:10" x14ac:dyDescent="0.25">
      <c r="A122" s="1">
        <v>41791</v>
      </c>
      <c r="B122">
        <v>179.42500000000001</v>
      </c>
      <c r="C122">
        <v>1.063429961339287</v>
      </c>
      <c r="D122" s="2">
        <v>168.7229122019767</v>
      </c>
      <c r="G122" s="1">
        <v>36526</v>
      </c>
      <c r="H122">
        <v>281.32500000000005</v>
      </c>
      <c r="I122">
        <v>1.0164486354622879</v>
      </c>
      <c r="J122" s="2">
        <v>276.77247052631583</v>
      </c>
    </row>
    <row r="123" spans="1:10" x14ac:dyDescent="0.25">
      <c r="A123" s="1">
        <v>41821</v>
      </c>
      <c r="B123">
        <v>171.625</v>
      </c>
      <c r="C123">
        <v>1.0637616445782274</v>
      </c>
      <c r="D123" s="2">
        <v>161.33783434920505</v>
      </c>
      <c r="G123" s="1">
        <v>36557</v>
      </c>
      <c r="H123">
        <v>279.67500000000001</v>
      </c>
      <c r="I123">
        <v>1.0180452325586926</v>
      </c>
      <c r="J123" s="2">
        <v>274.7176560093327</v>
      </c>
    </row>
    <row r="124" spans="1:10" x14ac:dyDescent="0.25">
      <c r="A124" s="1">
        <v>41852</v>
      </c>
      <c r="B124">
        <v>165.92</v>
      </c>
      <c r="C124">
        <v>1.0640933278171676</v>
      </c>
      <c r="D124" s="2">
        <v>155.92617269799135</v>
      </c>
      <c r="G124" s="1">
        <v>36586</v>
      </c>
      <c r="H124">
        <v>296.18</v>
      </c>
      <c r="I124">
        <v>1.0196418296550969</v>
      </c>
      <c r="J124" s="2">
        <v>290.47454840116319</v>
      </c>
    </row>
    <row r="125" spans="1:10" x14ac:dyDescent="0.25">
      <c r="A125" s="1">
        <v>41883</v>
      </c>
      <c r="B125">
        <v>167.10000000000002</v>
      </c>
      <c r="C125">
        <v>1.064425011056108</v>
      </c>
      <c r="D125" s="2">
        <v>156.98616460938445</v>
      </c>
      <c r="G125" s="1">
        <v>36617</v>
      </c>
      <c r="H125">
        <v>304.89999999999998</v>
      </c>
      <c r="I125">
        <v>1.0212384267515016</v>
      </c>
      <c r="J125" s="2">
        <v>298.55907495556022</v>
      </c>
    </row>
    <row r="126" spans="1:10" x14ac:dyDescent="0.25">
      <c r="A126" s="1">
        <v>41913</v>
      </c>
      <c r="B126">
        <v>164.48000000000002</v>
      </c>
      <c r="C126">
        <v>1.0647566942950484</v>
      </c>
      <c r="D126" s="2">
        <v>154.4766056708369</v>
      </c>
      <c r="G126" s="1">
        <v>36647</v>
      </c>
      <c r="H126">
        <v>303.77499999999998</v>
      </c>
      <c r="I126">
        <v>1.022835023847906</v>
      </c>
      <c r="J126" s="2">
        <v>296.99315424025883</v>
      </c>
    </row>
    <row r="127" spans="1:10" x14ac:dyDescent="0.25">
      <c r="A127" s="1">
        <v>41944</v>
      </c>
      <c r="B127">
        <v>171.85000000000002</v>
      </c>
      <c r="C127">
        <v>1.0650883775339886</v>
      </c>
      <c r="D127" s="2">
        <v>161.34811310014135</v>
      </c>
      <c r="G127" s="1">
        <v>36678</v>
      </c>
      <c r="H127">
        <v>314.82</v>
      </c>
      <c r="I127">
        <v>1.0244316209443105</v>
      </c>
      <c r="J127" s="2">
        <v>307.31187281177648</v>
      </c>
    </row>
    <row r="128" spans="1:10" x14ac:dyDescent="0.25">
      <c r="A128" s="1">
        <v>41974</v>
      </c>
      <c r="B128">
        <v>165.82499999999999</v>
      </c>
      <c r="C128">
        <v>1.0654200607729289</v>
      </c>
      <c r="D128" s="2">
        <v>155.64283619711378</v>
      </c>
      <c r="G128" s="1">
        <v>36708</v>
      </c>
      <c r="H128">
        <v>312.22500000000002</v>
      </c>
      <c r="I128">
        <v>1.026028218040715</v>
      </c>
      <c r="J128" s="2">
        <v>304.30449622157494</v>
      </c>
    </row>
    <row r="129" spans="1:10" x14ac:dyDescent="0.25">
      <c r="A129" s="1">
        <v>42005</v>
      </c>
      <c r="B129">
        <v>184.51999999999998</v>
      </c>
      <c r="C129">
        <v>1.0657517440118693</v>
      </c>
      <c r="D129" s="2">
        <v>173.13600567558157</v>
      </c>
      <c r="G129" s="1">
        <v>36739</v>
      </c>
      <c r="H129">
        <v>308.42500000000001</v>
      </c>
      <c r="I129">
        <v>1.0276248151371197</v>
      </c>
      <c r="J129" s="2">
        <v>300.1338576655973</v>
      </c>
    </row>
    <row r="130" spans="1:10" x14ac:dyDescent="0.25">
      <c r="A130" s="1">
        <v>42036</v>
      </c>
      <c r="B130">
        <v>169.45</v>
      </c>
      <c r="C130">
        <v>1.0657517440118693</v>
      </c>
      <c r="D130" s="2">
        <v>158.99575201456375</v>
      </c>
      <c r="G130" s="1">
        <v>36770</v>
      </c>
      <c r="H130">
        <v>315.78000000000003</v>
      </c>
      <c r="I130">
        <v>1.0292214122335239</v>
      </c>
      <c r="J130" s="2">
        <v>306.81444852057888</v>
      </c>
    </row>
    <row r="131" spans="1:10" x14ac:dyDescent="0.25">
      <c r="A131" s="1">
        <v>42064</v>
      </c>
      <c r="B131">
        <v>177.74999999999997</v>
      </c>
      <c r="C131">
        <v>1.0657517440118693</v>
      </c>
      <c r="D131" s="2">
        <v>166.78368203357155</v>
      </c>
      <c r="G131" s="1">
        <v>36800</v>
      </c>
      <c r="H131">
        <v>304.30000000000007</v>
      </c>
      <c r="I131">
        <v>1.0308180093299286</v>
      </c>
      <c r="J131" s="2">
        <v>295.20244819723979</v>
      </c>
    </row>
    <row r="132" spans="1:10" x14ac:dyDescent="0.25">
      <c r="A132" s="1">
        <v>42095</v>
      </c>
      <c r="B132">
        <v>202.04999999999998</v>
      </c>
      <c r="C132">
        <v>1.0657517440118693</v>
      </c>
      <c r="D132" s="2">
        <v>189.58448919765479</v>
      </c>
      <c r="G132" s="1">
        <v>36831</v>
      </c>
      <c r="H132">
        <v>312.89999999999998</v>
      </c>
      <c r="I132">
        <v>1.0324146064263331</v>
      </c>
      <c r="J132" s="2">
        <v>303.07591354513312</v>
      </c>
    </row>
    <row r="133" spans="1:10" x14ac:dyDescent="0.25">
      <c r="A133" s="1">
        <v>42125</v>
      </c>
      <c r="B133">
        <v>201.95999999999998</v>
      </c>
      <c r="C133">
        <v>1.0657517440118693</v>
      </c>
      <c r="D133" s="2">
        <v>189.50004176371374</v>
      </c>
      <c r="G133" s="1">
        <v>36861</v>
      </c>
      <c r="H133">
        <v>295.38</v>
      </c>
      <c r="I133">
        <v>1.0340112035227376</v>
      </c>
      <c r="J133" s="2">
        <v>285.66421620353816</v>
      </c>
    </row>
    <row r="134" spans="1:10" x14ac:dyDescent="0.25">
      <c r="A134" s="1">
        <v>42156</v>
      </c>
      <c r="B134">
        <v>206.67500000000001</v>
      </c>
      <c r="C134">
        <v>1.0657517440118693</v>
      </c>
      <c r="D134" s="2">
        <v>193.92414899740317</v>
      </c>
      <c r="G134" s="1">
        <v>36892</v>
      </c>
      <c r="H134">
        <v>314.10000000000002</v>
      </c>
      <c r="I134">
        <v>1.035607800619142</v>
      </c>
      <c r="J134" s="2">
        <v>303.30014877467528</v>
      </c>
    </row>
    <row r="135" spans="1:10" x14ac:dyDescent="0.25">
      <c r="A135" s="1">
        <v>42186</v>
      </c>
      <c r="B135">
        <v>201.96</v>
      </c>
      <c r="C135">
        <v>1.0657517440118693</v>
      </c>
      <c r="D135" s="2">
        <v>189.50004176371374</v>
      </c>
      <c r="G135" s="1">
        <v>36923</v>
      </c>
      <c r="H135">
        <v>288.70000000000005</v>
      </c>
      <c r="I135">
        <v>1.036939288890157</v>
      </c>
      <c r="J135" s="2">
        <v>278.41552836617615</v>
      </c>
    </row>
    <row r="136" spans="1:10" x14ac:dyDescent="0.25">
      <c r="A136" s="1">
        <v>42217</v>
      </c>
      <c r="B136">
        <v>199.57500000000002</v>
      </c>
      <c r="C136">
        <v>1.0657517440118693</v>
      </c>
      <c r="D136" s="2">
        <v>187.26218476427596</v>
      </c>
      <c r="G136" s="1">
        <v>36951</v>
      </c>
      <c r="H136">
        <v>299.43999999999994</v>
      </c>
      <c r="I136">
        <v>1.0382707771611719</v>
      </c>
      <c r="J136" s="2">
        <v>288.4026080544474</v>
      </c>
    </row>
    <row r="137" spans="1:10" x14ac:dyDescent="0.25">
      <c r="A137" s="1">
        <v>42248</v>
      </c>
      <c r="B137">
        <v>204.4</v>
      </c>
      <c r="C137">
        <v>1.0657517440118693</v>
      </c>
      <c r="D137" s="2">
        <v>191.78950552833774</v>
      </c>
      <c r="G137" s="1">
        <v>36982</v>
      </c>
      <c r="H137">
        <v>301.7</v>
      </c>
      <c r="I137">
        <v>1.0396022654321868</v>
      </c>
      <c r="J137" s="2">
        <v>290.20713981858847</v>
      </c>
    </row>
    <row r="138" spans="1:10" x14ac:dyDescent="0.25">
      <c r="A138" s="1">
        <v>42278</v>
      </c>
      <c r="B138">
        <v>201.11999999999998</v>
      </c>
      <c r="C138">
        <v>1.0657517440118693</v>
      </c>
      <c r="D138" s="2">
        <v>188.71186571359726</v>
      </c>
      <c r="G138" s="1">
        <v>37012</v>
      </c>
      <c r="H138">
        <v>307.90000000000003</v>
      </c>
      <c r="I138">
        <v>1.0409337537032017</v>
      </c>
      <c r="J138" s="2">
        <v>295.79211828286111</v>
      </c>
    </row>
    <row r="139" spans="1:10" x14ac:dyDescent="0.25">
      <c r="A139" s="1">
        <v>42309</v>
      </c>
      <c r="B139">
        <v>210.67499999999998</v>
      </c>
      <c r="C139">
        <v>1.0657517440118693</v>
      </c>
      <c r="D139" s="2">
        <v>197.67736828367197</v>
      </c>
      <c r="G139" s="1">
        <v>37043</v>
      </c>
      <c r="H139">
        <v>325.47999999999996</v>
      </c>
      <c r="I139">
        <v>1.0422652419742167</v>
      </c>
      <c r="J139" s="2">
        <v>312.28135304933409</v>
      </c>
    </row>
    <row r="140" spans="1:10" x14ac:dyDescent="0.25">
      <c r="A140" s="1">
        <v>42339</v>
      </c>
      <c r="B140">
        <v>225.375</v>
      </c>
      <c r="C140">
        <v>1.0657517440118693</v>
      </c>
      <c r="D140" s="2">
        <v>211.47044916070996</v>
      </c>
      <c r="G140" s="1">
        <v>37073</v>
      </c>
      <c r="H140">
        <v>311.92499999999995</v>
      </c>
      <c r="I140">
        <v>1.0435967302452316</v>
      </c>
      <c r="J140" s="2">
        <v>298.89419060052217</v>
      </c>
    </row>
    <row r="141" spans="1:10" x14ac:dyDescent="0.25">
      <c r="A141" s="1">
        <v>42370</v>
      </c>
      <c r="B141">
        <v>222.69999999999996</v>
      </c>
      <c r="C141">
        <v>1.0657517440118693</v>
      </c>
      <c r="D141" s="2">
        <v>208.96048376301763</v>
      </c>
      <c r="G141" s="1">
        <v>37104</v>
      </c>
      <c r="H141">
        <v>304.89999999999998</v>
      </c>
      <c r="I141">
        <v>1.0449282185162465</v>
      </c>
      <c r="J141" s="2">
        <v>291.79037813041833</v>
      </c>
    </row>
    <row r="142" spans="1:10" x14ac:dyDescent="0.25">
      <c r="A142" s="1">
        <v>42401</v>
      </c>
      <c r="B142">
        <v>217.375</v>
      </c>
      <c r="C142">
        <v>1.0657517440118693</v>
      </c>
      <c r="D142" s="2">
        <v>203.9640105881723</v>
      </c>
      <c r="G142" s="1">
        <v>37135</v>
      </c>
      <c r="H142">
        <v>296.3</v>
      </c>
      <c r="I142">
        <v>1.0462597067872614</v>
      </c>
      <c r="J142" s="2">
        <v>283.19928415273228</v>
      </c>
    </row>
    <row r="143" spans="1:10" x14ac:dyDescent="0.25">
      <c r="A143" s="1">
        <v>42430</v>
      </c>
      <c r="B143">
        <v>226.15</v>
      </c>
      <c r="C143">
        <v>1.0657517440118693</v>
      </c>
      <c r="D143" s="2">
        <v>212.19763539742456</v>
      </c>
      <c r="G143" s="1">
        <v>37165</v>
      </c>
      <c r="H143">
        <v>272.02499999999998</v>
      </c>
      <c r="I143">
        <v>1.0475911950582764</v>
      </c>
      <c r="J143" s="2">
        <v>259.66713092206498</v>
      </c>
    </row>
    <row r="144" spans="1:10" x14ac:dyDescent="0.25">
      <c r="A144" s="1">
        <v>42461</v>
      </c>
      <c r="B144">
        <v>235.1</v>
      </c>
      <c r="C144">
        <v>1.0657517440118693</v>
      </c>
      <c r="D144" s="2">
        <v>220.59546355045109</v>
      </c>
      <c r="G144" s="1">
        <v>37196</v>
      </c>
      <c r="H144">
        <v>315</v>
      </c>
      <c r="I144">
        <v>1.0489226833292913</v>
      </c>
      <c r="J144" s="2">
        <v>300.308120899995</v>
      </c>
    </row>
    <row r="145" spans="1:10" x14ac:dyDescent="0.25">
      <c r="A145" s="1">
        <v>42491</v>
      </c>
      <c r="B145">
        <v>229.60000000000002</v>
      </c>
      <c r="C145">
        <v>1.0657517440118693</v>
      </c>
      <c r="D145" s="2">
        <v>215.43478703183146</v>
      </c>
      <c r="G145" s="1">
        <v>37226</v>
      </c>
      <c r="H145">
        <v>315</v>
      </c>
      <c r="I145">
        <v>1.0502541716003062</v>
      </c>
      <c r="J145" s="2">
        <v>299.92739711761806</v>
      </c>
    </row>
    <row r="146" spans="1:10" x14ac:dyDescent="0.25">
      <c r="A146" s="1">
        <v>42522</v>
      </c>
      <c r="B146">
        <v>239.79999999999998</v>
      </c>
      <c r="C146">
        <v>1.0657517440118693</v>
      </c>
      <c r="D146" s="2">
        <f>B146/C146</f>
        <v>225.00549621181696</v>
      </c>
      <c r="G146" s="1">
        <v>37257</v>
      </c>
      <c r="H146">
        <v>356.2</v>
      </c>
      <c r="I146">
        <v>1.0515856598713211</v>
      </c>
      <c r="J146" s="2">
        <v>338.72656654864136</v>
      </c>
    </row>
    <row r="147" spans="1:10" x14ac:dyDescent="0.25">
      <c r="G147" s="1">
        <v>37288</v>
      </c>
      <c r="H147">
        <v>315.32499999999999</v>
      </c>
      <c r="I147">
        <v>1.0486908617106769</v>
      </c>
      <c r="J147" s="2">
        <v>300.6844166503235</v>
      </c>
    </row>
    <row r="148" spans="1:10" x14ac:dyDescent="0.25">
      <c r="G148" s="1">
        <v>37316</v>
      </c>
      <c r="H148">
        <v>328.23999999999995</v>
      </c>
      <c r="I148">
        <v>1.0457960635500332</v>
      </c>
      <c r="J148" s="2">
        <v>313.86616515438453</v>
      </c>
    </row>
    <row r="149" spans="1:10" x14ac:dyDescent="0.25">
      <c r="G149" s="1">
        <v>37347</v>
      </c>
      <c r="H149">
        <v>347.52499999999998</v>
      </c>
      <c r="I149">
        <v>1.042901265389389</v>
      </c>
      <c r="J149" s="2">
        <v>333.22905200450037</v>
      </c>
    </row>
    <row r="150" spans="1:10" x14ac:dyDescent="0.25">
      <c r="G150" s="1">
        <v>37377</v>
      </c>
      <c r="H150">
        <v>369.15999999999997</v>
      </c>
      <c r="I150">
        <v>1.0400064672287448</v>
      </c>
      <c r="J150" s="2">
        <v>354.95933115077918</v>
      </c>
    </row>
    <row r="151" spans="1:10" x14ac:dyDescent="0.25">
      <c r="G151" s="1">
        <v>37408</v>
      </c>
      <c r="H151">
        <v>373.17499999999995</v>
      </c>
      <c r="I151">
        <v>1.037111669068101</v>
      </c>
      <c r="J151" s="2">
        <v>359.82142630341548</v>
      </c>
    </row>
    <row r="152" spans="1:10" x14ac:dyDescent="0.25">
      <c r="G152" s="1">
        <v>37438</v>
      </c>
      <c r="H152">
        <v>374.25</v>
      </c>
      <c r="I152">
        <v>1.0342168709074568</v>
      </c>
      <c r="J152" s="2">
        <v>361.86800904883751</v>
      </c>
    </row>
    <row r="153" spans="1:10" x14ac:dyDescent="0.25">
      <c r="G153" s="1">
        <v>37469</v>
      </c>
      <c r="H153">
        <v>360.6</v>
      </c>
      <c r="I153">
        <v>1.0313220727468126</v>
      </c>
      <c r="J153" s="2">
        <v>349.6482907997709</v>
      </c>
    </row>
    <row r="154" spans="1:10" x14ac:dyDescent="0.25">
      <c r="G154" s="1">
        <v>37500</v>
      </c>
      <c r="H154">
        <v>369.52499999999998</v>
      </c>
      <c r="I154">
        <v>1.0284272745861687</v>
      </c>
      <c r="J154" s="2">
        <v>359.31077396668036</v>
      </c>
    </row>
    <row r="155" spans="1:10" x14ac:dyDescent="0.25">
      <c r="G155" s="1">
        <v>37530</v>
      </c>
      <c r="H155">
        <v>348.625</v>
      </c>
      <c r="I155">
        <v>1.0255324764255247</v>
      </c>
      <c r="J155" s="2">
        <v>339.94535328137658</v>
      </c>
    </row>
    <row r="156" spans="1:10" x14ac:dyDescent="0.25">
      <c r="G156" s="1">
        <v>37561</v>
      </c>
      <c r="H156">
        <v>356.91999999999996</v>
      </c>
      <c r="I156">
        <v>1.0226376782648805</v>
      </c>
      <c r="J156" s="2">
        <v>349.01901972318257</v>
      </c>
    </row>
    <row r="157" spans="1:10" x14ac:dyDescent="0.25">
      <c r="G157" s="1">
        <v>37591</v>
      </c>
      <c r="H157">
        <v>357.625</v>
      </c>
      <c r="I157">
        <v>1.0197428801042365</v>
      </c>
      <c r="J157" s="2">
        <v>350.70114925778557</v>
      </c>
    </row>
    <row r="158" spans="1:10" x14ac:dyDescent="0.25">
      <c r="G158" s="1">
        <v>37622</v>
      </c>
      <c r="H158">
        <v>365.21999999999997</v>
      </c>
      <c r="I158">
        <v>1.0168480819435926</v>
      </c>
      <c r="J158" s="2">
        <v>359.16869637195202</v>
      </c>
    </row>
    <row r="159" spans="1:10" x14ac:dyDescent="0.25">
      <c r="G159" s="1">
        <v>37653</v>
      </c>
      <c r="H159">
        <v>329.45000000000005</v>
      </c>
      <c r="I159">
        <v>1.0177706131027957</v>
      </c>
      <c r="J159" s="2">
        <v>323.69769352608074</v>
      </c>
    </row>
    <row r="160" spans="1:10" x14ac:dyDescent="0.25">
      <c r="G160" s="1">
        <v>37681</v>
      </c>
      <c r="H160">
        <v>360.17500000000001</v>
      </c>
      <c r="I160">
        <v>1.0186931442619989</v>
      </c>
      <c r="J160" s="2">
        <v>353.56574453137398</v>
      </c>
    </row>
    <row r="161" spans="7:10" x14ac:dyDescent="0.25">
      <c r="G161" s="1">
        <v>37712</v>
      </c>
      <c r="H161">
        <v>373.20000000000005</v>
      </c>
      <c r="I161">
        <v>1.019615675421202</v>
      </c>
      <c r="J161" s="2">
        <v>366.02026527871061</v>
      </c>
    </row>
    <row r="162" spans="7:10" x14ac:dyDescent="0.25">
      <c r="G162" s="1">
        <v>37742</v>
      </c>
      <c r="H162">
        <v>416.64</v>
      </c>
      <c r="I162">
        <v>1.0205382065804054</v>
      </c>
      <c r="J162" s="2">
        <v>408.25517096127851</v>
      </c>
    </row>
    <row r="163" spans="7:10" x14ac:dyDescent="0.25">
      <c r="G163" s="1">
        <v>37773</v>
      </c>
      <c r="H163">
        <v>421.9</v>
      </c>
      <c r="I163">
        <v>1.0214607377396083</v>
      </c>
      <c r="J163" s="2">
        <v>413.03594393028067</v>
      </c>
    </row>
    <row r="164" spans="7:10" x14ac:dyDescent="0.25">
      <c r="G164" s="1">
        <v>37803</v>
      </c>
      <c r="H164">
        <v>432.65</v>
      </c>
      <c r="I164">
        <v>1.0223832688988117</v>
      </c>
      <c r="J164" s="2">
        <v>423.1778953757709</v>
      </c>
    </row>
    <row r="165" spans="7:10" x14ac:dyDescent="0.25">
      <c r="G165" s="1">
        <v>37834</v>
      </c>
      <c r="H165">
        <v>405.41999999999996</v>
      </c>
      <c r="I165">
        <v>1.0233058000580149</v>
      </c>
      <c r="J165" s="2">
        <v>396.18655535521765</v>
      </c>
    </row>
    <row r="166" spans="7:10" x14ac:dyDescent="0.25">
      <c r="G166" s="1">
        <v>37865</v>
      </c>
      <c r="H166">
        <v>410.27500000000003</v>
      </c>
      <c r="I166">
        <v>1.024228331217218</v>
      </c>
      <c r="J166" s="2">
        <v>400.56986073839528</v>
      </c>
    </row>
    <row r="167" spans="7:10" x14ac:dyDescent="0.25">
      <c r="G167" s="1">
        <v>37895</v>
      </c>
      <c r="H167">
        <v>390.88</v>
      </c>
      <c r="I167">
        <v>1.0251508623764212</v>
      </c>
      <c r="J167" s="2">
        <v>381.29022209852491</v>
      </c>
    </row>
    <row r="168" spans="7:10" x14ac:dyDescent="0.25">
      <c r="G168" s="1">
        <v>37926</v>
      </c>
      <c r="H168">
        <v>425.74999999999994</v>
      </c>
      <c r="I168">
        <v>1.0260733935356245</v>
      </c>
      <c r="J168" s="2">
        <v>414.93133208820331</v>
      </c>
    </row>
    <row r="169" spans="7:10" x14ac:dyDescent="0.25">
      <c r="G169" s="1">
        <v>37956</v>
      </c>
      <c r="H169">
        <v>409.67499999999995</v>
      </c>
      <c r="I169">
        <v>1.0269959246948275</v>
      </c>
      <c r="J169" s="2">
        <v>398.90615936157212</v>
      </c>
    </row>
    <row r="170" spans="7:10" x14ac:dyDescent="0.25">
      <c r="G170" s="1">
        <v>37987</v>
      </c>
      <c r="H170">
        <v>448.88</v>
      </c>
      <c r="I170">
        <v>1.0279184558540309</v>
      </c>
      <c r="J170" s="2">
        <v>436.68833597024451</v>
      </c>
    </row>
    <row r="171" spans="7:10" x14ac:dyDescent="0.25">
      <c r="G171" s="1">
        <v>38018</v>
      </c>
      <c r="H171">
        <v>415.54999999999995</v>
      </c>
      <c r="I171">
        <v>1.0297266644792216</v>
      </c>
      <c r="J171" s="2">
        <v>403.55369471777448</v>
      </c>
    </row>
    <row r="172" spans="7:10" x14ac:dyDescent="0.25">
      <c r="G172" s="1">
        <v>38047</v>
      </c>
      <c r="H172">
        <v>443.42500000000001</v>
      </c>
      <c r="I172">
        <v>1.0315348731044125</v>
      </c>
      <c r="J172" s="2">
        <v>429.86913148705185</v>
      </c>
    </row>
    <row r="173" spans="7:10" x14ac:dyDescent="0.25">
      <c r="G173" s="1">
        <v>38078</v>
      </c>
      <c r="H173">
        <v>457.96000000000004</v>
      </c>
      <c r="I173">
        <v>1.0333430817296032</v>
      </c>
      <c r="J173" s="2">
        <v>443.182915816758</v>
      </c>
    </row>
    <row r="174" spans="7:10" x14ac:dyDescent="0.25">
      <c r="G174" s="1">
        <v>38108</v>
      </c>
      <c r="H174">
        <v>464.52499999999998</v>
      </c>
      <c r="I174">
        <v>1.0351512903547941</v>
      </c>
      <c r="J174" s="2">
        <v>448.75082930224221</v>
      </c>
    </row>
    <row r="175" spans="7:10" x14ac:dyDescent="0.25">
      <c r="G175" s="1">
        <v>38139</v>
      </c>
      <c r="H175">
        <v>442.9</v>
      </c>
      <c r="I175">
        <v>1.0369594989799849</v>
      </c>
      <c r="J175" s="2">
        <v>427.11407768159006</v>
      </c>
    </row>
    <row r="176" spans="7:10" x14ac:dyDescent="0.25">
      <c r="G176" s="1">
        <v>38169</v>
      </c>
      <c r="H176">
        <v>461.36</v>
      </c>
      <c r="I176">
        <v>1.0387677076051758</v>
      </c>
      <c r="J176" s="2">
        <v>444.14164651271381</v>
      </c>
    </row>
    <row r="177" spans="7:10" x14ac:dyDescent="0.25">
      <c r="G177" s="1">
        <v>38200</v>
      </c>
      <c r="H177">
        <v>448.47500000000002</v>
      </c>
      <c r="I177">
        <v>1.0405759162303665</v>
      </c>
      <c r="J177" s="2">
        <v>430.98729559748432</v>
      </c>
    </row>
    <row r="178" spans="7:10" x14ac:dyDescent="0.25">
      <c r="G178" s="1">
        <v>38231</v>
      </c>
      <c r="H178">
        <v>464.35</v>
      </c>
      <c r="I178">
        <v>1.0423841248555572</v>
      </c>
      <c r="J178" s="2">
        <v>445.4691787102426</v>
      </c>
    </row>
    <row r="179" spans="7:10" x14ac:dyDescent="0.25">
      <c r="G179" s="1">
        <v>38261</v>
      </c>
      <c r="H179">
        <v>458.82</v>
      </c>
      <c r="I179">
        <v>1.0441923334807481</v>
      </c>
      <c r="J179" s="2">
        <v>439.40180873628231</v>
      </c>
    </row>
    <row r="180" spans="7:10" x14ac:dyDescent="0.25">
      <c r="G180" s="1">
        <v>38292</v>
      </c>
      <c r="H180">
        <v>471.72499999999997</v>
      </c>
      <c r="I180">
        <v>1.0460005421059388</v>
      </c>
      <c r="J180" s="2">
        <v>450.9796897908526</v>
      </c>
    </row>
    <row r="181" spans="7:10" x14ac:dyDescent="0.25">
      <c r="G181" s="1">
        <v>38322</v>
      </c>
      <c r="H181">
        <v>470.4</v>
      </c>
      <c r="I181">
        <v>1.0478087507311298</v>
      </c>
      <c r="J181" s="2">
        <v>448.93688821721412</v>
      </c>
    </row>
    <row r="182" spans="7:10" x14ac:dyDescent="0.25">
      <c r="G182" s="1">
        <v>38353</v>
      </c>
      <c r="H182">
        <v>430.125</v>
      </c>
      <c r="I182">
        <v>1.0496169593563205</v>
      </c>
      <c r="J182" s="2">
        <v>409.7923496432212</v>
      </c>
    </row>
    <row r="183" spans="7:10" x14ac:dyDescent="0.25">
      <c r="G183" s="1">
        <v>38384</v>
      </c>
      <c r="H183">
        <v>431.42500000000001</v>
      </c>
      <c r="I183">
        <v>1.0507796339358317</v>
      </c>
      <c r="J183" s="2">
        <v>410.57609613543951</v>
      </c>
    </row>
    <row r="184" spans="7:10" x14ac:dyDescent="0.25">
      <c r="G184" s="1">
        <v>38412</v>
      </c>
      <c r="H184">
        <v>457.95000000000005</v>
      </c>
      <c r="I184">
        <v>1.051942308515343</v>
      </c>
      <c r="J184" s="2">
        <v>435.33756204399367</v>
      </c>
    </row>
    <row r="185" spans="7:10" x14ac:dyDescent="0.25">
      <c r="G185" s="1">
        <v>38443</v>
      </c>
      <c r="H185">
        <v>470.34</v>
      </c>
      <c r="I185">
        <v>1.0531049830948542</v>
      </c>
      <c r="J185" s="2">
        <v>446.62213886574688</v>
      </c>
    </row>
    <row r="186" spans="7:10" x14ac:dyDescent="0.25">
      <c r="G186" s="1">
        <v>38473</v>
      </c>
      <c r="H186">
        <v>485.125</v>
      </c>
      <c r="I186">
        <v>1.0542676576743655</v>
      </c>
      <c r="J186" s="2">
        <v>460.15354494526463</v>
      </c>
    </row>
    <row r="187" spans="7:10" x14ac:dyDescent="0.25">
      <c r="G187" s="1">
        <v>38504</v>
      </c>
      <c r="H187">
        <v>491.35</v>
      </c>
      <c r="I187">
        <v>1.0554303322538767</v>
      </c>
      <c r="J187" s="2">
        <v>465.54470246342044</v>
      </c>
    </row>
    <row r="188" spans="7:10" x14ac:dyDescent="0.25">
      <c r="G188" s="1">
        <v>38534</v>
      </c>
      <c r="H188">
        <v>495.62</v>
      </c>
      <c r="I188">
        <v>1.056593006833388</v>
      </c>
      <c r="J188" s="2">
        <v>469.07370841434437</v>
      </c>
    </row>
    <row r="189" spans="7:10" x14ac:dyDescent="0.25">
      <c r="G189" s="1">
        <v>38565</v>
      </c>
      <c r="H189">
        <v>489.27499999999998</v>
      </c>
      <c r="I189">
        <v>1.0577556814128992</v>
      </c>
      <c r="J189" s="2">
        <v>462.55955755912362</v>
      </c>
    </row>
    <row r="190" spans="7:10" x14ac:dyDescent="0.25">
      <c r="G190" s="1">
        <v>38596</v>
      </c>
      <c r="H190">
        <v>493.94000000000005</v>
      </c>
      <c r="I190">
        <v>1.0589183559924105</v>
      </c>
      <c r="J190" s="2">
        <v>466.45711371872778</v>
      </c>
    </row>
    <row r="191" spans="7:10" x14ac:dyDescent="0.25">
      <c r="G191" s="1">
        <v>38626</v>
      </c>
      <c r="H191">
        <v>469.35</v>
      </c>
      <c r="I191">
        <v>1.0600810305719217</v>
      </c>
      <c r="J191" s="2">
        <v>442.74917337855027</v>
      </c>
    </row>
    <row r="192" spans="7:10" x14ac:dyDescent="0.25">
      <c r="G192" s="1">
        <v>38657</v>
      </c>
      <c r="H192">
        <v>473.02499999999998</v>
      </c>
      <c r="I192">
        <v>1.061243705151433</v>
      </c>
      <c r="J192" s="2">
        <v>445.72702547385404</v>
      </c>
    </row>
    <row r="193" spans="7:10" x14ac:dyDescent="0.25">
      <c r="G193" s="1">
        <v>38687</v>
      </c>
      <c r="H193">
        <v>455.46000000000004</v>
      </c>
      <c r="I193">
        <v>1.0624063797309442</v>
      </c>
      <c r="J193" s="2">
        <v>428.70600995011517</v>
      </c>
    </row>
    <row r="194" spans="7:10" x14ac:dyDescent="0.25">
      <c r="G194" s="1">
        <v>38718</v>
      </c>
      <c r="H194">
        <v>452.67500000000001</v>
      </c>
      <c r="I194">
        <v>1.0635690543104555</v>
      </c>
      <c r="J194" s="2">
        <v>425.61881446756001</v>
      </c>
    </row>
    <row r="195" spans="7:10" x14ac:dyDescent="0.25">
      <c r="G195" s="1">
        <v>38749</v>
      </c>
      <c r="H195">
        <v>406.57499999999999</v>
      </c>
      <c r="I195">
        <v>1.0645522157391425</v>
      </c>
      <c r="J195" s="2">
        <v>381.9211439221944</v>
      </c>
    </row>
    <row r="196" spans="7:10" x14ac:dyDescent="0.25">
      <c r="G196" s="1">
        <v>38777</v>
      </c>
      <c r="H196">
        <v>407.58</v>
      </c>
      <c r="I196">
        <v>1.0655353771678293</v>
      </c>
      <c r="J196" s="2">
        <v>382.5119360028562</v>
      </c>
    </row>
    <row r="197" spans="7:10" x14ac:dyDescent="0.25">
      <c r="G197" s="1">
        <v>38808</v>
      </c>
      <c r="H197">
        <v>411.95</v>
      </c>
      <c r="I197">
        <v>1.0665185385965164</v>
      </c>
      <c r="J197" s="2">
        <v>386.25676450228895</v>
      </c>
    </row>
    <row r="198" spans="7:10" x14ac:dyDescent="0.25">
      <c r="G198" s="1">
        <v>38838</v>
      </c>
      <c r="H198">
        <v>408.77499999999998</v>
      </c>
      <c r="I198">
        <v>1.0675017000252032</v>
      </c>
      <c r="J198" s="2">
        <v>382.92679064618727</v>
      </c>
    </row>
    <row r="199" spans="7:10" x14ac:dyDescent="0.25">
      <c r="G199" s="1">
        <v>38869</v>
      </c>
      <c r="H199">
        <v>405.64</v>
      </c>
      <c r="I199">
        <v>1.06848486145389</v>
      </c>
      <c r="J199" s="2">
        <v>379.64038109818853</v>
      </c>
    </row>
    <row r="200" spans="7:10" x14ac:dyDescent="0.25">
      <c r="G200" s="1">
        <v>38899</v>
      </c>
      <c r="H200">
        <v>397.17500000000001</v>
      </c>
      <c r="I200">
        <v>1.069468022882577</v>
      </c>
      <c r="J200" s="2">
        <v>371.37622771504607</v>
      </c>
    </row>
    <row r="201" spans="7:10" x14ac:dyDescent="0.25">
      <c r="G201" s="1">
        <v>38930</v>
      </c>
      <c r="H201">
        <v>383.22500000000002</v>
      </c>
      <c r="I201">
        <v>1.0704511843112641</v>
      </c>
      <c r="J201" s="2">
        <v>358.00324724435683</v>
      </c>
    </row>
    <row r="202" spans="7:10" x14ac:dyDescent="0.25">
      <c r="G202" s="1">
        <v>38961</v>
      </c>
      <c r="H202">
        <v>395.65999999999997</v>
      </c>
      <c r="I202">
        <v>1.0714343457399507</v>
      </c>
      <c r="J202" s="2">
        <v>369.28067648116178</v>
      </c>
    </row>
    <row r="203" spans="7:10" x14ac:dyDescent="0.25">
      <c r="G203" s="1">
        <v>38991</v>
      </c>
      <c r="H203">
        <v>381.5</v>
      </c>
      <c r="I203">
        <v>1.0724175071686377</v>
      </c>
      <c r="J203" s="2">
        <v>355.73831781917107</v>
      </c>
    </row>
    <row r="204" spans="7:10" x14ac:dyDescent="0.25">
      <c r="G204" s="1">
        <v>39022</v>
      </c>
      <c r="H204">
        <v>405.8</v>
      </c>
      <c r="I204">
        <v>1.0734006685973247</v>
      </c>
      <c r="J204" s="2">
        <v>378.05081725007915</v>
      </c>
    </row>
    <row r="205" spans="7:10" x14ac:dyDescent="0.25">
      <c r="G205" s="1">
        <v>39052</v>
      </c>
      <c r="H205">
        <v>424.8</v>
      </c>
      <c r="I205">
        <v>1.0743838300260116</v>
      </c>
      <c r="J205" s="2">
        <v>395.38942054788305</v>
      </c>
    </row>
    <row r="206" spans="7:10" x14ac:dyDescent="0.25">
      <c r="G206" s="1">
        <v>39083</v>
      </c>
      <c r="H206">
        <v>430.8</v>
      </c>
      <c r="I206">
        <v>1.0753669914546984</v>
      </c>
      <c r="J206" s="2">
        <v>400.60742371981962</v>
      </c>
    </row>
    <row r="207" spans="7:10" x14ac:dyDescent="0.25">
      <c r="G207" s="1">
        <v>39114</v>
      </c>
      <c r="H207">
        <v>397.02499999999998</v>
      </c>
      <c r="I207">
        <v>1.0751042602869356</v>
      </c>
      <c r="J207" s="2">
        <v>369.28976534242139</v>
      </c>
    </row>
    <row r="208" spans="7:10" x14ac:dyDescent="0.25">
      <c r="G208" s="1">
        <v>39142</v>
      </c>
      <c r="H208">
        <v>408.84000000000003</v>
      </c>
      <c r="I208">
        <v>1.0748415291191731</v>
      </c>
      <c r="J208" s="2">
        <v>380.37235157357776</v>
      </c>
    </row>
    <row r="209" spans="7:10" x14ac:dyDescent="0.25">
      <c r="G209" s="1">
        <v>39173</v>
      </c>
      <c r="H209">
        <v>412.15</v>
      </c>
      <c r="I209">
        <v>1.0745787979514101</v>
      </c>
      <c r="J209" s="2">
        <v>383.54562809700661</v>
      </c>
    </row>
    <row r="210" spans="7:10" x14ac:dyDescent="0.25">
      <c r="G210" s="1">
        <v>39203</v>
      </c>
      <c r="H210">
        <v>433.92500000000001</v>
      </c>
      <c r="I210">
        <v>1.0743160667836473</v>
      </c>
      <c r="J210" s="2">
        <v>403.90813599121816</v>
      </c>
    </row>
    <row r="211" spans="7:10" x14ac:dyDescent="0.25">
      <c r="G211" s="1">
        <v>39234</v>
      </c>
      <c r="H211">
        <v>443.08000000000004</v>
      </c>
      <c r="I211">
        <v>1.0740533356158848</v>
      </c>
      <c r="J211" s="2">
        <v>412.53072385453618</v>
      </c>
    </row>
    <row r="212" spans="7:10" x14ac:dyDescent="0.25">
      <c r="G212" s="1">
        <v>39264</v>
      </c>
      <c r="H212">
        <v>435.29999999999995</v>
      </c>
      <c r="I212">
        <v>1.0737906044481218</v>
      </c>
      <c r="J212" s="2">
        <v>405.38629989570808</v>
      </c>
    </row>
    <row r="213" spans="7:10" x14ac:dyDescent="0.25">
      <c r="G213" s="1">
        <v>39295</v>
      </c>
      <c r="H213">
        <v>440.71999999999997</v>
      </c>
      <c r="I213">
        <v>1.073527873280359</v>
      </c>
      <c r="J213" s="2">
        <v>410.534286970398</v>
      </c>
    </row>
    <row r="214" spans="7:10" x14ac:dyDescent="0.25">
      <c r="G214" s="1">
        <v>39326</v>
      </c>
      <c r="H214">
        <v>432.54999999999995</v>
      </c>
      <c r="I214">
        <v>1.0732651421125965</v>
      </c>
      <c r="J214" s="2">
        <v>403.0224993132415</v>
      </c>
    </row>
    <row r="215" spans="7:10" x14ac:dyDescent="0.25">
      <c r="G215" s="1">
        <v>39356</v>
      </c>
      <c r="H215">
        <v>419.52499999999998</v>
      </c>
      <c r="I215">
        <v>1.0730024109448335</v>
      </c>
      <c r="J215" s="2">
        <v>390.9823460979801</v>
      </c>
    </row>
    <row r="216" spans="7:10" x14ac:dyDescent="0.25">
      <c r="G216" s="1">
        <v>39387</v>
      </c>
      <c r="H216">
        <v>427.38</v>
      </c>
      <c r="I216">
        <v>1.0727396797770707</v>
      </c>
      <c r="J216" s="2">
        <v>398.40047688812547</v>
      </c>
    </row>
    <row r="217" spans="7:10" x14ac:dyDescent="0.25">
      <c r="G217" s="1">
        <v>39417</v>
      </c>
      <c r="H217">
        <v>412.375</v>
      </c>
      <c r="I217">
        <v>1.0724769486093082</v>
      </c>
      <c r="J217" s="2">
        <v>384.50709876303716</v>
      </c>
    </row>
    <row r="218" spans="7:10" x14ac:dyDescent="0.25">
      <c r="G218" s="1">
        <v>39448</v>
      </c>
      <c r="H218">
        <v>419.27499999999998</v>
      </c>
      <c r="I218">
        <v>1.0722142174415452</v>
      </c>
      <c r="J218" s="2">
        <v>391.03659807873976</v>
      </c>
    </row>
    <row r="219" spans="7:10" x14ac:dyDescent="0.25">
      <c r="G219" s="1">
        <v>39479</v>
      </c>
      <c r="H219">
        <v>377.62000000000006</v>
      </c>
      <c r="I219">
        <v>1.0726980707686016</v>
      </c>
      <c r="J219" s="2">
        <v>352.02822703822949</v>
      </c>
    </row>
    <row r="220" spans="7:10" x14ac:dyDescent="0.25">
      <c r="G220" s="1">
        <v>39508</v>
      </c>
      <c r="H220">
        <v>373.375</v>
      </c>
      <c r="I220">
        <v>1.0731819240956579</v>
      </c>
      <c r="J220" s="2">
        <v>347.91398514714388</v>
      </c>
    </row>
    <row r="221" spans="7:10" x14ac:dyDescent="0.25">
      <c r="G221" s="1">
        <v>39539</v>
      </c>
      <c r="H221">
        <v>365.92499999999995</v>
      </c>
      <c r="I221">
        <v>1.0736657774227143</v>
      </c>
      <c r="J221" s="2">
        <v>340.81835119899807</v>
      </c>
    </row>
    <row r="222" spans="7:10" x14ac:dyDescent="0.25">
      <c r="G222" s="1">
        <v>39569</v>
      </c>
      <c r="H222">
        <v>359.71999999999997</v>
      </c>
      <c r="I222">
        <v>1.0741496307497707</v>
      </c>
      <c r="J222" s="2">
        <v>334.88816613837184</v>
      </c>
    </row>
    <row r="223" spans="7:10" x14ac:dyDescent="0.25">
      <c r="G223" s="1">
        <v>39600</v>
      </c>
      <c r="H223">
        <v>353.15</v>
      </c>
      <c r="I223">
        <v>1.0746334840768268</v>
      </c>
      <c r="J223" s="2">
        <v>328.62367051904823</v>
      </c>
    </row>
    <row r="224" spans="7:10" x14ac:dyDescent="0.25">
      <c r="G224" s="1">
        <v>39630</v>
      </c>
      <c r="H224">
        <v>342.65</v>
      </c>
      <c r="I224">
        <v>1.0751173374038832</v>
      </c>
      <c r="J224" s="2">
        <v>318.70939857356109</v>
      </c>
    </row>
    <row r="225" spans="7:10" x14ac:dyDescent="0.25">
      <c r="G225" s="1">
        <v>39661</v>
      </c>
      <c r="H225">
        <v>321.86</v>
      </c>
      <c r="I225">
        <v>1.0756011907309395</v>
      </c>
      <c r="J225" s="2">
        <v>299.23730354117185</v>
      </c>
    </row>
    <row r="226" spans="7:10" x14ac:dyDescent="0.25">
      <c r="G226" s="1">
        <v>39692</v>
      </c>
      <c r="H226">
        <v>349.72499999999997</v>
      </c>
      <c r="I226">
        <v>1.0760850440579957</v>
      </c>
      <c r="J226" s="2">
        <v>324.99754729529678</v>
      </c>
    </row>
    <row r="227" spans="7:10" x14ac:dyDescent="0.25">
      <c r="G227" s="1">
        <v>39722</v>
      </c>
      <c r="H227">
        <v>294.26000000000005</v>
      </c>
      <c r="I227">
        <v>1.0765688973850522</v>
      </c>
      <c r="J227" s="2">
        <v>273.3313220498448</v>
      </c>
    </row>
    <row r="228" spans="7:10" x14ac:dyDescent="0.25">
      <c r="G228" s="1">
        <v>39753</v>
      </c>
      <c r="H228">
        <v>288.89999999999998</v>
      </c>
      <c r="I228">
        <v>1.0770527507121086</v>
      </c>
      <c r="J228" s="2">
        <v>268.23198753170601</v>
      </c>
    </row>
    <row r="229" spans="7:10" x14ac:dyDescent="0.25">
      <c r="G229" s="1">
        <v>39783</v>
      </c>
      <c r="H229">
        <v>305.77499999999998</v>
      </c>
      <c r="I229">
        <v>1.0775366040391647</v>
      </c>
      <c r="J229" s="2">
        <v>283.77226244917995</v>
      </c>
    </row>
    <row r="230" spans="7:10" x14ac:dyDescent="0.25">
      <c r="G230" s="1">
        <v>39814</v>
      </c>
      <c r="H230">
        <v>299.76000000000005</v>
      </c>
      <c r="I230">
        <v>1.0780204573662211</v>
      </c>
      <c r="J230" s="2">
        <v>278.06522404255884</v>
      </c>
    </row>
    <row r="231" spans="7:10" x14ac:dyDescent="0.25">
      <c r="G231" s="1">
        <v>39845</v>
      </c>
      <c r="H231">
        <v>245.02500000000001</v>
      </c>
      <c r="I231">
        <v>1.0773642238612209</v>
      </c>
      <c r="J231" s="2">
        <v>227.43005064883474</v>
      </c>
    </row>
    <row r="232" spans="7:10" x14ac:dyDescent="0.25">
      <c r="G232" s="1">
        <v>39873</v>
      </c>
      <c r="H232">
        <v>261.55</v>
      </c>
      <c r="I232">
        <v>1.0767079903562207</v>
      </c>
      <c r="J232" s="2">
        <v>242.91637318811777</v>
      </c>
    </row>
    <row r="233" spans="7:10" x14ac:dyDescent="0.25">
      <c r="G233" s="1">
        <v>39904</v>
      </c>
      <c r="H233">
        <v>266.59999999999997</v>
      </c>
      <c r="I233">
        <v>1.0760517568512205</v>
      </c>
      <c r="J233" s="2">
        <v>247.75759929999467</v>
      </c>
    </row>
    <row r="234" spans="7:10" x14ac:dyDescent="0.25">
      <c r="G234" s="1">
        <v>39934</v>
      </c>
      <c r="H234">
        <v>261.65999999999997</v>
      </c>
      <c r="I234">
        <v>1.0753955233462202</v>
      </c>
      <c r="J234" s="2">
        <v>243.31512854527602</v>
      </c>
    </row>
    <row r="235" spans="7:10" x14ac:dyDescent="0.25">
      <c r="G235" s="1">
        <v>39965</v>
      </c>
      <c r="H235">
        <v>269.97500000000002</v>
      </c>
      <c r="I235">
        <v>1.07473928984122</v>
      </c>
      <c r="J235" s="2">
        <v>251.20045628915793</v>
      </c>
    </row>
    <row r="236" spans="7:10" x14ac:dyDescent="0.25">
      <c r="G236" s="1">
        <v>39995</v>
      </c>
      <c r="H236">
        <v>266.58000000000004</v>
      </c>
      <c r="I236">
        <v>1.0740830563362198</v>
      </c>
      <c r="J236" s="2">
        <v>248.19309682560768</v>
      </c>
    </row>
    <row r="237" spans="7:10" x14ac:dyDescent="0.25">
      <c r="G237" s="1">
        <v>40026</v>
      </c>
      <c r="H237">
        <v>275.72500000000002</v>
      </c>
      <c r="I237">
        <v>1.0734268228312196</v>
      </c>
      <c r="J237" s="2">
        <v>256.8642725665834</v>
      </c>
    </row>
    <row r="238" spans="7:10" x14ac:dyDescent="0.25">
      <c r="G238" s="1">
        <v>40057</v>
      </c>
      <c r="H238">
        <v>283.92499999999995</v>
      </c>
      <c r="I238">
        <v>1.0727705893262194</v>
      </c>
      <c r="J238" s="2">
        <v>264.66516031011457</v>
      </c>
    </row>
    <row r="239" spans="7:10" x14ac:dyDescent="0.25">
      <c r="G239" s="1">
        <v>40087</v>
      </c>
      <c r="H239">
        <v>274.2</v>
      </c>
      <c r="I239">
        <v>1.0721143558212192</v>
      </c>
      <c r="J239" s="2">
        <v>255.75629923355334</v>
      </c>
    </row>
    <row r="240" spans="7:10" x14ac:dyDescent="0.25">
      <c r="G240" s="1">
        <v>40118</v>
      </c>
      <c r="H240">
        <v>219.97500000000002</v>
      </c>
      <c r="I240">
        <v>1.071458122316219</v>
      </c>
      <c r="J240" s="2">
        <v>205.30433753628208</v>
      </c>
    </row>
    <row r="241" spans="7:10" x14ac:dyDescent="0.25">
      <c r="G241" s="1">
        <v>40148</v>
      </c>
      <c r="H241">
        <v>225.17500000000001</v>
      </c>
      <c r="I241">
        <v>1.0708018888112187</v>
      </c>
      <c r="J241" s="2">
        <v>210.28633060218493</v>
      </c>
    </row>
    <row r="242" spans="7:10" x14ac:dyDescent="0.25">
      <c r="G242" s="1">
        <v>40179</v>
      </c>
      <c r="H242">
        <v>220.44</v>
      </c>
      <c r="I242">
        <v>1.0701456553062185</v>
      </c>
      <c r="J242" s="2">
        <v>205.99065081184844</v>
      </c>
    </row>
    <row r="243" spans="7:10" x14ac:dyDescent="0.25">
      <c r="G243" s="1">
        <v>40210</v>
      </c>
      <c r="H243">
        <v>211.2</v>
      </c>
      <c r="I243">
        <v>1.069880546480829</v>
      </c>
      <c r="J243" s="2">
        <v>197.4052156520676</v>
      </c>
    </row>
    <row r="244" spans="7:10" x14ac:dyDescent="0.25">
      <c r="G244" s="1">
        <v>40238</v>
      </c>
      <c r="H244">
        <v>229.7</v>
      </c>
      <c r="I244">
        <v>1.0696154376554392</v>
      </c>
      <c r="J244" s="2">
        <v>214.75007924670066</v>
      </c>
    </row>
    <row r="245" spans="7:10" x14ac:dyDescent="0.25">
      <c r="G245" s="1">
        <v>40269</v>
      </c>
      <c r="H245">
        <v>250.18</v>
      </c>
      <c r="I245">
        <v>1.0693503288300499</v>
      </c>
      <c r="J245" s="2">
        <v>233.95513449153361</v>
      </c>
    </row>
    <row r="246" spans="7:10" x14ac:dyDescent="0.25">
      <c r="G246" s="1">
        <v>40299</v>
      </c>
      <c r="H246">
        <v>204.85000000000002</v>
      </c>
      <c r="I246">
        <v>1.0690852200046603</v>
      </c>
      <c r="J246" s="2">
        <v>191.61241420876348</v>
      </c>
    </row>
    <row r="247" spans="7:10" x14ac:dyDescent="0.25">
      <c r="G247" s="1">
        <v>40330</v>
      </c>
      <c r="H247">
        <v>174.45000000000002</v>
      </c>
      <c r="I247">
        <v>1.0688201111792706</v>
      </c>
      <c r="J247" s="2">
        <v>163.21736293633415</v>
      </c>
    </row>
    <row r="248" spans="7:10" x14ac:dyDescent="0.25">
      <c r="G248" s="1">
        <v>40360</v>
      </c>
      <c r="H248">
        <v>169.59999999999997</v>
      </c>
      <c r="I248">
        <v>1.068555002353881</v>
      </c>
      <c r="J248" s="2">
        <v>158.71901738927269</v>
      </c>
    </row>
    <row r="249" spans="7:10" x14ac:dyDescent="0.25">
      <c r="G249" s="1">
        <v>40391</v>
      </c>
      <c r="H249">
        <v>172.22499999999999</v>
      </c>
      <c r="I249">
        <v>1.0682898935284915</v>
      </c>
      <c r="J249" s="2">
        <v>161.21560359534257</v>
      </c>
    </row>
    <row r="250" spans="7:10" x14ac:dyDescent="0.25">
      <c r="G250" s="1">
        <v>40422</v>
      </c>
      <c r="H250">
        <v>181.89999999999998</v>
      </c>
      <c r="I250">
        <v>1.0680247847031019</v>
      </c>
      <c r="J250" s="2">
        <v>170.314399633119</v>
      </c>
    </row>
    <row r="251" spans="7:10" x14ac:dyDescent="0.25">
      <c r="G251" s="1">
        <v>40452</v>
      </c>
      <c r="H251">
        <v>181.1</v>
      </c>
      <c r="I251">
        <v>1.0677596758777124</v>
      </c>
      <c r="J251" s="2">
        <v>169.60745389746381</v>
      </c>
    </row>
    <row r="252" spans="7:10" x14ac:dyDescent="0.25">
      <c r="G252" s="1">
        <v>40483</v>
      </c>
      <c r="H252">
        <v>195.02499999999998</v>
      </c>
      <c r="I252">
        <v>1.0674945670523228</v>
      </c>
      <c r="J252" s="2">
        <v>182.69413823671565</v>
      </c>
    </row>
    <row r="253" spans="7:10" x14ac:dyDescent="0.25">
      <c r="G253" s="1">
        <v>40513</v>
      </c>
      <c r="H253">
        <v>201.54000000000002</v>
      </c>
      <c r="I253">
        <v>1.067229458226933</v>
      </c>
      <c r="J253" s="2">
        <v>188.84411261926115</v>
      </c>
    </row>
    <row r="254" spans="7:10" x14ac:dyDescent="0.25">
      <c r="G254" s="1">
        <v>40544</v>
      </c>
      <c r="H254">
        <v>185.55</v>
      </c>
      <c r="I254">
        <v>1.0669643494015435</v>
      </c>
      <c r="J254" s="2">
        <v>173.90459213006915</v>
      </c>
    </row>
    <row r="255" spans="7:10" x14ac:dyDescent="0.25">
      <c r="G255" s="1">
        <v>40575</v>
      </c>
      <c r="H255">
        <v>179.52499999999998</v>
      </c>
      <c r="I255">
        <v>1.0673209980455654</v>
      </c>
      <c r="J255" s="2">
        <v>168.20150669642857</v>
      </c>
    </row>
    <row r="256" spans="7:10" x14ac:dyDescent="0.25">
      <c r="G256" s="1">
        <v>40603</v>
      </c>
      <c r="H256">
        <v>190.3</v>
      </c>
      <c r="I256">
        <v>1.0676776466895872</v>
      </c>
      <c r="J256" s="2">
        <v>178.23731778036105</v>
      </c>
    </row>
    <row r="257" spans="7:10" x14ac:dyDescent="0.25">
      <c r="G257" s="1">
        <v>40634</v>
      </c>
      <c r="H257">
        <v>193.7</v>
      </c>
      <c r="I257">
        <v>1.0680342953336091</v>
      </c>
      <c r="J257" s="2">
        <v>181.36121737504342</v>
      </c>
    </row>
    <row r="258" spans="7:10" x14ac:dyDescent="0.25">
      <c r="G258" s="1">
        <v>40664</v>
      </c>
      <c r="H258">
        <v>191.57499999999999</v>
      </c>
      <c r="I258">
        <v>1.0683909439776309</v>
      </c>
      <c r="J258" s="2">
        <v>179.31170334219067</v>
      </c>
    </row>
    <row r="259" spans="7:10" x14ac:dyDescent="0.25">
      <c r="G259" s="1">
        <v>40695</v>
      </c>
      <c r="H259">
        <v>185.02499999999998</v>
      </c>
      <c r="I259">
        <v>1.0687475926216528</v>
      </c>
      <c r="J259" s="2">
        <v>173.12319698061827</v>
      </c>
    </row>
    <row r="260" spans="7:10" x14ac:dyDescent="0.25">
      <c r="G260" s="1">
        <v>40725</v>
      </c>
      <c r="H260">
        <v>183.8</v>
      </c>
      <c r="I260">
        <v>1.0691042412656746</v>
      </c>
      <c r="J260" s="2">
        <v>171.91962477148692</v>
      </c>
    </row>
    <row r="261" spans="7:10" x14ac:dyDescent="0.25">
      <c r="G261" s="1">
        <v>40756</v>
      </c>
      <c r="H261">
        <v>167.22500000000002</v>
      </c>
      <c r="I261">
        <v>1.0694608899096965</v>
      </c>
      <c r="J261" s="2">
        <v>156.36382926926876</v>
      </c>
    </row>
    <row r="262" spans="7:10" x14ac:dyDescent="0.25">
      <c r="G262" s="1">
        <v>40787</v>
      </c>
      <c r="H262">
        <v>170.87599999999998</v>
      </c>
      <c r="I262">
        <v>1.0698175385537185</v>
      </c>
      <c r="J262" s="2">
        <v>159.72443322532033</v>
      </c>
    </row>
    <row r="263" spans="7:10" x14ac:dyDescent="0.25">
      <c r="G263" s="1">
        <v>40817</v>
      </c>
      <c r="H263">
        <v>171.25</v>
      </c>
      <c r="I263">
        <v>1.0701741871977404</v>
      </c>
      <c r="J263" s="2">
        <v>160.02067892182998</v>
      </c>
    </row>
    <row r="264" spans="7:10" x14ac:dyDescent="0.25">
      <c r="G264" s="1">
        <v>40848</v>
      </c>
      <c r="H264">
        <v>186.92750000000001</v>
      </c>
      <c r="I264">
        <v>1.0705308358417622</v>
      </c>
      <c r="J264" s="2">
        <v>174.61197168881012</v>
      </c>
    </row>
    <row r="265" spans="7:10" x14ac:dyDescent="0.25">
      <c r="G265" s="1">
        <v>40878</v>
      </c>
      <c r="H265">
        <v>185.166</v>
      </c>
      <c r="I265">
        <v>1.0708874844857841</v>
      </c>
      <c r="J265" s="2">
        <v>172.908921509072</v>
      </c>
    </row>
    <row r="266" spans="7:10" x14ac:dyDescent="0.25">
      <c r="G266" s="1">
        <v>40909</v>
      </c>
      <c r="H266">
        <v>184.7475</v>
      </c>
      <c r="I266">
        <v>1.0712441331298059</v>
      </c>
      <c r="J266" s="2">
        <v>172.46068779880412</v>
      </c>
    </row>
    <row r="267" spans="7:10" x14ac:dyDescent="0.25">
      <c r="G267" s="1">
        <v>40940</v>
      </c>
      <c r="H267">
        <v>171.35</v>
      </c>
      <c r="I267">
        <v>1.0707412585417351</v>
      </c>
      <c r="J267" s="2">
        <v>160.02932420234291</v>
      </c>
    </row>
    <row r="268" spans="7:10" x14ac:dyDescent="0.25">
      <c r="G268" s="1">
        <v>40969</v>
      </c>
      <c r="H268">
        <v>188.95999999999998</v>
      </c>
      <c r="I268">
        <v>1.0702383839536642</v>
      </c>
      <c r="J268" s="2">
        <v>176.55879552922198</v>
      </c>
    </row>
    <row r="269" spans="7:10" x14ac:dyDescent="0.25">
      <c r="G269" s="1">
        <v>41000</v>
      </c>
      <c r="H269">
        <v>189.97500000000002</v>
      </c>
      <c r="I269">
        <v>1.0697355093655934</v>
      </c>
      <c r="J269" s="2">
        <v>177.59062715667417</v>
      </c>
    </row>
    <row r="270" spans="7:10" x14ac:dyDescent="0.25">
      <c r="G270" s="1">
        <v>41030</v>
      </c>
      <c r="H270">
        <v>190.45000000000002</v>
      </c>
      <c r="I270">
        <v>1.0692326347775225</v>
      </c>
      <c r="J270" s="2">
        <v>178.11839426284192</v>
      </c>
    </row>
    <row r="271" spans="7:10" x14ac:dyDescent="0.25">
      <c r="G271" s="1">
        <v>41061</v>
      </c>
      <c r="H271">
        <v>189.56</v>
      </c>
      <c r="I271">
        <v>1.0687297601894516</v>
      </c>
      <c r="J271" s="2">
        <v>177.36944086444927</v>
      </c>
    </row>
    <row r="272" spans="7:10" x14ac:dyDescent="0.25">
      <c r="G272" s="1">
        <v>41091</v>
      </c>
      <c r="H272">
        <v>188.3</v>
      </c>
      <c r="I272">
        <v>1.068226885601381</v>
      </c>
      <c r="J272" s="2">
        <v>176.27341395174915</v>
      </c>
    </row>
    <row r="273" spans="7:10" x14ac:dyDescent="0.25">
      <c r="G273" s="1">
        <v>41122</v>
      </c>
      <c r="H273">
        <v>178.21999999999997</v>
      </c>
      <c r="I273">
        <v>1.0677240110133102</v>
      </c>
      <c r="J273" s="2">
        <v>166.91579299678997</v>
      </c>
    </row>
    <row r="274" spans="7:10" x14ac:dyDescent="0.25">
      <c r="G274" s="1">
        <v>41153</v>
      </c>
      <c r="H274">
        <v>189.97500000000002</v>
      </c>
      <c r="I274">
        <v>1.0672211364252393</v>
      </c>
      <c r="J274" s="2">
        <v>178.00903066475962</v>
      </c>
    </row>
    <row r="275" spans="7:10" x14ac:dyDescent="0.25">
      <c r="G275" s="1">
        <v>41183</v>
      </c>
      <c r="H275">
        <v>192.375</v>
      </c>
      <c r="I275">
        <v>1.0667182618371684</v>
      </c>
      <c r="J275" s="2">
        <v>180.34283923168226</v>
      </c>
    </row>
    <row r="276" spans="7:10" x14ac:dyDescent="0.25">
      <c r="G276" s="1">
        <v>41214</v>
      </c>
      <c r="H276">
        <v>197.2</v>
      </c>
      <c r="I276">
        <v>1.0662153872490976</v>
      </c>
      <c r="J276" s="2">
        <v>184.95324899482864</v>
      </c>
    </row>
    <row r="277" spans="7:10" x14ac:dyDescent="0.25">
      <c r="G277" s="1">
        <v>41244</v>
      </c>
      <c r="H277">
        <v>191.22499999999999</v>
      </c>
      <c r="I277">
        <v>1.065712512661027</v>
      </c>
      <c r="J277" s="2">
        <v>179.43394464096272</v>
      </c>
    </row>
    <row r="278" spans="7:10" x14ac:dyDescent="0.25">
      <c r="G278" s="1">
        <v>41275</v>
      </c>
      <c r="H278">
        <v>205.32499999999999</v>
      </c>
      <c r="I278">
        <v>1.0652096380729561</v>
      </c>
      <c r="J278" s="2">
        <v>192.75548461188191</v>
      </c>
    </row>
    <row r="279" spans="7:10" x14ac:dyDescent="0.25">
      <c r="G279" s="1">
        <v>41306</v>
      </c>
      <c r="H279">
        <v>196.375</v>
      </c>
      <c r="I279">
        <v>1.0649231303289253</v>
      </c>
      <c r="J279" s="2">
        <v>184.40298121738158</v>
      </c>
    </row>
    <row r="280" spans="7:10" x14ac:dyDescent="0.25">
      <c r="G280" s="1">
        <v>41334</v>
      </c>
      <c r="H280">
        <v>206.44</v>
      </c>
      <c r="I280">
        <v>1.0646366225848942</v>
      </c>
      <c r="J280" s="2">
        <v>193.90653639057814</v>
      </c>
    </row>
    <row r="281" spans="7:10" x14ac:dyDescent="0.25">
      <c r="G281" s="1">
        <v>41365</v>
      </c>
      <c r="H281">
        <v>215.375</v>
      </c>
      <c r="I281">
        <v>1.0643501148408634</v>
      </c>
      <c r="J281" s="2">
        <v>202.35352728101302</v>
      </c>
    </row>
    <row r="282" spans="7:10" x14ac:dyDescent="0.25">
      <c r="G282" s="1">
        <v>41395</v>
      </c>
      <c r="H282">
        <v>211.08</v>
      </c>
      <c r="I282">
        <v>1.0640636070968326</v>
      </c>
      <c r="J282" s="2">
        <v>198.37159977297409</v>
      </c>
    </row>
    <row r="283" spans="7:10" x14ac:dyDescent="0.25">
      <c r="G283" s="1">
        <v>41426</v>
      </c>
      <c r="H283">
        <v>212.60000000000002</v>
      </c>
      <c r="I283">
        <v>1.0637770993528015</v>
      </c>
      <c r="J283" s="2">
        <v>199.85389808574104</v>
      </c>
    </row>
    <row r="284" spans="7:10" x14ac:dyDescent="0.25">
      <c r="G284" s="1">
        <v>41456</v>
      </c>
      <c r="H284">
        <v>198.64999999999998</v>
      </c>
      <c r="I284">
        <v>1.0634905916087707</v>
      </c>
      <c r="J284" s="2">
        <v>186.79055702739862</v>
      </c>
    </row>
    <row r="285" spans="7:10" x14ac:dyDescent="0.25">
      <c r="G285" s="1">
        <v>41487</v>
      </c>
      <c r="H285">
        <v>187.73999999999998</v>
      </c>
      <c r="I285">
        <v>1.0632040838647399</v>
      </c>
      <c r="J285" s="2">
        <v>176.57945717962849</v>
      </c>
    </row>
    <row r="286" spans="7:10" x14ac:dyDescent="0.25">
      <c r="G286" s="1">
        <v>41518</v>
      </c>
      <c r="H286">
        <v>190.42499999999998</v>
      </c>
      <c r="I286">
        <v>1.0629175761207088</v>
      </c>
      <c r="J286" s="2">
        <v>179.15311993897691</v>
      </c>
    </row>
    <row r="287" spans="7:10" x14ac:dyDescent="0.25">
      <c r="G287" s="1">
        <v>41548</v>
      </c>
      <c r="H287">
        <v>182.97500000000002</v>
      </c>
      <c r="I287">
        <v>1.062631068376678</v>
      </c>
      <c r="J287" s="2">
        <v>172.19052354597602</v>
      </c>
    </row>
    <row r="288" spans="7:10" x14ac:dyDescent="0.25">
      <c r="G288" s="1">
        <v>41579</v>
      </c>
      <c r="H288">
        <v>187.02</v>
      </c>
      <c r="I288">
        <v>1.0623445606326472</v>
      </c>
      <c r="J288" s="2">
        <v>176.04457812503497</v>
      </c>
    </row>
    <row r="289" spans="7:10" x14ac:dyDescent="0.25">
      <c r="G289" s="1">
        <v>41609</v>
      </c>
      <c r="H289">
        <v>175.52499999999998</v>
      </c>
      <c r="I289">
        <v>1.0620580528886161</v>
      </c>
      <c r="J289" s="2">
        <v>165.26874357065702</v>
      </c>
    </row>
    <row r="290" spans="7:10" x14ac:dyDescent="0.25">
      <c r="G290" s="1">
        <v>41640</v>
      </c>
      <c r="H290">
        <v>183.3</v>
      </c>
      <c r="I290">
        <v>1.0617715451445853</v>
      </c>
      <c r="J290" s="2">
        <v>172.6360070941997</v>
      </c>
    </row>
    <row r="291" spans="7:10" x14ac:dyDescent="0.25">
      <c r="G291" s="1">
        <v>41671</v>
      </c>
      <c r="H291">
        <v>164.2</v>
      </c>
      <c r="I291">
        <v>1.0621032283835257</v>
      </c>
      <c r="J291" s="2">
        <v>154.59890866719721</v>
      </c>
    </row>
    <row r="292" spans="7:10" x14ac:dyDescent="0.25">
      <c r="G292" s="1">
        <v>41699</v>
      </c>
      <c r="H292">
        <v>171.9</v>
      </c>
      <c r="I292">
        <v>1.0624349116224661</v>
      </c>
      <c r="J292" s="2">
        <v>161.79814699188302</v>
      </c>
    </row>
    <row r="293" spans="7:10" x14ac:dyDescent="0.25">
      <c r="G293" s="1">
        <v>41730</v>
      </c>
      <c r="H293">
        <v>177.77500000000001</v>
      </c>
      <c r="I293">
        <v>1.0627665948614062</v>
      </c>
      <c r="J293" s="2">
        <v>167.27567544892901</v>
      </c>
    </row>
    <row r="294" spans="7:10" x14ac:dyDescent="0.25">
      <c r="G294" s="1">
        <v>41760</v>
      </c>
      <c r="H294">
        <v>180</v>
      </c>
      <c r="I294">
        <v>1.0630982781003466</v>
      </c>
      <c r="J294" s="2">
        <v>169.31642512077295</v>
      </c>
    </row>
    <row r="295" spans="7:10" x14ac:dyDescent="0.25">
      <c r="G295" s="1">
        <v>41791</v>
      </c>
      <c r="H295">
        <v>179.42500000000001</v>
      </c>
      <c r="I295">
        <v>1.063429961339287</v>
      </c>
      <c r="J295" s="2">
        <v>168.7229122019767</v>
      </c>
    </row>
    <row r="296" spans="7:10" x14ac:dyDescent="0.25">
      <c r="G296" s="1">
        <v>41821</v>
      </c>
      <c r="H296">
        <v>171.625</v>
      </c>
      <c r="I296">
        <v>1.0637616445782274</v>
      </c>
      <c r="J296" s="2">
        <v>161.33783434920505</v>
      </c>
    </row>
    <row r="297" spans="7:10" x14ac:dyDescent="0.25">
      <c r="G297" s="1">
        <v>41852</v>
      </c>
      <c r="H297">
        <v>165.92</v>
      </c>
      <c r="I297">
        <v>1.0640933278171676</v>
      </c>
      <c r="J297" s="2">
        <v>155.92617269799135</v>
      </c>
    </row>
    <row r="298" spans="7:10" x14ac:dyDescent="0.25">
      <c r="G298" s="1">
        <v>41883</v>
      </c>
      <c r="H298">
        <v>167.10000000000002</v>
      </c>
      <c r="I298">
        <v>1.064425011056108</v>
      </c>
      <c r="J298" s="2">
        <v>156.98616460938445</v>
      </c>
    </row>
    <row r="299" spans="7:10" x14ac:dyDescent="0.25">
      <c r="G299" s="1">
        <v>41913</v>
      </c>
      <c r="H299">
        <v>164.48000000000002</v>
      </c>
      <c r="I299">
        <v>1.0647566942950484</v>
      </c>
      <c r="J299" s="2">
        <v>154.4766056708369</v>
      </c>
    </row>
    <row r="300" spans="7:10" x14ac:dyDescent="0.25">
      <c r="G300" s="1">
        <v>41944</v>
      </c>
      <c r="H300">
        <v>171.85000000000002</v>
      </c>
      <c r="I300">
        <v>1.0650883775339886</v>
      </c>
      <c r="J300" s="2">
        <v>161.34811310014135</v>
      </c>
    </row>
    <row r="301" spans="7:10" x14ac:dyDescent="0.25">
      <c r="G301" s="1">
        <v>41974</v>
      </c>
      <c r="H301">
        <v>165.82499999999999</v>
      </c>
      <c r="I301">
        <v>1.0654200607729289</v>
      </c>
      <c r="J301" s="2">
        <v>155.64283619711378</v>
      </c>
    </row>
    <row r="302" spans="7:10" x14ac:dyDescent="0.25">
      <c r="G302" s="1">
        <v>42005</v>
      </c>
      <c r="H302">
        <v>184.51999999999998</v>
      </c>
      <c r="I302">
        <v>1.0657517440118693</v>
      </c>
      <c r="J302" s="2">
        <v>173.13600567558157</v>
      </c>
    </row>
    <row r="303" spans="7:10" x14ac:dyDescent="0.25">
      <c r="G303" s="1">
        <v>42036</v>
      </c>
      <c r="H303">
        <v>169.45</v>
      </c>
      <c r="I303">
        <v>1.0657517440118693</v>
      </c>
      <c r="J303" s="2">
        <v>158.99575201456375</v>
      </c>
    </row>
    <row r="304" spans="7:10" x14ac:dyDescent="0.25">
      <c r="G304" s="1">
        <v>42064</v>
      </c>
      <c r="H304">
        <v>177.74999999999997</v>
      </c>
      <c r="I304">
        <v>1.0657517440118693</v>
      </c>
      <c r="J304" s="2">
        <v>166.78368203357155</v>
      </c>
    </row>
    <row r="305" spans="7:10" x14ac:dyDescent="0.25">
      <c r="G305" s="1">
        <v>42095</v>
      </c>
      <c r="H305">
        <v>202.04999999999998</v>
      </c>
      <c r="I305">
        <v>1.0657517440118693</v>
      </c>
      <c r="J305" s="2">
        <v>189.58448919765479</v>
      </c>
    </row>
    <row r="306" spans="7:10" x14ac:dyDescent="0.25">
      <c r="G306" s="1">
        <v>42125</v>
      </c>
      <c r="H306">
        <v>201.95999999999998</v>
      </c>
      <c r="I306">
        <v>1.0657517440118693</v>
      </c>
      <c r="J306" s="2">
        <v>189.50004176371374</v>
      </c>
    </row>
    <row r="307" spans="7:10" x14ac:dyDescent="0.25">
      <c r="G307" s="1">
        <v>42156</v>
      </c>
      <c r="H307">
        <v>206.67500000000001</v>
      </c>
      <c r="I307">
        <v>1.0657517440118693</v>
      </c>
      <c r="J307" s="2">
        <v>193.92414899740317</v>
      </c>
    </row>
    <row r="308" spans="7:10" x14ac:dyDescent="0.25">
      <c r="G308" s="1">
        <v>42186</v>
      </c>
      <c r="H308">
        <v>201.96</v>
      </c>
      <c r="I308">
        <v>1.0657517440118693</v>
      </c>
      <c r="J308" s="2">
        <v>189.50004176371374</v>
      </c>
    </row>
    <row r="309" spans="7:10" x14ac:dyDescent="0.25">
      <c r="G309" s="1">
        <v>42217</v>
      </c>
      <c r="H309">
        <v>199.57500000000002</v>
      </c>
      <c r="I309">
        <v>1.0657517440118693</v>
      </c>
      <c r="J309" s="2">
        <v>187.26218476427596</v>
      </c>
    </row>
    <row r="310" spans="7:10" x14ac:dyDescent="0.25">
      <c r="G310" s="1">
        <v>42248</v>
      </c>
      <c r="H310">
        <v>204.4</v>
      </c>
      <c r="I310">
        <v>1.0657517440118693</v>
      </c>
      <c r="J310" s="2">
        <v>191.78950552833774</v>
      </c>
    </row>
    <row r="311" spans="7:10" x14ac:dyDescent="0.25">
      <c r="G311" s="1">
        <v>42278</v>
      </c>
      <c r="H311">
        <v>201.11999999999998</v>
      </c>
      <c r="I311">
        <v>1.0657517440118693</v>
      </c>
      <c r="J311" s="2">
        <v>188.71186571359726</v>
      </c>
    </row>
    <row r="312" spans="7:10" x14ac:dyDescent="0.25">
      <c r="G312" s="1">
        <v>42309</v>
      </c>
      <c r="H312">
        <v>210.67499999999998</v>
      </c>
      <c r="I312">
        <v>1.0657517440118693</v>
      </c>
      <c r="J312" s="2">
        <v>197.67736828367197</v>
      </c>
    </row>
    <row r="313" spans="7:10" x14ac:dyDescent="0.25">
      <c r="G313" s="1">
        <v>42339</v>
      </c>
      <c r="H313">
        <v>225.375</v>
      </c>
      <c r="I313">
        <v>1.0657517440118693</v>
      </c>
      <c r="J313" s="2">
        <v>211.47044916070996</v>
      </c>
    </row>
    <row r="314" spans="7:10" x14ac:dyDescent="0.25">
      <c r="G314" s="1">
        <v>42370</v>
      </c>
      <c r="H314">
        <v>222.69999999999996</v>
      </c>
      <c r="I314">
        <v>1.0657517440118693</v>
      </c>
      <c r="J314" s="2">
        <v>208.96048376301763</v>
      </c>
    </row>
    <row r="315" spans="7:10" x14ac:dyDescent="0.25">
      <c r="G315" s="1">
        <v>42401</v>
      </c>
      <c r="H315">
        <v>217.375</v>
      </c>
      <c r="I315">
        <v>1.0657517440118693</v>
      </c>
      <c r="J315" s="2">
        <v>203.9640105881723</v>
      </c>
    </row>
    <row r="316" spans="7:10" x14ac:dyDescent="0.25">
      <c r="G316" s="1">
        <v>42430</v>
      </c>
      <c r="H316">
        <v>226.15</v>
      </c>
      <c r="I316">
        <v>1.0657517440118693</v>
      </c>
      <c r="J316" s="2">
        <v>212.19763539742456</v>
      </c>
    </row>
    <row r="317" spans="7:10" x14ac:dyDescent="0.25">
      <c r="G317" s="1">
        <v>42461</v>
      </c>
      <c r="H317">
        <v>235.1</v>
      </c>
      <c r="I317">
        <v>1.0657517440118693</v>
      </c>
      <c r="J317" s="2">
        <v>220.59546355045109</v>
      </c>
    </row>
    <row r="318" spans="7:10" x14ac:dyDescent="0.25">
      <c r="G318" s="1">
        <v>42491</v>
      </c>
      <c r="H318">
        <v>229.60000000000002</v>
      </c>
      <c r="I318">
        <v>1.0657517440118693</v>
      </c>
      <c r="J318" s="2">
        <v>215.43478703183146</v>
      </c>
    </row>
    <row r="319" spans="7:10" x14ac:dyDescent="0.25">
      <c r="G319" s="1">
        <v>42522</v>
      </c>
      <c r="H319">
        <v>239.79999999999998</v>
      </c>
      <c r="I319">
        <v>1.0657517440118693</v>
      </c>
      <c r="J319" s="2">
        <f>H319/I319</f>
        <v>225.00549621181696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step1 Raw</vt:lpstr>
      <vt:lpstr>step2 %Chg</vt:lpstr>
      <vt:lpstr>step3 Regression</vt:lpstr>
      <vt:lpstr>step4 Pred. Chg</vt:lpstr>
      <vt:lpstr>step5 Pred. Level</vt:lpstr>
      <vt:lpstr>Appendix-Adj Purch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2016-08-05T18:09:39Z</dcterms:created>
  <dcterms:modified xsi:type="dcterms:W3CDTF">2016-08-05T20:29:31Z</dcterms:modified>
</cp:coreProperties>
</file>