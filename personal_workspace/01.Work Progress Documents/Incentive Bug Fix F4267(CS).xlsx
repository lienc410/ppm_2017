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35475" windowHeight="17430" activeTab="2"/>
  </bookViews>
  <sheets>
    <sheet name="Initial" sheetId="1" r:id="rId1"/>
    <sheet name="Recalculate Incentive" sheetId="5" r:id="rId2"/>
    <sheet name="FN.TR.412(S2)" sheetId="8" r:id="rId3"/>
  </sheets>
  <calcPr calcId="145621"/>
  <fileRecoveryPr repairLoad="1"/>
</workbook>
</file>

<file path=xl/calcChain.xml><?xml version="1.0" encoding="utf-8"?>
<calcChain xmlns="http://schemas.openxmlformats.org/spreadsheetml/2006/main">
  <c r="M33" i="8" l="1"/>
  <c r="M32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X18" i="8"/>
  <c r="W18" i="8"/>
  <c r="M18" i="8"/>
  <c r="L18" i="8"/>
  <c r="AC17" i="8"/>
  <c r="M17" i="8"/>
  <c r="L17" i="8"/>
  <c r="M16" i="8"/>
  <c r="L16" i="8"/>
  <c r="V15" i="8"/>
  <c r="U15" i="8"/>
  <c r="T15" i="8"/>
  <c r="S15" i="8"/>
  <c r="M15" i="8"/>
  <c r="L15" i="8"/>
  <c r="AC14" i="8"/>
  <c r="AB14" i="8"/>
  <c r="AA14" i="8"/>
  <c r="M14" i="8"/>
  <c r="L14" i="8"/>
  <c r="AB13" i="8"/>
  <c r="AA13" i="8"/>
  <c r="M13" i="8"/>
  <c r="L13" i="8"/>
  <c r="M12" i="8"/>
  <c r="L12" i="8"/>
  <c r="V11" i="8"/>
  <c r="U11" i="8"/>
  <c r="T11" i="8"/>
  <c r="S11" i="8"/>
  <c r="M11" i="8"/>
  <c r="L11" i="8"/>
  <c r="AC10" i="8"/>
  <c r="AB10" i="8"/>
  <c r="AA10" i="8"/>
  <c r="M10" i="8"/>
  <c r="L10" i="8"/>
  <c r="AB9" i="8"/>
  <c r="AA9" i="8"/>
  <c r="M9" i="8"/>
  <c r="L9" i="8"/>
  <c r="M8" i="8"/>
  <c r="L8" i="8"/>
  <c r="M7" i="8"/>
  <c r="L7" i="8"/>
  <c r="W6" i="8"/>
  <c r="U6" i="8"/>
  <c r="T6" i="8"/>
  <c r="S6" i="8"/>
  <c r="M6" i="8"/>
  <c r="L6" i="8"/>
  <c r="M5" i="8"/>
  <c r="L5" i="8"/>
  <c r="M4" i="8"/>
  <c r="L4" i="8"/>
  <c r="M33" i="5"/>
  <c r="M32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X18" i="5"/>
  <c r="W18" i="5"/>
  <c r="M18" i="5"/>
  <c r="L18" i="5"/>
  <c r="M17" i="5"/>
  <c r="L17" i="5"/>
  <c r="M16" i="5"/>
  <c r="L16" i="5"/>
  <c r="V15" i="5"/>
  <c r="U15" i="5"/>
  <c r="T15" i="5"/>
  <c r="S15" i="5"/>
  <c r="M15" i="5"/>
  <c r="L15" i="5"/>
  <c r="AC14" i="5"/>
  <c r="AB14" i="5"/>
  <c r="AA14" i="5"/>
  <c r="M14" i="5"/>
  <c r="L14" i="5"/>
  <c r="AB13" i="5"/>
  <c r="AA13" i="5"/>
  <c r="M13" i="5"/>
  <c r="L13" i="5"/>
  <c r="M12" i="5"/>
  <c r="L12" i="5"/>
  <c r="V11" i="5"/>
  <c r="U11" i="5"/>
  <c r="T11" i="5"/>
  <c r="S11" i="5"/>
  <c r="M11" i="5"/>
  <c r="L11" i="5"/>
  <c r="AC10" i="5"/>
  <c r="AB10" i="5"/>
  <c r="AA10" i="5"/>
  <c r="M10" i="5"/>
  <c r="L10" i="5"/>
  <c r="AB9" i="5"/>
  <c r="AA9" i="5"/>
  <c r="M9" i="5"/>
  <c r="L9" i="5"/>
  <c r="M8" i="5"/>
  <c r="L8" i="5"/>
  <c r="M7" i="5"/>
  <c r="L7" i="5"/>
  <c r="W6" i="5"/>
  <c r="U6" i="5"/>
  <c r="T6" i="5"/>
  <c r="S6" i="5"/>
  <c r="M6" i="5"/>
  <c r="L6" i="5"/>
  <c r="M5" i="5"/>
  <c r="L5" i="5"/>
  <c r="M4" i="5"/>
  <c r="L4" i="5"/>
  <c r="AE14" i="1"/>
  <c r="AE10" i="1"/>
  <c r="AE9" i="1"/>
  <c r="AE13" i="1"/>
  <c r="AF13" i="1"/>
  <c r="AF9" i="1"/>
  <c r="AC17" i="5" l="1"/>
  <c r="Z15" i="1"/>
  <c r="Y15" i="1"/>
  <c r="X15" i="1"/>
  <c r="W15" i="1"/>
  <c r="X11" i="1"/>
  <c r="Y11" i="1"/>
  <c r="Z11" i="1"/>
  <c r="W11" i="1"/>
  <c r="Y6" i="1" l="1"/>
  <c r="X6" i="1"/>
  <c r="W6" i="1"/>
  <c r="AA4" i="1"/>
  <c r="AA3" i="1"/>
  <c r="AA6" i="1" s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Q4" i="1"/>
  <c r="P4" i="1"/>
  <c r="X4" i="1"/>
</calcChain>
</file>

<file path=xl/sharedStrings.xml><?xml version="1.0" encoding="utf-8"?>
<sst xmlns="http://schemas.openxmlformats.org/spreadsheetml/2006/main" count="93" uniqueCount="21">
  <si>
    <t>Prepay Month</t>
  </si>
  <si>
    <t>MortgageRate</t>
  </si>
  <si>
    <t>incentive</t>
  </si>
  <si>
    <t>start_incentive_scale</t>
  </si>
  <si>
    <t>start_incentive</t>
  </si>
  <si>
    <t>start_incentive_diff</t>
  </si>
  <si>
    <t>Diff</t>
  </si>
  <si>
    <t>June CDU</t>
  </si>
  <si>
    <t>July CDU</t>
  </si>
  <si>
    <t>mtg rate</t>
  </si>
  <si>
    <t>LLPA</t>
  </si>
  <si>
    <t>PMI</t>
  </si>
  <si>
    <t>MIP</t>
  </si>
  <si>
    <t>OrigMIP</t>
  </si>
  <si>
    <t>Scale</t>
  </si>
  <si>
    <t>CDU</t>
  </si>
  <si>
    <t>WAC</t>
  </si>
  <si>
    <t>mtg rate-Conv</t>
  </si>
  <si>
    <t>mtg rate-GNM</t>
  </si>
  <si>
    <t>F4267(CS)</t>
  </si>
  <si>
    <t>FN.TR.412(S2)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</si>
</sst>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2"/>
  <sheetViews>
    <sheetView workbookViewId="0">
      <selection activeCell="L21" sqref="L21"/>
    </sheetView>
  </sheetViews>
  <sheetFormatPr defaultRowHeight="15" x14ac:dyDescent="0.25"/>
  <cols>
    <col min="1" max="1" width="9.7109375" style="1" bestFit="1" customWidth="1"/>
    <col min="2" max="4" width="9.28515625" bestFit="1" customWidth="1"/>
    <col min="5" max="5" width="9.5703125" bestFit="1" customWidth="1"/>
    <col min="6" max="6" width="12.5703125" bestFit="1" customWidth="1"/>
    <col min="8" max="8" width="9.7109375" style="1" bestFit="1" customWidth="1"/>
    <col min="13" max="13" width="9.5703125" bestFit="1" customWidth="1"/>
    <col min="15" max="15" width="13.5703125" bestFit="1" customWidth="1"/>
    <col min="23" max="23" width="14.42578125" bestFit="1" customWidth="1"/>
    <col min="24" max="24" width="20" bestFit="1" customWidth="1"/>
    <col min="25" max="25" width="18.7109375" bestFit="1" customWidth="1"/>
  </cols>
  <sheetData>
    <row r="1" spans="1:32" x14ac:dyDescent="0.25">
      <c r="A1" t="s">
        <v>8</v>
      </c>
      <c r="B1" t="s">
        <v>19</v>
      </c>
      <c r="H1" t="s">
        <v>7</v>
      </c>
      <c r="I1" t="s">
        <v>19</v>
      </c>
    </row>
    <row r="2" spans="1:32" x14ac:dyDescent="0.25">
      <c r="A2" s="1" t="s">
        <v>0</v>
      </c>
      <c r="B2" t="s">
        <v>1</v>
      </c>
      <c r="C2" t="s">
        <v>2</v>
      </c>
      <c r="H2" s="1" t="s">
        <v>0</v>
      </c>
      <c r="I2" t="s">
        <v>1</v>
      </c>
      <c r="J2" t="s">
        <v>2</v>
      </c>
      <c r="O2" t="s">
        <v>0</v>
      </c>
      <c r="P2" t="s">
        <v>1</v>
      </c>
      <c r="Q2" t="s">
        <v>2</v>
      </c>
      <c r="W2" t="s">
        <v>4</v>
      </c>
      <c r="X2" t="s">
        <v>3</v>
      </c>
      <c r="Y2" t="s">
        <v>5</v>
      </c>
      <c r="AA2" t="s">
        <v>9</v>
      </c>
    </row>
    <row r="3" spans="1:32" x14ac:dyDescent="0.25">
      <c r="H3" s="1">
        <v>42887</v>
      </c>
      <c r="I3" s="2">
        <v>3.871</v>
      </c>
      <c r="J3" s="2">
        <v>38.868000000000002</v>
      </c>
      <c r="K3" s="2"/>
      <c r="L3" s="2"/>
      <c r="M3" s="2"/>
      <c r="V3" s="1">
        <v>42917</v>
      </c>
      <c r="W3" s="2">
        <v>63.1099999999999</v>
      </c>
      <c r="X3" s="2">
        <v>73.325217962518295</v>
      </c>
      <c r="Y3" s="2">
        <v>-10.215217962518301</v>
      </c>
      <c r="AA3" s="2">
        <f>B4</f>
        <v>3.778</v>
      </c>
      <c r="AB3" s="2"/>
    </row>
    <row r="4" spans="1:32" x14ac:dyDescent="0.25">
      <c r="A4" s="1">
        <v>42917</v>
      </c>
      <c r="B4" s="2">
        <v>3.778</v>
      </c>
      <c r="C4" s="2">
        <v>50.673000000000002</v>
      </c>
      <c r="D4" s="2"/>
      <c r="E4" s="2"/>
      <c r="F4" s="2"/>
      <c r="H4" s="1">
        <v>42917</v>
      </c>
      <c r="I4" s="2">
        <v>3.778</v>
      </c>
      <c r="J4" s="2">
        <v>48.15</v>
      </c>
      <c r="K4" s="2"/>
      <c r="L4" s="2"/>
      <c r="M4" s="2"/>
      <c r="O4" s="1">
        <v>42917</v>
      </c>
      <c r="P4" s="2">
        <f>B4-I4</f>
        <v>0</v>
      </c>
      <c r="Q4" s="2">
        <f>C4-J4</f>
        <v>2.5230000000000032</v>
      </c>
      <c r="R4" s="2"/>
      <c r="S4" s="2"/>
      <c r="T4" s="2"/>
      <c r="V4" s="1">
        <v>42887</v>
      </c>
      <c r="W4" s="2">
        <v>61.529521752539999</v>
      </c>
      <c r="X4" s="2">
        <f>W4-Y4</f>
        <v>77.759043505080001</v>
      </c>
      <c r="Y4" s="2">
        <v>-16.229521752539998</v>
      </c>
      <c r="AA4" s="2">
        <f>I3</f>
        <v>3.871</v>
      </c>
      <c r="AB4" s="2"/>
    </row>
    <row r="5" spans="1:32" x14ac:dyDescent="0.25">
      <c r="A5" s="1">
        <v>42948</v>
      </c>
      <c r="B5" s="2">
        <v>3.851</v>
      </c>
      <c r="C5" s="2">
        <v>43.368000000000002</v>
      </c>
      <c r="D5" s="2"/>
      <c r="E5" s="2"/>
      <c r="F5" s="2"/>
      <c r="H5" s="1">
        <v>42948</v>
      </c>
      <c r="I5" s="2">
        <v>3.8540000000000001</v>
      </c>
      <c r="J5" s="2">
        <v>40.844000000000001</v>
      </c>
      <c r="K5" s="2"/>
      <c r="L5" s="2"/>
      <c r="M5" s="2"/>
      <c r="O5" s="1">
        <v>42948</v>
      </c>
      <c r="P5" s="2">
        <f t="shared" ref="P5:P26" si="0">B5-I5</f>
        <v>-3.0000000000001137E-3</v>
      </c>
      <c r="Q5" s="2">
        <f t="shared" ref="Q5:Q26" si="1">C5-J5</f>
        <v>2.5240000000000009</v>
      </c>
      <c r="R5" s="2"/>
      <c r="S5" s="2"/>
      <c r="T5" s="2"/>
    </row>
    <row r="6" spans="1:32" x14ac:dyDescent="0.25">
      <c r="A6" s="1">
        <v>42979</v>
      </c>
      <c r="B6" s="2">
        <v>3.835</v>
      </c>
      <c r="C6" s="2">
        <v>44.939</v>
      </c>
      <c r="D6" s="2"/>
      <c r="E6" s="2"/>
      <c r="F6" s="2"/>
      <c r="H6" s="1">
        <v>42979</v>
      </c>
      <c r="I6" s="2">
        <v>3.8170000000000002</v>
      </c>
      <c r="J6" s="2">
        <v>42.414999999999999</v>
      </c>
      <c r="K6" s="2"/>
      <c r="L6" s="2"/>
      <c r="M6" s="2"/>
      <c r="O6" s="1">
        <v>42979</v>
      </c>
      <c r="P6" s="2">
        <f t="shared" si="0"/>
        <v>1.7999999999999794E-2</v>
      </c>
      <c r="Q6" s="2">
        <f t="shared" si="1"/>
        <v>2.5240000000000009</v>
      </c>
      <c r="R6" s="2"/>
      <c r="S6" s="2"/>
      <c r="T6" s="2"/>
      <c r="V6" t="s">
        <v>6</v>
      </c>
      <c r="W6" s="2">
        <f>W3-W4</f>
        <v>1.5804782474599008</v>
      </c>
      <c r="X6" s="2">
        <f>X3-X4</f>
        <v>-4.4338255425617064</v>
      </c>
      <c r="Y6" s="2">
        <f>Y3-Y4</f>
        <v>6.0143037900216978</v>
      </c>
      <c r="AA6" s="2">
        <f>(AA3-AA4)*100</f>
        <v>-9.2999999999999972</v>
      </c>
      <c r="AB6" s="2"/>
    </row>
    <row r="7" spans="1:32" x14ac:dyDescent="0.25">
      <c r="A7" s="1">
        <v>43009</v>
      </c>
      <c r="B7" s="2">
        <v>3.835</v>
      </c>
      <c r="C7" s="2">
        <v>45.051000000000002</v>
      </c>
      <c r="D7" s="2"/>
      <c r="E7" s="2"/>
      <c r="F7" s="2"/>
      <c r="H7" s="1">
        <v>43009</v>
      </c>
      <c r="I7" s="2">
        <v>3.8170000000000002</v>
      </c>
      <c r="J7" s="2">
        <v>42.524000000000001</v>
      </c>
      <c r="K7" s="2"/>
      <c r="L7" s="2"/>
      <c r="M7" s="2"/>
      <c r="O7" s="1">
        <v>43009</v>
      </c>
      <c r="P7" s="2">
        <f t="shared" si="0"/>
        <v>1.7999999999999794E-2</v>
      </c>
      <c r="Q7" s="2">
        <f t="shared" si="1"/>
        <v>2.527000000000001</v>
      </c>
      <c r="R7" s="2"/>
      <c r="S7" s="2"/>
      <c r="T7" s="2"/>
    </row>
    <row r="8" spans="1:32" x14ac:dyDescent="0.25">
      <c r="A8" s="1">
        <v>43040</v>
      </c>
      <c r="B8" s="2">
        <v>3.835</v>
      </c>
      <c r="C8" s="2">
        <v>45.051000000000002</v>
      </c>
      <c r="D8" s="2"/>
      <c r="E8" s="2"/>
      <c r="F8" s="2"/>
      <c r="H8" s="1">
        <v>43040</v>
      </c>
      <c r="I8" s="2">
        <v>3.8170000000000002</v>
      </c>
      <c r="J8" s="2">
        <v>42.524000000000001</v>
      </c>
      <c r="K8" s="2"/>
      <c r="L8" s="2"/>
      <c r="M8" s="2"/>
      <c r="O8" s="1">
        <v>43040</v>
      </c>
      <c r="P8" s="2">
        <f t="shared" si="0"/>
        <v>1.7999999999999794E-2</v>
      </c>
      <c r="Q8" s="2">
        <f t="shared" si="1"/>
        <v>2.527000000000001</v>
      </c>
      <c r="R8" s="2"/>
      <c r="S8" s="2"/>
      <c r="T8" s="2"/>
      <c r="W8" t="s">
        <v>10</v>
      </c>
      <c r="X8" t="s">
        <v>11</v>
      </c>
      <c r="Y8" t="s">
        <v>12</v>
      </c>
      <c r="Z8" t="s">
        <v>13</v>
      </c>
      <c r="AA8" t="s">
        <v>9</v>
      </c>
      <c r="AC8" t="s">
        <v>16</v>
      </c>
    </row>
    <row r="9" spans="1:32" x14ac:dyDescent="0.25">
      <c r="A9" s="1">
        <v>43070</v>
      </c>
      <c r="B9" s="2">
        <v>3.835</v>
      </c>
      <c r="C9" s="2">
        <v>69.736000000000004</v>
      </c>
      <c r="D9" s="2"/>
      <c r="E9" s="2"/>
      <c r="F9" s="2"/>
      <c r="H9" s="1">
        <v>43070</v>
      </c>
      <c r="I9" s="2">
        <v>3.8170000000000002</v>
      </c>
      <c r="J9" s="2">
        <v>66.683000000000007</v>
      </c>
      <c r="K9" s="2"/>
      <c r="L9" s="2"/>
      <c r="M9" s="2"/>
      <c r="O9" s="1">
        <v>43070</v>
      </c>
      <c r="P9" s="2">
        <f t="shared" si="0"/>
        <v>1.7999999999999794E-2</v>
      </c>
      <c r="Q9" s="2">
        <f t="shared" si="1"/>
        <v>3.0529999999999973</v>
      </c>
      <c r="R9" s="2"/>
      <c r="S9" s="2"/>
      <c r="T9" s="2"/>
      <c r="V9" s="1">
        <v>42917</v>
      </c>
      <c r="W9">
        <v>175</v>
      </c>
      <c r="X9">
        <v>32</v>
      </c>
      <c r="Y9" s="2">
        <v>94.5833333333333</v>
      </c>
      <c r="Z9">
        <v>99.15</v>
      </c>
      <c r="AA9">
        <v>1.4446663658293599</v>
      </c>
      <c r="AC9">
        <v>3.8799999999999901</v>
      </c>
      <c r="AD9" t="s">
        <v>14</v>
      </c>
      <c r="AE9">
        <f>AC9*100+Z9-(AA10*100+W9/4+X9)</f>
        <v>74.143399780700065</v>
      </c>
      <c r="AF9">
        <f>AC9*100+Z9-(AA10*100+Y9)</f>
        <v>55.310066447366751</v>
      </c>
    </row>
    <row r="10" spans="1:32" x14ac:dyDescent="0.25">
      <c r="A10" s="1">
        <v>43101</v>
      </c>
      <c r="B10" s="2">
        <v>3.835</v>
      </c>
      <c r="C10" s="2">
        <v>69.730999999999995</v>
      </c>
      <c r="D10" s="2"/>
      <c r="E10" s="2"/>
      <c r="F10" s="2"/>
      <c r="H10" s="1">
        <v>43101</v>
      </c>
      <c r="I10" s="2">
        <v>3.8170000000000002</v>
      </c>
      <c r="J10" s="2">
        <v>66.677999999999997</v>
      </c>
      <c r="K10" s="2"/>
      <c r="L10" s="2"/>
      <c r="M10" s="2"/>
      <c r="O10" s="1">
        <v>43101</v>
      </c>
      <c r="P10" s="2">
        <f t="shared" si="0"/>
        <v>1.7999999999999794E-2</v>
      </c>
      <c r="Q10" s="2">
        <f t="shared" si="1"/>
        <v>3.0529999999999973</v>
      </c>
      <c r="R10" s="2"/>
      <c r="S10" s="2"/>
      <c r="T10" s="2"/>
      <c r="W10">
        <v>189.75</v>
      </c>
      <c r="X10">
        <v>33.19</v>
      </c>
      <c r="Y10">
        <v>95.23</v>
      </c>
      <c r="Z10">
        <v>99.15</v>
      </c>
      <c r="AA10">
        <v>3.3725660021929902</v>
      </c>
      <c r="AB10">
        <v>3.77</v>
      </c>
      <c r="AC10">
        <v>3.88</v>
      </c>
      <c r="AD10" t="s">
        <v>15</v>
      </c>
      <c r="AE10">
        <f>AA10-AB10</f>
        <v>-0.39743399780700983</v>
      </c>
    </row>
    <row r="11" spans="1:32" x14ac:dyDescent="0.25">
      <c r="A11" s="1">
        <v>43132</v>
      </c>
      <c r="B11" s="2">
        <v>3.835</v>
      </c>
      <c r="C11" s="2">
        <v>69.727999999999994</v>
      </c>
      <c r="D11" s="2"/>
      <c r="E11" s="2"/>
      <c r="F11" s="2"/>
      <c r="H11" s="1">
        <v>43132</v>
      </c>
      <c r="I11" s="2">
        <v>3.8170000000000002</v>
      </c>
      <c r="J11" s="2">
        <v>66.674000000000007</v>
      </c>
      <c r="K11" s="2"/>
      <c r="L11" s="2"/>
      <c r="M11" s="2"/>
      <c r="O11" s="1">
        <v>43132</v>
      </c>
      <c r="P11" s="2">
        <f t="shared" si="0"/>
        <v>1.7999999999999794E-2</v>
      </c>
      <c r="Q11" s="2">
        <f t="shared" si="1"/>
        <v>3.0539999999999878</v>
      </c>
      <c r="R11" s="2"/>
      <c r="S11" s="2"/>
      <c r="T11" s="2"/>
      <c r="W11" s="3">
        <f>W9-W10</f>
        <v>-14.75</v>
      </c>
      <c r="X11" s="3">
        <f t="shared" ref="X11:Z11" si="2">X9-X10</f>
        <v>-1.1899999999999977</v>
      </c>
      <c r="Y11" s="3">
        <f t="shared" si="2"/>
        <v>-0.6466666666667038</v>
      </c>
      <c r="Z11" s="3">
        <f t="shared" si="2"/>
        <v>0</v>
      </c>
      <c r="AD11" t="s">
        <v>6</v>
      </c>
    </row>
    <row r="12" spans="1:32" x14ac:dyDescent="0.25">
      <c r="A12" s="1">
        <v>43160</v>
      </c>
      <c r="B12" s="2">
        <v>3.835</v>
      </c>
      <c r="C12" s="2">
        <v>69.724000000000004</v>
      </c>
      <c r="D12" s="2"/>
      <c r="E12" s="2"/>
      <c r="F12" s="2"/>
      <c r="H12" s="1">
        <v>43160</v>
      </c>
      <c r="I12" s="2">
        <v>3.8170000000000002</v>
      </c>
      <c r="J12" s="2">
        <v>66.668999999999997</v>
      </c>
      <c r="K12" s="2"/>
      <c r="L12" s="2"/>
      <c r="M12" s="2"/>
      <c r="O12" s="1">
        <v>43160</v>
      </c>
      <c r="P12" s="2">
        <f t="shared" si="0"/>
        <v>1.7999999999999794E-2</v>
      </c>
      <c r="Q12" s="2">
        <f t="shared" si="1"/>
        <v>3.0550000000000068</v>
      </c>
      <c r="R12" s="2"/>
      <c r="S12" s="2"/>
      <c r="T12" s="2"/>
    </row>
    <row r="13" spans="1:32" x14ac:dyDescent="0.25">
      <c r="A13" s="1">
        <v>43191</v>
      </c>
      <c r="B13" s="2">
        <v>3.835</v>
      </c>
      <c r="C13" s="2">
        <v>69.718999999999994</v>
      </c>
      <c r="D13" s="2"/>
      <c r="E13" s="2"/>
      <c r="F13" s="2"/>
      <c r="H13" s="1">
        <v>43191</v>
      </c>
      <c r="I13" s="2">
        <v>3.8170000000000002</v>
      </c>
      <c r="J13" s="2">
        <v>66.662999999999997</v>
      </c>
      <c r="K13" s="2"/>
      <c r="L13" s="2"/>
      <c r="M13" s="2"/>
      <c r="O13" s="1">
        <v>43191</v>
      </c>
      <c r="P13" s="2">
        <f t="shared" si="0"/>
        <v>1.7999999999999794E-2</v>
      </c>
      <c r="Q13" s="2">
        <f t="shared" si="1"/>
        <v>3.0559999999999974</v>
      </c>
      <c r="R13" s="2"/>
      <c r="S13" s="2"/>
      <c r="T13" s="2"/>
      <c r="V13" s="1">
        <v>42887</v>
      </c>
      <c r="W13">
        <v>175</v>
      </c>
      <c r="X13">
        <v>32</v>
      </c>
      <c r="Y13" s="2">
        <v>94.5833333333333</v>
      </c>
      <c r="Z13">
        <v>99.12</v>
      </c>
      <c r="AA13">
        <v>3.4984047824745899</v>
      </c>
      <c r="AC13">
        <v>3.88</v>
      </c>
      <c r="AD13" t="s">
        <v>14</v>
      </c>
      <c r="AE13">
        <f>AC13*100+Z13-(AA14*100+W13/4+X13)</f>
        <v>61.529521752540006</v>
      </c>
      <c r="AF13">
        <f>AC13*100+Z13-(AA13*100+Y13)</f>
        <v>42.696188419207715</v>
      </c>
    </row>
    <row r="14" spans="1:32" x14ac:dyDescent="0.25">
      <c r="A14" s="1">
        <v>43221</v>
      </c>
      <c r="B14" s="2">
        <v>3.835</v>
      </c>
      <c r="C14" s="2">
        <v>69.715000000000003</v>
      </c>
      <c r="D14" s="2"/>
      <c r="E14" s="2"/>
      <c r="F14" s="2"/>
      <c r="H14" s="1">
        <v>43221</v>
      </c>
      <c r="I14" s="2">
        <v>3.8170000000000002</v>
      </c>
      <c r="J14" s="2">
        <v>66.659000000000006</v>
      </c>
      <c r="K14" s="2"/>
      <c r="L14" s="2"/>
      <c r="M14" s="2"/>
      <c r="O14" s="1">
        <v>43221</v>
      </c>
      <c r="P14" s="2">
        <f t="shared" si="0"/>
        <v>1.7999999999999794E-2</v>
      </c>
      <c r="Q14" s="2">
        <f t="shared" si="1"/>
        <v>3.0559999999999974</v>
      </c>
      <c r="R14" s="2"/>
      <c r="S14" s="2"/>
      <c r="T14" s="2"/>
      <c r="W14">
        <v>189.06</v>
      </c>
      <c r="X14">
        <v>33.42</v>
      </c>
      <c r="Y14">
        <v>95.21</v>
      </c>
      <c r="Z14">
        <v>99.12</v>
      </c>
      <c r="AA14">
        <v>3.4984047824746001</v>
      </c>
      <c r="AB14">
        <v>3.871</v>
      </c>
      <c r="AC14">
        <v>3.88</v>
      </c>
      <c r="AD14" t="s">
        <v>15</v>
      </c>
      <c r="AE14">
        <f>AA14-AB14</f>
        <v>-0.37259521752539992</v>
      </c>
    </row>
    <row r="15" spans="1:32" x14ac:dyDescent="0.25">
      <c r="A15" s="1">
        <v>43252</v>
      </c>
      <c r="B15" s="2">
        <v>3.835</v>
      </c>
      <c r="C15" s="2">
        <v>69.712000000000003</v>
      </c>
      <c r="D15" s="2"/>
      <c r="E15" s="2"/>
      <c r="F15" s="2"/>
      <c r="H15" s="1">
        <v>43252</v>
      </c>
      <c r="I15" s="2">
        <v>3.8170000000000002</v>
      </c>
      <c r="J15" s="2">
        <v>66.653999999999996</v>
      </c>
      <c r="K15" s="2"/>
      <c r="L15" s="2"/>
      <c r="M15" s="2"/>
      <c r="O15" s="1">
        <v>43252</v>
      </c>
      <c r="P15" s="2">
        <f t="shared" si="0"/>
        <v>1.7999999999999794E-2</v>
      </c>
      <c r="Q15" s="2">
        <f t="shared" si="1"/>
        <v>3.0580000000000069</v>
      </c>
      <c r="R15" s="2"/>
      <c r="S15" s="2"/>
      <c r="T15" s="2"/>
      <c r="W15" s="3">
        <f>W13-W14</f>
        <v>-14.060000000000002</v>
      </c>
      <c r="X15" s="3">
        <f t="shared" ref="X15" si="3">X13-X14</f>
        <v>-1.4200000000000017</v>
      </c>
      <c r="Y15" s="3">
        <f t="shared" ref="Y15" si="4">Y13-Y14</f>
        <v>-0.62666666666669357</v>
      </c>
      <c r="Z15" s="3">
        <f t="shared" ref="Z15" si="5">Z13-Z14</f>
        <v>0</v>
      </c>
      <c r="AD15" t="s">
        <v>6</v>
      </c>
    </row>
    <row r="16" spans="1:32" x14ac:dyDescent="0.25">
      <c r="A16" s="1">
        <v>43282</v>
      </c>
      <c r="B16" s="2">
        <v>3.835</v>
      </c>
      <c r="C16" s="2">
        <v>69.707999999999998</v>
      </c>
      <c r="D16" s="2"/>
      <c r="E16" s="2"/>
      <c r="F16" s="2"/>
      <c r="H16" s="1">
        <v>43282</v>
      </c>
      <c r="I16" s="2">
        <v>3.8170000000000002</v>
      </c>
      <c r="J16" s="2">
        <v>66.650000000000006</v>
      </c>
      <c r="K16" s="2"/>
      <c r="L16" s="2"/>
      <c r="M16" s="2"/>
      <c r="O16" s="1">
        <v>43282</v>
      </c>
      <c r="P16" s="2">
        <f t="shared" si="0"/>
        <v>1.7999999999999794E-2</v>
      </c>
      <c r="Q16" s="2">
        <f t="shared" si="1"/>
        <v>3.0579999999999927</v>
      </c>
      <c r="R16" s="2"/>
      <c r="S16" s="2"/>
      <c r="T16" s="2"/>
    </row>
    <row r="17" spans="1:20" x14ac:dyDescent="0.25">
      <c r="A17" s="1">
        <v>43313</v>
      </c>
      <c r="B17" s="2">
        <v>3.835</v>
      </c>
      <c r="C17" s="2">
        <v>69.703999999999994</v>
      </c>
      <c r="D17" s="2"/>
      <c r="E17" s="2"/>
      <c r="F17" s="2"/>
      <c r="H17" s="1">
        <v>43313</v>
      </c>
      <c r="I17" s="2">
        <v>3.8170000000000002</v>
      </c>
      <c r="J17" s="2">
        <v>66.644999999999996</v>
      </c>
      <c r="K17" s="2"/>
      <c r="L17" s="2"/>
      <c r="M17" s="2"/>
      <c r="O17" s="1">
        <v>43313</v>
      </c>
      <c r="P17" s="2">
        <f t="shared" si="0"/>
        <v>1.7999999999999794E-2</v>
      </c>
      <c r="Q17" s="2">
        <f t="shared" si="1"/>
        <v>3.0589999999999975</v>
      </c>
      <c r="R17" s="2"/>
      <c r="S17" s="2"/>
      <c r="T17" s="2"/>
    </row>
    <row r="18" spans="1:20" x14ac:dyDescent="0.25">
      <c r="A18" s="1">
        <v>43344</v>
      </c>
      <c r="B18" s="2">
        <v>3.835</v>
      </c>
      <c r="C18" s="2">
        <v>69.700999999999993</v>
      </c>
      <c r="D18" s="2"/>
      <c r="E18" s="2"/>
      <c r="F18" s="2"/>
      <c r="H18" s="1">
        <v>43344</v>
      </c>
      <c r="I18" s="2">
        <v>3.8170000000000002</v>
      </c>
      <c r="J18" s="2">
        <v>66.641000000000005</v>
      </c>
      <c r="K18" s="2"/>
      <c r="L18" s="2"/>
      <c r="M18" s="2"/>
      <c r="O18" s="1">
        <v>43344</v>
      </c>
      <c r="P18" s="2">
        <f t="shared" si="0"/>
        <v>1.7999999999999794E-2</v>
      </c>
      <c r="Q18" s="2">
        <f t="shared" si="1"/>
        <v>3.0599999999999881</v>
      </c>
      <c r="R18" s="2"/>
      <c r="S18" s="2"/>
      <c r="T18" s="2"/>
    </row>
    <row r="19" spans="1:20" x14ac:dyDescent="0.25">
      <c r="A19" s="1">
        <v>43374</v>
      </c>
      <c r="B19" s="2">
        <v>3.835</v>
      </c>
      <c r="C19" s="2">
        <v>69.697000000000003</v>
      </c>
      <c r="D19" s="2"/>
      <c r="E19" s="2"/>
      <c r="F19" s="2"/>
      <c r="H19" s="1">
        <v>43374</v>
      </c>
      <c r="I19" s="2">
        <v>3.8170000000000002</v>
      </c>
      <c r="J19" s="2">
        <v>66.637</v>
      </c>
      <c r="K19" s="2"/>
      <c r="L19" s="2"/>
      <c r="M19" s="2"/>
      <c r="O19" s="1">
        <v>43374</v>
      </c>
      <c r="P19" s="2">
        <f t="shared" si="0"/>
        <v>1.7999999999999794E-2</v>
      </c>
      <c r="Q19" s="2">
        <f t="shared" si="1"/>
        <v>3.0600000000000023</v>
      </c>
      <c r="R19" s="2"/>
      <c r="S19" s="2"/>
      <c r="T19" s="2"/>
    </row>
    <row r="20" spans="1:20" x14ac:dyDescent="0.25">
      <c r="A20" s="1">
        <v>43405</v>
      </c>
      <c r="B20" s="2">
        <v>3.835</v>
      </c>
      <c r="C20" s="2">
        <v>69.694000000000003</v>
      </c>
      <c r="D20" s="2"/>
      <c r="E20" s="2"/>
      <c r="F20" s="2"/>
      <c r="H20" s="1">
        <v>43405</v>
      </c>
      <c r="I20" s="2">
        <v>3.8170000000000002</v>
      </c>
      <c r="J20" s="2">
        <v>66.632000000000005</v>
      </c>
      <c r="K20" s="2"/>
      <c r="L20" s="2"/>
      <c r="M20" s="2"/>
      <c r="O20" s="1">
        <v>43405</v>
      </c>
      <c r="P20" s="2">
        <f t="shared" si="0"/>
        <v>1.7999999999999794E-2</v>
      </c>
      <c r="Q20" s="2">
        <f t="shared" si="1"/>
        <v>3.0619999999999976</v>
      </c>
      <c r="R20" s="2"/>
      <c r="S20" s="2"/>
      <c r="T20" s="2"/>
    </row>
    <row r="21" spans="1:20" x14ac:dyDescent="0.25">
      <c r="A21" s="1">
        <v>43435</v>
      </c>
      <c r="B21" s="2">
        <v>3.835</v>
      </c>
      <c r="C21" s="2">
        <v>69.691000000000003</v>
      </c>
      <c r="D21" s="2"/>
      <c r="E21" s="2"/>
      <c r="F21" s="2"/>
      <c r="H21" s="1">
        <v>43435</v>
      </c>
      <c r="I21" s="2">
        <v>3.8170000000000002</v>
      </c>
      <c r="J21" s="2">
        <v>66.628</v>
      </c>
      <c r="K21" s="2"/>
      <c r="L21" s="2"/>
      <c r="M21" s="2"/>
      <c r="O21" s="1">
        <v>43435</v>
      </c>
      <c r="P21" s="2">
        <f t="shared" si="0"/>
        <v>1.7999999999999794E-2</v>
      </c>
      <c r="Q21" s="2">
        <f t="shared" si="1"/>
        <v>3.0630000000000024</v>
      </c>
      <c r="R21" s="2"/>
      <c r="S21" s="2"/>
      <c r="T21" s="2"/>
    </row>
    <row r="22" spans="1:20" x14ac:dyDescent="0.25">
      <c r="A22" s="1">
        <v>43466</v>
      </c>
      <c r="B22" s="2">
        <v>3.835</v>
      </c>
      <c r="C22" s="2">
        <v>69.688000000000002</v>
      </c>
      <c r="D22" s="2"/>
      <c r="E22" s="2"/>
      <c r="F22" s="2"/>
      <c r="H22" s="1">
        <v>43466</v>
      </c>
      <c r="I22" s="2">
        <v>3.8170000000000002</v>
      </c>
      <c r="J22" s="2">
        <v>68.034000000000006</v>
      </c>
      <c r="K22" s="2"/>
      <c r="L22" s="2"/>
      <c r="M22" s="2"/>
      <c r="O22" s="1">
        <v>43466</v>
      </c>
      <c r="P22" s="2">
        <f t="shared" si="0"/>
        <v>1.7999999999999794E-2</v>
      </c>
      <c r="Q22" s="2">
        <f t="shared" si="1"/>
        <v>1.6539999999999964</v>
      </c>
      <c r="R22" s="2"/>
      <c r="S22" s="2"/>
      <c r="T22" s="2"/>
    </row>
    <row r="23" spans="1:20" x14ac:dyDescent="0.25">
      <c r="A23" s="1">
        <v>43497</v>
      </c>
      <c r="B23" s="2">
        <v>3.835</v>
      </c>
      <c r="C23" s="2">
        <v>95.742000000000004</v>
      </c>
      <c r="D23" s="2"/>
      <c r="E23" s="2"/>
      <c r="F23" s="2"/>
      <c r="H23" s="1">
        <v>43497</v>
      </c>
      <c r="I23" s="2">
        <v>3.8170000000000002</v>
      </c>
      <c r="J23" s="2">
        <v>93.722999999999999</v>
      </c>
      <c r="K23" s="2"/>
      <c r="L23" s="2"/>
      <c r="M23" s="2"/>
      <c r="O23" s="1">
        <v>43497</v>
      </c>
      <c r="P23" s="2">
        <f t="shared" si="0"/>
        <v>1.7999999999999794E-2</v>
      </c>
      <c r="Q23" s="2">
        <f t="shared" si="1"/>
        <v>2.0190000000000055</v>
      </c>
      <c r="R23" s="2"/>
      <c r="S23" s="2"/>
      <c r="T23" s="2"/>
    </row>
    <row r="24" spans="1:20" x14ac:dyDescent="0.25">
      <c r="A24" s="1">
        <v>43525</v>
      </c>
      <c r="B24" s="2">
        <v>3.835</v>
      </c>
      <c r="C24" s="2">
        <v>96.200999999999993</v>
      </c>
      <c r="D24" s="2"/>
      <c r="E24" s="2"/>
      <c r="F24" s="2"/>
      <c r="H24" s="1">
        <v>43525</v>
      </c>
      <c r="I24" s="2">
        <v>3.8170000000000002</v>
      </c>
      <c r="J24" s="2">
        <v>93.712000000000003</v>
      </c>
      <c r="K24" s="2"/>
      <c r="L24" s="2"/>
      <c r="M24" s="2"/>
      <c r="O24" s="1">
        <v>43525</v>
      </c>
      <c r="P24" s="2">
        <f t="shared" si="0"/>
        <v>1.7999999999999794E-2</v>
      </c>
      <c r="Q24" s="2">
        <f t="shared" si="1"/>
        <v>2.4889999999999901</v>
      </c>
      <c r="R24" s="2"/>
      <c r="S24" s="2"/>
      <c r="T24" s="2"/>
    </row>
    <row r="25" spans="1:20" x14ac:dyDescent="0.25">
      <c r="A25" s="1">
        <v>43556</v>
      </c>
      <c r="B25" s="2">
        <v>3.835</v>
      </c>
      <c r="C25" s="2">
        <v>96.188000000000002</v>
      </c>
      <c r="D25" s="2"/>
      <c r="E25" s="2"/>
      <c r="F25" s="2"/>
      <c r="H25" s="1">
        <v>43556</v>
      </c>
      <c r="I25" s="2">
        <v>3.8170000000000002</v>
      </c>
      <c r="J25" s="2">
        <v>93.700999999999993</v>
      </c>
      <c r="K25" s="2"/>
      <c r="L25" s="2"/>
      <c r="M25" s="2"/>
      <c r="O25" s="1">
        <v>43556</v>
      </c>
      <c r="P25" s="2">
        <f t="shared" si="0"/>
        <v>1.7999999999999794E-2</v>
      </c>
      <c r="Q25" s="2">
        <f t="shared" si="1"/>
        <v>2.487000000000009</v>
      </c>
      <c r="R25" s="2"/>
      <c r="S25" s="2"/>
      <c r="T25" s="2"/>
    </row>
    <row r="26" spans="1:20" x14ac:dyDescent="0.25">
      <c r="B26" s="2"/>
      <c r="C26" s="2"/>
      <c r="D26" s="2"/>
      <c r="E26" s="2"/>
      <c r="F26" s="2"/>
      <c r="I26" s="2"/>
      <c r="J26" s="2"/>
      <c r="K26" s="2"/>
      <c r="L26" s="2"/>
      <c r="M26" s="2"/>
      <c r="O26" s="1"/>
      <c r="P26" s="2"/>
      <c r="Q26" s="2"/>
      <c r="R26" s="2"/>
      <c r="S26" s="2"/>
      <c r="T26" s="2"/>
    </row>
    <row r="27" spans="1:20" x14ac:dyDescent="0.25">
      <c r="B27" s="2"/>
      <c r="C27" s="2"/>
      <c r="D27" s="2"/>
      <c r="E27" s="2"/>
      <c r="F27" s="2"/>
      <c r="O27" s="1"/>
    </row>
    <row r="28" spans="1:20" x14ac:dyDescent="0.25">
      <c r="O28" s="1"/>
    </row>
    <row r="29" spans="1:20" x14ac:dyDescent="0.25">
      <c r="O29" s="1"/>
    </row>
    <row r="30" spans="1:20" x14ac:dyDescent="0.25">
      <c r="O30" s="1"/>
    </row>
    <row r="31" spans="1:20" x14ac:dyDescent="0.25">
      <c r="O31" s="1"/>
    </row>
    <row r="32" spans="1:20" x14ac:dyDescent="0.25">
      <c r="O32" s="1"/>
    </row>
    <row r="33" spans="15:15" x14ac:dyDescent="0.25">
      <c r="O33" s="1"/>
    </row>
    <row r="34" spans="15:15" x14ac:dyDescent="0.25">
      <c r="O34" s="1"/>
    </row>
    <row r="35" spans="15:15" x14ac:dyDescent="0.25">
      <c r="O35" s="1"/>
    </row>
    <row r="36" spans="15:15" x14ac:dyDescent="0.25">
      <c r="O36" s="1"/>
    </row>
    <row r="37" spans="15:15" x14ac:dyDescent="0.25">
      <c r="O37" s="1"/>
    </row>
    <row r="38" spans="15:15" x14ac:dyDescent="0.25">
      <c r="O38" s="1"/>
    </row>
    <row r="39" spans="15:15" x14ac:dyDescent="0.25">
      <c r="O39" s="1"/>
    </row>
    <row r="40" spans="15:15" x14ac:dyDescent="0.25">
      <c r="O40" s="1"/>
    </row>
    <row r="41" spans="15:15" x14ac:dyDescent="0.25">
      <c r="O41" s="1"/>
    </row>
    <row r="42" spans="15:15" x14ac:dyDescent="0.25">
      <c r="O42" s="1"/>
    </row>
    <row r="43" spans="15:15" x14ac:dyDescent="0.25">
      <c r="O43" s="1"/>
    </row>
    <row r="44" spans="15:15" x14ac:dyDescent="0.25">
      <c r="O44" s="1"/>
    </row>
    <row r="45" spans="15:15" x14ac:dyDescent="0.25">
      <c r="O45" s="1"/>
    </row>
    <row r="46" spans="15:15" x14ac:dyDescent="0.25">
      <c r="O46" s="1"/>
    </row>
    <row r="47" spans="15:15" x14ac:dyDescent="0.25">
      <c r="O47" s="1"/>
    </row>
    <row r="48" spans="15:15" x14ac:dyDescent="0.25">
      <c r="O48" s="1"/>
    </row>
    <row r="49" spans="15:15" x14ac:dyDescent="0.25">
      <c r="O49" s="1"/>
    </row>
    <row r="50" spans="15:15" x14ac:dyDescent="0.25">
      <c r="O50" s="1"/>
    </row>
    <row r="51" spans="15:15" x14ac:dyDescent="0.25">
      <c r="O51" s="1"/>
    </row>
    <row r="52" spans="15:15" x14ac:dyDescent="0.25">
      <c r="O52" s="1"/>
    </row>
    <row r="53" spans="15:15" x14ac:dyDescent="0.25">
      <c r="O53" s="1"/>
    </row>
    <row r="54" spans="15:15" x14ac:dyDescent="0.25">
      <c r="O54" s="1"/>
    </row>
    <row r="55" spans="15:15" x14ac:dyDescent="0.25">
      <c r="O55" s="1"/>
    </row>
    <row r="56" spans="15:15" x14ac:dyDescent="0.25">
      <c r="O56" s="1"/>
    </row>
    <row r="57" spans="15:15" x14ac:dyDescent="0.25">
      <c r="O57" s="1"/>
    </row>
    <row r="58" spans="15:15" x14ac:dyDescent="0.25">
      <c r="O58" s="1"/>
    </row>
    <row r="59" spans="15:15" x14ac:dyDescent="0.25">
      <c r="O59" s="1"/>
    </row>
    <row r="60" spans="15:15" x14ac:dyDescent="0.25">
      <c r="O60" s="1"/>
    </row>
    <row r="61" spans="15:15" x14ac:dyDescent="0.25">
      <c r="O61" s="1"/>
    </row>
    <row r="62" spans="15:15" x14ac:dyDescent="0.25">
      <c r="O6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workbookViewId="0">
      <selection activeCell="C3" sqref="C3:C26"/>
    </sheetView>
  </sheetViews>
  <sheetFormatPr defaultRowHeight="15" x14ac:dyDescent="0.25"/>
  <cols>
    <col min="1" max="1" width="9.7109375" style="1" bestFit="1" customWidth="1"/>
    <col min="2" max="4" width="9.28515625" bestFit="1" customWidth="1"/>
    <col min="5" max="5" width="9.5703125" bestFit="1" customWidth="1"/>
    <col min="6" max="6" width="9.7109375" style="1" bestFit="1" customWidth="1"/>
    <col min="11" max="11" width="13.5703125" bestFit="1" customWidth="1"/>
    <col min="19" max="19" width="14.42578125" bestFit="1" customWidth="1"/>
    <col min="20" max="20" width="20" bestFit="1" customWidth="1"/>
    <col min="21" max="21" width="18.7109375" bestFit="1" customWidth="1"/>
  </cols>
  <sheetData>
    <row r="1" spans="1:29" x14ac:dyDescent="0.25">
      <c r="A1" t="s">
        <v>8</v>
      </c>
      <c r="B1" t="s">
        <v>19</v>
      </c>
      <c r="F1" t="s">
        <v>7</v>
      </c>
      <c r="G1" t="s">
        <v>19</v>
      </c>
    </row>
    <row r="2" spans="1:29" x14ac:dyDescent="0.25">
      <c r="A2" s="1" t="s">
        <v>0</v>
      </c>
      <c r="B2" t="s">
        <v>1</v>
      </c>
      <c r="C2" t="s">
        <v>2</v>
      </c>
      <c r="F2" s="1" t="s">
        <v>0</v>
      </c>
      <c r="G2" t="s">
        <v>1</v>
      </c>
      <c r="H2" t="s">
        <v>2</v>
      </c>
      <c r="K2" t="s">
        <v>0</v>
      </c>
      <c r="L2" t="s">
        <v>1</v>
      </c>
      <c r="M2" t="s">
        <v>2</v>
      </c>
      <c r="S2" t="s">
        <v>4</v>
      </c>
      <c r="T2" t="s">
        <v>3</v>
      </c>
      <c r="U2" t="s">
        <v>5</v>
      </c>
      <c r="W2" t="s">
        <v>9</v>
      </c>
    </row>
    <row r="3" spans="1:29" x14ac:dyDescent="0.25">
      <c r="C3" t="s">
        <v>2</v>
      </c>
      <c r="F3" s="1">
        <v>42887</v>
      </c>
      <c r="G3" s="2">
        <v>3.871</v>
      </c>
      <c r="H3" s="2">
        <v>32.273000000000003</v>
      </c>
      <c r="I3" s="2"/>
      <c r="J3" s="2"/>
      <c r="R3" s="1">
        <v>42917</v>
      </c>
      <c r="S3" s="2">
        <v>63.049999999999898</v>
      </c>
      <c r="T3" s="2">
        <v>73.325217962518295</v>
      </c>
      <c r="U3" s="2">
        <v>-10.275217962518299</v>
      </c>
      <c r="W3" s="4">
        <v>3.3807478203748098</v>
      </c>
      <c r="X3" s="2"/>
    </row>
    <row r="4" spans="1:29" x14ac:dyDescent="0.25">
      <c r="A4" s="1">
        <v>42917</v>
      </c>
      <c r="B4" s="2">
        <v>3.778</v>
      </c>
      <c r="C4" s="2">
        <v>50.673000000000002</v>
      </c>
      <c r="D4" s="2"/>
      <c r="E4" s="2"/>
      <c r="F4" s="1">
        <v>42917</v>
      </c>
      <c r="G4" s="2">
        <v>3.778</v>
      </c>
      <c r="H4" s="2">
        <v>41.555</v>
      </c>
      <c r="I4" s="2"/>
      <c r="J4" s="2"/>
      <c r="K4" s="1">
        <v>42917</v>
      </c>
      <c r="L4" s="2">
        <f>B4-G4</f>
        <v>0</v>
      </c>
      <c r="M4" s="2">
        <f>C4-H4</f>
        <v>9.1180000000000021</v>
      </c>
      <c r="N4" s="2"/>
      <c r="O4" s="2"/>
      <c r="P4" s="2"/>
      <c r="R4" s="1">
        <v>42887</v>
      </c>
      <c r="S4" s="2">
        <v>45.21</v>
      </c>
      <c r="T4" s="2">
        <v>61.529521752539999</v>
      </c>
      <c r="U4" s="2">
        <v>-16.319521752539998</v>
      </c>
      <c r="W4" s="4">
        <v>3.4984047824745899</v>
      </c>
      <c r="X4" s="2"/>
    </row>
    <row r="5" spans="1:29" x14ac:dyDescent="0.25">
      <c r="A5" s="1">
        <v>42948</v>
      </c>
      <c r="B5" s="2">
        <v>3.851</v>
      </c>
      <c r="C5" s="2">
        <v>43.368000000000002</v>
      </c>
      <c r="D5" s="2"/>
      <c r="E5" s="2"/>
      <c r="F5" s="1">
        <v>42948</v>
      </c>
      <c r="G5" s="2">
        <v>3.8540000000000001</v>
      </c>
      <c r="H5" s="2">
        <v>33.933999999999997</v>
      </c>
      <c r="I5" s="2"/>
      <c r="J5" s="2"/>
      <c r="K5" s="1">
        <v>42948</v>
      </c>
      <c r="L5" s="2">
        <f>B5-G5</f>
        <v>-3.0000000000001137E-3</v>
      </c>
      <c r="M5" s="2">
        <f>C5-H5</f>
        <v>9.4340000000000046</v>
      </c>
      <c r="N5" s="2"/>
      <c r="O5" s="2"/>
      <c r="P5" s="2"/>
    </row>
    <row r="6" spans="1:29" x14ac:dyDescent="0.25">
      <c r="A6" s="1">
        <v>42979</v>
      </c>
      <c r="B6" s="2">
        <v>3.835</v>
      </c>
      <c r="C6" s="2">
        <v>44.939</v>
      </c>
      <c r="D6" s="2"/>
      <c r="E6" s="2"/>
      <c r="F6" s="1">
        <v>42979</v>
      </c>
      <c r="G6" s="2">
        <v>3.8170000000000002</v>
      </c>
      <c r="H6" s="2">
        <v>37.643000000000001</v>
      </c>
      <c r="I6" s="2"/>
      <c r="J6" s="2"/>
      <c r="K6" s="1">
        <v>42979</v>
      </c>
      <c r="L6" s="2">
        <f>B6-G6</f>
        <v>1.7999999999999794E-2</v>
      </c>
      <c r="M6" s="2">
        <f>C6-H6</f>
        <v>7.2959999999999994</v>
      </c>
      <c r="N6" s="2"/>
      <c r="O6" s="2"/>
      <c r="P6" s="2"/>
      <c r="R6" t="s">
        <v>6</v>
      </c>
      <c r="S6" s="2">
        <f>S3-S4</f>
        <v>17.839999999999897</v>
      </c>
      <c r="T6" s="2">
        <f>T3-T4</f>
        <v>11.795696209978296</v>
      </c>
      <c r="U6" s="2">
        <f>U3-U4</f>
        <v>6.0443037900216989</v>
      </c>
      <c r="W6" s="2">
        <f>(W3-W4)*100</f>
        <v>-11.765696209978005</v>
      </c>
      <c r="X6" s="2"/>
    </row>
    <row r="7" spans="1:29" x14ac:dyDescent="0.25">
      <c r="A7" s="1">
        <v>43009</v>
      </c>
      <c r="B7" s="2">
        <v>3.835</v>
      </c>
      <c r="C7" s="5">
        <v>45.051000000000002</v>
      </c>
      <c r="D7" s="2"/>
      <c r="E7" s="2"/>
      <c r="F7" s="1">
        <v>43009</v>
      </c>
      <c r="G7" s="2">
        <v>3.8170000000000002</v>
      </c>
      <c r="H7" s="5">
        <v>37.752000000000002</v>
      </c>
      <c r="I7" s="2"/>
      <c r="J7" s="2"/>
      <c r="K7" s="1">
        <v>43009</v>
      </c>
      <c r="L7" s="2">
        <f>B7-G7</f>
        <v>1.7999999999999794E-2</v>
      </c>
      <c r="M7" s="2">
        <f>C7-H7</f>
        <v>7.2989999999999995</v>
      </c>
      <c r="N7" s="2"/>
      <c r="O7" s="2"/>
      <c r="P7" s="2"/>
    </row>
    <row r="8" spans="1:29" x14ac:dyDescent="0.25">
      <c r="A8" s="1">
        <v>43040</v>
      </c>
      <c r="B8" s="2">
        <v>3.835</v>
      </c>
      <c r="C8" s="5">
        <v>45.051000000000002</v>
      </c>
      <c r="D8" s="2"/>
      <c r="E8" s="2"/>
      <c r="F8" s="1">
        <v>43040</v>
      </c>
      <c r="G8" s="2">
        <v>3.8170000000000002</v>
      </c>
      <c r="H8" s="5">
        <v>37.752000000000002</v>
      </c>
      <c r="I8" s="2"/>
      <c r="J8" s="2"/>
      <c r="K8" s="1">
        <v>43040</v>
      </c>
      <c r="L8" s="2">
        <f>B8-G8</f>
        <v>1.7999999999999794E-2</v>
      </c>
      <c r="M8" s="2">
        <f>C8-H8</f>
        <v>7.2989999999999995</v>
      </c>
      <c r="N8" s="2"/>
      <c r="O8" s="2"/>
      <c r="P8" s="2"/>
      <c r="S8" t="s">
        <v>10</v>
      </c>
      <c r="T8" t="s">
        <v>11</v>
      </c>
      <c r="U8" t="s">
        <v>12</v>
      </c>
      <c r="V8" t="s">
        <v>13</v>
      </c>
      <c r="W8" t="s">
        <v>18</v>
      </c>
      <c r="X8" t="s">
        <v>17</v>
      </c>
      <c r="Y8" t="s">
        <v>16</v>
      </c>
    </row>
    <row r="9" spans="1:29" x14ac:dyDescent="0.25">
      <c r="A9" s="1">
        <v>43070</v>
      </c>
      <c r="B9" s="2">
        <v>3.835</v>
      </c>
      <c r="C9" s="2">
        <v>69.736000000000004</v>
      </c>
      <c r="D9" s="2"/>
      <c r="E9" s="2"/>
      <c r="F9" s="1">
        <v>43070</v>
      </c>
      <c r="G9" s="2">
        <v>3.8170000000000002</v>
      </c>
      <c r="H9" s="2">
        <v>61.908999999999999</v>
      </c>
      <c r="I9" s="2"/>
      <c r="J9" s="2"/>
      <c r="K9" s="1">
        <v>43070</v>
      </c>
      <c r="L9" s="2">
        <f>B9-G9</f>
        <v>1.7999999999999794E-2</v>
      </c>
      <c r="M9" s="2">
        <f>C9-H9</f>
        <v>7.8270000000000053</v>
      </c>
      <c r="N9" s="2"/>
      <c r="O9" s="2"/>
      <c r="P9" s="2"/>
      <c r="R9" s="1">
        <v>42917</v>
      </c>
      <c r="S9">
        <v>175</v>
      </c>
      <c r="T9">
        <v>32</v>
      </c>
      <c r="U9" s="2">
        <v>94.5833333333333</v>
      </c>
      <c r="V9">
        <v>99.15</v>
      </c>
      <c r="W9" s="4">
        <v>3.3807478203748098</v>
      </c>
      <c r="X9" s="4"/>
      <c r="Y9">
        <v>3.8799999999999901</v>
      </c>
      <c r="Z9" t="s">
        <v>14</v>
      </c>
      <c r="AA9">
        <f>Y9*100+V9-(W9*100+S9/4+T9)</f>
        <v>73.325217962518082</v>
      </c>
      <c r="AB9">
        <f>Y9*100+V9-(W10*100+U9)</f>
        <v>54.491884629184767</v>
      </c>
    </row>
    <row r="10" spans="1:29" x14ac:dyDescent="0.25">
      <c r="A10" s="1">
        <v>43101</v>
      </c>
      <c r="B10" s="2">
        <v>3.835</v>
      </c>
      <c r="C10" s="2">
        <v>69.730999999999995</v>
      </c>
      <c r="D10" s="2"/>
      <c r="E10" s="2"/>
      <c r="F10" s="1">
        <v>43101</v>
      </c>
      <c r="G10" s="2">
        <v>3.8170000000000002</v>
      </c>
      <c r="H10" s="2">
        <v>61.904000000000003</v>
      </c>
      <c r="I10" s="2"/>
      <c r="J10" s="2"/>
      <c r="K10" s="1">
        <v>43101</v>
      </c>
      <c r="L10" s="2">
        <f>B10-G10</f>
        <v>1.7999999999999794E-2</v>
      </c>
      <c r="M10" s="2">
        <f>C10-H10</f>
        <v>7.8269999999999911</v>
      </c>
      <c r="N10" s="2"/>
      <c r="O10" s="2"/>
      <c r="P10" s="2"/>
      <c r="S10">
        <v>189.75</v>
      </c>
      <c r="T10">
        <v>33.19</v>
      </c>
      <c r="U10">
        <v>95.23</v>
      </c>
      <c r="V10">
        <v>99.15</v>
      </c>
      <c r="W10" s="4">
        <v>3.3807478203748098</v>
      </c>
      <c r="X10" s="4">
        <v>3.7781818181818099</v>
      </c>
      <c r="Y10">
        <v>3.88</v>
      </c>
      <c r="Z10" t="s">
        <v>15</v>
      </c>
      <c r="AA10">
        <f>Y10*100+V10-(W10*100+S10/4+T10)</f>
        <v>68.447717962518993</v>
      </c>
      <c r="AB10">
        <f>Y10*100+V10-(X10*100+U10)</f>
        <v>14.101818181818999</v>
      </c>
      <c r="AC10" s="4">
        <f>W10-X10</f>
        <v>-0.39743399780700006</v>
      </c>
    </row>
    <row r="11" spans="1:29" x14ac:dyDescent="0.25">
      <c r="A11" s="1">
        <v>43132</v>
      </c>
      <c r="B11" s="2">
        <v>3.835</v>
      </c>
      <c r="C11" s="2">
        <v>69.727999999999994</v>
      </c>
      <c r="D11" s="2"/>
      <c r="E11" s="2"/>
      <c r="F11" s="1">
        <v>43132</v>
      </c>
      <c r="G11" s="2">
        <v>3.8170000000000002</v>
      </c>
      <c r="H11" s="2">
        <v>61.899000000000001</v>
      </c>
      <c r="I11" s="2"/>
      <c r="J11" s="2"/>
      <c r="K11" s="1">
        <v>43132</v>
      </c>
      <c r="L11" s="2">
        <f>B11-G11</f>
        <v>1.7999999999999794E-2</v>
      </c>
      <c r="M11" s="2">
        <f>C11-H11</f>
        <v>7.8289999999999935</v>
      </c>
      <c r="N11" s="2"/>
      <c r="O11" s="2"/>
      <c r="P11" s="2"/>
      <c r="S11" s="3">
        <f>S9-S10</f>
        <v>-14.75</v>
      </c>
      <c r="T11" s="3">
        <f t="shared" ref="T11:V11" si="0">T9-T10</f>
        <v>-1.1899999999999977</v>
      </c>
      <c r="U11" s="3">
        <f t="shared" si="0"/>
        <v>-0.6466666666667038</v>
      </c>
      <c r="V11" s="3">
        <f t="shared" si="0"/>
        <v>0</v>
      </c>
      <c r="W11" s="4"/>
      <c r="X11" s="4"/>
      <c r="Z11" t="s">
        <v>6</v>
      </c>
    </row>
    <row r="12" spans="1:29" x14ac:dyDescent="0.25">
      <c r="A12" s="1">
        <v>43160</v>
      </c>
      <c r="B12" s="2">
        <v>3.835</v>
      </c>
      <c r="C12" s="2">
        <v>69.724000000000004</v>
      </c>
      <c r="D12" s="2"/>
      <c r="E12" s="2"/>
      <c r="F12" s="1">
        <v>43160</v>
      </c>
      <c r="G12" s="2">
        <v>3.8170000000000002</v>
      </c>
      <c r="H12" s="2">
        <v>61.893000000000001</v>
      </c>
      <c r="I12" s="2"/>
      <c r="J12" s="2"/>
      <c r="K12" s="1">
        <v>43160</v>
      </c>
      <c r="L12" s="2">
        <f>B12-G12</f>
        <v>1.7999999999999794E-2</v>
      </c>
      <c r="M12" s="2">
        <f>C12-H12</f>
        <v>7.8310000000000031</v>
      </c>
      <c r="N12" s="2"/>
      <c r="O12" s="2"/>
      <c r="P12" s="2"/>
      <c r="W12" s="4"/>
      <c r="X12" s="4"/>
    </row>
    <row r="13" spans="1:29" x14ac:dyDescent="0.25">
      <c r="A13" s="1">
        <v>43191</v>
      </c>
      <c r="B13" s="2">
        <v>3.835</v>
      </c>
      <c r="C13" s="2">
        <v>69.718999999999994</v>
      </c>
      <c r="D13" s="2"/>
      <c r="E13" s="2"/>
      <c r="F13" s="1">
        <v>43191</v>
      </c>
      <c r="G13" s="2">
        <v>3.8170000000000002</v>
      </c>
      <c r="H13" s="2">
        <v>61.887999999999998</v>
      </c>
      <c r="I13" s="2"/>
      <c r="J13" s="2"/>
      <c r="K13" s="1">
        <v>43191</v>
      </c>
      <c r="L13" s="2">
        <f>B13-G13</f>
        <v>1.7999999999999794E-2</v>
      </c>
      <c r="M13" s="2">
        <f>C13-H13</f>
        <v>7.830999999999996</v>
      </c>
      <c r="N13" s="2"/>
      <c r="O13" s="2"/>
      <c r="P13" s="2"/>
      <c r="R13" s="1">
        <v>42887</v>
      </c>
      <c r="S13">
        <v>175</v>
      </c>
      <c r="T13">
        <v>32</v>
      </c>
      <c r="U13" s="2">
        <v>94.5833333333333</v>
      </c>
      <c r="V13">
        <v>99.12</v>
      </c>
      <c r="W13" s="4">
        <v>3.4984047824745899</v>
      </c>
      <c r="X13" s="4"/>
      <c r="Y13">
        <v>3.88</v>
      </c>
      <c r="Z13" t="s">
        <v>14</v>
      </c>
      <c r="AA13">
        <f>Y13*100+V13-(W13*100+S13/4+T13)</f>
        <v>61.529521752541029</v>
      </c>
      <c r="AB13">
        <f>Y13*100+V13-(W13*100+U13)</f>
        <v>42.696188419207715</v>
      </c>
    </row>
    <row r="14" spans="1:29" x14ac:dyDescent="0.25">
      <c r="A14" s="1">
        <v>43221</v>
      </c>
      <c r="B14" s="2">
        <v>3.835</v>
      </c>
      <c r="C14" s="2">
        <v>69.715000000000003</v>
      </c>
      <c r="D14" s="2"/>
      <c r="E14" s="2"/>
      <c r="F14" s="1">
        <v>43221</v>
      </c>
      <c r="G14" s="2">
        <v>3.8170000000000002</v>
      </c>
      <c r="H14" s="2">
        <v>61.883000000000003</v>
      </c>
      <c r="I14" s="2"/>
      <c r="J14" s="2"/>
      <c r="K14" s="1">
        <v>43221</v>
      </c>
      <c r="L14" s="2">
        <f>B14-G14</f>
        <v>1.7999999999999794E-2</v>
      </c>
      <c r="M14" s="2">
        <f>C14-H14</f>
        <v>7.8320000000000007</v>
      </c>
      <c r="N14" s="2"/>
      <c r="O14" s="2"/>
      <c r="P14" s="2"/>
      <c r="S14">
        <v>189.06</v>
      </c>
      <c r="T14">
        <v>33.42</v>
      </c>
      <c r="U14">
        <v>95.21</v>
      </c>
      <c r="V14">
        <v>99.12</v>
      </c>
      <c r="W14" s="4">
        <v>3.4984047824746001</v>
      </c>
      <c r="X14" s="4">
        <v>3.871</v>
      </c>
      <c r="Y14">
        <v>3.88</v>
      </c>
      <c r="Z14" t="s">
        <v>15</v>
      </c>
      <c r="AA14">
        <f>Y14*100+V14-(W14*100+S14/4+T14)</f>
        <v>56.594521752540004</v>
      </c>
      <c r="AB14">
        <f>Y14*100+V14-(X14*100+U14)</f>
        <v>4.8100000000000023</v>
      </c>
      <c r="AC14" s="4">
        <f>W14-X14</f>
        <v>-0.37259521752539992</v>
      </c>
    </row>
    <row r="15" spans="1:29" x14ac:dyDescent="0.25">
      <c r="A15" s="1">
        <v>43252</v>
      </c>
      <c r="B15" s="2">
        <v>3.835</v>
      </c>
      <c r="C15" s="2">
        <v>69.712000000000003</v>
      </c>
      <c r="D15" s="2"/>
      <c r="E15" s="2"/>
      <c r="F15" s="1">
        <v>43252</v>
      </c>
      <c r="G15" s="2">
        <v>3.8170000000000002</v>
      </c>
      <c r="H15" s="2">
        <v>61.877000000000002</v>
      </c>
      <c r="I15" s="2"/>
      <c r="J15" s="2"/>
      <c r="K15" s="1">
        <v>43252</v>
      </c>
      <c r="L15" s="2">
        <f>B15-G15</f>
        <v>1.7999999999999794E-2</v>
      </c>
      <c r="M15" s="2">
        <f>C15-H15</f>
        <v>7.8350000000000009</v>
      </c>
      <c r="N15" s="2"/>
      <c r="O15" s="2"/>
      <c r="P15" s="2"/>
      <c r="S15" s="3">
        <f>S13-S14</f>
        <v>-14.060000000000002</v>
      </c>
      <c r="T15" s="3">
        <f t="shared" ref="T15:V15" si="1">T13-T14</f>
        <v>-1.4200000000000017</v>
      </c>
      <c r="U15" s="3">
        <f t="shared" si="1"/>
        <v>-0.62666666666669357</v>
      </c>
      <c r="V15" s="3">
        <f t="shared" si="1"/>
        <v>0</v>
      </c>
      <c r="Z15" t="s">
        <v>6</v>
      </c>
    </row>
    <row r="16" spans="1:29" x14ac:dyDescent="0.25">
      <c r="A16" s="1">
        <v>43282</v>
      </c>
      <c r="B16" s="2">
        <v>3.835</v>
      </c>
      <c r="C16" s="2">
        <v>69.707999999999998</v>
      </c>
      <c r="D16" s="2"/>
      <c r="E16" s="2"/>
      <c r="F16" s="1">
        <v>43282</v>
      </c>
      <c r="G16" s="2">
        <v>3.8170000000000002</v>
      </c>
      <c r="H16" s="2">
        <v>61.872</v>
      </c>
      <c r="I16" s="2"/>
      <c r="J16" s="2"/>
      <c r="K16" s="1">
        <v>43282</v>
      </c>
      <c r="L16" s="2">
        <f>B16-G16</f>
        <v>1.7999999999999794E-2</v>
      </c>
      <c r="M16" s="2">
        <f>C16-H16</f>
        <v>7.8359999999999985</v>
      </c>
      <c r="N16" s="2"/>
      <c r="O16" s="2"/>
      <c r="P16" s="2"/>
    </row>
    <row r="17" spans="1:29" x14ac:dyDescent="0.25">
      <c r="A17" s="1">
        <v>43313</v>
      </c>
      <c r="B17" s="2">
        <v>3.835</v>
      </c>
      <c r="C17" s="2">
        <v>69.703999999999994</v>
      </c>
      <c r="D17" s="2"/>
      <c r="E17" s="2"/>
      <c r="F17" s="1">
        <v>43313</v>
      </c>
      <c r="G17" s="2">
        <v>3.8170000000000002</v>
      </c>
      <c r="H17" s="2">
        <v>61.866999999999997</v>
      </c>
      <c r="I17" s="2"/>
      <c r="J17" s="2"/>
      <c r="K17" s="1">
        <v>43313</v>
      </c>
      <c r="L17" s="2">
        <f>B17-G17</f>
        <v>1.7999999999999794E-2</v>
      </c>
      <c r="M17" s="2">
        <f>C17-H17</f>
        <v>7.8369999999999962</v>
      </c>
      <c r="N17" s="2"/>
      <c r="O17" s="2"/>
      <c r="P17" s="2"/>
      <c r="AC17" s="4">
        <f>AC10-AC14</f>
        <v>-2.4838780281600137E-2</v>
      </c>
    </row>
    <row r="18" spans="1:29" x14ac:dyDescent="0.25">
      <c r="A18" s="1">
        <v>43344</v>
      </c>
      <c r="B18" s="2">
        <v>3.835</v>
      </c>
      <c r="C18" s="2">
        <v>69.700999999999993</v>
      </c>
      <c r="D18" s="2"/>
      <c r="E18" s="2"/>
      <c r="F18" s="1">
        <v>43344</v>
      </c>
      <c r="G18" s="2">
        <v>3.8170000000000002</v>
      </c>
      <c r="H18" s="2">
        <v>61.862000000000002</v>
      </c>
      <c r="I18" s="2"/>
      <c r="J18" s="2"/>
      <c r="K18" s="1">
        <v>43344</v>
      </c>
      <c r="L18" s="2">
        <f>B18-G18</f>
        <v>1.7999999999999794E-2</v>
      </c>
      <c r="M18" s="2">
        <f>C18-H18</f>
        <v>7.8389999999999915</v>
      </c>
      <c r="N18" s="2"/>
      <c r="O18" s="2"/>
      <c r="P18" s="2"/>
      <c r="W18" s="4">
        <f>W10-W14</f>
        <v>-0.11765696209979026</v>
      </c>
      <c r="X18" s="4">
        <f>X10-X14</f>
        <v>-9.2818181818190126E-2</v>
      </c>
    </row>
    <row r="19" spans="1:29" x14ac:dyDescent="0.25">
      <c r="A19" s="1">
        <v>43374</v>
      </c>
      <c r="B19" s="2">
        <v>3.835</v>
      </c>
      <c r="C19" s="2">
        <v>69.697000000000003</v>
      </c>
      <c r="D19" s="2"/>
      <c r="E19" s="2"/>
      <c r="F19" s="1">
        <v>43374</v>
      </c>
      <c r="G19" s="2">
        <v>3.8170000000000002</v>
      </c>
      <c r="H19" s="2">
        <v>61.857999999999997</v>
      </c>
      <c r="I19" s="2"/>
      <c r="J19" s="2"/>
      <c r="K19" s="1">
        <v>43374</v>
      </c>
      <c r="L19" s="2">
        <f>B19-G19</f>
        <v>1.7999999999999794E-2</v>
      </c>
      <c r="M19" s="2">
        <f>C19-H19</f>
        <v>7.8390000000000057</v>
      </c>
      <c r="N19" s="2"/>
      <c r="O19" s="2"/>
      <c r="P19" s="2"/>
    </row>
    <row r="20" spans="1:29" x14ac:dyDescent="0.25">
      <c r="A20" s="1">
        <v>43405</v>
      </c>
      <c r="B20" s="2">
        <v>3.835</v>
      </c>
      <c r="C20" s="2">
        <v>69.694000000000003</v>
      </c>
      <c r="D20" s="2"/>
      <c r="E20" s="2"/>
      <c r="F20" s="1">
        <v>43405</v>
      </c>
      <c r="G20" s="2">
        <v>3.8170000000000002</v>
      </c>
      <c r="H20" s="2">
        <v>61.853000000000002</v>
      </c>
      <c r="I20" s="2"/>
      <c r="J20" s="2"/>
      <c r="K20" s="1">
        <v>43405</v>
      </c>
      <c r="L20" s="2">
        <f>B20-G20</f>
        <v>1.7999999999999794E-2</v>
      </c>
      <c r="M20" s="2">
        <f>C20-H20</f>
        <v>7.8410000000000011</v>
      </c>
      <c r="N20" s="2"/>
      <c r="O20" s="2"/>
      <c r="P20" s="2"/>
    </row>
    <row r="21" spans="1:29" x14ac:dyDescent="0.25">
      <c r="A21" s="1">
        <v>43435</v>
      </c>
      <c r="B21" s="2">
        <v>3.835</v>
      </c>
      <c r="C21" s="2">
        <v>69.691000000000003</v>
      </c>
      <c r="D21" s="2"/>
      <c r="E21" s="2"/>
      <c r="F21" s="1">
        <v>43435</v>
      </c>
      <c r="G21" s="2">
        <v>3.8170000000000002</v>
      </c>
      <c r="H21" s="2">
        <v>61.848999999999997</v>
      </c>
      <c r="I21" s="2"/>
      <c r="J21" s="2"/>
      <c r="K21" s="1">
        <v>43435</v>
      </c>
      <c r="L21" s="2">
        <f>B21-G21</f>
        <v>1.7999999999999794E-2</v>
      </c>
      <c r="M21" s="2">
        <f>C21-H21</f>
        <v>7.8420000000000059</v>
      </c>
      <c r="N21" s="2"/>
      <c r="O21" s="2"/>
      <c r="P21" s="2"/>
    </row>
    <row r="22" spans="1:29" x14ac:dyDescent="0.25">
      <c r="A22" s="1">
        <v>43466</v>
      </c>
      <c r="B22" s="2">
        <v>3.835</v>
      </c>
      <c r="C22" s="2">
        <v>69.688000000000002</v>
      </c>
      <c r="D22" s="2"/>
      <c r="E22" s="2"/>
      <c r="F22" s="1">
        <v>43466</v>
      </c>
      <c r="G22" s="2">
        <v>3.8170000000000002</v>
      </c>
      <c r="H22" s="2">
        <v>63.256</v>
      </c>
      <c r="I22" s="2"/>
      <c r="J22" s="2"/>
      <c r="K22" s="1">
        <v>43466</v>
      </c>
      <c r="L22" s="2">
        <f>B22-G22</f>
        <v>1.7999999999999794E-2</v>
      </c>
      <c r="M22" s="2">
        <f>C22-H22</f>
        <v>6.4320000000000022</v>
      </c>
      <c r="N22" s="2"/>
      <c r="O22" s="2"/>
      <c r="P22" s="2"/>
    </row>
    <row r="23" spans="1:29" x14ac:dyDescent="0.25">
      <c r="A23" s="1">
        <v>43497</v>
      </c>
      <c r="B23" s="2">
        <v>3.835</v>
      </c>
      <c r="C23" s="2">
        <v>95.742000000000004</v>
      </c>
      <c r="D23" s="2"/>
      <c r="E23" s="2"/>
      <c r="F23" s="1">
        <v>43497</v>
      </c>
      <c r="G23" s="2">
        <v>3.8170000000000002</v>
      </c>
      <c r="H23" s="2">
        <v>88.94</v>
      </c>
      <c r="I23" s="2"/>
      <c r="J23" s="2"/>
      <c r="K23" s="1">
        <v>43497</v>
      </c>
      <c r="L23" s="2">
        <f>B23-G23</f>
        <v>1.7999999999999794E-2</v>
      </c>
      <c r="M23" s="2">
        <f>C23-H23</f>
        <v>6.8020000000000067</v>
      </c>
      <c r="N23" s="2"/>
      <c r="O23" s="2"/>
      <c r="P23" s="2"/>
    </row>
    <row r="24" spans="1:29" x14ac:dyDescent="0.25">
      <c r="A24" s="1">
        <v>43525</v>
      </c>
      <c r="B24" s="2">
        <v>3.835</v>
      </c>
      <c r="C24" s="2">
        <v>96.201999999999998</v>
      </c>
      <c r="D24" s="2"/>
      <c r="E24" s="2"/>
      <c r="F24" s="1">
        <v>43525</v>
      </c>
      <c r="G24" s="2">
        <v>3.8170000000000002</v>
      </c>
      <c r="H24" s="2">
        <v>88.927999999999997</v>
      </c>
      <c r="I24" s="2"/>
      <c r="J24" s="2"/>
      <c r="K24" s="1">
        <v>43525</v>
      </c>
      <c r="L24" s="2">
        <f>B24-G24</f>
        <v>1.7999999999999794E-2</v>
      </c>
      <c r="M24" s="2">
        <f>C24-H24</f>
        <v>7.2740000000000009</v>
      </c>
      <c r="N24" s="2"/>
      <c r="O24" s="2"/>
      <c r="P24" s="2"/>
    </row>
    <row r="25" spans="1:29" x14ac:dyDescent="0.25">
      <c r="A25" s="1">
        <v>43556</v>
      </c>
      <c r="B25" s="2">
        <v>3.835</v>
      </c>
      <c r="C25" s="2">
        <v>96.188000000000002</v>
      </c>
      <c r="D25" s="2"/>
      <c r="E25" s="2"/>
      <c r="F25" s="1">
        <v>43556</v>
      </c>
      <c r="G25" s="2">
        <v>3.8170000000000002</v>
      </c>
      <c r="H25" s="2">
        <v>88.915000000000006</v>
      </c>
      <c r="I25" s="2"/>
      <c r="J25" s="2"/>
      <c r="K25" s="1">
        <v>43556</v>
      </c>
      <c r="L25" s="2">
        <f>B25-G25</f>
        <v>1.7999999999999794E-2</v>
      </c>
      <c r="M25" s="2">
        <f>C25-H25</f>
        <v>7.2729999999999961</v>
      </c>
      <c r="N25" s="2"/>
      <c r="O25" s="2"/>
      <c r="P25" s="2"/>
    </row>
    <row r="26" spans="1:29" x14ac:dyDescent="0.25">
      <c r="B26" s="2"/>
      <c r="C26" s="2">
        <v>96.176000000000002</v>
      </c>
      <c r="D26" s="2"/>
      <c r="E26" s="2"/>
      <c r="G26" s="2"/>
      <c r="H26" s="2"/>
      <c r="I26" s="2"/>
      <c r="J26" s="2"/>
      <c r="K26" s="1"/>
      <c r="L26" s="2"/>
      <c r="M26" s="2"/>
      <c r="N26" s="2"/>
      <c r="O26" s="2"/>
      <c r="P26" s="2"/>
    </row>
    <row r="27" spans="1:29" x14ac:dyDescent="0.25">
      <c r="B27" s="2"/>
      <c r="C27" s="2"/>
      <c r="D27" s="2"/>
      <c r="E27" s="2"/>
      <c r="K27" s="1"/>
    </row>
    <row r="28" spans="1:29" x14ac:dyDescent="0.25">
      <c r="K28" s="1"/>
    </row>
    <row r="29" spans="1:29" x14ac:dyDescent="0.25">
      <c r="K29" s="1"/>
    </row>
    <row r="30" spans="1:29" x14ac:dyDescent="0.25">
      <c r="K30" s="1"/>
    </row>
    <row r="31" spans="1:29" x14ac:dyDescent="0.25">
      <c r="F31" s="1">
        <v>42887</v>
      </c>
      <c r="H31">
        <v>45.21</v>
      </c>
      <c r="K31" s="1"/>
      <c r="L31" s="2"/>
      <c r="M31" s="2"/>
      <c r="N31" s="2"/>
    </row>
    <row r="32" spans="1:29" x14ac:dyDescent="0.25">
      <c r="A32" s="1">
        <v>42917</v>
      </c>
      <c r="C32">
        <v>63.05</v>
      </c>
      <c r="F32" s="1">
        <v>42917</v>
      </c>
      <c r="H32">
        <v>56.98</v>
      </c>
      <c r="K32" s="1">
        <v>42917</v>
      </c>
      <c r="L32" s="2"/>
      <c r="M32" s="2">
        <f>C32-H32</f>
        <v>6.07</v>
      </c>
      <c r="N32" s="2"/>
    </row>
    <row r="33" spans="1:13" x14ac:dyDescent="0.25">
      <c r="A33" s="1">
        <v>42948</v>
      </c>
      <c r="C33">
        <v>62.43</v>
      </c>
      <c r="F33" s="1">
        <v>42948</v>
      </c>
      <c r="H33">
        <v>56.36</v>
      </c>
      <c r="K33" s="1">
        <v>42948</v>
      </c>
      <c r="L33" s="2"/>
      <c r="M33" s="2">
        <f>C33-H33</f>
        <v>6.07</v>
      </c>
    </row>
    <row r="34" spans="1:13" x14ac:dyDescent="0.25">
      <c r="K34" s="1"/>
    </row>
    <row r="35" spans="1:13" x14ac:dyDescent="0.25">
      <c r="K35" s="1"/>
    </row>
    <row r="36" spans="1:13" x14ac:dyDescent="0.25">
      <c r="K36" s="1"/>
    </row>
    <row r="37" spans="1:13" x14ac:dyDescent="0.25">
      <c r="K37" s="1"/>
    </row>
    <row r="38" spans="1:13" x14ac:dyDescent="0.25">
      <c r="K38" s="1"/>
    </row>
    <row r="39" spans="1:13" x14ac:dyDescent="0.25">
      <c r="K39" s="1"/>
    </row>
    <row r="40" spans="1:13" x14ac:dyDescent="0.25">
      <c r="K40" s="1"/>
    </row>
    <row r="41" spans="1:13" x14ac:dyDescent="0.25">
      <c r="K41" s="1"/>
    </row>
    <row r="42" spans="1:13" x14ac:dyDescent="0.25">
      <c r="K42" s="1"/>
    </row>
    <row r="43" spans="1:13" x14ac:dyDescent="0.25">
      <c r="K43" s="1"/>
    </row>
    <row r="44" spans="1:13" x14ac:dyDescent="0.25">
      <c r="K44" s="1"/>
    </row>
    <row r="45" spans="1:13" x14ac:dyDescent="0.25">
      <c r="K45" s="1"/>
    </row>
    <row r="46" spans="1:13" x14ac:dyDescent="0.25">
      <c r="K46" s="1"/>
    </row>
    <row r="47" spans="1:13" x14ac:dyDescent="0.25">
      <c r="K47" s="1"/>
    </row>
    <row r="48" spans="1:13" x14ac:dyDescent="0.25">
      <c r="K48" s="1"/>
    </row>
    <row r="49" spans="11:11" x14ac:dyDescent="0.25">
      <c r="K49" s="1"/>
    </row>
    <row r="50" spans="11:11" x14ac:dyDescent="0.25">
      <c r="K50" s="1"/>
    </row>
    <row r="51" spans="11:11" x14ac:dyDescent="0.25">
      <c r="K51" s="1"/>
    </row>
    <row r="52" spans="11:11" x14ac:dyDescent="0.25">
      <c r="K52" s="1"/>
    </row>
    <row r="53" spans="11:11" x14ac:dyDescent="0.25">
      <c r="K53" s="1"/>
    </row>
    <row r="54" spans="11:11" x14ac:dyDescent="0.25">
      <c r="K54" s="1"/>
    </row>
    <row r="55" spans="11:11" x14ac:dyDescent="0.25">
      <c r="K55" s="1"/>
    </row>
    <row r="56" spans="11:11" x14ac:dyDescent="0.25">
      <c r="K56" s="1"/>
    </row>
    <row r="57" spans="11:11" x14ac:dyDescent="0.25">
      <c r="K57" s="1"/>
    </row>
    <row r="58" spans="11:11" x14ac:dyDescent="0.25">
      <c r="K58" s="1"/>
    </row>
    <row r="59" spans="11:11" x14ac:dyDescent="0.25">
      <c r="K59" s="1"/>
    </row>
    <row r="60" spans="11:11" x14ac:dyDescent="0.25">
      <c r="K60" s="1"/>
    </row>
    <row r="61" spans="11:11" x14ac:dyDescent="0.25">
      <c r="K61" s="1"/>
    </row>
    <row r="62" spans="11:11" x14ac:dyDescent="0.25">
      <c r="K6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tabSelected="1" workbookViewId="0">
      <selection activeCell="B3" sqref="B3:C3"/>
    </sheetView>
  </sheetViews>
  <sheetFormatPr defaultRowHeight="15" x14ac:dyDescent="0.25"/>
  <cols>
    <col min="1" max="1" width="9.7109375" style="1" bestFit="1" customWidth="1"/>
    <col min="2" max="4" width="9.28515625" bestFit="1" customWidth="1"/>
    <col min="5" max="5" width="9.5703125" bestFit="1" customWidth="1"/>
    <col min="6" max="6" width="9.7109375" style="1" bestFit="1" customWidth="1"/>
    <col min="11" max="11" width="13.5703125" bestFit="1" customWidth="1"/>
    <col min="19" max="19" width="14.42578125" bestFit="1" customWidth="1"/>
    <col min="20" max="20" width="20" bestFit="1" customWidth="1"/>
    <col min="21" max="21" width="18.7109375" bestFit="1" customWidth="1"/>
  </cols>
  <sheetData>
    <row r="1" spans="1:29" x14ac:dyDescent="0.25">
      <c r="A1" t="s">
        <v>8</v>
      </c>
      <c r="B1" t="s">
        <v>20</v>
      </c>
      <c r="F1" t="s">
        <v>7</v>
      </c>
      <c r="G1" t="s">
        <v>20</v>
      </c>
    </row>
    <row r="2" spans="1:29" x14ac:dyDescent="0.25">
      <c r="A2" s="1" t="s">
        <v>0</v>
      </c>
      <c r="B2" t="s">
        <v>1</v>
      </c>
      <c r="C2" t="s">
        <v>2</v>
      </c>
      <c r="F2" s="1" t="s">
        <v>0</v>
      </c>
      <c r="G2" t="s">
        <v>1</v>
      </c>
      <c r="H2" t="s">
        <v>2</v>
      </c>
      <c r="K2" t="s">
        <v>0</v>
      </c>
      <c r="L2" t="s">
        <v>1</v>
      </c>
      <c r="M2" t="s">
        <v>2</v>
      </c>
      <c r="S2" t="s">
        <v>4</v>
      </c>
      <c r="T2" t="s">
        <v>3</v>
      </c>
      <c r="U2" t="s">
        <v>5</v>
      </c>
      <c r="W2" t="s">
        <v>9</v>
      </c>
    </row>
    <row r="3" spans="1:29" x14ac:dyDescent="0.25">
      <c r="F3" s="1">
        <v>42887</v>
      </c>
      <c r="G3" s="2">
        <v>3.871</v>
      </c>
      <c r="H3" s="2">
        <v>68.561999999999998</v>
      </c>
      <c r="I3" s="2"/>
      <c r="J3" s="2"/>
      <c r="R3" s="1">
        <v>42917</v>
      </c>
      <c r="S3" s="2">
        <v>63.049999999999898</v>
      </c>
      <c r="T3" s="2">
        <v>73.325217962518295</v>
      </c>
      <c r="U3" s="2">
        <v>-10.275217962518299</v>
      </c>
      <c r="W3" s="4">
        <v>3.3807478203748098</v>
      </c>
      <c r="X3" s="2"/>
    </row>
    <row r="4" spans="1:29" x14ac:dyDescent="0.25">
      <c r="A4" s="1">
        <v>42917</v>
      </c>
      <c r="B4" s="2">
        <v>3.778</v>
      </c>
      <c r="C4" s="2">
        <v>80.751999999999995</v>
      </c>
      <c r="D4" s="2"/>
      <c r="E4" s="2"/>
      <c r="F4" s="1">
        <v>42917</v>
      </c>
      <c r="G4" s="2">
        <v>3.778</v>
      </c>
      <c r="H4" s="2">
        <v>77.841999999999999</v>
      </c>
      <c r="I4" s="2"/>
      <c r="J4" s="2"/>
      <c r="K4" s="1">
        <v>42917</v>
      </c>
      <c r="L4" s="2">
        <f>B4-G4</f>
        <v>0</v>
      </c>
      <c r="M4" s="2">
        <f>C4-H4</f>
        <v>2.9099999999999966</v>
      </c>
      <c r="N4" s="2"/>
      <c r="O4" s="2"/>
      <c r="P4" s="2"/>
      <c r="R4" s="1">
        <v>42887</v>
      </c>
      <c r="S4" s="2">
        <v>45.21</v>
      </c>
      <c r="T4" s="2">
        <v>61.529521752539999</v>
      </c>
      <c r="U4" s="2">
        <v>-16.319521752539998</v>
      </c>
      <c r="W4" s="4">
        <v>3.4984047824745899</v>
      </c>
      <c r="X4" s="2"/>
    </row>
    <row r="5" spans="1:29" x14ac:dyDescent="0.25">
      <c r="A5" s="1">
        <v>42948</v>
      </c>
      <c r="B5" s="2">
        <v>3.851</v>
      </c>
      <c r="C5" s="2">
        <v>73.444999999999993</v>
      </c>
      <c r="D5" s="2"/>
      <c r="E5" s="2"/>
      <c r="F5" s="1">
        <v>42948</v>
      </c>
      <c r="G5" s="2">
        <v>3.851</v>
      </c>
      <c r="H5" s="2">
        <v>70.534000000000006</v>
      </c>
      <c r="I5" s="2"/>
      <c r="J5" s="2"/>
      <c r="K5" s="1">
        <v>42948</v>
      </c>
      <c r="L5" s="2">
        <f>B5-G5</f>
        <v>0</v>
      </c>
      <c r="M5" s="2">
        <f>C5-H5</f>
        <v>2.9109999999999872</v>
      </c>
      <c r="N5" s="2"/>
      <c r="O5" s="2"/>
      <c r="P5" s="2"/>
    </row>
    <row r="6" spans="1:29" x14ac:dyDescent="0.25">
      <c r="A6" s="1">
        <v>42979</v>
      </c>
      <c r="B6" s="2">
        <v>3.835</v>
      </c>
      <c r="C6" s="2">
        <v>75.013000000000005</v>
      </c>
      <c r="D6" s="2"/>
      <c r="E6" s="2"/>
      <c r="F6" s="1">
        <v>42979</v>
      </c>
      <c r="G6" s="2">
        <v>3.835</v>
      </c>
      <c r="H6" s="2">
        <v>72.102000000000004</v>
      </c>
      <c r="I6" s="2"/>
      <c r="J6" s="2"/>
      <c r="K6" s="1">
        <v>42979</v>
      </c>
      <c r="L6" s="2">
        <f>B6-G6</f>
        <v>0</v>
      </c>
      <c r="M6" s="2">
        <f>C6-H6</f>
        <v>2.9110000000000014</v>
      </c>
      <c r="N6" s="2"/>
      <c r="O6" s="2"/>
      <c r="P6" s="2"/>
      <c r="R6" t="s">
        <v>6</v>
      </c>
      <c r="S6" s="2">
        <f>S3-S4</f>
        <v>17.839999999999897</v>
      </c>
      <c r="T6" s="2">
        <f>T3-T4</f>
        <v>11.795696209978296</v>
      </c>
      <c r="U6" s="2">
        <f>U3-U4</f>
        <v>6.0443037900216989</v>
      </c>
      <c r="W6" s="2">
        <f>(W3-W4)*100</f>
        <v>-11.765696209978005</v>
      </c>
      <c r="X6" s="2"/>
    </row>
    <row r="7" spans="1:29" x14ac:dyDescent="0.25">
      <c r="A7" s="1">
        <v>43009</v>
      </c>
      <c r="B7" s="2">
        <v>3.835</v>
      </c>
      <c r="C7" s="5">
        <v>75.010999999999996</v>
      </c>
      <c r="D7" s="2"/>
      <c r="E7" s="2"/>
      <c r="F7" s="1">
        <v>43009</v>
      </c>
      <c r="G7" s="2">
        <v>3.835</v>
      </c>
      <c r="H7" s="5">
        <v>72.099999999999994</v>
      </c>
      <c r="I7" s="2"/>
      <c r="J7" s="2"/>
      <c r="K7" s="1">
        <v>43009</v>
      </c>
      <c r="L7" s="2">
        <f>B7-G7</f>
        <v>0</v>
      </c>
      <c r="M7" s="2">
        <f>C7-H7</f>
        <v>2.9110000000000014</v>
      </c>
      <c r="N7" s="2"/>
      <c r="O7" s="2"/>
      <c r="P7" s="2"/>
    </row>
    <row r="8" spans="1:29" x14ac:dyDescent="0.25">
      <c r="A8" s="1">
        <v>43040</v>
      </c>
      <c r="B8" s="2">
        <v>3.835</v>
      </c>
      <c r="C8" s="5">
        <v>75.009</v>
      </c>
      <c r="D8" s="2"/>
      <c r="E8" s="2"/>
      <c r="F8" s="1">
        <v>43040</v>
      </c>
      <c r="G8" s="2">
        <v>3.835</v>
      </c>
      <c r="H8" s="5">
        <v>72.097999999999999</v>
      </c>
      <c r="I8" s="2"/>
      <c r="J8" s="2"/>
      <c r="K8" s="1">
        <v>43040</v>
      </c>
      <c r="L8" s="2">
        <f>B8-G8</f>
        <v>0</v>
      </c>
      <c r="M8" s="2">
        <f>C8-H8</f>
        <v>2.9110000000000014</v>
      </c>
      <c r="N8" s="2"/>
      <c r="O8" s="2"/>
      <c r="P8" s="2"/>
      <c r="S8" t="s">
        <v>10</v>
      </c>
      <c r="T8" t="s">
        <v>11</v>
      </c>
      <c r="U8" t="s">
        <v>12</v>
      </c>
      <c r="V8" t="s">
        <v>13</v>
      </c>
      <c r="W8" t="s">
        <v>18</v>
      </c>
      <c r="X8" t="s">
        <v>17</v>
      </c>
      <c r="Y8" t="s">
        <v>16</v>
      </c>
    </row>
    <row r="9" spans="1:29" x14ac:dyDescent="0.25">
      <c r="A9" s="1">
        <v>43070</v>
      </c>
      <c r="B9" s="2">
        <v>3.835</v>
      </c>
      <c r="C9" s="2">
        <v>75.006</v>
      </c>
      <c r="D9" s="2"/>
      <c r="E9" s="2"/>
      <c r="F9" s="1">
        <v>43070</v>
      </c>
      <c r="G9" s="2">
        <v>3.835</v>
      </c>
      <c r="H9" s="2">
        <v>72.096000000000004</v>
      </c>
      <c r="I9" s="2"/>
      <c r="J9" s="2"/>
      <c r="K9" s="1">
        <v>43070</v>
      </c>
      <c r="L9" s="2">
        <f>B9-G9</f>
        <v>0</v>
      </c>
      <c r="M9" s="2">
        <f>C9-H9</f>
        <v>2.9099999999999966</v>
      </c>
      <c r="N9" s="2"/>
      <c r="O9" s="2"/>
      <c r="P9" s="2"/>
      <c r="R9" s="1">
        <v>42917</v>
      </c>
      <c r="S9">
        <v>175</v>
      </c>
      <c r="T9">
        <v>32</v>
      </c>
      <c r="U9" s="2">
        <v>94.5833333333333</v>
      </c>
      <c r="V9">
        <v>99.15</v>
      </c>
      <c r="W9" s="4">
        <v>3.3807478203748098</v>
      </c>
      <c r="X9" s="4"/>
      <c r="Y9">
        <v>3.8799999999999901</v>
      </c>
      <c r="Z9" t="s">
        <v>14</v>
      </c>
      <c r="AA9">
        <f>Y9*100+V9-(W9*100+S9/4+T9)</f>
        <v>73.325217962518082</v>
      </c>
      <c r="AB9">
        <f>Y9*100+V9-(W10*100+U9)</f>
        <v>54.491884629184767</v>
      </c>
    </row>
    <row r="10" spans="1:29" x14ac:dyDescent="0.25">
      <c r="A10" s="1">
        <v>43101</v>
      </c>
      <c r="B10" s="2">
        <v>3.835</v>
      </c>
      <c r="C10" s="2">
        <v>76.924000000000007</v>
      </c>
      <c r="D10" s="2"/>
      <c r="E10" s="2"/>
      <c r="F10" s="1">
        <v>43101</v>
      </c>
      <c r="G10" s="2">
        <v>3.835</v>
      </c>
      <c r="H10" s="2">
        <v>74.031000000000006</v>
      </c>
      <c r="I10" s="2"/>
      <c r="J10" s="2"/>
      <c r="K10" s="1">
        <v>43101</v>
      </c>
      <c r="L10" s="2">
        <f>B10-G10</f>
        <v>0</v>
      </c>
      <c r="M10" s="2">
        <f>C10-H10</f>
        <v>2.8930000000000007</v>
      </c>
      <c r="N10" s="2"/>
      <c r="O10" s="2"/>
      <c r="P10" s="2"/>
      <c r="S10">
        <v>189.75</v>
      </c>
      <c r="T10">
        <v>33.19</v>
      </c>
      <c r="U10">
        <v>95.23</v>
      </c>
      <c r="V10">
        <v>99.15</v>
      </c>
      <c r="W10" s="4">
        <v>3.3807478203748098</v>
      </c>
      <c r="X10" s="4">
        <v>3.7781818181818099</v>
      </c>
      <c r="Y10">
        <v>3.88</v>
      </c>
      <c r="Z10" t="s">
        <v>15</v>
      </c>
      <c r="AA10">
        <f>Y10*100+V10-(W10*100+S10/4+T10)</f>
        <v>68.447717962518993</v>
      </c>
      <c r="AB10">
        <f>Y10*100+V10-(X10*100+U10)</f>
        <v>14.101818181818999</v>
      </c>
      <c r="AC10" s="4">
        <f>W10-X10</f>
        <v>-0.39743399780700006</v>
      </c>
    </row>
    <row r="11" spans="1:29" x14ac:dyDescent="0.25">
      <c r="A11" s="1">
        <v>43132</v>
      </c>
      <c r="B11" s="2">
        <v>3.835</v>
      </c>
      <c r="C11" s="2">
        <v>76.92</v>
      </c>
      <c r="D11" s="2"/>
      <c r="E11" s="2"/>
      <c r="F11" s="1">
        <v>43132</v>
      </c>
      <c r="G11" s="2">
        <v>3.835</v>
      </c>
      <c r="H11" s="2">
        <v>74.028000000000006</v>
      </c>
      <c r="I11" s="2"/>
      <c r="J11" s="2"/>
      <c r="K11" s="1">
        <v>43132</v>
      </c>
      <c r="L11" s="2">
        <f>B11-G11</f>
        <v>0</v>
      </c>
      <c r="M11" s="2">
        <f>C11-H11</f>
        <v>2.8919999999999959</v>
      </c>
      <c r="N11" s="2"/>
      <c r="O11" s="2"/>
      <c r="P11" s="2"/>
      <c r="S11" s="3">
        <f>S9-S10</f>
        <v>-14.75</v>
      </c>
      <c r="T11" s="3">
        <f t="shared" ref="T11:V11" si="0">T9-T10</f>
        <v>-1.1899999999999977</v>
      </c>
      <c r="U11" s="3">
        <f t="shared" si="0"/>
        <v>-0.6466666666667038</v>
      </c>
      <c r="V11" s="3">
        <f t="shared" si="0"/>
        <v>0</v>
      </c>
      <c r="W11" s="4"/>
      <c r="X11" s="4"/>
      <c r="Z11" t="s">
        <v>6</v>
      </c>
    </row>
    <row r="12" spans="1:29" x14ac:dyDescent="0.25">
      <c r="A12" s="1">
        <v>43160</v>
      </c>
      <c r="B12" s="2">
        <v>3.835</v>
      </c>
      <c r="C12" s="2">
        <v>76.915000000000006</v>
      </c>
      <c r="D12" s="2"/>
      <c r="E12" s="2"/>
      <c r="F12" s="1">
        <v>43160</v>
      </c>
      <c r="G12" s="2">
        <v>3.835</v>
      </c>
      <c r="H12" s="2">
        <v>74.024000000000001</v>
      </c>
      <c r="I12" s="2"/>
      <c r="J12" s="2"/>
      <c r="K12" s="1">
        <v>43160</v>
      </c>
      <c r="L12" s="2">
        <f>B12-G12</f>
        <v>0</v>
      </c>
      <c r="M12" s="2">
        <f>C12-H12</f>
        <v>2.8910000000000053</v>
      </c>
      <c r="N12" s="2"/>
      <c r="O12" s="2"/>
      <c r="P12" s="2"/>
      <c r="W12" s="4"/>
      <c r="X12" s="4"/>
    </row>
    <row r="13" spans="1:29" x14ac:dyDescent="0.25">
      <c r="A13" s="1">
        <v>43191</v>
      </c>
      <c r="B13" s="2">
        <v>3.835</v>
      </c>
      <c r="C13" s="2">
        <v>76.91</v>
      </c>
      <c r="D13" s="2"/>
      <c r="E13" s="2"/>
      <c r="F13" s="1">
        <v>43191</v>
      </c>
      <c r="G13" s="2">
        <v>3.835</v>
      </c>
      <c r="H13" s="2">
        <v>74.019000000000005</v>
      </c>
      <c r="I13" s="2"/>
      <c r="J13" s="2"/>
      <c r="K13" s="1">
        <v>43191</v>
      </c>
      <c r="L13" s="2">
        <f>B13-G13</f>
        <v>0</v>
      </c>
      <c r="M13" s="2">
        <f>C13-H13</f>
        <v>2.8909999999999911</v>
      </c>
      <c r="N13" s="2"/>
      <c r="O13" s="2"/>
      <c r="P13" s="2"/>
      <c r="R13" s="1">
        <v>42887</v>
      </c>
      <c r="S13">
        <v>175</v>
      </c>
      <c r="T13">
        <v>32</v>
      </c>
      <c r="U13" s="2">
        <v>94.5833333333333</v>
      </c>
      <c r="V13">
        <v>99.12</v>
      </c>
      <c r="W13" s="4">
        <v>3.4984047824745899</v>
      </c>
      <c r="X13" s="4"/>
      <c r="Y13">
        <v>3.88</v>
      </c>
      <c r="Z13" t="s">
        <v>14</v>
      </c>
      <c r="AA13">
        <f>Y13*100+V13-(W13*100+S13/4+T13)</f>
        <v>61.529521752541029</v>
      </c>
      <c r="AB13">
        <f>Y13*100+V13-(W13*100+U13)</f>
        <v>42.696188419207715</v>
      </c>
    </row>
    <row r="14" spans="1:29" x14ac:dyDescent="0.25">
      <c r="A14" s="1">
        <v>43221</v>
      </c>
      <c r="B14" s="2">
        <v>3.835</v>
      </c>
      <c r="C14" s="2">
        <v>76.906000000000006</v>
      </c>
      <c r="D14" s="2"/>
      <c r="E14" s="2"/>
      <c r="F14" s="1">
        <v>43221</v>
      </c>
      <c r="G14" s="2">
        <v>3.835</v>
      </c>
      <c r="H14" s="2">
        <v>74.015000000000001</v>
      </c>
      <c r="I14" s="2"/>
      <c r="J14" s="2"/>
      <c r="K14" s="1">
        <v>43221</v>
      </c>
      <c r="L14" s="2">
        <f>B14-G14</f>
        <v>0</v>
      </c>
      <c r="M14" s="2">
        <f>C14-H14</f>
        <v>2.8910000000000053</v>
      </c>
      <c r="N14" s="2"/>
      <c r="O14" s="2"/>
      <c r="P14" s="2"/>
      <c r="S14">
        <v>189.06</v>
      </c>
      <c r="T14">
        <v>33.42</v>
      </c>
      <c r="U14">
        <v>95.21</v>
      </c>
      <c r="V14">
        <v>99.12</v>
      </c>
      <c r="W14" s="4">
        <v>3.4984047824746001</v>
      </c>
      <c r="X14" s="4">
        <v>3.871</v>
      </c>
      <c r="Y14">
        <v>3.88</v>
      </c>
      <c r="Z14" t="s">
        <v>15</v>
      </c>
      <c r="AA14">
        <f>Y14*100+V14-(W14*100+S14/4+T14)</f>
        <v>56.594521752540004</v>
      </c>
      <c r="AB14">
        <f>Y14*100+V14-(X14*100+U14)</f>
        <v>4.8100000000000023</v>
      </c>
      <c r="AC14" s="4">
        <f>W14-X14</f>
        <v>-0.37259521752539992</v>
      </c>
    </row>
    <row r="15" spans="1:29" x14ac:dyDescent="0.25">
      <c r="A15" s="1">
        <v>43252</v>
      </c>
      <c r="B15" s="2">
        <v>3.835</v>
      </c>
      <c r="C15" s="2">
        <v>76.902000000000001</v>
      </c>
      <c r="D15" s="2"/>
      <c r="E15" s="2"/>
      <c r="F15" s="1">
        <v>43252</v>
      </c>
      <c r="G15" s="2">
        <v>3.835</v>
      </c>
      <c r="H15" s="2">
        <v>74.010999999999996</v>
      </c>
      <c r="I15" s="2"/>
      <c r="J15" s="2"/>
      <c r="K15" s="1">
        <v>43252</v>
      </c>
      <c r="L15" s="2">
        <f>B15-G15</f>
        <v>0</v>
      </c>
      <c r="M15" s="2">
        <f>C15-H15</f>
        <v>2.8910000000000053</v>
      </c>
      <c r="N15" s="2"/>
      <c r="O15" s="2"/>
      <c r="P15" s="2"/>
      <c r="S15" s="3">
        <f>S13-S14</f>
        <v>-14.060000000000002</v>
      </c>
      <c r="T15" s="3">
        <f t="shared" ref="T15:V15" si="1">T13-T14</f>
        <v>-1.4200000000000017</v>
      </c>
      <c r="U15" s="3">
        <f t="shared" si="1"/>
        <v>-0.62666666666669357</v>
      </c>
      <c r="V15" s="3">
        <f t="shared" si="1"/>
        <v>0</v>
      </c>
      <c r="Z15" t="s">
        <v>6</v>
      </c>
    </row>
    <row r="16" spans="1:29" x14ac:dyDescent="0.25">
      <c r="A16" s="1">
        <v>43282</v>
      </c>
      <c r="B16" s="2">
        <v>3.835</v>
      </c>
      <c r="C16" s="2">
        <v>76.897999999999996</v>
      </c>
      <c r="D16" s="2"/>
      <c r="E16" s="2"/>
      <c r="F16" s="1">
        <v>43282</v>
      </c>
      <c r="G16" s="2">
        <v>3.835</v>
      </c>
      <c r="H16" s="2">
        <v>74.007000000000005</v>
      </c>
      <c r="I16" s="2"/>
      <c r="J16" s="2"/>
      <c r="K16" s="1">
        <v>43282</v>
      </c>
      <c r="L16" s="2">
        <f>B16-G16</f>
        <v>0</v>
      </c>
      <c r="M16" s="2">
        <f>C16-H16</f>
        <v>2.8909999999999911</v>
      </c>
      <c r="N16" s="2"/>
      <c r="O16" s="2"/>
      <c r="P16" s="2"/>
    </row>
    <row r="17" spans="1:29" x14ac:dyDescent="0.25">
      <c r="A17" s="1">
        <v>43313</v>
      </c>
      <c r="B17" s="2">
        <v>3.835</v>
      </c>
      <c r="C17" s="2">
        <v>76.894000000000005</v>
      </c>
      <c r="D17" s="2"/>
      <c r="E17" s="2"/>
      <c r="F17" s="1">
        <v>43313</v>
      </c>
      <c r="G17" s="2">
        <v>3.835</v>
      </c>
      <c r="H17" s="2">
        <v>74.004000000000005</v>
      </c>
      <c r="I17" s="2"/>
      <c r="J17" s="2"/>
      <c r="K17" s="1">
        <v>43313</v>
      </c>
      <c r="L17" s="2">
        <f>B17-G17</f>
        <v>0</v>
      </c>
      <c r="M17" s="2">
        <f>C17-H17</f>
        <v>2.8900000000000006</v>
      </c>
      <c r="N17" s="2"/>
      <c r="O17" s="2"/>
      <c r="P17" s="2"/>
      <c r="AC17" s="4">
        <f>AC10-AC14</f>
        <v>-2.4838780281600137E-2</v>
      </c>
    </row>
    <row r="18" spans="1:29" x14ac:dyDescent="0.25">
      <c r="A18" s="1">
        <v>43344</v>
      </c>
      <c r="B18" s="2">
        <v>3.835</v>
      </c>
      <c r="C18" s="2">
        <v>76.891000000000005</v>
      </c>
      <c r="D18" s="2"/>
      <c r="E18" s="2"/>
      <c r="F18" s="1">
        <v>43344</v>
      </c>
      <c r="G18" s="2">
        <v>3.835</v>
      </c>
      <c r="H18" s="2">
        <v>74.001000000000005</v>
      </c>
      <c r="I18" s="2"/>
      <c r="J18" s="2"/>
      <c r="K18" s="1">
        <v>43344</v>
      </c>
      <c r="L18" s="2">
        <f>B18-G18</f>
        <v>0</v>
      </c>
      <c r="M18" s="2">
        <f>C18-H18</f>
        <v>2.8900000000000006</v>
      </c>
      <c r="N18" s="2"/>
      <c r="O18" s="2"/>
      <c r="P18" s="2"/>
      <c r="W18" s="4">
        <f>W10-W14</f>
        <v>-0.11765696209979026</v>
      </c>
      <c r="X18" s="4">
        <f>X10-X14</f>
        <v>-9.2818181818190126E-2</v>
      </c>
    </row>
    <row r="19" spans="1:29" x14ac:dyDescent="0.25">
      <c r="A19" s="1">
        <v>43374</v>
      </c>
      <c r="B19" s="2">
        <v>3.835</v>
      </c>
      <c r="C19" s="2">
        <v>79.981999999999999</v>
      </c>
      <c r="D19" s="2"/>
      <c r="E19" s="2"/>
      <c r="F19" s="1">
        <v>43374</v>
      </c>
      <c r="G19" s="2">
        <v>3.835</v>
      </c>
      <c r="H19" s="2">
        <v>77.073999999999998</v>
      </c>
      <c r="I19" s="2"/>
      <c r="J19" s="2"/>
      <c r="K19" s="1">
        <v>43374</v>
      </c>
      <c r="L19" s="2">
        <f>B19-G19</f>
        <v>0</v>
      </c>
      <c r="M19" s="2">
        <f>C19-H19</f>
        <v>2.9080000000000013</v>
      </c>
      <c r="N19" s="2"/>
      <c r="O19" s="2"/>
      <c r="P19" s="2"/>
    </row>
    <row r="20" spans="1:29" x14ac:dyDescent="0.25">
      <c r="A20" s="1">
        <v>43405</v>
      </c>
      <c r="B20" s="2">
        <v>3.835</v>
      </c>
      <c r="C20" s="2">
        <v>79.980999999999995</v>
      </c>
      <c r="D20" s="2"/>
      <c r="E20" s="2"/>
      <c r="F20" s="1">
        <v>43405</v>
      </c>
      <c r="G20" s="2">
        <v>3.835</v>
      </c>
      <c r="H20" s="2">
        <v>77.072999999999993</v>
      </c>
      <c r="I20" s="2"/>
      <c r="J20" s="2"/>
      <c r="K20" s="1">
        <v>43405</v>
      </c>
      <c r="L20" s="2">
        <f>B20-G20</f>
        <v>0</v>
      </c>
      <c r="M20" s="2">
        <f>C20-H20</f>
        <v>2.9080000000000013</v>
      </c>
      <c r="N20" s="2"/>
      <c r="O20" s="2"/>
      <c r="P20" s="2"/>
    </row>
    <row r="21" spans="1:29" x14ac:dyDescent="0.25">
      <c r="A21" s="1">
        <v>43435</v>
      </c>
      <c r="B21" s="2">
        <v>3.835</v>
      </c>
      <c r="C21" s="2">
        <v>79.98</v>
      </c>
      <c r="D21" s="2"/>
      <c r="E21" s="2"/>
      <c r="F21" s="1">
        <v>43435</v>
      </c>
      <c r="G21" s="2">
        <v>3.835</v>
      </c>
      <c r="H21" s="2">
        <v>77.072000000000003</v>
      </c>
      <c r="I21" s="2"/>
      <c r="J21" s="2"/>
      <c r="K21" s="1">
        <v>43435</v>
      </c>
      <c r="L21" s="2">
        <f>B21-G21</f>
        <v>0</v>
      </c>
      <c r="M21" s="2">
        <f>C21-H21</f>
        <v>2.9080000000000013</v>
      </c>
      <c r="N21" s="2"/>
      <c r="O21" s="2"/>
      <c r="P21" s="2"/>
    </row>
    <row r="22" spans="1:29" x14ac:dyDescent="0.25">
      <c r="A22" s="1">
        <v>43466</v>
      </c>
      <c r="B22" s="2">
        <v>3.835</v>
      </c>
      <c r="C22" s="2">
        <v>83.025000000000006</v>
      </c>
      <c r="D22" s="2"/>
      <c r="E22" s="2"/>
      <c r="F22" s="1">
        <v>43466</v>
      </c>
      <c r="G22" s="2">
        <v>3.835</v>
      </c>
      <c r="H22" s="2">
        <v>80.09</v>
      </c>
      <c r="I22" s="2"/>
      <c r="J22" s="2"/>
      <c r="K22" s="1">
        <v>43466</v>
      </c>
      <c r="L22" s="2">
        <f>B22-G22</f>
        <v>0</v>
      </c>
      <c r="M22" s="2">
        <f>C22-H22</f>
        <v>2.9350000000000023</v>
      </c>
      <c r="N22" s="2"/>
      <c r="O22" s="2"/>
      <c r="P22" s="2"/>
    </row>
    <row r="23" spans="1:29" x14ac:dyDescent="0.25">
      <c r="A23" s="1">
        <v>43497</v>
      </c>
      <c r="B23" s="2">
        <v>3.835</v>
      </c>
      <c r="C23" s="2">
        <v>83.021000000000001</v>
      </c>
      <c r="D23" s="2"/>
      <c r="E23" s="2"/>
      <c r="F23" s="1">
        <v>43497</v>
      </c>
      <c r="G23" s="2">
        <v>3.835</v>
      </c>
      <c r="H23" s="2">
        <v>80.087000000000003</v>
      </c>
      <c r="I23" s="2"/>
      <c r="J23" s="2"/>
      <c r="K23" s="1">
        <v>43497</v>
      </c>
      <c r="L23" s="2">
        <f>B23-G23</f>
        <v>0</v>
      </c>
      <c r="M23" s="2">
        <f>C23-H23</f>
        <v>2.9339999999999975</v>
      </c>
      <c r="N23" s="2"/>
      <c r="O23" s="2"/>
      <c r="P23" s="2"/>
    </row>
    <row r="24" spans="1:29" x14ac:dyDescent="0.25">
      <c r="A24" s="1">
        <v>43525</v>
      </c>
      <c r="B24" s="2">
        <v>3.835</v>
      </c>
      <c r="C24" s="2">
        <v>83.016999999999996</v>
      </c>
      <c r="D24" s="2"/>
      <c r="E24" s="2"/>
      <c r="F24" s="1">
        <v>43525</v>
      </c>
      <c r="G24" s="2">
        <v>3.835</v>
      </c>
      <c r="H24" s="2">
        <v>80.082999999999998</v>
      </c>
      <c r="I24" s="2"/>
      <c r="J24" s="2"/>
      <c r="K24" s="1">
        <v>43525</v>
      </c>
      <c r="L24" s="2">
        <f>B24-G24</f>
        <v>0</v>
      </c>
      <c r="M24" s="2">
        <f>C24-H24</f>
        <v>2.9339999999999975</v>
      </c>
      <c r="N24" s="2"/>
      <c r="O24" s="2"/>
      <c r="P24" s="2"/>
    </row>
    <row r="25" spans="1:29" x14ac:dyDescent="0.25">
      <c r="A25" s="1">
        <v>43556</v>
      </c>
      <c r="B25" s="2">
        <v>3.835</v>
      </c>
      <c r="C25" s="2">
        <v>83.013000000000005</v>
      </c>
      <c r="D25" s="2"/>
      <c r="E25" s="2"/>
      <c r="F25" s="1">
        <v>43556</v>
      </c>
      <c r="G25" s="2">
        <v>3.835</v>
      </c>
      <c r="H25" s="2">
        <v>80.078999999999994</v>
      </c>
      <c r="I25" s="2"/>
      <c r="J25" s="2"/>
      <c r="K25" s="1">
        <v>43556</v>
      </c>
      <c r="L25" s="2">
        <f>B25-G25</f>
        <v>0</v>
      </c>
      <c r="M25" s="2">
        <f>C25-H25</f>
        <v>2.9340000000000117</v>
      </c>
      <c r="N25" s="2"/>
      <c r="O25" s="2"/>
      <c r="P25" s="2"/>
    </row>
    <row r="26" spans="1:29" x14ac:dyDescent="0.25">
      <c r="B26" s="2"/>
      <c r="C26" s="2"/>
      <c r="D26" s="2"/>
      <c r="E26" s="2"/>
      <c r="G26" s="2"/>
      <c r="H26" s="2"/>
      <c r="I26" s="2"/>
      <c r="J26" s="2"/>
      <c r="K26" s="1"/>
      <c r="L26" s="2"/>
      <c r="M26" s="2"/>
      <c r="N26" s="2"/>
      <c r="O26" s="2"/>
      <c r="P26" s="2"/>
    </row>
    <row r="27" spans="1:29" x14ac:dyDescent="0.25">
      <c r="B27" s="2"/>
      <c r="C27" s="2"/>
      <c r="D27" s="2"/>
      <c r="E27" s="2"/>
      <c r="K27" s="1"/>
    </row>
    <row r="28" spans="1:29" x14ac:dyDescent="0.25">
      <c r="K28" s="1"/>
    </row>
    <row r="29" spans="1:29" x14ac:dyDescent="0.25">
      <c r="K29" s="1"/>
    </row>
    <row r="30" spans="1:29" x14ac:dyDescent="0.25">
      <c r="K30" s="1"/>
    </row>
    <row r="31" spans="1:29" x14ac:dyDescent="0.25">
      <c r="F31" s="1">
        <v>42887</v>
      </c>
      <c r="H31">
        <v>45.21</v>
      </c>
      <c r="K31" s="1"/>
      <c r="L31" s="2"/>
      <c r="M31" s="2"/>
      <c r="N31" s="2"/>
    </row>
    <row r="32" spans="1:29" x14ac:dyDescent="0.25">
      <c r="A32" s="1">
        <v>42917</v>
      </c>
      <c r="C32">
        <v>63.05</v>
      </c>
      <c r="F32" s="1">
        <v>42917</v>
      </c>
      <c r="H32">
        <v>56.98</v>
      </c>
      <c r="K32" s="1">
        <v>42917</v>
      </c>
      <c r="L32" s="2"/>
      <c r="M32" s="2">
        <f>C32-H32</f>
        <v>6.07</v>
      </c>
      <c r="N32" s="2"/>
    </row>
    <row r="33" spans="1:13" x14ac:dyDescent="0.25">
      <c r="A33" s="1">
        <v>42948</v>
      </c>
      <c r="C33">
        <v>62.43</v>
      </c>
      <c r="F33" s="1">
        <v>42948</v>
      </c>
      <c r="H33">
        <v>56.36</v>
      </c>
      <c r="K33" s="1">
        <v>42948</v>
      </c>
      <c r="L33" s="2"/>
      <c r="M33" s="2">
        <f>C33-H33</f>
        <v>6.07</v>
      </c>
    </row>
    <row r="34" spans="1:13" x14ac:dyDescent="0.25">
      <c r="K34" s="1"/>
    </row>
    <row r="35" spans="1:13" x14ac:dyDescent="0.25">
      <c r="K35" s="1"/>
    </row>
    <row r="36" spans="1:13" x14ac:dyDescent="0.25">
      <c r="K36" s="1"/>
    </row>
    <row r="37" spans="1:13" x14ac:dyDescent="0.25">
      <c r="K37" s="1"/>
    </row>
    <row r="38" spans="1:13" x14ac:dyDescent="0.25">
      <c r="K38" s="1"/>
    </row>
    <row r="39" spans="1:13" x14ac:dyDescent="0.25">
      <c r="K39" s="1"/>
    </row>
    <row r="40" spans="1:13" x14ac:dyDescent="0.25">
      <c r="K40" s="1"/>
    </row>
    <row r="41" spans="1:13" x14ac:dyDescent="0.25">
      <c r="K41" s="1"/>
    </row>
    <row r="42" spans="1:13" x14ac:dyDescent="0.25">
      <c r="K42" s="1"/>
    </row>
    <row r="43" spans="1:13" x14ac:dyDescent="0.25">
      <c r="K43" s="1"/>
    </row>
    <row r="44" spans="1:13" x14ac:dyDescent="0.25">
      <c r="K44" s="1"/>
    </row>
    <row r="45" spans="1:13" x14ac:dyDescent="0.25">
      <c r="K45" s="1"/>
    </row>
    <row r="46" spans="1:13" x14ac:dyDescent="0.25">
      <c r="K46" s="1"/>
    </row>
    <row r="47" spans="1:13" x14ac:dyDescent="0.25">
      <c r="K47" s="1"/>
    </row>
    <row r="48" spans="1:13" x14ac:dyDescent="0.25">
      <c r="K48" s="1"/>
    </row>
    <row r="49" spans="11:11" x14ac:dyDescent="0.25">
      <c r="K49" s="1"/>
    </row>
    <row r="50" spans="11:11" x14ac:dyDescent="0.25">
      <c r="K50" s="1"/>
    </row>
    <row r="51" spans="11:11" x14ac:dyDescent="0.25">
      <c r="K51" s="1"/>
    </row>
    <row r="52" spans="11:11" x14ac:dyDescent="0.25">
      <c r="K52" s="1"/>
    </row>
    <row r="53" spans="11:11" x14ac:dyDescent="0.25">
      <c r="K53" s="1"/>
    </row>
    <row r="54" spans="11:11" x14ac:dyDescent="0.25">
      <c r="K54" s="1"/>
    </row>
    <row r="55" spans="11:11" x14ac:dyDescent="0.25">
      <c r="K55" s="1"/>
    </row>
    <row r="56" spans="11:11" x14ac:dyDescent="0.25">
      <c r="K56" s="1"/>
    </row>
    <row r="57" spans="11:11" x14ac:dyDescent="0.25">
      <c r="K57" s="1"/>
    </row>
    <row r="58" spans="11:11" x14ac:dyDescent="0.25">
      <c r="K58" s="1"/>
    </row>
    <row r="59" spans="11:11" x14ac:dyDescent="0.25">
      <c r="K59" s="1"/>
    </row>
    <row r="60" spans="11:11" x14ac:dyDescent="0.25">
      <c r="K60" s="1"/>
    </row>
    <row r="61" spans="11:11" x14ac:dyDescent="0.25">
      <c r="K61" s="1"/>
    </row>
    <row r="62" spans="11:11" x14ac:dyDescent="0.25">
      <c r="K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</vt:lpstr>
      <vt:lpstr>Recalculate Incentive</vt:lpstr>
      <vt:lpstr>FN.TR.412(S2)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2017-07-25T21:47:58Z</dcterms:created>
  <dcterms:modified xsi:type="dcterms:W3CDTF">2017-07-28T21:02:56Z</dcterms:modified>
</cp:coreProperties>
</file>