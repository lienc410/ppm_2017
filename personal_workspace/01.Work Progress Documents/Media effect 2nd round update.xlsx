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34515" windowHeight="19725" activeTab="3"/>
  </bookViews>
  <sheets>
    <sheet name="db check" sheetId="2" r:id="rId1"/>
    <sheet name="From Calculation" sheetId="1" r:id="rId2"/>
    <sheet name="Anlysis" sheetId="3" r:id="rId3"/>
    <sheet name="Sheet4" sheetId="4" r:id="rId4"/>
  </sheets>
  <calcPr calcId="145621"/>
</workbook>
</file>

<file path=xl/calcChain.xml><?xml version="1.0" encoding="utf-8"?>
<calcChain xmlns="http://schemas.openxmlformats.org/spreadsheetml/2006/main">
  <c r="N41" i="4" l="1"/>
  <c r="N43" i="4" s="1"/>
  <c r="N44" i="4" s="1"/>
  <c r="I41" i="4"/>
  <c r="I43" i="4" s="1"/>
  <c r="I44" i="4" s="1"/>
  <c r="H41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2" i="3"/>
  <c r="N44" i="1"/>
  <c r="I44" i="1"/>
  <c r="N43" i="1"/>
  <c r="I43" i="1"/>
  <c r="N41" i="1"/>
  <c r="H41" i="1"/>
  <c r="I41" i="1"/>
</calcChain>
</file>

<file path=xl/sharedStrings.xml><?xml version="1.0" encoding="utf-8"?>
<sst xmlns="http://schemas.openxmlformats.org/spreadsheetml/2006/main" count="54" uniqueCount="28">
  <si>
    <t>asof</t>
  </si>
  <si>
    <t>wacBucket</t>
  </si>
  <si>
    <t>wac_</t>
  </si>
  <si>
    <t>origPMI</t>
  </si>
  <si>
    <t>currentPMI</t>
  </si>
  <si>
    <t>currentLLPA</t>
  </si>
  <si>
    <t>balance</t>
  </si>
  <si>
    <t>me_balance</t>
  </si>
  <si>
    <t>MtgRate</t>
  </si>
  <si>
    <t>wacWithCost</t>
  </si>
  <si>
    <t>AsOf</t>
  </si>
  <si>
    <t>media_effect</t>
  </si>
  <si>
    <t>avg(#refiUniverse.refinanceable)*100</t>
  </si>
  <si>
    <t>incentive_PL</t>
  </si>
  <si>
    <t>incentive_bucket</t>
  </si>
  <si>
    <t>media_balance</t>
  </si>
  <si>
    <t>media_effect_monthly_saved</t>
  </si>
  <si>
    <t>media_effect_weekly_saved</t>
  </si>
  <si>
    <t>media_effect_weekly_calc</t>
  </si>
  <si>
    <t>media_effect_monthly_calc</t>
  </si>
  <si>
    <t>Match DB</t>
  </si>
  <si>
    <t>ME PL</t>
  </si>
  <si>
    <t>ME repline</t>
  </si>
  <si>
    <t>Error</t>
  </si>
  <si>
    <t>me% PL</t>
  </si>
  <si>
    <t>me% Repline</t>
  </si>
  <si>
    <t>media_balance_repline</t>
  </si>
  <si>
    <t>media_balance_PL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</si>
</sst>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14" fontId="1" fillId="0" borderId="0" xfId="0" applyNumberFormat="1" applyFont="1"/>
    <xf numFmtId="0" fontId="1" fillId="0" borderId="0" xfId="0" applyFont="1"/>
    <xf numFmtId="2" fontId="1" fillId="0" borderId="0" xfId="0" applyNumberFormat="1" applyFont="1"/>
    <xf numFmtId="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'db check'!$G$1</c:f>
              <c:strCache>
                <c:ptCount val="1"/>
                <c:pt idx="0">
                  <c:v>media_effect_monthly_saved</c:v>
                </c:pt>
              </c:strCache>
            </c:strRef>
          </c:tx>
          <c:marker>
            <c:symbol val="none"/>
          </c:marker>
          <c:cat>
            <c:numRef>
              <c:f>'db check'!$F$2:$F$285</c:f>
              <c:numCache>
                <c:formatCode>m/d/yyyy</c:formatCode>
                <c:ptCount val="284"/>
                <c:pt idx="0">
                  <c:v>42979</c:v>
                </c:pt>
                <c:pt idx="1">
                  <c:v>42948</c:v>
                </c:pt>
                <c:pt idx="2">
                  <c:v>42917</c:v>
                </c:pt>
                <c:pt idx="3">
                  <c:v>42887</c:v>
                </c:pt>
                <c:pt idx="4">
                  <c:v>42856</c:v>
                </c:pt>
                <c:pt idx="5">
                  <c:v>42826</c:v>
                </c:pt>
                <c:pt idx="6">
                  <c:v>42795</c:v>
                </c:pt>
                <c:pt idx="7">
                  <c:v>42767</c:v>
                </c:pt>
                <c:pt idx="8">
                  <c:v>42736</c:v>
                </c:pt>
                <c:pt idx="9">
                  <c:v>42705</c:v>
                </c:pt>
                <c:pt idx="10">
                  <c:v>42675</c:v>
                </c:pt>
                <c:pt idx="11">
                  <c:v>42644</c:v>
                </c:pt>
                <c:pt idx="12">
                  <c:v>42614</c:v>
                </c:pt>
                <c:pt idx="13">
                  <c:v>42583</c:v>
                </c:pt>
                <c:pt idx="14">
                  <c:v>42552</c:v>
                </c:pt>
                <c:pt idx="15">
                  <c:v>42522</c:v>
                </c:pt>
                <c:pt idx="16">
                  <c:v>42491</c:v>
                </c:pt>
                <c:pt idx="17">
                  <c:v>42461</c:v>
                </c:pt>
                <c:pt idx="18">
                  <c:v>42430</c:v>
                </c:pt>
                <c:pt idx="19">
                  <c:v>42401</c:v>
                </c:pt>
                <c:pt idx="20">
                  <c:v>42370</c:v>
                </c:pt>
                <c:pt idx="21">
                  <c:v>42339</c:v>
                </c:pt>
                <c:pt idx="22">
                  <c:v>42309</c:v>
                </c:pt>
                <c:pt idx="23">
                  <c:v>42278</c:v>
                </c:pt>
                <c:pt idx="24">
                  <c:v>42248</c:v>
                </c:pt>
                <c:pt idx="25">
                  <c:v>42217</c:v>
                </c:pt>
                <c:pt idx="26">
                  <c:v>42186</c:v>
                </c:pt>
                <c:pt idx="27">
                  <c:v>42156</c:v>
                </c:pt>
                <c:pt idx="28">
                  <c:v>42125</c:v>
                </c:pt>
                <c:pt idx="29">
                  <c:v>42095</c:v>
                </c:pt>
                <c:pt idx="30">
                  <c:v>42064</c:v>
                </c:pt>
                <c:pt idx="31">
                  <c:v>42036</c:v>
                </c:pt>
                <c:pt idx="32">
                  <c:v>42005</c:v>
                </c:pt>
                <c:pt idx="33">
                  <c:v>41974</c:v>
                </c:pt>
                <c:pt idx="34">
                  <c:v>41944</c:v>
                </c:pt>
                <c:pt idx="35">
                  <c:v>41913</c:v>
                </c:pt>
                <c:pt idx="36">
                  <c:v>41883</c:v>
                </c:pt>
                <c:pt idx="37">
                  <c:v>41852</c:v>
                </c:pt>
                <c:pt idx="38">
                  <c:v>41821</c:v>
                </c:pt>
                <c:pt idx="39">
                  <c:v>41791</c:v>
                </c:pt>
                <c:pt idx="40">
                  <c:v>41760</c:v>
                </c:pt>
                <c:pt idx="41">
                  <c:v>41730</c:v>
                </c:pt>
                <c:pt idx="42">
                  <c:v>41699</c:v>
                </c:pt>
                <c:pt idx="43">
                  <c:v>41671</c:v>
                </c:pt>
                <c:pt idx="44">
                  <c:v>41640</c:v>
                </c:pt>
                <c:pt idx="45">
                  <c:v>41609</c:v>
                </c:pt>
                <c:pt idx="46">
                  <c:v>41579</c:v>
                </c:pt>
                <c:pt idx="47">
                  <c:v>41548</c:v>
                </c:pt>
                <c:pt idx="48">
                  <c:v>41518</c:v>
                </c:pt>
                <c:pt idx="49">
                  <c:v>41487</c:v>
                </c:pt>
                <c:pt idx="50">
                  <c:v>41456</c:v>
                </c:pt>
                <c:pt idx="51">
                  <c:v>41426</c:v>
                </c:pt>
                <c:pt idx="52">
                  <c:v>41395</c:v>
                </c:pt>
                <c:pt idx="53">
                  <c:v>41365</c:v>
                </c:pt>
                <c:pt idx="54">
                  <c:v>41334</c:v>
                </c:pt>
                <c:pt idx="55">
                  <c:v>41306</c:v>
                </c:pt>
                <c:pt idx="56">
                  <c:v>41275</c:v>
                </c:pt>
                <c:pt idx="57">
                  <c:v>41244</c:v>
                </c:pt>
                <c:pt idx="58">
                  <c:v>41214</c:v>
                </c:pt>
                <c:pt idx="59">
                  <c:v>41183</c:v>
                </c:pt>
                <c:pt idx="60">
                  <c:v>41153</c:v>
                </c:pt>
                <c:pt idx="61">
                  <c:v>41122</c:v>
                </c:pt>
                <c:pt idx="62">
                  <c:v>41091</c:v>
                </c:pt>
                <c:pt idx="63">
                  <c:v>41061</c:v>
                </c:pt>
                <c:pt idx="64">
                  <c:v>41030</c:v>
                </c:pt>
                <c:pt idx="65">
                  <c:v>41000</c:v>
                </c:pt>
                <c:pt idx="66">
                  <c:v>40969</c:v>
                </c:pt>
                <c:pt idx="67">
                  <c:v>40940</c:v>
                </c:pt>
                <c:pt idx="68">
                  <c:v>40909</c:v>
                </c:pt>
                <c:pt idx="69">
                  <c:v>40878</c:v>
                </c:pt>
                <c:pt idx="70">
                  <c:v>40848</c:v>
                </c:pt>
                <c:pt idx="71">
                  <c:v>40817</c:v>
                </c:pt>
                <c:pt idx="72">
                  <c:v>40787</c:v>
                </c:pt>
                <c:pt idx="73">
                  <c:v>40756</c:v>
                </c:pt>
                <c:pt idx="74">
                  <c:v>40725</c:v>
                </c:pt>
                <c:pt idx="75">
                  <c:v>40695</c:v>
                </c:pt>
                <c:pt idx="76">
                  <c:v>40664</c:v>
                </c:pt>
                <c:pt idx="77">
                  <c:v>40634</c:v>
                </c:pt>
                <c:pt idx="78">
                  <c:v>40603</c:v>
                </c:pt>
                <c:pt idx="79">
                  <c:v>40575</c:v>
                </c:pt>
                <c:pt idx="80">
                  <c:v>40544</c:v>
                </c:pt>
                <c:pt idx="81">
                  <c:v>40513</c:v>
                </c:pt>
                <c:pt idx="82">
                  <c:v>40483</c:v>
                </c:pt>
                <c:pt idx="83">
                  <c:v>40452</c:v>
                </c:pt>
                <c:pt idx="84">
                  <c:v>40422</c:v>
                </c:pt>
                <c:pt idx="85">
                  <c:v>40391</c:v>
                </c:pt>
                <c:pt idx="86">
                  <c:v>40360</c:v>
                </c:pt>
                <c:pt idx="87">
                  <c:v>40330</c:v>
                </c:pt>
                <c:pt idx="88">
                  <c:v>40299</c:v>
                </c:pt>
                <c:pt idx="89">
                  <c:v>40269</c:v>
                </c:pt>
                <c:pt idx="90">
                  <c:v>40238</c:v>
                </c:pt>
                <c:pt idx="91">
                  <c:v>40210</c:v>
                </c:pt>
                <c:pt idx="92">
                  <c:v>40179</c:v>
                </c:pt>
                <c:pt idx="93">
                  <c:v>40148</c:v>
                </c:pt>
                <c:pt idx="94">
                  <c:v>40118</c:v>
                </c:pt>
                <c:pt idx="95">
                  <c:v>40087</c:v>
                </c:pt>
                <c:pt idx="96">
                  <c:v>40057</c:v>
                </c:pt>
                <c:pt idx="97">
                  <c:v>40026</c:v>
                </c:pt>
                <c:pt idx="98">
                  <c:v>39995</c:v>
                </c:pt>
                <c:pt idx="99">
                  <c:v>39965</c:v>
                </c:pt>
                <c:pt idx="100">
                  <c:v>39934</c:v>
                </c:pt>
                <c:pt idx="101">
                  <c:v>39904</c:v>
                </c:pt>
                <c:pt idx="102">
                  <c:v>39873</c:v>
                </c:pt>
                <c:pt idx="103">
                  <c:v>39845</c:v>
                </c:pt>
                <c:pt idx="104">
                  <c:v>39814</c:v>
                </c:pt>
                <c:pt idx="105">
                  <c:v>39783</c:v>
                </c:pt>
                <c:pt idx="106">
                  <c:v>39753</c:v>
                </c:pt>
                <c:pt idx="107">
                  <c:v>39722</c:v>
                </c:pt>
                <c:pt idx="108">
                  <c:v>39692</c:v>
                </c:pt>
                <c:pt idx="109">
                  <c:v>39661</c:v>
                </c:pt>
                <c:pt idx="110">
                  <c:v>39630</c:v>
                </c:pt>
                <c:pt idx="111">
                  <c:v>39600</c:v>
                </c:pt>
                <c:pt idx="112">
                  <c:v>39569</c:v>
                </c:pt>
                <c:pt idx="113">
                  <c:v>39539</c:v>
                </c:pt>
                <c:pt idx="114">
                  <c:v>39508</c:v>
                </c:pt>
                <c:pt idx="115">
                  <c:v>39479</c:v>
                </c:pt>
                <c:pt idx="116">
                  <c:v>39448</c:v>
                </c:pt>
                <c:pt idx="117">
                  <c:v>39417</c:v>
                </c:pt>
                <c:pt idx="118">
                  <c:v>39387</c:v>
                </c:pt>
                <c:pt idx="119">
                  <c:v>39356</c:v>
                </c:pt>
                <c:pt idx="120">
                  <c:v>39326</c:v>
                </c:pt>
                <c:pt idx="121">
                  <c:v>39295</c:v>
                </c:pt>
                <c:pt idx="122">
                  <c:v>39264</c:v>
                </c:pt>
                <c:pt idx="123">
                  <c:v>39234</c:v>
                </c:pt>
                <c:pt idx="124">
                  <c:v>39203</c:v>
                </c:pt>
                <c:pt idx="125">
                  <c:v>39173</c:v>
                </c:pt>
                <c:pt idx="126">
                  <c:v>39142</c:v>
                </c:pt>
                <c:pt idx="127">
                  <c:v>39114</c:v>
                </c:pt>
                <c:pt idx="128">
                  <c:v>39083</c:v>
                </c:pt>
                <c:pt idx="129">
                  <c:v>39052</c:v>
                </c:pt>
                <c:pt idx="130">
                  <c:v>39022</c:v>
                </c:pt>
                <c:pt idx="131">
                  <c:v>38991</c:v>
                </c:pt>
                <c:pt idx="132">
                  <c:v>38961</c:v>
                </c:pt>
                <c:pt idx="133">
                  <c:v>38930</c:v>
                </c:pt>
                <c:pt idx="134">
                  <c:v>38899</c:v>
                </c:pt>
                <c:pt idx="135">
                  <c:v>38869</c:v>
                </c:pt>
                <c:pt idx="136">
                  <c:v>38838</c:v>
                </c:pt>
                <c:pt idx="137">
                  <c:v>38808</c:v>
                </c:pt>
                <c:pt idx="138">
                  <c:v>38777</c:v>
                </c:pt>
                <c:pt idx="139">
                  <c:v>38749</c:v>
                </c:pt>
                <c:pt idx="140">
                  <c:v>38718</c:v>
                </c:pt>
                <c:pt idx="141">
                  <c:v>38687</c:v>
                </c:pt>
                <c:pt idx="142">
                  <c:v>38657</c:v>
                </c:pt>
                <c:pt idx="143">
                  <c:v>38626</c:v>
                </c:pt>
                <c:pt idx="144">
                  <c:v>38596</c:v>
                </c:pt>
                <c:pt idx="145">
                  <c:v>38565</c:v>
                </c:pt>
                <c:pt idx="146">
                  <c:v>38534</c:v>
                </c:pt>
                <c:pt idx="147">
                  <c:v>38504</c:v>
                </c:pt>
                <c:pt idx="148">
                  <c:v>38473</c:v>
                </c:pt>
                <c:pt idx="149">
                  <c:v>38443</c:v>
                </c:pt>
                <c:pt idx="150">
                  <c:v>38412</c:v>
                </c:pt>
                <c:pt idx="151">
                  <c:v>38384</c:v>
                </c:pt>
                <c:pt idx="152">
                  <c:v>38353</c:v>
                </c:pt>
                <c:pt idx="153">
                  <c:v>38322</c:v>
                </c:pt>
                <c:pt idx="154">
                  <c:v>38292</c:v>
                </c:pt>
                <c:pt idx="155">
                  <c:v>38261</c:v>
                </c:pt>
                <c:pt idx="156">
                  <c:v>38231</c:v>
                </c:pt>
                <c:pt idx="157">
                  <c:v>38200</c:v>
                </c:pt>
                <c:pt idx="158">
                  <c:v>38169</c:v>
                </c:pt>
                <c:pt idx="159">
                  <c:v>38139</c:v>
                </c:pt>
                <c:pt idx="160">
                  <c:v>38108</c:v>
                </c:pt>
                <c:pt idx="161">
                  <c:v>38078</c:v>
                </c:pt>
                <c:pt idx="162">
                  <c:v>38047</c:v>
                </c:pt>
                <c:pt idx="163">
                  <c:v>38018</c:v>
                </c:pt>
                <c:pt idx="164">
                  <c:v>37987</c:v>
                </c:pt>
                <c:pt idx="165">
                  <c:v>37956</c:v>
                </c:pt>
                <c:pt idx="166">
                  <c:v>37926</c:v>
                </c:pt>
                <c:pt idx="167">
                  <c:v>37895</c:v>
                </c:pt>
                <c:pt idx="168">
                  <c:v>37865</c:v>
                </c:pt>
                <c:pt idx="169">
                  <c:v>37834</c:v>
                </c:pt>
                <c:pt idx="170">
                  <c:v>37803</c:v>
                </c:pt>
                <c:pt idx="171">
                  <c:v>37773</c:v>
                </c:pt>
                <c:pt idx="172">
                  <c:v>37742</c:v>
                </c:pt>
                <c:pt idx="173">
                  <c:v>37712</c:v>
                </c:pt>
                <c:pt idx="174">
                  <c:v>37681</c:v>
                </c:pt>
                <c:pt idx="175">
                  <c:v>37653</c:v>
                </c:pt>
                <c:pt idx="176">
                  <c:v>37622</c:v>
                </c:pt>
                <c:pt idx="177">
                  <c:v>37591</c:v>
                </c:pt>
                <c:pt idx="178">
                  <c:v>37561</c:v>
                </c:pt>
                <c:pt idx="179">
                  <c:v>37530</c:v>
                </c:pt>
                <c:pt idx="180">
                  <c:v>37500</c:v>
                </c:pt>
                <c:pt idx="181">
                  <c:v>37469</c:v>
                </c:pt>
                <c:pt idx="182">
                  <c:v>37438</c:v>
                </c:pt>
                <c:pt idx="183">
                  <c:v>37408</c:v>
                </c:pt>
                <c:pt idx="184">
                  <c:v>37377</c:v>
                </c:pt>
                <c:pt idx="185">
                  <c:v>37347</c:v>
                </c:pt>
                <c:pt idx="186">
                  <c:v>37316</c:v>
                </c:pt>
                <c:pt idx="187">
                  <c:v>37288</c:v>
                </c:pt>
                <c:pt idx="188">
                  <c:v>37257</c:v>
                </c:pt>
                <c:pt idx="189">
                  <c:v>37226</c:v>
                </c:pt>
                <c:pt idx="190">
                  <c:v>37196</c:v>
                </c:pt>
                <c:pt idx="191">
                  <c:v>37165</c:v>
                </c:pt>
                <c:pt idx="192">
                  <c:v>37135</c:v>
                </c:pt>
                <c:pt idx="193">
                  <c:v>37104</c:v>
                </c:pt>
                <c:pt idx="194">
                  <c:v>37073</c:v>
                </c:pt>
                <c:pt idx="195">
                  <c:v>37043</c:v>
                </c:pt>
                <c:pt idx="196">
                  <c:v>37012</c:v>
                </c:pt>
                <c:pt idx="197">
                  <c:v>36982</c:v>
                </c:pt>
                <c:pt idx="198">
                  <c:v>36951</c:v>
                </c:pt>
                <c:pt idx="199">
                  <c:v>36923</c:v>
                </c:pt>
                <c:pt idx="200">
                  <c:v>36892</c:v>
                </c:pt>
                <c:pt idx="201">
                  <c:v>36861</c:v>
                </c:pt>
                <c:pt idx="202">
                  <c:v>36831</c:v>
                </c:pt>
                <c:pt idx="203">
                  <c:v>36800</c:v>
                </c:pt>
                <c:pt idx="204">
                  <c:v>36770</c:v>
                </c:pt>
                <c:pt idx="205">
                  <c:v>36739</c:v>
                </c:pt>
                <c:pt idx="206">
                  <c:v>36708</c:v>
                </c:pt>
                <c:pt idx="207">
                  <c:v>36678</c:v>
                </c:pt>
                <c:pt idx="208">
                  <c:v>36647</c:v>
                </c:pt>
                <c:pt idx="209">
                  <c:v>36617</c:v>
                </c:pt>
                <c:pt idx="210">
                  <c:v>36586</c:v>
                </c:pt>
                <c:pt idx="211">
                  <c:v>36557</c:v>
                </c:pt>
                <c:pt idx="212">
                  <c:v>36526</c:v>
                </c:pt>
                <c:pt idx="213">
                  <c:v>36495</c:v>
                </c:pt>
                <c:pt idx="214">
                  <c:v>36465</c:v>
                </c:pt>
                <c:pt idx="215">
                  <c:v>36434</c:v>
                </c:pt>
                <c:pt idx="216">
                  <c:v>36404</c:v>
                </c:pt>
                <c:pt idx="217">
                  <c:v>36373</c:v>
                </c:pt>
                <c:pt idx="218">
                  <c:v>36342</c:v>
                </c:pt>
                <c:pt idx="219">
                  <c:v>36312</c:v>
                </c:pt>
                <c:pt idx="220">
                  <c:v>36281</c:v>
                </c:pt>
                <c:pt idx="221">
                  <c:v>36251</c:v>
                </c:pt>
                <c:pt idx="222">
                  <c:v>36220</c:v>
                </c:pt>
                <c:pt idx="223">
                  <c:v>36192</c:v>
                </c:pt>
                <c:pt idx="224">
                  <c:v>36161</c:v>
                </c:pt>
                <c:pt idx="225">
                  <c:v>36130</c:v>
                </c:pt>
                <c:pt idx="226">
                  <c:v>36100</c:v>
                </c:pt>
                <c:pt idx="227">
                  <c:v>36069</c:v>
                </c:pt>
                <c:pt idx="228">
                  <c:v>36039</c:v>
                </c:pt>
                <c:pt idx="229">
                  <c:v>36008</c:v>
                </c:pt>
                <c:pt idx="230">
                  <c:v>35977</c:v>
                </c:pt>
                <c:pt idx="231">
                  <c:v>35947</c:v>
                </c:pt>
                <c:pt idx="232">
                  <c:v>35916</c:v>
                </c:pt>
                <c:pt idx="233">
                  <c:v>35886</c:v>
                </c:pt>
                <c:pt idx="234">
                  <c:v>35855</c:v>
                </c:pt>
                <c:pt idx="235">
                  <c:v>35827</c:v>
                </c:pt>
                <c:pt idx="236">
                  <c:v>35796</c:v>
                </c:pt>
                <c:pt idx="237">
                  <c:v>35765</c:v>
                </c:pt>
                <c:pt idx="238">
                  <c:v>35735</c:v>
                </c:pt>
                <c:pt idx="239">
                  <c:v>35704</c:v>
                </c:pt>
                <c:pt idx="240">
                  <c:v>35674</c:v>
                </c:pt>
                <c:pt idx="241">
                  <c:v>35643</c:v>
                </c:pt>
                <c:pt idx="242">
                  <c:v>35612</c:v>
                </c:pt>
                <c:pt idx="243">
                  <c:v>35582</c:v>
                </c:pt>
                <c:pt idx="244">
                  <c:v>35551</c:v>
                </c:pt>
                <c:pt idx="245">
                  <c:v>35521</c:v>
                </c:pt>
                <c:pt idx="246">
                  <c:v>35490</c:v>
                </c:pt>
                <c:pt idx="247">
                  <c:v>35462</c:v>
                </c:pt>
                <c:pt idx="248">
                  <c:v>35431</c:v>
                </c:pt>
                <c:pt idx="249">
                  <c:v>35400</c:v>
                </c:pt>
                <c:pt idx="250">
                  <c:v>35370</c:v>
                </c:pt>
                <c:pt idx="251">
                  <c:v>35339</c:v>
                </c:pt>
                <c:pt idx="252">
                  <c:v>35309</c:v>
                </c:pt>
                <c:pt idx="253">
                  <c:v>35278</c:v>
                </c:pt>
                <c:pt idx="254">
                  <c:v>35247</c:v>
                </c:pt>
                <c:pt idx="255">
                  <c:v>35217</c:v>
                </c:pt>
                <c:pt idx="256">
                  <c:v>35186</c:v>
                </c:pt>
                <c:pt idx="257">
                  <c:v>35156</c:v>
                </c:pt>
                <c:pt idx="258">
                  <c:v>35125</c:v>
                </c:pt>
                <c:pt idx="259">
                  <c:v>35096</c:v>
                </c:pt>
                <c:pt idx="260">
                  <c:v>35065</c:v>
                </c:pt>
                <c:pt idx="261">
                  <c:v>35034</c:v>
                </c:pt>
                <c:pt idx="262">
                  <c:v>35004</c:v>
                </c:pt>
                <c:pt idx="263">
                  <c:v>34973</c:v>
                </c:pt>
                <c:pt idx="264">
                  <c:v>34943</c:v>
                </c:pt>
                <c:pt idx="265">
                  <c:v>34912</c:v>
                </c:pt>
                <c:pt idx="266">
                  <c:v>34881</c:v>
                </c:pt>
                <c:pt idx="267">
                  <c:v>34851</c:v>
                </c:pt>
                <c:pt idx="268">
                  <c:v>34820</c:v>
                </c:pt>
                <c:pt idx="269">
                  <c:v>34790</c:v>
                </c:pt>
                <c:pt idx="270">
                  <c:v>34759</c:v>
                </c:pt>
                <c:pt idx="271">
                  <c:v>34731</c:v>
                </c:pt>
                <c:pt idx="272">
                  <c:v>34700</c:v>
                </c:pt>
                <c:pt idx="273">
                  <c:v>34669</c:v>
                </c:pt>
                <c:pt idx="274">
                  <c:v>34639</c:v>
                </c:pt>
                <c:pt idx="275">
                  <c:v>34608</c:v>
                </c:pt>
                <c:pt idx="276">
                  <c:v>34578</c:v>
                </c:pt>
                <c:pt idx="277">
                  <c:v>34547</c:v>
                </c:pt>
                <c:pt idx="278">
                  <c:v>34516</c:v>
                </c:pt>
                <c:pt idx="279">
                  <c:v>34486</c:v>
                </c:pt>
                <c:pt idx="280">
                  <c:v>34455</c:v>
                </c:pt>
                <c:pt idx="281">
                  <c:v>34425</c:v>
                </c:pt>
                <c:pt idx="282">
                  <c:v>34394</c:v>
                </c:pt>
              </c:numCache>
            </c:numRef>
          </c:cat>
          <c:val>
            <c:numRef>
              <c:f>'db check'!$G$2:$G$285</c:f>
              <c:numCache>
                <c:formatCode>General</c:formatCode>
                <c:ptCount val="284"/>
                <c:pt idx="0">
                  <c:v>39.770000000000003</c:v>
                </c:pt>
                <c:pt idx="1">
                  <c:v>35.6</c:v>
                </c:pt>
                <c:pt idx="2">
                  <c:v>30.43</c:v>
                </c:pt>
                <c:pt idx="3">
                  <c:v>34.19</c:v>
                </c:pt>
                <c:pt idx="4">
                  <c:v>29.65</c:v>
                </c:pt>
                <c:pt idx="5">
                  <c:v>28.57</c:v>
                </c:pt>
                <c:pt idx="6">
                  <c:v>22.67</c:v>
                </c:pt>
                <c:pt idx="7">
                  <c:v>25.51</c:v>
                </c:pt>
                <c:pt idx="8">
                  <c:v>27.36</c:v>
                </c:pt>
                <c:pt idx="9">
                  <c:v>20.46</c:v>
                </c:pt>
                <c:pt idx="10">
                  <c:v>38.380000000000003</c:v>
                </c:pt>
                <c:pt idx="11">
                  <c:v>70.73</c:v>
                </c:pt>
                <c:pt idx="12">
                  <c:v>73.040000000000006</c:v>
                </c:pt>
                <c:pt idx="13">
                  <c:v>75.78</c:v>
                </c:pt>
                <c:pt idx="14">
                  <c:v>76.819999999999993</c:v>
                </c:pt>
                <c:pt idx="15">
                  <c:v>67.739999999999995</c:v>
                </c:pt>
                <c:pt idx="16">
                  <c:v>63.98</c:v>
                </c:pt>
                <c:pt idx="17">
                  <c:v>60.86</c:v>
                </c:pt>
                <c:pt idx="18">
                  <c:v>54.22</c:v>
                </c:pt>
                <c:pt idx="19">
                  <c:v>56.48</c:v>
                </c:pt>
                <c:pt idx="20">
                  <c:v>45.76</c:v>
                </c:pt>
                <c:pt idx="21">
                  <c:v>42.56</c:v>
                </c:pt>
                <c:pt idx="22">
                  <c:v>44.06</c:v>
                </c:pt>
                <c:pt idx="23">
                  <c:v>51.65</c:v>
                </c:pt>
                <c:pt idx="24">
                  <c:v>48.14</c:v>
                </c:pt>
                <c:pt idx="25">
                  <c:v>48.77</c:v>
                </c:pt>
                <c:pt idx="26">
                  <c:v>41.79</c:v>
                </c:pt>
                <c:pt idx="27">
                  <c:v>45.34</c:v>
                </c:pt>
                <c:pt idx="28">
                  <c:v>53.9</c:v>
                </c:pt>
                <c:pt idx="29">
                  <c:v>61.49</c:v>
                </c:pt>
                <c:pt idx="30">
                  <c:v>58.42</c:v>
                </c:pt>
                <c:pt idx="31">
                  <c:v>61.22</c:v>
                </c:pt>
                <c:pt idx="32">
                  <c:v>61.42</c:v>
                </c:pt>
                <c:pt idx="33">
                  <c:v>55.3</c:v>
                </c:pt>
                <c:pt idx="34">
                  <c:v>49.67</c:v>
                </c:pt>
                <c:pt idx="35">
                  <c:v>48.29</c:v>
                </c:pt>
                <c:pt idx="36">
                  <c:v>41.33</c:v>
                </c:pt>
                <c:pt idx="37">
                  <c:v>43.31</c:v>
                </c:pt>
                <c:pt idx="38">
                  <c:v>42.58</c:v>
                </c:pt>
                <c:pt idx="39">
                  <c:v>41.87</c:v>
                </c:pt>
                <c:pt idx="40">
                  <c:v>40.26</c:v>
                </c:pt>
                <c:pt idx="41">
                  <c:v>35.049999999999997</c:v>
                </c:pt>
                <c:pt idx="42">
                  <c:v>36.049999999999997</c:v>
                </c:pt>
                <c:pt idx="43">
                  <c:v>37.340000000000003</c:v>
                </c:pt>
                <c:pt idx="44">
                  <c:v>31.82</c:v>
                </c:pt>
                <c:pt idx="45">
                  <c:v>32.67</c:v>
                </c:pt>
                <c:pt idx="46">
                  <c:v>41.41</c:v>
                </c:pt>
                <c:pt idx="47">
                  <c:v>43.99</c:v>
                </c:pt>
                <c:pt idx="48">
                  <c:v>33.4</c:v>
                </c:pt>
                <c:pt idx="49">
                  <c:v>37.200000000000003</c:v>
                </c:pt>
                <c:pt idx="50">
                  <c:v>42.38</c:v>
                </c:pt>
                <c:pt idx="51">
                  <c:v>53.22</c:v>
                </c:pt>
                <c:pt idx="52">
                  <c:v>74.19</c:v>
                </c:pt>
                <c:pt idx="53">
                  <c:v>78.95</c:v>
                </c:pt>
                <c:pt idx="54">
                  <c:v>74.56</c:v>
                </c:pt>
                <c:pt idx="55">
                  <c:v>77.53</c:v>
                </c:pt>
                <c:pt idx="56">
                  <c:v>87.22</c:v>
                </c:pt>
                <c:pt idx="57">
                  <c:v>92.87</c:v>
                </c:pt>
                <c:pt idx="58">
                  <c:v>94.5</c:v>
                </c:pt>
                <c:pt idx="59">
                  <c:v>96.07</c:v>
                </c:pt>
                <c:pt idx="60">
                  <c:v>92.63</c:v>
                </c:pt>
                <c:pt idx="61">
                  <c:v>89.15</c:v>
                </c:pt>
                <c:pt idx="62">
                  <c:v>91.76</c:v>
                </c:pt>
                <c:pt idx="63">
                  <c:v>89.97</c:v>
                </c:pt>
                <c:pt idx="64">
                  <c:v>88.11</c:v>
                </c:pt>
                <c:pt idx="65">
                  <c:v>84.2</c:v>
                </c:pt>
                <c:pt idx="66">
                  <c:v>82.4</c:v>
                </c:pt>
                <c:pt idx="67">
                  <c:v>87.32</c:v>
                </c:pt>
                <c:pt idx="68">
                  <c:v>88.32</c:v>
                </c:pt>
                <c:pt idx="69">
                  <c:v>88.11</c:v>
                </c:pt>
                <c:pt idx="70">
                  <c:v>87.91</c:v>
                </c:pt>
                <c:pt idx="71">
                  <c:v>83.43</c:v>
                </c:pt>
                <c:pt idx="72">
                  <c:v>82.8</c:v>
                </c:pt>
                <c:pt idx="73">
                  <c:v>73.959999999999994</c:v>
                </c:pt>
                <c:pt idx="74">
                  <c:v>55.51</c:v>
                </c:pt>
                <c:pt idx="75">
                  <c:v>56.99</c:v>
                </c:pt>
                <c:pt idx="76">
                  <c:v>54.58</c:v>
                </c:pt>
                <c:pt idx="77">
                  <c:v>52.21</c:v>
                </c:pt>
                <c:pt idx="78">
                  <c:v>53.7</c:v>
                </c:pt>
                <c:pt idx="79">
                  <c:v>51.17</c:v>
                </c:pt>
                <c:pt idx="80">
                  <c:v>58.86</c:v>
                </c:pt>
                <c:pt idx="81">
                  <c:v>61.73</c:v>
                </c:pt>
                <c:pt idx="82">
                  <c:v>82.68</c:v>
                </c:pt>
                <c:pt idx="83">
                  <c:v>90.03</c:v>
                </c:pt>
                <c:pt idx="84">
                  <c:v>87.26</c:v>
                </c:pt>
                <c:pt idx="85">
                  <c:v>81.67</c:v>
                </c:pt>
                <c:pt idx="86">
                  <c:v>73.11</c:v>
                </c:pt>
                <c:pt idx="87">
                  <c:v>69.709999999999994</c:v>
                </c:pt>
                <c:pt idx="88">
                  <c:v>66.47</c:v>
                </c:pt>
                <c:pt idx="89">
                  <c:v>58.49</c:v>
                </c:pt>
                <c:pt idx="90">
                  <c:v>66.790000000000006</c:v>
                </c:pt>
                <c:pt idx="91">
                  <c:v>66.66</c:v>
                </c:pt>
                <c:pt idx="92">
                  <c:v>66.41</c:v>
                </c:pt>
                <c:pt idx="93">
                  <c:v>71.17</c:v>
                </c:pt>
                <c:pt idx="94">
                  <c:v>75.5</c:v>
                </c:pt>
                <c:pt idx="95">
                  <c:v>74.290000000000006</c:v>
                </c:pt>
                <c:pt idx="96">
                  <c:v>70.790000000000006</c:v>
                </c:pt>
                <c:pt idx="97">
                  <c:v>65.89</c:v>
                </c:pt>
                <c:pt idx="98">
                  <c:v>66.95</c:v>
                </c:pt>
                <c:pt idx="99">
                  <c:v>24.63</c:v>
                </c:pt>
                <c:pt idx="100">
                  <c:v>74.86</c:v>
                </c:pt>
                <c:pt idx="101">
                  <c:v>81.87</c:v>
                </c:pt>
                <c:pt idx="102">
                  <c:v>70.3</c:v>
                </c:pt>
                <c:pt idx="103">
                  <c:v>58.21</c:v>
                </c:pt>
                <c:pt idx="104">
                  <c:v>69.290000000000006</c:v>
                </c:pt>
                <c:pt idx="105">
                  <c:v>47</c:v>
                </c:pt>
                <c:pt idx="106">
                  <c:v>6.33</c:v>
                </c:pt>
                <c:pt idx="107">
                  <c:v>6.13</c:v>
                </c:pt>
                <c:pt idx="108">
                  <c:v>8.9700000000000006</c:v>
                </c:pt>
                <c:pt idx="109">
                  <c:v>3.32</c:v>
                </c:pt>
                <c:pt idx="110">
                  <c:v>4</c:v>
                </c:pt>
                <c:pt idx="111">
                  <c:v>5.29</c:v>
                </c:pt>
                <c:pt idx="112">
                  <c:v>10.83</c:v>
                </c:pt>
                <c:pt idx="113">
                  <c:v>17.63</c:v>
                </c:pt>
                <c:pt idx="114">
                  <c:v>19.190000000000001</c:v>
                </c:pt>
                <c:pt idx="115">
                  <c:v>26.38</c:v>
                </c:pt>
                <c:pt idx="116">
                  <c:v>38.49</c:v>
                </c:pt>
                <c:pt idx="117">
                  <c:v>16.16</c:v>
                </c:pt>
                <c:pt idx="118">
                  <c:v>11.53</c:v>
                </c:pt>
                <c:pt idx="119">
                  <c:v>7.55</c:v>
                </c:pt>
                <c:pt idx="120">
                  <c:v>7.52</c:v>
                </c:pt>
                <c:pt idx="121">
                  <c:v>5.49</c:v>
                </c:pt>
                <c:pt idx="122">
                  <c:v>4.1900000000000004</c:v>
                </c:pt>
                <c:pt idx="123">
                  <c:v>4.6399999999999997</c:v>
                </c:pt>
                <c:pt idx="124">
                  <c:v>11.53</c:v>
                </c:pt>
                <c:pt idx="125">
                  <c:v>13.59</c:v>
                </c:pt>
                <c:pt idx="126">
                  <c:v>15.08</c:v>
                </c:pt>
                <c:pt idx="127">
                  <c:v>11.02</c:v>
                </c:pt>
                <c:pt idx="128">
                  <c:v>13.28</c:v>
                </c:pt>
                <c:pt idx="129">
                  <c:v>16.350000000000001</c:v>
                </c:pt>
                <c:pt idx="130">
                  <c:v>12.39</c:v>
                </c:pt>
                <c:pt idx="131">
                  <c:v>9.6</c:v>
                </c:pt>
                <c:pt idx="132">
                  <c:v>8.76</c:v>
                </c:pt>
                <c:pt idx="133">
                  <c:v>7.57</c:v>
                </c:pt>
                <c:pt idx="134">
                  <c:v>4.49</c:v>
                </c:pt>
                <c:pt idx="135">
                  <c:v>5.39</c:v>
                </c:pt>
                <c:pt idx="136">
                  <c:v>6.51</c:v>
                </c:pt>
                <c:pt idx="137">
                  <c:v>7.78</c:v>
                </c:pt>
                <c:pt idx="138">
                  <c:v>10.210000000000001</c:v>
                </c:pt>
                <c:pt idx="139">
                  <c:v>11.65</c:v>
                </c:pt>
                <c:pt idx="140">
                  <c:v>14.53</c:v>
                </c:pt>
                <c:pt idx="141">
                  <c:v>12.26</c:v>
                </c:pt>
                <c:pt idx="142">
                  <c:v>11.81</c:v>
                </c:pt>
                <c:pt idx="143">
                  <c:v>18.5</c:v>
                </c:pt>
                <c:pt idx="144">
                  <c:v>27.6</c:v>
                </c:pt>
                <c:pt idx="145">
                  <c:v>27.14</c:v>
                </c:pt>
                <c:pt idx="146">
                  <c:v>33.47</c:v>
                </c:pt>
                <c:pt idx="147">
                  <c:v>42.67</c:v>
                </c:pt>
                <c:pt idx="148">
                  <c:v>32.299999999999997</c:v>
                </c:pt>
                <c:pt idx="149">
                  <c:v>27.26</c:v>
                </c:pt>
                <c:pt idx="150">
                  <c:v>24.96</c:v>
                </c:pt>
                <c:pt idx="151">
                  <c:v>37.549999999999997</c:v>
                </c:pt>
                <c:pt idx="152">
                  <c:v>34.44</c:v>
                </c:pt>
                <c:pt idx="153">
                  <c:v>33.47</c:v>
                </c:pt>
                <c:pt idx="154">
                  <c:v>35.01</c:v>
                </c:pt>
                <c:pt idx="155">
                  <c:v>35.67</c:v>
                </c:pt>
                <c:pt idx="156">
                  <c:v>33.44</c:v>
                </c:pt>
                <c:pt idx="157">
                  <c:v>30.65</c:v>
                </c:pt>
                <c:pt idx="158">
                  <c:v>26.82</c:v>
                </c:pt>
                <c:pt idx="159">
                  <c:v>21.61</c:v>
                </c:pt>
                <c:pt idx="160">
                  <c:v>22.71</c:v>
                </c:pt>
                <c:pt idx="161">
                  <c:v>38.479999999999997</c:v>
                </c:pt>
                <c:pt idx="162">
                  <c:v>61.93</c:v>
                </c:pt>
                <c:pt idx="163">
                  <c:v>47.58</c:v>
                </c:pt>
                <c:pt idx="164">
                  <c:v>45.53</c:v>
                </c:pt>
                <c:pt idx="165">
                  <c:v>40.81</c:v>
                </c:pt>
                <c:pt idx="166">
                  <c:v>42.18</c:v>
                </c:pt>
                <c:pt idx="167">
                  <c:v>45.96</c:v>
                </c:pt>
                <c:pt idx="168">
                  <c:v>42.98</c:v>
                </c:pt>
                <c:pt idx="169">
                  <c:v>40.69</c:v>
                </c:pt>
                <c:pt idx="170">
                  <c:v>78.900000000000006</c:v>
                </c:pt>
                <c:pt idx="171">
                  <c:v>98.65</c:v>
                </c:pt>
                <c:pt idx="172">
                  <c:v>91.26</c:v>
                </c:pt>
                <c:pt idx="173">
                  <c:v>80.89</c:v>
                </c:pt>
                <c:pt idx="174">
                  <c:v>86.85</c:v>
                </c:pt>
                <c:pt idx="175">
                  <c:v>87.72</c:v>
                </c:pt>
                <c:pt idx="176">
                  <c:v>89.77</c:v>
                </c:pt>
                <c:pt idx="177">
                  <c:v>87.27</c:v>
                </c:pt>
                <c:pt idx="178">
                  <c:v>88.98</c:v>
                </c:pt>
                <c:pt idx="179">
                  <c:v>88.1</c:v>
                </c:pt>
                <c:pt idx="180">
                  <c:v>90.78</c:v>
                </c:pt>
                <c:pt idx="181">
                  <c:v>76.400000000000006</c:v>
                </c:pt>
                <c:pt idx="182">
                  <c:v>60.82</c:v>
                </c:pt>
                <c:pt idx="183">
                  <c:v>46.89</c:v>
                </c:pt>
                <c:pt idx="184">
                  <c:v>35.01</c:v>
                </c:pt>
                <c:pt idx="185">
                  <c:v>29.18</c:v>
                </c:pt>
                <c:pt idx="186">
                  <c:v>29.87</c:v>
                </c:pt>
                <c:pt idx="187">
                  <c:v>37.01</c:v>
                </c:pt>
                <c:pt idx="188">
                  <c:v>34.07</c:v>
                </c:pt>
                <c:pt idx="189">
                  <c:v>33</c:v>
                </c:pt>
                <c:pt idx="190">
                  <c:v>58.13</c:v>
                </c:pt>
                <c:pt idx="191">
                  <c:v>59.81</c:v>
                </c:pt>
                <c:pt idx="192">
                  <c:v>47.53</c:v>
                </c:pt>
                <c:pt idx="193">
                  <c:v>43.05</c:v>
                </c:pt>
                <c:pt idx="194">
                  <c:v>35.799999999999997</c:v>
                </c:pt>
                <c:pt idx="195">
                  <c:v>35.19</c:v>
                </c:pt>
                <c:pt idx="196">
                  <c:v>37.409999999999997</c:v>
                </c:pt>
                <c:pt idx="197">
                  <c:v>43.19</c:v>
                </c:pt>
                <c:pt idx="198">
                  <c:v>50.66</c:v>
                </c:pt>
                <c:pt idx="199">
                  <c:v>44.04</c:v>
                </c:pt>
                <c:pt idx="200">
                  <c:v>44.8</c:v>
                </c:pt>
                <c:pt idx="201">
                  <c:v>25.99</c:v>
                </c:pt>
                <c:pt idx="202">
                  <c:v>12.43</c:v>
                </c:pt>
                <c:pt idx="203">
                  <c:v>10.5</c:v>
                </c:pt>
                <c:pt idx="204">
                  <c:v>7.78</c:v>
                </c:pt>
                <c:pt idx="205">
                  <c:v>6.09</c:v>
                </c:pt>
                <c:pt idx="206">
                  <c:v>4.82</c:v>
                </c:pt>
                <c:pt idx="207">
                  <c:v>3.7</c:v>
                </c:pt>
                <c:pt idx="208">
                  <c:v>2.36</c:v>
                </c:pt>
                <c:pt idx="209">
                  <c:v>4.57</c:v>
                </c:pt>
                <c:pt idx="210">
                  <c:v>3.8</c:v>
                </c:pt>
                <c:pt idx="211">
                  <c:v>3.31</c:v>
                </c:pt>
                <c:pt idx="212">
                  <c:v>4.18</c:v>
                </c:pt>
                <c:pt idx="213">
                  <c:v>7.33</c:v>
                </c:pt>
                <c:pt idx="214">
                  <c:v>9.77</c:v>
                </c:pt>
                <c:pt idx="215">
                  <c:v>8.41</c:v>
                </c:pt>
                <c:pt idx="216">
                  <c:v>9.08</c:v>
                </c:pt>
                <c:pt idx="217">
                  <c:v>7.93</c:v>
                </c:pt>
                <c:pt idx="218">
                  <c:v>13.07</c:v>
                </c:pt>
                <c:pt idx="219">
                  <c:v>15.74</c:v>
                </c:pt>
                <c:pt idx="220">
                  <c:v>29.92</c:v>
                </c:pt>
                <c:pt idx="221">
                  <c:v>43.05</c:v>
                </c:pt>
                <c:pt idx="222">
                  <c:v>39.020000000000003</c:v>
                </c:pt>
                <c:pt idx="223">
                  <c:v>52.67</c:v>
                </c:pt>
                <c:pt idx="224">
                  <c:v>57.93</c:v>
                </c:pt>
                <c:pt idx="225">
                  <c:v>63.18</c:v>
                </c:pt>
                <c:pt idx="226">
                  <c:v>59.25</c:v>
                </c:pt>
                <c:pt idx="227">
                  <c:v>70.44</c:v>
                </c:pt>
                <c:pt idx="228">
                  <c:v>70.48</c:v>
                </c:pt>
                <c:pt idx="229">
                  <c:v>59.92</c:v>
                </c:pt>
                <c:pt idx="230">
                  <c:v>60.41</c:v>
                </c:pt>
                <c:pt idx="231">
                  <c:v>60.75</c:v>
                </c:pt>
                <c:pt idx="232">
                  <c:v>51.88</c:v>
                </c:pt>
                <c:pt idx="233">
                  <c:v>55.16</c:v>
                </c:pt>
                <c:pt idx="234">
                  <c:v>55.15</c:v>
                </c:pt>
                <c:pt idx="235">
                  <c:v>60.28</c:v>
                </c:pt>
                <c:pt idx="236">
                  <c:v>62.9</c:v>
                </c:pt>
                <c:pt idx="237">
                  <c:v>49.74</c:v>
                </c:pt>
                <c:pt idx="238">
                  <c:v>44.47</c:v>
                </c:pt>
                <c:pt idx="239">
                  <c:v>39.76</c:v>
                </c:pt>
                <c:pt idx="240">
                  <c:v>33.299999999999997</c:v>
                </c:pt>
                <c:pt idx="241">
                  <c:v>30.93</c:v>
                </c:pt>
                <c:pt idx="242">
                  <c:v>29.66</c:v>
                </c:pt>
                <c:pt idx="243">
                  <c:v>23.7</c:v>
                </c:pt>
                <c:pt idx="244">
                  <c:v>16.52</c:v>
                </c:pt>
                <c:pt idx="245">
                  <c:v>11.4</c:v>
                </c:pt>
                <c:pt idx="246">
                  <c:v>20.46</c:v>
                </c:pt>
                <c:pt idx="247">
                  <c:v>28.86</c:v>
                </c:pt>
                <c:pt idx="248">
                  <c:v>20.5</c:v>
                </c:pt>
                <c:pt idx="249">
                  <c:v>28.03</c:v>
                </c:pt>
                <c:pt idx="250">
                  <c:v>27.05</c:v>
                </c:pt>
                <c:pt idx="251">
                  <c:v>19.13</c:v>
                </c:pt>
                <c:pt idx="252">
                  <c:v>11.77</c:v>
                </c:pt>
                <c:pt idx="253">
                  <c:v>17.649999999999999</c:v>
                </c:pt>
                <c:pt idx="254">
                  <c:v>11.99</c:v>
                </c:pt>
                <c:pt idx="255">
                  <c:v>11.54</c:v>
                </c:pt>
                <c:pt idx="256">
                  <c:v>17.3</c:v>
                </c:pt>
                <c:pt idx="257">
                  <c:v>22.01</c:v>
                </c:pt>
                <c:pt idx="258">
                  <c:v>32.54</c:v>
                </c:pt>
                <c:pt idx="259">
                  <c:v>54.37</c:v>
                </c:pt>
                <c:pt idx="260">
                  <c:v>56.5</c:v>
                </c:pt>
                <c:pt idx="261">
                  <c:v>49.01</c:v>
                </c:pt>
                <c:pt idx="262">
                  <c:v>43.98</c:v>
                </c:pt>
                <c:pt idx="263">
                  <c:v>41.46</c:v>
                </c:pt>
                <c:pt idx="264">
                  <c:v>36.31</c:v>
                </c:pt>
                <c:pt idx="265">
                  <c:v>28.86</c:v>
                </c:pt>
                <c:pt idx="266">
                  <c:v>37.270000000000003</c:v>
                </c:pt>
                <c:pt idx="267">
                  <c:v>37.76</c:v>
                </c:pt>
                <c:pt idx="268">
                  <c:v>24.58</c:v>
                </c:pt>
                <c:pt idx="269">
                  <c:v>14.56</c:v>
                </c:pt>
                <c:pt idx="270">
                  <c:v>12.77</c:v>
                </c:pt>
                <c:pt idx="271">
                  <c:v>9.43</c:v>
                </c:pt>
                <c:pt idx="272">
                  <c:v>5.91</c:v>
                </c:pt>
                <c:pt idx="273">
                  <c:v>5.71</c:v>
                </c:pt>
                <c:pt idx="274">
                  <c:v>6.05</c:v>
                </c:pt>
                <c:pt idx="275">
                  <c:v>9.23</c:v>
                </c:pt>
                <c:pt idx="276">
                  <c:v>11.99</c:v>
                </c:pt>
                <c:pt idx="277">
                  <c:v>13.26</c:v>
                </c:pt>
                <c:pt idx="278">
                  <c:v>17.03</c:v>
                </c:pt>
                <c:pt idx="279">
                  <c:v>20.02</c:v>
                </c:pt>
                <c:pt idx="280">
                  <c:v>14.45</c:v>
                </c:pt>
                <c:pt idx="281">
                  <c:v>18.89</c:v>
                </c:pt>
                <c:pt idx="282">
                  <c:v>36.619999999999997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'db check'!$H$1</c:f>
              <c:strCache>
                <c:ptCount val="1"/>
                <c:pt idx="0">
                  <c:v>media_effect_weekly_saved</c:v>
                </c:pt>
              </c:strCache>
            </c:strRef>
          </c:tx>
          <c:marker>
            <c:symbol val="none"/>
          </c:marker>
          <c:cat>
            <c:numRef>
              <c:f>'db check'!$F$2:$F$285</c:f>
              <c:numCache>
                <c:formatCode>m/d/yyyy</c:formatCode>
                <c:ptCount val="284"/>
                <c:pt idx="0">
                  <c:v>42979</c:v>
                </c:pt>
                <c:pt idx="1">
                  <c:v>42948</c:v>
                </c:pt>
                <c:pt idx="2">
                  <c:v>42917</c:v>
                </c:pt>
                <c:pt idx="3">
                  <c:v>42887</c:v>
                </c:pt>
                <c:pt idx="4">
                  <c:v>42856</c:v>
                </c:pt>
                <c:pt idx="5">
                  <c:v>42826</c:v>
                </c:pt>
                <c:pt idx="6">
                  <c:v>42795</c:v>
                </c:pt>
                <c:pt idx="7">
                  <c:v>42767</c:v>
                </c:pt>
                <c:pt idx="8">
                  <c:v>42736</c:v>
                </c:pt>
                <c:pt idx="9">
                  <c:v>42705</c:v>
                </c:pt>
                <c:pt idx="10">
                  <c:v>42675</c:v>
                </c:pt>
                <c:pt idx="11">
                  <c:v>42644</c:v>
                </c:pt>
                <c:pt idx="12">
                  <c:v>42614</c:v>
                </c:pt>
                <c:pt idx="13">
                  <c:v>42583</c:v>
                </c:pt>
                <c:pt idx="14">
                  <c:v>42552</c:v>
                </c:pt>
                <c:pt idx="15">
                  <c:v>42522</c:v>
                </c:pt>
                <c:pt idx="16">
                  <c:v>42491</c:v>
                </c:pt>
                <c:pt idx="17">
                  <c:v>42461</c:v>
                </c:pt>
                <c:pt idx="18">
                  <c:v>42430</c:v>
                </c:pt>
                <c:pt idx="19">
                  <c:v>42401</c:v>
                </c:pt>
                <c:pt idx="20">
                  <c:v>42370</c:v>
                </c:pt>
                <c:pt idx="21">
                  <c:v>42339</c:v>
                </c:pt>
                <c:pt idx="22">
                  <c:v>42309</c:v>
                </c:pt>
                <c:pt idx="23">
                  <c:v>42278</c:v>
                </c:pt>
                <c:pt idx="24">
                  <c:v>42248</c:v>
                </c:pt>
                <c:pt idx="25">
                  <c:v>42217</c:v>
                </c:pt>
                <c:pt idx="26">
                  <c:v>42186</c:v>
                </c:pt>
                <c:pt idx="27">
                  <c:v>42156</c:v>
                </c:pt>
                <c:pt idx="28">
                  <c:v>42125</c:v>
                </c:pt>
                <c:pt idx="29">
                  <c:v>42095</c:v>
                </c:pt>
                <c:pt idx="30">
                  <c:v>42064</c:v>
                </c:pt>
                <c:pt idx="31">
                  <c:v>42036</c:v>
                </c:pt>
                <c:pt idx="32">
                  <c:v>42005</c:v>
                </c:pt>
                <c:pt idx="33">
                  <c:v>41974</c:v>
                </c:pt>
                <c:pt idx="34">
                  <c:v>41944</c:v>
                </c:pt>
                <c:pt idx="35">
                  <c:v>41913</c:v>
                </c:pt>
                <c:pt idx="36">
                  <c:v>41883</c:v>
                </c:pt>
                <c:pt idx="37">
                  <c:v>41852</c:v>
                </c:pt>
                <c:pt idx="38">
                  <c:v>41821</c:v>
                </c:pt>
                <c:pt idx="39">
                  <c:v>41791</c:v>
                </c:pt>
                <c:pt idx="40">
                  <c:v>41760</c:v>
                </c:pt>
                <c:pt idx="41">
                  <c:v>41730</c:v>
                </c:pt>
                <c:pt idx="42">
                  <c:v>41699</c:v>
                </c:pt>
                <c:pt idx="43">
                  <c:v>41671</c:v>
                </c:pt>
                <c:pt idx="44">
                  <c:v>41640</c:v>
                </c:pt>
                <c:pt idx="45">
                  <c:v>41609</c:v>
                </c:pt>
                <c:pt idx="46">
                  <c:v>41579</c:v>
                </c:pt>
                <c:pt idx="47">
                  <c:v>41548</c:v>
                </c:pt>
                <c:pt idx="48">
                  <c:v>41518</c:v>
                </c:pt>
                <c:pt idx="49">
                  <c:v>41487</c:v>
                </c:pt>
                <c:pt idx="50">
                  <c:v>41456</c:v>
                </c:pt>
                <c:pt idx="51">
                  <c:v>41426</c:v>
                </c:pt>
                <c:pt idx="52">
                  <c:v>41395</c:v>
                </c:pt>
                <c:pt idx="53">
                  <c:v>41365</c:v>
                </c:pt>
                <c:pt idx="54">
                  <c:v>41334</c:v>
                </c:pt>
                <c:pt idx="55">
                  <c:v>41306</c:v>
                </c:pt>
                <c:pt idx="56">
                  <c:v>41275</c:v>
                </c:pt>
                <c:pt idx="57">
                  <c:v>41244</c:v>
                </c:pt>
                <c:pt idx="58">
                  <c:v>41214</c:v>
                </c:pt>
                <c:pt idx="59">
                  <c:v>41183</c:v>
                </c:pt>
                <c:pt idx="60">
                  <c:v>41153</c:v>
                </c:pt>
                <c:pt idx="61">
                  <c:v>41122</c:v>
                </c:pt>
                <c:pt idx="62">
                  <c:v>41091</c:v>
                </c:pt>
                <c:pt idx="63">
                  <c:v>41061</c:v>
                </c:pt>
                <c:pt idx="64">
                  <c:v>41030</c:v>
                </c:pt>
                <c:pt idx="65">
                  <c:v>41000</c:v>
                </c:pt>
                <c:pt idx="66">
                  <c:v>40969</c:v>
                </c:pt>
                <c:pt idx="67">
                  <c:v>40940</c:v>
                </c:pt>
                <c:pt idx="68">
                  <c:v>40909</c:v>
                </c:pt>
                <c:pt idx="69">
                  <c:v>40878</c:v>
                </c:pt>
                <c:pt idx="70">
                  <c:v>40848</c:v>
                </c:pt>
                <c:pt idx="71">
                  <c:v>40817</c:v>
                </c:pt>
                <c:pt idx="72">
                  <c:v>40787</c:v>
                </c:pt>
                <c:pt idx="73">
                  <c:v>40756</c:v>
                </c:pt>
                <c:pt idx="74">
                  <c:v>40725</c:v>
                </c:pt>
                <c:pt idx="75">
                  <c:v>40695</c:v>
                </c:pt>
                <c:pt idx="76">
                  <c:v>40664</c:v>
                </c:pt>
                <c:pt idx="77">
                  <c:v>40634</c:v>
                </c:pt>
                <c:pt idx="78">
                  <c:v>40603</c:v>
                </c:pt>
                <c:pt idx="79">
                  <c:v>40575</c:v>
                </c:pt>
                <c:pt idx="80">
                  <c:v>40544</c:v>
                </c:pt>
                <c:pt idx="81">
                  <c:v>40513</c:v>
                </c:pt>
                <c:pt idx="82">
                  <c:v>40483</c:v>
                </c:pt>
                <c:pt idx="83">
                  <c:v>40452</c:v>
                </c:pt>
                <c:pt idx="84">
                  <c:v>40422</c:v>
                </c:pt>
                <c:pt idx="85">
                  <c:v>40391</c:v>
                </c:pt>
                <c:pt idx="86">
                  <c:v>40360</c:v>
                </c:pt>
                <c:pt idx="87">
                  <c:v>40330</c:v>
                </c:pt>
                <c:pt idx="88">
                  <c:v>40299</c:v>
                </c:pt>
                <c:pt idx="89">
                  <c:v>40269</c:v>
                </c:pt>
                <c:pt idx="90">
                  <c:v>40238</c:v>
                </c:pt>
                <c:pt idx="91">
                  <c:v>40210</c:v>
                </c:pt>
                <c:pt idx="92">
                  <c:v>40179</c:v>
                </c:pt>
                <c:pt idx="93">
                  <c:v>40148</c:v>
                </c:pt>
                <c:pt idx="94">
                  <c:v>40118</c:v>
                </c:pt>
                <c:pt idx="95">
                  <c:v>40087</c:v>
                </c:pt>
                <c:pt idx="96">
                  <c:v>40057</c:v>
                </c:pt>
                <c:pt idx="97">
                  <c:v>40026</c:v>
                </c:pt>
                <c:pt idx="98">
                  <c:v>39995</c:v>
                </c:pt>
                <c:pt idx="99">
                  <c:v>39965</c:v>
                </c:pt>
                <c:pt idx="100">
                  <c:v>39934</c:v>
                </c:pt>
                <c:pt idx="101">
                  <c:v>39904</c:v>
                </c:pt>
                <c:pt idx="102">
                  <c:v>39873</c:v>
                </c:pt>
                <c:pt idx="103">
                  <c:v>39845</c:v>
                </c:pt>
                <c:pt idx="104">
                  <c:v>39814</c:v>
                </c:pt>
                <c:pt idx="105">
                  <c:v>39783</c:v>
                </c:pt>
                <c:pt idx="106">
                  <c:v>39753</c:v>
                </c:pt>
                <c:pt idx="107">
                  <c:v>39722</c:v>
                </c:pt>
                <c:pt idx="108">
                  <c:v>39692</c:v>
                </c:pt>
                <c:pt idx="109">
                  <c:v>39661</c:v>
                </c:pt>
                <c:pt idx="110">
                  <c:v>39630</c:v>
                </c:pt>
                <c:pt idx="111">
                  <c:v>39600</c:v>
                </c:pt>
                <c:pt idx="112">
                  <c:v>39569</c:v>
                </c:pt>
                <c:pt idx="113">
                  <c:v>39539</c:v>
                </c:pt>
                <c:pt idx="114">
                  <c:v>39508</c:v>
                </c:pt>
                <c:pt idx="115">
                  <c:v>39479</c:v>
                </c:pt>
                <c:pt idx="116">
                  <c:v>39448</c:v>
                </c:pt>
                <c:pt idx="117">
                  <c:v>39417</c:v>
                </c:pt>
                <c:pt idx="118">
                  <c:v>39387</c:v>
                </c:pt>
                <c:pt idx="119">
                  <c:v>39356</c:v>
                </c:pt>
                <c:pt idx="120">
                  <c:v>39326</c:v>
                </c:pt>
                <c:pt idx="121">
                  <c:v>39295</c:v>
                </c:pt>
                <c:pt idx="122">
                  <c:v>39264</c:v>
                </c:pt>
                <c:pt idx="123">
                  <c:v>39234</c:v>
                </c:pt>
                <c:pt idx="124">
                  <c:v>39203</c:v>
                </c:pt>
                <c:pt idx="125">
                  <c:v>39173</c:v>
                </c:pt>
                <c:pt idx="126">
                  <c:v>39142</c:v>
                </c:pt>
                <c:pt idx="127">
                  <c:v>39114</c:v>
                </c:pt>
                <c:pt idx="128">
                  <c:v>39083</c:v>
                </c:pt>
                <c:pt idx="129">
                  <c:v>39052</c:v>
                </c:pt>
                <c:pt idx="130">
                  <c:v>39022</c:v>
                </c:pt>
                <c:pt idx="131">
                  <c:v>38991</c:v>
                </c:pt>
                <c:pt idx="132">
                  <c:v>38961</c:v>
                </c:pt>
                <c:pt idx="133">
                  <c:v>38930</c:v>
                </c:pt>
                <c:pt idx="134">
                  <c:v>38899</c:v>
                </c:pt>
                <c:pt idx="135">
                  <c:v>38869</c:v>
                </c:pt>
                <c:pt idx="136">
                  <c:v>38838</c:v>
                </c:pt>
                <c:pt idx="137">
                  <c:v>38808</c:v>
                </c:pt>
                <c:pt idx="138">
                  <c:v>38777</c:v>
                </c:pt>
                <c:pt idx="139">
                  <c:v>38749</c:v>
                </c:pt>
                <c:pt idx="140">
                  <c:v>38718</c:v>
                </c:pt>
                <c:pt idx="141">
                  <c:v>38687</c:v>
                </c:pt>
                <c:pt idx="142">
                  <c:v>38657</c:v>
                </c:pt>
                <c:pt idx="143">
                  <c:v>38626</c:v>
                </c:pt>
                <c:pt idx="144">
                  <c:v>38596</c:v>
                </c:pt>
                <c:pt idx="145">
                  <c:v>38565</c:v>
                </c:pt>
                <c:pt idx="146">
                  <c:v>38534</c:v>
                </c:pt>
                <c:pt idx="147">
                  <c:v>38504</c:v>
                </c:pt>
                <c:pt idx="148">
                  <c:v>38473</c:v>
                </c:pt>
                <c:pt idx="149">
                  <c:v>38443</c:v>
                </c:pt>
                <c:pt idx="150">
                  <c:v>38412</c:v>
                </c:pt>
                <c:pt idx="151">
                  <c:v>38384</c:v>
                </c:pt>
                <c:pt idx="152">
                  <c:v>38353</c:v>
                </c:pt>
                <c:pt idx="153">
                  <c:v>38322</c:v>
                </c:pt>
                <c:pt idx="154">
                  <c:v>38292</c:v>
                </c:pt>
                <c:pt idx="155">
                  <c:v>38261</c:v>
                </c:pt>
                <c:pt idx="156">
                  <c:v>38231</c:v>
                </c:pt>
                <c:pt idx="157">
                  <c:v>38200</c:v>
                </c:pt>
                <c:pt idx="158">
                  <c:v>38169</c:v>
                </c:pt>
                <c:pt idx="159">
                  <c:v>38139</c:v>
                </c:pt>
                <c:pt idx="160">
                  <c:v>38108</c:v>
                </c:pt>
                <c:pt idx="161">
                  <c:v>38078</c:v>
                </c:pt>
                <c:pt idx="162">
                  <c:v>38047</c:v>
                </c:pt>
                <c:pt idx="163">
                  <c:v>38018</c:v>
                </c:pt>
                <c:pt idx="164">
                  <c:v>37987</c:v>
                </c:pt>
                <c:pt idx="165">
                  <c:v>37956</c:v>
                </c:pt>
                <c:pt idx="166">
                  <c:v>37926</c:v>
                </c:pt>
                <c:pt idx="167">
                  <c:v>37895</c:v>
                </c:pt>
                <c:pt idx="168">
                  <c:v>37865</c:v>
                </c:pt>
                <c:pt idx="169">
                  <c:v>37834</c:v>
                </c:pt>
                <c:pt idx="170">
                  <c:v>37803</c:v>
                </c:pt>
                <c:pt idx="171">
                  <c:v>37773</c:v>
                </c:pt>
                <c:pt idx="172">
                  <c:v>37742</c:v>
                </c:pt>
                <c:pt idx="173">
                  <c:v>37712</c:v>
                </c:pt>
                <c:pt idx="174">
                  <c:v>37681</c:v>
                </c:pt>
                <c:pt idx="175">
                  <c:v>37653</c:v>
                </c:pt>
                <c:pt idx="176">
                  <c:v>37622</c:v>
                </c:pt>
                <c:pt idx="177">
                  <c:v>37591</c:v>
                </c:pt>
                <c:pt idx="178">
                  <c:v>37561</c:v>
                </c:pt>
                <c:pt idx="179">
                  <c:v>37530</c:v>
                </c:pt>
                <c:pt idx="180">
                  <c:v>37500</c:v>
                </c:pt>
                <c:pt idx="181">
                  <c:v>37469</c:v>
                </c:pt>
                <c:pt idx="182">
                  <c:v>37438</c:v>
                </c:pt>
                <c:pt idx="183">
                  <c:v>37408</c:v>
                </c:pt>
                <c:pt idx="184">
                  <c:v>37377</c:v>
                </c:pt>
                <c:pt idx="185">
                  <c:v>37347</c:v>
                </c:pt>
                <c:pt idx="186">
                  <c:v>37316</c:v>
                </c:pt>
                <c:pt idx="187">
                  <c:v>37288</c:v>
                </c:pt>
                <c:pt idx="188">
                  <c:v>37257</c:v>
                </c:pt>
                <c:pt idx="189">
                  <c:v>37226</c:v>
                </c:pt>
                <c:pt idx="190">
                  <c:v>37196</c:v>
                </c:pt>
                <c:pt idx="191">
                  <c:v>37165</c:v>
                </c:pt>
                <c:pt idx="192">
                  <c:v>37135</c:v>
                </c:pt>
                <c:pt idx="193">
                  <c:v>37104</c:v>
                </c:pt>
                <c:pt idx="194">
                  <c:v>37073</c:v>
                </c:pt>
                <c:pt idx="195">
                  <c:v>37043</c:v>
                </c:pt>
                <c:pt idx="196">
                  <c:v>37012</c:v>
                </c:pt>
                <c:pt idx="197">
                  <c:v>36982</c:v>
                </c:pt>
                <c:pt idx="198">
                  <c:v>36951</c:v>
                </c:pt>
                <c:pt idx="199">
                  <c:v>36923</c:v>
                </c:pt>
                <c:pt idx="200">
                  <c:v>36892</c:v>
                </c:pt>
                <c:pt idx="201">
                  <c:v>36861</c:v>
                </c:pt>
                <c:pt idx="202">
                  <c:v>36831</c:v>
                </c:pt>
                <c:pt idx="203">
                  <c:v>36800</c:v>
                </c:pt>
                <c:pt idx="204">
                  <c:v>36770</c:v>
                </c:pt>
                <c:pt idx="205">
                  <c:v>36739</c:v>
                </c:pt>
                <c:pt idx="206">
                  <c:v>36708</c:v>
                </c:pt>
                <c:pt idx="207">
                  <c:v>36678</c:v>
                </c:pt>
                <c:pt idx="208">
                  <c:v>36647</c:v>
                </c:pt>
                <c:pt idx="209">
                  <c:v>36617</c:v>
                </c:pt>
                <c:pt idx="210">
                  <c:v>36586</c:v>
                </c:pt>
                <c:pt idx="211">
                  <c:v>36557</c:v>
                </c:pt>
                <c:pt idx="212">
                  <c:v>36526</c:v>
                </c:pt>
                <c:pt idx="213">
                  <c:v>36495</c:v>
                </c:pt>
                <c:pt idx="214">
                  <c:v>36465</c:v>
                </c:pt>
                <c:pt idx="215">
                  <c:v>36434</c:v>
                </c:pt>
                <c:pt idx="216">
                  <c:v>36404</c:v>
                </c:pt>
                <c:pt idx="217">
                  <c:v>36373</c:v>
                </c:pt>
                <c:pt idx="218">
                  <c:v>36342</c:v>
                </c:pt>
                <c:pt idx="219">
                  <c:v>36312</c:v>
                </c:pt>
                <c:pt idx="220">
                  <c:v>36281</c:v>
                </c:pt>
                <c:pt idx="221">
                  <c:v>36251</c:v>
                </c:pt>
                <c:pt idx="222">
                  <c:v>36220</c:v>
                </c:pt>
                <c:pt idx="223">
                  <c:v>36192</c:v>
                </c:pt>
                <c:pt idx="224">
                  <c:v>36161</c:v>
                </c:pt>
                <c:pt idx="225">
                  <c:v>36130</c:v>
                </c:pt>
                <c:pt idx="226">
                  <c:v>36100</c:v>
                </c:pt>
                <c:pt idx="227">
                  <c:v>36069</c:v>
                </c:pt>
                <c:pt idx="228">
                  <c:v>36039</c:v>
                </c:pt>
                <c:pt idx="229">
                  <c:v>36008</c:v>
                </c:pt>
                <c:pt idx="230">
                  <c:v>35977</c:v>
                </c:pt>
                <c:pt idx="231">
                  <c:v>35947</c:v>
                </c:pt>
                <c:pt idx="232">
                  <c:v>35916</c:v>
                </c:pt>
                <c:pt idx="233">
                  <c:v>35886</c:v>
                </c:pt>
                <c:pt idx="234">
                  <c:v>35855</c:v>
                </c:pt>
                <c:pt idx="235">
                  <c:v>35827</c:v>
                </c:pt>
                <c:pt idx="236">
                  <c:v>35796</c:v>
                </c:pt>
                <c:pt idx="237">
                  <c:v>35765</c:v>
                </c:pt>
                <c:pt idx="238">
                  <c:v>35735</c:v>
                </c:pt>
                <c:pt idx="239">
                  <c:v>35704</c:v>
                </c:pt>
                <c:pt idx="240">
                  <c:v>35674</c:v>
                </c:pt>
                <c:pt idx="241">
                  <c:v>35643</c:v>
                </c:pt>
                <c:pt idx="242">
                  <c:v>35612</c:v>
                </c:pt>
                <c:pt idx="243">
                  <c:v>35582</c:v>
                </c:pt>
                <c:pt idx="244">
                  <c:v>35551</c:v>
                </c:pt>
                <c:pt idx="245">
                  <c:v>35521</c:v>
                </c:pt>
                <c:pt idx="246">
                  <c:v>35490</c:v>
                </c:pt>
                <c:pt idx="247">
                  <c:v>35462</c:v>
                </c:pt>
                <c:pt idx="248">
                  <c:v>35431</c:v>
                </c:pt>
                <c:pt idx="249">
                  <c:v>35400</c:v>
                </c:pt>
                <c:pt idx="250">
                  <c:v>35370</c:v>
                </c:pt>
                <c:pt idx="251">
                  <c:v>35339</c:v>
                </c:pt>
                <c:pt idx="252">
                  <c:v>35309</c:v>
                </c:pt>
                <c:pt idx="253">
                  <c:v>35278</c:v>
                </c:pt>
                <c:pt idx="254">
                  <c:v>35247</c:v>
                </c:pt>
                <c:pt idx="255">
                  <c:v>35217</c:v>
                </c:pt>
                <c:pt idx="256">
                  <c:v>35186</c:v>
                </c:pt>
                <c:pt idx="257">
                  <c:v>35156</c:v>
                </c:pt>
                <c:pt idx="258">
                  <c:v>35125</c:v>
                </c:pt>
                <c:pt idx="259">
                  <c:v>35096</c:v>
                </c:pt>
                <c:pt idx="260">
                  <c:v>35065</c:v>
                </c:pt>
                <c:pt idx="261">
                  <c:v>35034</c:v>
                </c:pt>
                <c:pt idx="262">
                  <c:v>35004</c:v>
                </c:pt>
                <c:pt idx="263">
                  <c:v>34973</c:v>
                </c:pt>
                <c:pt idx="264">
                  <c:v>34943</c:v>
                </c:pt>
                <c:pt idx="265">
                  <c:v>34912</c:v>
                </c:pt>
                <c:pt idx="266">
                  <c:v>34881</c:v>
                </c:pt>
                <c:pt idx="267">
                  <c:v>34851</c:v>
                </c:pt>
                <c:pt idx="268">
                  <c:v>34820</c:v>
                </c:pt>
                <c:pt idx="269">
                  <c:v>34790</c:v>
                </c:pt>
                <c:pt idx="270">
                  <c:v>34759</c:v>
                </c:pt>
                <c:pt idx="271">
                  <c:v>34731</c:v>
                </c:pt>
                <c:pt idx="272">
                  <c:v>34700</c:v>
                </c:pt>
                <c:pt idx="273">
                  <c:v>34669</c:v>
                </c:pt>
                <c:pt idx="274">
                  <c:v>34639</c:v>
                </c:pt>
                <c:pt idx="275">
                  <c:v>34608</c:v>
                </c:pt>
                <c:pt idx="276">
                  <c:v>34578</c:v>
                </c:pt>
                <c:pt idx="277">
                  <c:v>34547</c:v>
                </c:pt>
                <c:pt idx="278">
                  <c:v>34516</c:v>
                </c:pt>
                <c:pt idx="279">
                  <c:v>34486</c:v>
                </c:pt>
                <c:pt idx="280">
                  <c:v>34455</c:v>
                </c:pt>
                <c:pt idx="281">
                  <c:v>34425</c:v>
                </c:pt>
                <c:pt idx="282">
                  <c:v>34394</c:v>
                </c:pt>
              </c:numCache>
            </c:numRef>
          </c:cat>
          <c:val>
            <c:numRef>
              <c:f>'db check'!$H$2:$H$285</c:f>
              <c:numCache>
                <c:formatCode>0.00</c:formatCode>
                <c:ptCount val="284"/>
                <c:pt idx="0">
                  <c:v>39.765000000000001</c:v>
                </c:pt>
                <c:pt idx="1">
                  <c:v>35.603999999999999</c:v>
                </c:pt>
                <c:pt idx="2">
                  <c:v>30.425000000000001</c:v>
                </c:pt>
                <c:pt idx="3">
                  <c:v>34.192</c:v>
                </c:pt>
                <c:pt idx="4">
                  <c:v>29.697500000000002</c:v>
                </c:pt>
                <c:pt idx="5">
                  <c:v>28.627500000000001</c:v>
                </c:pt>
                <c:pt idx="6">
                  <c:v>22.81</c:v>
                </c:pt>
                <c:pt idx="7">
                  <c:v>24.704999999999998</c:v>
                </c:pt>
                <c:pt idx="8">
                  <c:v>26.122499999999999</c:v>
                </c:pt>
                <c:pt idx="9">
                  <c:v>24.84</c:v>
                </c:pt>
                <c:pt idx="10">
                  <c:v>49.55</c:v>
                </c:pt>
                <c:pt idx="11">
                  <c:v>70.162499999999994</c:v>
                </c:pt>
                <c:pt idx="12">
                  <c:v>72.552000000000007</c:v>
                </c:pt>
                <c:pt idx="13">
                  <c:v>75.484999999999999</c:v>
                </c:pt>
                <c:pt idx="14">
                  <c:v>76.685000000000002</c:v>
                </c:pt>
                <c:pt idx="15">
                  <c:v>69.403999999999996</c:v>
                </c:pt>
                <c:pt idx="16">
                  <c:v>67.067499999999995</c:v>
                </c:pt>
                <c:pt idx="17">
                  <c:v>64.032499999999999</c:v>
                </c:pt>
                <c:pt idx="18">
                  <c:v>56.658000000000001</c:v>
                </c:pt>
                <c:pt idx="19">
                  <c:v>59.112499999999997</c:v>
                </c:pt>
                <c:pt idx="20">
                  <c:v>45.662500000000001</c:v>
                </c:pt>
                <c:pt idx="21">
                  <c:v>42.585999999999999</c:v>
                </c:pt>
                <c:pt idx="22">
                  <c:v>43.89</c:v>
                </c:pt>
                <c:pt idx="23">
                  <c:v>51.41</c:v>
                </c:pt>
                <c:pt idx="24">
                  <c:v>47.44</c:v>
                </c:pt>
                <c:pt idx="25">
                  <c:v>47.8675</c:v>
                </c:pt>
                <c:pt idx="26">
                  <c:v>41.54</c:v>
                </c:pt>
                <c:pt idx="27">
                  <c:v>45.072499999999998</c:v>
                </c:pt>
                <c:pt idx="28">
                  <c:v>52.862499999999997</c:v>
                </c:pt>
                <c:pt idx="29">
                  <c:v>61.898000000000003</c:v>
                </c:pt>
                <c:pt idx="30">
                  <c:v>58.204999999999998</c:v>
                </c:pt>
                <c:pt idx="31">
                  <c:v>61.825000000000003</c:v>
                </c:pt>
                <c:pt idx="32">
                  <c:v>62.42</c:v>
                </c:pt>
                <c:pt idx="33">
                  <c:v>54.758000000000003</c:v>
                </c:pt>
                <c:pt idx="34">
                  <c:v>49.77</c:v>
                </c:pt>
                <c:pt idx="35">
                  <c:v>48.122</c:v>
                </c:pt>
                <c:pt idx="36">
                  <c:v>41.247500000000002</c:v>
                </c:pt>
                <c:pt idx="37">
                  <c:v>43.55</c:v>
                </c:pt>
                <c:pt idx="38">
                  <c:v>42.88</c:v>
                </c:pt>
                <c:pt idx="39">
                  <c:v>42.202500000000001</c:v>
                </c:pt>
                <c:pt idx="40">
                  <c:v>40.433999999999997</c:v>
                </c:pt>
                <c:pt idx="41">
                  <c:v>34.972499999999997</c:v>
                </c:pt>
                <c:pt idx="42">
                  <c:v>35.755000000000003</c:v>
                </c:pt>
                <c:pt idx="43">
                  <c:v>36.965000000000003</c:v>
                </c:pt>
                <c:pt idx="44">
                  <c:v>31.34</c:v>
                </c:pt>
                <c:pt idx="45">
                  <c:v>32.207500000000003</c:v>
                </c:pt>
                <c:pt idx="46">
                  <c:v>40.957500000000003</c:v>
                </c:pt>
                <c:pt idx="47">
                  <c:v>43.113999999999997</c:v>
                </c:pt>
                <c:pt idx="48">
                  <c:v>32.56</c:v>
                </c:pt>
                <c:pt idx="49">
                  <c:v>36.186</c:v>
                </c:pt>
                <c:pt idx="50">
                  <c:v>41.232500000000002</c:v>
                </c:pt>
                <c:pt idx="51">
                  <c:v>51.807499999999997</c:v>
                </c:pt>
                <c:pt idx="52">
                  <c:v>72.150000000000006</c:v>
                </c:pt>
                <c:pt idx="53">
                  <c:v>76.862499999999997</c:v>
                </c:pt>
                <c:pt idx="54">
                  <c:v>72.47</c:v>
                </c:pt>
                <c:pt idx="55">
                  <c:v>75.397499999999994</c:v>
                </c:pt>
                <c:pt idx="56">
                  <c:v>85.475999999999999</c:v>
                </c:pt>
                <c:pt idx="57">
                  <c:v>89.864999999999995</c:v>
                </c:pt>
                <c:pt idx="58">
                  <c:v>92.731999999999999</c:v>
                </c:pt>
                <c:pt idx="59">
                  <c:v>94.275000000000006</c:v>
                </c:pt>
                <c:pt idx="60">
                  <c:v>90.81</c:v>
                </c:pt>
                <c:pt idx="61">
                  <c:v>87.623999999999995</c:v>
                </c:pt>
                <c:pt idx="62">
                  <c:v>90.507499999999993</c:v>
                </c:pt>
                <c:pt idx="63">
                  <c:v>88.532499999999999</c:v>
                </c:pt>
                <c:pt idx="64">
                  <c:v>86.754000000000005</c:v>
                </c:pt>
                <c:pt idx="65">
                  <c:v>82.15</c:v>
                </c:pt>
                <c:pt idx="66">
                  <c:v>80.882000000000005</c:v>
                </c:pt>
                <c:pt idx="67">
                  <c:v>86.002499999999998</c:v>
                </c:pt>
                <c:pt idx="68">
                  <c:v>86.832499999999996</c:v>
                </c:pt>
                <c:pt idx="69">
                  <c:v>86.947999999999993</c:v>
                </c:pt>
                <c:pt idx="70">
                  <c:v>87.03</c:v>
                </c:pt>
                <c:pt idx="71">
                  <c:v>82.922499999999999</c:v>
                </c:pt>
                <c:pt idx="72">
                  <c:v>82.495999999999995</c:v>
                </c:pt>
                <c:pt idx="73">
                  <c:v>73.697500000000005</c:v>
                </c:pt>
                <c:pt idx="74">
                  <c:v>55.094999999999999</c:v>
                </c:pt>
                <c:pt idx="75">
                  <c:v>56.661999999999999</c:v>
                </c:pt>
                <c:pt idx="76">
                  <c:v>54.172499999999999</c:v>
                </c:pt>
                <c:pt idx="77">
                  <c:v>51.4925</c:v>
                </c:pt>
                <c:pt idx="78">
                  <c:v>52.793999999999997</c:v>
                </c:pt>
                <c:pt idx="79">
                  <c:v>50.15</c:v>
                </c:pt>
                <c:pt idx="80">
                  <c:v>57.494999999999997</c:v>
                </c:pt>
                <c:pt idx="81">
                  <c:v>60.472000000000001</c:v>
                </c:pt>
                <c:pt idx="82">
                  <c:v>81.204999999999998</c:v>
                </c:pt>
                <c:pt idx="83">
                  <c:v>88.77</c:v>
                </c:pt>
                <c:pt idx="84">
                  <c:v>86.537999999999997</c:v>
                </c:pt>
                <c:pt idx="85">
                  <c:v>81.319999999999993</c:v>
                </c:pt>
                <c:pt idx="86">
                  <c:v>72.822000000000003</c:v>
                </c:pt>
                <c:pt idx="87">
                  <c:v>69.055000000000007</c:v>
                </c:pt>
                <c:pt idx="88">
                  <c:v>65.662499999999994</c:v>
                </c:pt>
                <c:pt idx="89">
                  <c:v>57.67</c:v>
                </c:pt>
                <c:pt idx="90">
                  <c:v>65.792500000000004</c:v>
                </c:pt>
                <c:pt idx="91">
                  <c:v>65.674999999999997</c:v>
                </c:pt>
                <c:pt idx="92">
                  <c:v>65.192499999999995</c:v>
                </c:pt>
                <c:pt idx="93">
                  <c:v>70.268000000000001</c:v>
                </c:pt>
                <c:pt idx="94">
                  <c:v>74.644999999999996</c:v>
                </c:pt>
                <c:pt idx="95">
                  <c:v>73.007999999999996</c:v>
                </c:pt>
                <c:pt idx="96">
                  <c:v>69.004999999999995</c:v>
                </c:pt>
                <c:pt idx="97">
                  <c:v>63.9</c:v>
                </c:pt>
                <c:pt idx="98">
                  <c:v>64.382000000000005</c:v>
                </c:pt>
                <c:pt idx="99">
                  <c:v>24.337499999999999</c:v>
                </c:pt>
                <c:pt idx="100">
                  <c:v>72.847499999999997</c:v>
                </c:pt>
                <c:pt idx="101">
                  <c:v>78.947999999999993</c:v>
                </c:pt>
                <c:pt idx="102">
                  <c:v>69.055000000000007</c:v>
                </c:pt>
                <c:pt idx="103">
                  <c:v>58.087499999999999</c:v>
                </c:pt>
                <c:pt idx="104">
                  <c:v>69.625</c:v>
                </c:pt>
                <c:pt idx="105">
                  <c:v>47.171999999999997</c:v>
                </c:pt>
                <c:pt idx="106">
                  <c:v>6.37</c:v>
                </c:pt>
                <c:pt idx="107">
                  <c:v>6.2359999999999998</c:v>
                </c:pt>
                <c:pt idx="108">
                  <c:v>9.0250000000000004</c:v>
                </c:pt>
                <c:pt idx="109">
                  <c:v>3.2650000000000001</c:v>
                </c:pt>
                <c:pt idx="110">
                  <c:v>3.9239999999999999</c:v>
                </c:pt>
                <c:pt idx="111">
                  <c:v>5.1749999999999998</c:v>
                </c:pt>
                <c:pt idx="112">
                  <c:v>10.618</c:v>
                </c:pt>
                <c:pt idx="113">
                  <c:v>17.302499999999998</c:v>
                </c:pt>
                <c:pt idx="114">
                  <c:v>18.86</c:v>
                </c:pt>
                <c:pt idx="115">
                  <c:v>26.4925</c:v>
                </c:pt>
                <c:pt idx="116">
                  <c:v>39.194000000000003</c:v>
                </c:pt>
                <c:pt idx="117">
                  <c:v>16.392499999999998</c:v>
                </c:pt>
                <c:pt idx="118">
                  <c:v>11.776</c:v>
                </c:pt>
                <c:pt idx="119">
                  <c:v>7.63</c:v>
                </c:pt>
                <c:pt idx="120">
                  <c:v>7.5449999999999999</c:v>
                </c:pt>
                <c:pt idx="121">
                  <c:v>5.45</c:v>
                </c:pt>
                <c:pt idx="122">
                  <c:v>4.1074999999999999</c:v>
                </c:pt>
                <c:pt idx="123">
                  <c:v>4.5549999999999997</c:v>
                </c:pt>
                <c:pt idx="124">
                  <c:v>11.36</c:v>
                </c:pt>
                <c:pt idx="125">
                  <c:v>13.3925</c:v>
                </c:pt>
                <c:pt idx="126">
                  <c:v>14.864000000000001</c:v>
                </c:pt>
                <c:pt idx="127">
                  <c:v>10.8675</c:v>
                </c:pt>
                <c:pt idx="128">
                  <c:v>13.1675</c:v>
                </c:pt>
                <c:pt idx="129">
                  <c:v>16.515000000000001</c:v>
                </c:pt>
                <c:pt idx="130">
                  <c:v>12.68</c:v>
                </c:pt>
                <c:pt idx="131">
                  <c:v>9.8650000000000002</c:v>
                </c:pt>
                <c:pt idx="132">
                  <c:v>8.9275000000000002</c:v>
                </c:pt>
                <c:pt idx="133">
                  <c:v>7.5259999999999998</c:v>
                </c:pt>
                <c:pt idx="134">
                  <c:v>4.4074999999999998</c:v>
                </c:pt>
                <c:pt idx="135">
                  <c:v>5.2960000000000003</c:v>
                </c:pt>
                <c:pt idx="136">
                  <c:v>6.375</c:v>
                </c:pt>
                <c:pt idx="137">
                  <c:v>7.6524999999999999</c:v>
                </c:pt>
                <c:pt idx="138">
                  <c:v>10.066000000000001</c:v>
                </c:pt>
                <c:pt idx="139">
                  <c:v>11.4375</c:v>
                </c:pt>
                <c:pt idx="140">
                  <c:v>14.227499999999999</c:v>
                </c:pt>
                <c:pt idx="141">
                  <c:v>11.936</c:v>
                </c:pt>
                <c:pt idx="142">
                  <c:v>11.4725</c:v>
                </c:pt>
                <c:pt idx="143">
                  <c:v>17.850000000000001</c:v>
                </c:pt>
                <c:pt idx="144">
                  <c:v>26.776</c:v>
                </c:pt>
                <c:pt idx="145">
                  <c:v>26.4575</c:v>
                </c:pt>
                <c:pt idx="146">
                  <c:v>32.902500000000003</c:v>
                </c:pt>
                <c:pt idx="147">
                  <c:v>42.01</c:v>
                </c:pt>
                <c:pt idx="148">
                  <c:v>31.54</c:v>
                </c:pt>
                <c:pt idx="149">
                  <c:v>26.75</c:v>
                </c:pt>
                <c:pt idx="150">
                  <c:v>24.558</c:v>
                </c:pt>
                <c:pt idx="151">
                  <c:v>36.795000000000002</c:v>
                </c:pt>
                <c:pt idx="152">
                  <c:v>33.752499999999998</c:v>
                </c:pt>
                <c:pt idx="153">
                  <c:v>32.863999999999997</c:v>
                </c:pt>
                <c:pt idx="154">
                  <c:v>34.494999999999997</c:v>
                </c:pt>
                <c:pt idx="155">
                  <c:v>35.442500000000003</c:v>
                </c:pt>
                <c:pt idx="156">
                  <c:v>33.421999999999997</c:v>
                </c:pt>
                <c:pt idx="157">
                  <c:v>30.2425</c:v>
                </c:pt>
                <c:pt idx="158">
                  <c:v>26.094000000000001</c:v>
                </c:pt>
                <c:pt idx="159">
                  <c:v>20.95</c:v>
                </c:pt>
                <c:pt idx="160">
                  <c:v>22.002500000000001</c:v>
                </c:pt>
                <c:pt idx="161">
                  <c:v>37.677999999999997</c:v>
                </c:pt>
                <c:pt idx="162">
                  <c:v>61.12</c:v>
                </c:pt>
                <c:pt idx="163">
                  <c:v>46.77</c:v>
                </c:pt>
                <c:pt idx="164">
                  <c:v>44.41</c:v>
                </c:pt>
                <c:pt idx="165">
                  <c:v>39.713999999999999</c:v>
                </c:pt>
                <c:pt idx="166">
                  <c:v>40.39</c:v>
                </c:pt>
                <c:pt idx="167">
                  <c:v>43.134</c:v>
                </c:pt>
                <c:pt idx="168">
                  <c:v>40.002499999999998</c:v>
                </c:pt>
                <c:pt idx="169">
                  <c:v>38.186</c:v>
                </c:pt>
                <c:pt idx="170">
                  <c:v>75.117500000000007</c:v>
                </c:pt>
                <c:pt idx="171">
                  <c:v>97.222499999999997</c:v>
                </c:pt>
                <c:pt idx="172">
                  <c:v>88.701999999999998</c:v>
                </c:pt>
                <c:pt idx="173">
                  <c:v>77.099999999999994</c:v>
                </c:pt>
                <c:pt idx="174">
                  <c:v>83.924999999999997</c:v>
                </c:pt>
                <c:pt idx="175">
                  <c:v>83.97</c:v>
                </c:pt>
                <c:pt idx="176">
                  <c:v>85.688000000000002</c:v>
                </c:pt>
                <c:pt idx="177">
                  <c:v>83.375</c:v>
                </c:pt>
                <c:pt idx="178">
                  <c:v>85.89</c:v>
                </c:pt>
                <c:pt idx="179">
                  <c:v>85.814999999999998</c:v>
                </c:pt>
                <c:pt idx="180">
                  <c:v>89.412499999999994</c:v>
                </c:pt>
                <c:pt idx="181">
                  <c:v>75.221999999999994</c:v>
                </c:pt>
                <c:pt idx="182">
                  <c:v>59.702500000000001</c:v>
                </c:pt>
                <c:pt idx="183">
                  <c:v>45.887500000000003</c:v>
                </c:pt>
                <c:pt idx="184">
                  <c:v>33.96</c:v>
                </c:pt>
                <c:pt idx="185">
                  <c:v>28.287500000000001</c:v>
                </c:pt>
                <c:pt idx="186">
                  <c:v>28.776</c:v>
                </c:pt>
                <c:pt idx="187">
                  <c:v>35.532499999999999</c:v>
                </c:pt>
                <c:pt idx="188">
                  <c:v>32.630000000000003</c:v>
                </c:pt>
                <c:pt idx="189">
                  <c:v>31.79</c:v>
                </c:pt>
                <c:pt idx="190">
                  <c:v>56.658000000000001</c:v>
                </c:pt>
                <c:pt idx="191">
                  <c:v>58.174999999999997</c:v>
                </c:pt>
                <c:pt idx="192">
                  <c:v>46.09</c:v>
                </c:pt>
                <c:pt idx="193">
                  <c:v>41.478000000000002</c:v>
                </c:pt>
                <c:pt idx="194">
                  <c:v>34.342500000000001</c:v>
                </c:pt>
                <c:pt idx="195">
                  <c:v>33.81</c:v>
                </c:pt>
                <c:pt idx="196">
                  <c:v>36.0625</c:v>
                </c:pt>
                <c:pt idx="197">
                  <c:v>42.122500000000002</c:v>
                </c:pt>
                <c:pt idx="198">
                  <c:v>49.966000000000001</c:v>
                </c:pt>
                <c:pt idx="199">
                  <c:v>43.94</c:v>
                </c:pt>
                <c:pt idx="200">
                  <c:v>45.094999999999999</c:v>
                </c:pt>
                <c:pt idx="201">
                  <c:v>26.045999999999999</c:v>
                </c:pt>
                <c:pt idx="202">
                  <c:v>12.3575</c:v>
                </c:pt>
                <c:pt idx="203">
                  <c:v>10.51</c:v>
                </c:pt>
                <c:pt idx="204">
                  <c:v>7.8579999999999997</c:v>
                </c:pt>
                <c:pt idx="205">
                  <c:v>6.1775000000000002</c:v>
                </c:pt>
                <c:pt idx="206">
                  <c:v>4.82</c:v>
                </c:pt>
                <c:pt idx="207">
                  <c:v>3.6840000000000002</c:v>
                </c:pt>
                <c:pt idx="208">
                  <c:v>2.36</c:v>
                </c:pt>
                <c:pt idx="209">
                  <c:v>4.5549999999999997</c:v>
                </c:pt>
                <c:pt idx="210">
                  <c:v>3.7839999999999998</c:v>
                </c:pt>
                <c:pt idx="211">
                  <c:v>3.2574999999999998</c:v>
                </c:pt>
                <c:pt idx="212">
                  <c:v>4.1375000000000002</c:v>
                </c:pt>
                <c:pt idx="213">
                  <c:v>7.2439999999999998</c:v>
                </c:pt>
                <c:pt idx="214">
                  <c:v>9.6475000000000009</c:v>
                </c:pt>
                <c:pt idx="215">
                  <c:v>8.2620000000000005</c:v>
                </c:pt>
                <c:pt idx="216">
                  <c:v>8.875</c:v>
                </c:pt>
                <c:pt idx="217">
                  <c:v>7.7249999999999996</c:v>
                </c:pt>
                <c:pt idx="218">
                  <c:v>12.692</c:v>
                </c:pt>
                <c:pt idx="219">
                  <c:v>15.2525</c:v>
                </c:pt>
                <c:pt idx="220">
                  <c:v>28.89</c:v>
                </c:pt>
                <c:pt idx="221">
                  <c:v>41.561999999999998</c:v>
                </c:pt>
                <c:pt idx="222">
                  <c:v>37.475000000000001</c:v>
                </c:pt>
                <c:pt idx="223">
                  <c:v>50.327500000000001</c:v>
                </c:pt>
                <c:pt idx="224">
                  <c:v>55.26</c:v>
                </c:pt>
                <c:pt idx="225">
                  <c:v>60.496000000000002</c:v>
                </c:pt>
                <c:pt idx="226">
                  <c:v>56.965000000000003</c:v>
                </c:pt>
                <c:pt idx="227">
                  <c:v>68.08</c:v>
                </c:pt>
                <c:pt idx="228">
                  <c:v>68.12</c:v>
                </c:pt>
                <c:pt idx="229">
                  <c:v>57.642499999999998</c:v>
                </c:pt>
                <c:pt idx="230">
                  <c:v>58.188000000000002</c:v>
                </c:pt>
                <c:pt idx="231">
                  <c:v>58.405000000000001</c:v>
                </c:pt>
                <c:pt idx="232">
                  <c:v>49.774000000000001</c:v>
                </c:pt>
                <c:pt idx="233">
                  <c:v>53.152500000000003</c:v>
                </c:pt>
                <c:pt idx="234">
                  <c:v>53.852499999999999</c:v>
                </c:pt>
                <c:pt idx="235">
                  <c:v>58.914999999999999</c:v>
                </c:pt>
                <c:pt idx="236">
                  <c:v>61.63</c:v>
                </c:pt>
                <c:pt idx="237">
                  <c:v>48.722499999999997</c:v>
                </c:pt>
                <c:pt idx="238">
                  <c:v>43.545000000000002</c:v>
                </c:pt>
                <c:pt idx="239">
                  <c:v>39.067999999999998</c:v>
                </c:pt>
                <c:pt idx="240">
                  <c:v>32.76</c:v>
                </c:pt>
                <c:pt idx="241">
                  <c:v>30.547999999999998</c:v>
                </c:pt>
                <c:pt idx="242">
                  <c:v>29.362500000000001</c:v>
                </c:pt>
                <c:pt idx="243">
                  <c:v>23.352499999999999</c:v>
                </c:pt>
                <c:pt idx="244">
                  <c:v>16.297999999999998</c:v>
                </c:pt>
                <c:pt idx="245">
                  <c:v>11.2425</c:v>
                </c:pt>
                <c:pt idx="246">
                  <c:v>20.142499999999998</c:v>
                </c:pt>
                <c:pt idx="247">
                  <c:v>28.03</c:v>
                </c:pt>
                <c:pt idx="248">
                  <c:v>20.202000000000002</c:v>
                </c:pt>
                <c:pt idx="249">
                  <c:v>27.782499999999999</c:v>
                </c:pt>
                <c:pt idx="250">
                  <c:v>26.744</c:v>
                </c:pt>
                <c:pt idx="251">
                  <c:v>18.852499999999999</c:v>
                </c:pt>
                <c:pt idx="252">
                  <c:v>11.577500000000001</c:v>
                </c:pt>
                <c:pt idx="253">
                  <c:v>17.277999999999999</c:v>
                </c:pt>
                <c:pt idx="254">
                  <c:v>11.7325</c:v>
                </c:pt>
                <c:pt idx="255">
                  <c:v>11.2525</c:v>
                </c:pt>
                <c:pt idx="256">
                  <c:v>16.815999999999999</c:v>
                </c:pt>
                <c:pt idx="257">
                  <c:v>21.392499999999998</c:v>
                </c:pt>
                <c:pt idx="258">
                  <c:v>31.69</c:v>
                </c:pt>
                <c:pt idx="259">
                  <c:v>53.172499999999999</c:v>
                </c:pt>
                <c:pt idx="260">
                  <c:v>55.63</c:v>
                </c:pt>
                <c:pt idx="261">
                  <c:v>48.326000000000001</c:v>
                </c:pt>
                <c:pt idx="262">
                  <c:v>43.094999999999999</c:v>
                </c:pt>
                <c:pt idx="263">
                  <c:v>40.555</c:v>
                </c:pt>
                <c:pt idx="264">
                  <c:v>35.584000000000003</c:v>
                </c:pt>
                <c:pt idx="265">
                  <c:v>28.412500000000001</c:v>
                </c:pt>
                <c:pt idx="266">
                  <c:v>37.432499999999997</c:v>
                </c:pt>
                <c:pt idx="267">
                  <c:v>38.253999999999998</c:v>
                </c:pt>
                <c:pt idx="268">
                  <c:v>24.97</c:v>
                </c:pt>
                <c:pt idx="269">
                  <c:v>14.7875</c:v>
                </c:pt>
                <c:pt idx="270">
                  <c:v>12.946</c:v>
                </c:pt>
                <c:pt idx="271">
                  <c:v>9.4175000000000004</c:v>
                </c:pt>
                <c:pt idx="272">
                  <c:v>5.8449999999999998</c:v>
                </c:pt>
                <c:pt idx="273">
                  <c:v>5.6420000000000003</c:v>
                </c:pt>
                <c:pt idx="274">
                  <c:v>5.9749999999999996</c:v>
                </c:pt>
                <c:pt idx="275">
                  <c:v>9.09</c:v>
                </c:pt>
                <c:pt idx="276">
                  <c:v>11.82</c:v>
                </c:pt>
                <c:pt idx="277">
                  <c:v>13.05</c:v>
                </c:pt>
                <c:pt idx="278">
                  <c:v>16.72</c:v>
                </c:pt>
                <c:pt idx="279">
                  <c:v>19.149999999999999</c:v>
                </c:pt>
                <c:pt idx="280">
                  <c:v>13.9725</c:v>
                </c:pt>
                <c:pt idx="281">
                  <c:v>18.23</c:v>
                </c:pt>
                <c:pt idx="282">
                  <c:v>35.119999999999997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1480960"/>
        <c:axId val="361482496"/>
      </c:lineChart>
      <c:dateAx>
        <c:axId val="3614809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61482496"/>
        <c:crosses val="autoZero"/>
        <c:auto val="1"/>
        <c:lblOffset val="100"/>
        <c:baseTimeUnit val="months"/>
      </c:dateAx>
      <c:valAx>
        <c:axId val="361482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148096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Anlysis!$G$1</c:f>
              <c:strCache>
                <c:ptCount val="1"/>
                <c:pt idx="0">
                  <c:v>incentive_PL</c:v>
                </c:pt>
              </c:strCache>
            </c:strRef>
          </c:tx>
          <c:marker>
            <c:symbol val="none"/>
          </c:marker>
          <c:cat>
            <c:numRef>
              <c:f>Anlysis!$B$2:$B$39</c:f>
              <c:numCache>
                <c:formatCode>0.00</c:formatCode>
                <c:ptCount val="38"/>
                <c:pt idx="0">
                  <c:v>3.25</c:v>
                </c:pt>
                <c:pt idx="1">
                  <c:v>3.375</c:v>
                </c:pt>
                <c:pt idx="2">
                  <c:v>3.5</c:v>
                </c:pt>
                <c:pt idx="3">
                  <c:v>3.625</c:v>
                </c:pt>
                <c:pt idx="4">
                  <c:v>3.75</c:v>
                </c:pt>
                <c:pt idx="5">
                  <c:v>3.875</c:v>
                </c:pt>
                <c:pt idx="6">
                  <c:v>4</c:v>
                </c:pt>
                <c:pt idx="7">
                  <c:v>4.125</c:v>
                </c:pt>
                <c:pt idx="8">
                  <c:v>4.25</c:v>
                </c:pt>
                <c:pt idx="9">
                  <c:v>4.375</c:v>
                </c:pt>
                <c:pt idx="10">
                  <c:v>4.5</c:v>
                </c:pt>
                <c:pt idx="11">
                  <c:v>4.625</c:v>
                </c:pt>
                <c:pt idx="12">
                  <c:v>4.75</c:v>
                </c:pt>
                <c:pt idx="13">
                  <c:v>4.875</c:v>
                </c:pt>
                <c:pt idx="14">
                  <c:v>5</c:v>
                </c:pt>
                <c:pt idx="15">
                  <c:v>5.125</c:v>
                </c:pt>
                <c:pt idx="16">
                  <c:v>5.25</c:v>
                </c:pt>
                <c:pt idx="17">
                  <c:v>5.375</c:v>
                </c:pt>
                <c:pt idx="18">
                  <c:v>5.5</c:v>
                </c:pt>
                <c:pt idx="19">
                  <c:v>5.625</c:v>
                </c:pt>
                <c:pt idx="20">
                  <c:v>5.75</c:v>
                </c:pt>
                <c:pt idx="21">
                  <c:v>5.875</c:v>
                </c:pt>
                <c:pt idx="22">
                  <c:v>6</c:v>
                </c:pt>
                <c:pt idx="23">
                  <c:v>6.125</c:v>
                </c:pt>
                <c:pt idx="24">
                  <c:v>6.25</c:v>
                </c:pt>
                <c:pt idx="25">
                  <c:v>6.375</c:v>
                </c:pt>
                <c:pt idx="26">
                  <c:v>6.5</c:v>
                </c:pt>
                <c:pt idx="27">
                  <c:v>6.625</c:v>
                </c:pt>
                <c:pt idx="28">
                  <c:v>6.75</c:v>
                </c:pt>
                <c:pt idx="29">
                  <c:v>6.875</c:v>
                </c:pt>
                <c:pt idx="30">
                  <c:v>7</c:v>
                </c:pt>
                <c:pt idx="31">
                  <c:v>7.125</c:v>
                </c:pt>
                <c:pt idx="32">
                  <c:v>7.25</c:v>
                </c:pt>
                <c:pt idx="33">
                  <c:v>7.375</c:v>
                </c:pt>
                <c:pt idx="34">
                  <c:v>7.5</c:v>
                </c:pt>
                <c:pt idx="35">
                  <c:v>7.625</c:v>
                </c:pt>
                <c:pt idx="36">
                  <c:v>7.75</c:v>
                </c:pt>
                <c:pt idx="37">
                  <c:v>7.875</c:v>
                </c:pt>
              </c:numCache>
            </c:numRef>
          </c:cat>
          <c:val>
            <c:numRef>
              <c:f>Anlysis!$G$2:$G$39</c:f>
              <c:numCache>
                <c:formatCode>0.00</c:formatCode>
                <c:ptCount val="38"/>
                <c:pt idx="0">
                  <c:v>-30.156409387140997</c:v>
                </c:pt>
                <c:pt idx="1">
                  <c:v>-14.974162729903501</c:v>
                </c:pt>
                <c:pt idx="2">
                  <c:v>1.9995657393549</c:v>
                </c:pt>
                <c:pt idx="3">
                  <c:v>12.1124332298056</c:v>
                </c:pt>
                <c:pt idx="4">
                  <c:v>21.942485737736302</c:v>
                </c:pt>
                <c:pt idx="5">
                  <c:v>28.325552187587498</c:v>
                </c:pt>
                <c:pt idx="6">
                  <c:v>47.3663377974542</c:v>
                </c:pt>
                <c:pt idx="7">
                  <c:v>52.866918760246193</c:v>
                </c:pt>
                <c:pt idx="8">
                  <c:v>61.957518709216295</c:v>
                </c:pt>
                <c:pt idx="9">
                  <c:v>77.5614173751555</c:v>
                </c:pt>
                <c:pt idx="10">
                  <c:v>91.694206402942797</c:v>
                </c:pt>
                <c:pt idx="11">
                  <c:v>99.5646976864641</c:v>
                </c:pt>
                <c:pt idx="12">
                  <c:v>103.637306028463</c:v>
                </c:pt>
                <c:pt idx="13">
                  <c:v>125.042313720257</c:v>
                </c:pt>
                <c:pt idx="14">
                  <c:v>141.12214160105799</c:v>
                </c:pt>
                <c:pt idx="15">
                  <c:v>141.05630159347601</c:v>
                </c:pt>
                <c:pt idx="16">
                  <c:v>145.72673094823801</c:v>
                </c:pt>
                <c:pt idx="17">
                  <c:v>175.94314204064102</c:v>
                </c:pt>
                <c:pt idx="18">
                  <c:v>187.117810024737</c:v>
                </c:pt>
                <c:pt idx="19">
                  <c:v>207.54097951447199</c:v>
                </c:pt>
                <c:pt idx="20">
                  <c:v>221.80509438259401</c:v>
                </c:pt>
                <c:pt idx="21">
                  <c:v>233.096237549629</c:v>
                </c:pt>
                <c:pt idx="22">
                  <c:v>247.75029244636002</c:v>
                </c:pt>
                <c:pt idx="23">
                  <c:v>261.786772192299</c:v>
                </c:pt>
                <c:pt idx="24">
                  <c:v>276.35124259000401</c:v>
                </c:pt>
                <c:pt idx="25">
                  <c:v>288.51006770122098</c:v>
                </c:pt>
                <c:pt idx="26">
                  <c:v>304.21937268255198</c:v>
                </c:pt>
                <c:pt idx="27">
                  <c:v>317.371222574542</c:v>
                </c:pt>
                <c:pt idx="28">
                  <c:v>330.59231049605899</c:v>
                </c:pt>
                <c:pt idx="29">
                  <c:v>343.74738161046696</c:v>
                </c:pt>
                <c:pt idx="30">
                  <c:v>355.42662354849404</c:v>
                </c:pt>
                <c:pt idx="31">
                  <c:v>370.95152404525101</c:v>
                </c:pt>
                <c:pt idx="32">
                  <c:v>384.65285775372399</c:v>
                </c:pt>
                <c:pt idx="33">
                  <c:v>394.21157656675598</c:v>
                </c:pt>
                <c:pt idx="34">
                  <c:v>405.62797011987703</c:v>
                </c:pt>
                <c:pt idx="35">
                  <c:v>420.83872692923501</c:v>
                </c:pt>
                <c:pt idx="36">
                  <c:v>435.11532091275404</c:v>
                </c:pt>
                <c:pt idx="37">
                  <c:v>490.85291198608303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Anlysis!$M$1</c:f>
              <c:strCache>
                <c:ptCount val="1"/>
                <c:pt idx="0">
                  <c:v>incentive_bucket</c:v>
                </c:pt>
              </c:strCache>
            </c:strRef>
          </c:tx>
          <c:marker>
            <c:symbol val="none"/>
          </c:marker>
          <c:cat>
            <c:numRef>
              <c:f>Anlysis!$B$2:$B$39</c:f>
              <c:numCache>
                <c:formatCode>0.00</c:formatCode>
                <c:ptCount val="38"/>
                <c:pt idx="0">
                  <c:v>3.25</c:v>
                </c:pt>
                <c:pt idx="1">
                  <c:v>3.375</c:v>
                </c:pt>
                <c:pt idx="2">
                  <c:v>3.5</c:v>
                </c:pt>
                <c:pt idx="3">
                  <c:v>3.625</c:v>
                </c:pt>
                <c:pt idx="4">
                  <c:v>3.75</c:v>
                </c:pt>
                <c:pt idx="5">
                  <c:v>3.875</c:v>
                </c:pt>
                <c:pt idx="6">
                  <c:v>4</c:v>
                </c:pt>
                <c:pt idx="7">
                  <c:v>4.125</c:v>
                </c:pt>
                <c:pt idx="8">
                  <c:v>4.25</c:v>
                </c:pt>
                <c:pt idx="9">
                  <c:v>4.375</c:v>
                </c:pt>
                <c:pt idx="10">
                  <c:v>4.5</c:v>
                </c:pt>
                <c:pt idx="11">
                  <c:v>4.625</c:v>
                </c:pt>
                <c:pt idx="12">
                  <c:v>4.75</c:v>
                </c:pt>
                <c:pt idx="13">
                  <c:v>4.875</c:v>
                </c:pt>
                <c:pt idx="14">
                  <c:v>5</c:v>
                </c:pt>
                <c:pt idx="15">
                  <c:v>5.125</c:v>
                </c:pt>
                <c:pt idx="16">
                  <c:v>5.25</c:v>
                </c:pt>
                <c:pt idx="17">
                  <c:v>5.375</c:v>
                </c:pt>
                <c:pt idx="18">
                  <c:v>5.5</c:v>
                </c:pt>
                <c:pt idx="19">
                  <c:v>5.625</c:v>
                </c:pt>
                <c:pt idx="20">
                  <c:v>5.75</c:v>
                </c:pt>
                <c:pt idx="21">
                  <c:v>5.875</c:v>
                </c:pt>
                <c:pt idx="22">
                  <c:v>6</c:v>
                </c:pt>
                <c:pt idx="23">
                  <c:v>6.125</c:v>
                </c:pt>
                <c:pt idx="24">
                  <c:v>6.25</c:v>
                </c:pt>
                <c:pt idx="25">
                  <c:v>6.375</c:v>
                </c:pt>
                <c:pt idx="26">
                  <c:v>6.5</c:v>
                </c:pt>
                <c:pt idx="27">
                  <c:v>6.625</c:v>
                </c:pt>
                <c:pt idx="28">
                  <c:v>6.75</c:v>
                </c:pt>
                <c:pt idx="29">
                  <c:v>6.875</c:v>
                </c:pt>
                <c:pt idx="30">
                  <c:v>7</c:v>
                </c:pt>
                <c:pt idx="31">
                  <c:v>7.125</c:v>
                </c:pt>
                <c:pt idx="32">
                  <c:v>7.25</c:v>
                </c:pt>
                <c:pt idx="33">
                  <c:v>7.375</c:v>
                </c:pt>
                <c:pt idx="34">
                  <c:v>7.5</c:v>
                </c:pt>
                <c:pt idx="35">
                  <c:v>7.625</c:v>
                </c:pt>
                <c:pt idx="36">
                  <c:v>7.75</c:v>
                </c:pt>
                <c:pt idx="37">
                  <c:v>7.875</c:v>
                </c:pt>
              </c:numCache>
            </c:numRef>
          </c:cat>
          <c:val>
            <c:numRef>
              <c:f>Anlysis!$M$2:$M$39</c:f>
              <c:numCache>
                <c:formatCode>0.00</c:formatCode>
                <c:ptCount val="38"/>
                <c:pt idx="0">
                  <c:v>-15.38</c:v>
                </c:pt>
                <c:pt idx="1">
                  <c:v>-4.66</c:v>
                </c:pt>
                <c:pt idx="2">
                  <c:v>9.68</c:v>
                </c:pt>
                <c:pt idx="3">
                  <c:v>22.57</c:v>
                </c:pt>
                <c:pt idx="4">
                  <c:v>32.46</c:v>
                </c:pt>
                <c:pt idx="5">
                  <c:v>39.22</c:v>
                </c:pt>
                <c:pt idx="6">
                  <c:v>56.47</c:v>
                </c:pt>
                <c:pt idx="7">
                  <c:v>63.05</c:v>
                </c:pt>
                <c:pt idx="8">
                  <c:v>72.66</c:v>
                </c:pt>
                <c:pt idx="9">
                  <c:v>88.46</c:v>
                </c:pt>
                <c:pt idx="10">
                  <c:v>101.91</c:v>
                </c:pt>
                <c:pt idx="11">
                  <c:v>110.11</c:v>
                </c:pt>
                <c:pt idx="12">
                  <c:v>115.38</c:v>
                </c:pt>
                <c:pt idx="13">
                  <c:v>134.34</c:v>
                </c:pt>
                <c:pt idx="14">
                  <c:v>152.54</c:v>
                </c:pt>
                <c:pt idx="15">
                  <c:v>152.41999999999999</c:v>
                </c:pt>
                <c:pt idx="16">
                  <c:v>156.96</c:v>
                </c:pt>
                <c:pt idx="17">
                  <c:v>184.56</c:v>
                </c:pt>
                <c:pt idx="18">
                  <c:v>198.91</c:v>
                </c:pt>
                <c:pt idx="19">
                  <c:v>218.59</c:v>
                </c:pt>
                <c:pt idx="20">
                  <c:v>233.23</c:v>
                </c:pt>
                <c:pt idx="21">
                  <c:v>243.5</c:v>
                </c:pt>
                <c:pt idx="22">
                  <c:v>259.19</c:v>
                </c:pt>
                <c:pt idx="23">
                  <c:v>273.77999999999997</c:v>
                </c:pt>
                <c:pt idx="24">
                  <c:v>287.64</c:v>
                </c:pt>
                <c:pt idx="25">
                  <c:v>299.88</c:v>
                </c:pt>
                <c:pt idx="26">
                  <c:v>315.20999999999998</c:v>
                </c:pt>
                <c:pt idx="27">
                  <c:v>328.93</c:v>
                </c:pt>
                <c:pt idx="28">
                  <c:v>342.01</c:v>
                </c:pt>
                <c:pt idx="29">
                  <c:v>354.94</c:v>
                </c:pt>
                <c:pt idx="30">
                  <c:v>367.38</c:v>
                </c:pt>
                <c:pt idx="31">
                  <c:v>382.85</c:v>
                </c:pt>
                <c:pt idx="32">
                  <c:v>396.66</c:v>
                </c:pt>
                <c:pt idx="33">
                  <c:v>406.26</c:v>
                </c:pt>
                <c:pt idx="34">
                  <c:v>417.36</c:v>
                </c:pt>
                <c:pt idx="35">
                  <c:v>432.9</c:v>
                </c:pt>
                <c:pt idx="36">
                  <c:v>446.67</c:v>
                </c:pt>
                <c:pt idx="37">
                  <c:v>459.98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073536"/>
        <c:axId val="367108096"/>
      </c:lineChart>
      <c:catAx>
        <c:axId val="367073536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367108096"/>
        <c:crosses val="autoZero"/>
        <c:auto val="1"/>
        <c:lblAlgn val="ctr"/>
        <c:lblOffset val="100"/>
        <c:noMultiLvlLbl val="0"/>
      </c:catAx>
      <c:valAx>
        <c:axId val="36710809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3670735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Anlysis!$H$1</c:f>
              <c:strCache>
                <c:ptCount val="1"/>
                <c:pt idx="0">
                  <c:v>balance</c:v>
                </c:pt>
              </c:strCache>
            </c:strRef>
          </c:tx>
          <c:invertIfNegative val="0"/>
          <c:cat>
            <c:numRef>
              <c:f>Anlysis!$B$2:$B$39</c:f>
              <c:numCache>
                <c:formatCode>0.00</c:formatCode>
                <c:ptCount val="38"/>
                <c:pt idx="0">
                  <c:v>3.25</c:v>
                </c:pt>
                <c:pt idx="1">
                  <c:v>3.375</c:v>
                </c:pt>
                <c:pt idx="2">
                  <c:v>3.5</c:v>
                </c:pt>
                <c:pt idx="3">
                  <c:v>3.625</c:v>
                </c:pt>
                <c:pt idx="4">
                  <c:v>3.75</c:v>
                </c:pt>
                <c:pt idx="5">
                  <c:v>3.875</c:v>
                </c:pt>
                <c:pt idx="6">
                  <c:v>4</c:v>
                </c:pt>
                <c:pt idx="7">
                  <c:v>4.125</c:v>
                </c:pt>
                <c:pt idx="8">
                  <c:v>4.25</c:v>
                </c:pt>
                <c:pt idx="9">
                  <c:v>4.375</c:v>
                </c:pt>
                <c:pt idx="10">
                  <c:v>4.5</c:v>
                </c:pt>
                <c:pt idx="11">
                  <c:v>4.625</c:v>
                </c:pt>
                <c:pt idx="12">
                  <c:v>4.75</c:v>
                </c:pt>
                <c:pt idx="13">
                  <c:v>4.875</c:v>
                </c:pt>
                <c:pt idx="14">
                  <c:v>5</c:v>
                </c:pt>
                <c:pt idx="15">
                  <c:v>5.125</c:v>
                </c:pt>
                <c:pt idx="16">
                  <c:v>5.25</c:v>
                </c:pt>
                <c:pt idx="17">
                  <c:v>5.375</c:v>
                </c:pt>
                <c:pt idx="18">
                  <c:v>5.5</c:v>
                </c:pt>
                <c:pt idx="19">
                  <c:v>5.625</c:v>
                </c:pt>
                <c:pt idx="20">
                  <c:v>5.75</c:v>
                </c:pt>
                <c:pt idx="21">
                  <c:v>5.875</c:v>
                </c:pt>
                <c:pt idx="22">
                  <c:v>6</c:v>
                </c:pt>
                <c:pt idx="23">
                  <c:v>6.125</c:v>
                </c:pt>
                <c:pt idx="24">
                  <c:v>6.25</c:v>
                </c:pt>
                <c:pt idx="25">
                  <c:v>6.375</c:v>
                </c:pt>
                <c:pt idx="26">
                  <c:v>6.5</c:v>
                </c:pt>
                <c:pt idx="27">
                  <c:v>6.625</c:v>
                </c:pt>
                <c:pt idx="28">
                  <c:v>6.75</c:v>
                </c:pt>
                <c:pt idx="29">
                  <c:v>6.875</c:v>
                </c:pt>
                <c:pt idx="30">
                  <c:v>7</c:v>
                </c:pt>
                <c:pt idx="31">
                  <c:v>7.125</c:v>
                </c:pt>
                <c:pt idx="32">
                  <c:v>7.25</c:v>
                </c:pt>
                <c:pt idx="33">
                  <c:v>7.375</c:v>
                </c:pt>
                <c:pt idx="34">
                  <c:v>7.5</c:v>
                </c:pt>
                <c:pt idx="35">
                  <c:v>7.625</c:v>
                </c:pt>
                <c:pt idx="36">
                  <c:v>7.75</c:v>
                </c:pt>
                <c:pt idx="37">
                  <c:v>7.875</c:v>
                </c:pt>
              </c:numCache>
            </c:numRef>
          </c:cat>
          <c:val>
            <c:numRef>
              <c:f>Anlysis!$H$2:$H$39</c:f>
              <c:numCache>
                <c:formatCode>General</c:formatCode>
                <c:ptCount val="38"/>
                <c:pt idx="0">
                  <c:v>10435655864.370001</c:v>
                </c:pt>
                <c:pt idx="1">
                  <c:v>5959347869.0600004</c:v>
                </c:pt>
                <c:pt idx="2">
                  <c:v>66245941674.739998</c:v>
                </c:pt>
                <c:pt idx="3">
                  <c:v>241367917013.29999</c:v>
                </c:pt>
                <c:pt idx="4">
                  <c:v>155114377512.44</c:v>
                </c:pt>
                <c:pt idx="5">
                  <c:v>143674635331.82999</c:v>
                </c:pt>
                <c:pt idx="6">
                  <c:v>273009215911.20001</c:v>
                </c:pt>
                <c:pt idx="7">
                  <c:v>274873747937.59</c:v>
                </c:pt>
                <c:pt idx="8">
                  <c:v>301132079657.91998</c:v>
                </c:pt>
                <c:pt idx="9">
                  <c:v>123191674298.61</c:v>
                </c:pt>
                <c:pt idx="10">
                  <c:v>212556538204.28</c:v>
                </c:pt>
                <c:pt idx="11">
                  <c:v>225916560392.85999</c:v>
                </c:pt>
                <c:pt idx="12">
                  <c:v>144047357178.29001</c:v>
                </c:pt>
                <c:pt idx="13">
                  <c:v>80267207796.449997</c:v>
                </c:pt>
                <c:pt idx="14">
                  <c:v>164051787460.04001</c:v>
                </c:pt>
                <c:pt idx="15">
                  <c:v>39000504906.629997</c:v>
                </c:pt>
                <c:pt idx="16">
                  <c:v>22650462595.939999</c:v>
                </c:pt>
                <c:pt idx="17">
                  <c:v>50120673870.43</c:v>
                </c:pt>
                <c:pt idx="18">
                  <c:v>54311359764.089996</c:v>
                </c:pt>
                <c:pt idx="19">
                  <c:v>25741455477.93</c:v>
                </c:pt>
                <c:pt idx="20">
                  <c:v>14312840637.35</c:v>
                </c:pt>
                <c:pt idx="21">
                  <c:v>25210498300.18</c:v>
                </c:pt>
                <c:pt idx="22">
                  <c:v>45203511122.410004</c:v>
                </c:pt>
                <c:pt idx="23">
                  <c:v>20307788762.040001</c:v>
                </c:pt>
                <c:pt idx="24">
                  <c:v>12242948128.389999</c:v>
                </c:pt>
                <c:pt idx="25">
                  <c:v>14298319556.559999</c:v>
                </c:pt>
                <c:pt idx="26">
                  <c:v>23691555100.689999</c:v>
                </c:pt>
                <c:pt idx="27">
                  <c:v>17261423989.029999</c:v>
                </c:pt>
                <c:pt idx="28">
                  <c:v>10516541459.610001</c:v>
                </c:pt>
                <c:pt idx="29">
                  <c:v>8377600662.1999998</c:v>
                </c:pt>
                <c:pt idx="30">
                  <c:v>10801906536.809999</c:v>
                </c:pt>
                <c:pt idx="31">
                  <c:v>5732445173.1800003</c:v>
                </c:pt>
                <c:pt idx="32">
                  <c:v>2696725995.3099999</c:v>
                </c:pt>
                <c:pt idx="33">
                  <c:v>2591590578.4000001</c:v>
                </c:pt>
                <c:pt idx="34">
                  <c:v>2802764223.0799999</c:v>
                </c:pt>
                <c:pt idx="35">
                  <c:v>2156022138.73</c:v>
                </c:pt>
                <c:pt idx="36">
                  <c:v>1566313011.9100001</c:v>
                </c:pt>
                <c:pt idx="37">
                  <c:v>5401953585.3400002</c:v>
                </c:pt>
              </c:numCache>
            </c:numRef>
          </c:val>
        </c:ser>
        <c:ser>
          <c:idx val="1"/>
          <c:order val="1"/>
          <c:tx>
            <c:strRef>
              <c:f>Anlysis!$I$1</c:f>
              <c:strCache>
                <c:ptCount val="1"/>
                <c:pt idx="0">
                  <c:v>media_balance_PL</c:v>
                </c:pt>
              </c:strCache>
            </c:strRef>
          </c:tx>
          <c:invertIfNegative val="0"/>
          <c:cat>
            <c:numRef>
              <c:f>Anlysis!$B$2:$B$39</c:f>
              <c:numCache>
                <c:formatCode>0.00</c:formatCode>
                <c:ptCount val="38"/>
                <c:pt idx="0">
                  <c:v>3.25</c:v>
                </c:pt>
                <c:pt idx="1">
                  <c:v>3.375</c:v>
                </c:pt>
                <c:pt idx="2">
                  <c:v>3.5</c:v>
                </c:pt>
                <c:pt idx="3">
                  <c:v>3.625</c:v>
                </c:pt>
                <c:pt idx="4">
                  <c:v>3.75</c:v>
                </c:pt>
                <c:pt idx="5">
                  <c:v>3.875</c:v>
                </c:pt>
                <c:pt idx="6">
                  <c:v>4</c:v>
                </c:pt>
                <c:pt idx="7">
                  <c:v>4.125</c:v>
                </c:pt>
                <c:pt idx="8">
                  <c:v>4.25</c:v>
                </c:pt>
                <c:pt idx="9">
                  <c:v>4.375</c:v>
                </c:pt>
                <c:pt idx="10">
                  <c:v>4.5</c:v>
                </c:pt>
                <c:pt idx="11">
                  <c:v>4.625</c:v>
                </c:pt>
                <c:pt idx="12">
                  <c:v>4.75</c:v>
                </c:pt>
                <c:pt idx="13">
                  <c:v>4.875</c:v>
                </c:pt>
                <c:pt idx="14">
                  <c:v>5</c:v>
                </c:pt>
                <c:pt idx="15">
                  <c:v>5.125</c:v>
                </c:pt>
                <c:pt idx="16">
                  <c:v>5.25</c:v>
                </c:pt>
                <c:pt idx="17">
                  <c:v>5.375</c:v>
                </c:pt>
                <c:pt idx="18">
                  <c:v>5.5</c:v>
                </c:pt>
                <c:pt idx="19">
                  <c:v>5.625</c:v>
                </c:pt>
                <c:pt idx="20">
                  <c:v>5.75</c:v>
                </c:pt>
                <c:pt idx="21">
                  <c:v>5.875</c:v>
                </c:pt>
                <c:pt idx="22">
                  <c:v>6</c:v>
                </c:pt>
                <c:pt idx="23">
                  <c:v>6.125</c:v>
                </c:pt>
                <c:pt idx="24">
                  <c:v>6.25</c:v>
                </c:pt>
                <c:pt idx="25">
                  <c:v>6.375</c:v>
                </c:pt>
                <c:pt idx="26">
                  <c:v>6.5</c:v>
                </c:pt>
                <c:pt idx="27">
                  <c:v>6.625</c:v>
                </c:pt>
                <c:pt idx="28">
                  <c:v>6.75</c:v>
                </c:pt>
                <c:pt idx="29">
                  <c:v>6.875</c:v>
                </c:pt>
                <c:pt idx="30">
                  <c:v>7</c:v>
                </c:pt>
                <c:pt idx="31">
                  <c:v>7.125</c:v>
                </c:pt>
                <c:pt idx="32">
                  <c:v>7.25</c:v>
                </c:pt>
                <c:pt idx="33">
                  <c:v>7.375</c:v>
                </c:pt>
                <c:pt idx="34">
                  <c:v>7.5</c:v>
                </c:pt>
                <c:pt idx="35">
                  <c:v>7.625</c:v>
                </c:pt>
                <c:pt idx="36">
                  <c:v>7.75</c:v>
                </c:pt>
                <c:pt idx="37">
                  <c:v>7.875</c:v>
                </c:pt>
              </c:numCache>
            </c:numRef>
          </c:cat>
          <c:val>
            <c:numRef>
              <c:f>Anlysis!$I$2:$I$39</c:f>
              <c:numCache>
                <c:formatCode>General</c:formatCode>
                <c:ptCount val="38"/>
                <c:pt idx="0">
                  <c:v>499796.87</c:v>
                </c:pt>
                <c:pt idx="1">
                  <c:v>0</c:v>
                </c:pt>
                <c:pt idx="2">
                  <c:v>1191935961.1400001</c:v>
                </c:pt>
                <c:pt idx="3">
                  <c:v>3491099016.6100001</c:v>
                </c:pt>
                <c:pt idx="4">
                  <c:v>1797216805.1900001</c:v>
                </c:pt>
                <c:pt idx="5">
                  <c:v>2697182752.8299999</c:v>
                </c:pt>
                <c:pt idx="6">
                  <c:v>113695942034.49001</c:v>
                </c:pt>
                <c:pt idx="7">
                  <c:v>172808736026.01999</c:v>
                </c:pt>
                <c:pt idx="8">
                  <c:v>265563812249.73001</c:v>
                </c:pt>
                <c:pt idx="9">
                  <c:v>114097771561</c:v>
                </c:pt>
                <c:pt idx="10">
                  <c:v>204635861349.20999</c:v>
                </c:pt>
                <c:pt idx="11">
                  <c:v>218762905850.04999</c:v>
                </c:pt>
                <c:pt idx="12">
                  <c:v>140359362906.76999</c:v>
                </c:pt>
                <c:pt idx="13">
                  <c:v>79372220577.589996</c:v>
                </c:pt>
                <c:pt idx="14">
                  <c:v>163545292760.84</c:v>
                </c:pt>
                <c:pt idx="15">
                  <c:v>38542562697.779999</c:v>
                </c:pt>
                <c:pt idx="16">
                  <c:v>22343009734.310001</c:v>
                </c:pt>
                <c:pt idx="17">
                  <c:v>50043349258.449997</c:v>
                </c:pt>
                <c:pt idx="18">
                  <c:v>54294771421.190002</c:v>
                </c:pt>
                <c:pt idx="19">
                  <c:v>25730576097.689999</c:v>
                </c:pt>
                <c:pt idx="20">
                  <c:v>14309934477.57</c:v>
                </c:pt>
                <c:pt idx="21">
                  <c:v>25209915139.849998</c:v>
                </c:pt>
                <c:pt idx="22">
                  <c:v>45203511122.410004</c:v>
                </c:pt>
                <c:pt idx="23">
                  <c:v>20307788762.040001</c:v>
                </c:pt>
                <c:pt idx="24">
                  <c:v>12242948128.389999</c:v>
                </c:pt>
                <c:pt idx="25">
                  <c:v>14298319556.559999</c:v>
                </c:pt>
                <c:pt idx="26">
                  <c:v>23690435755.139999</c:v>
                </c:pt>
                <c:pt idx="27">
                  <c:v>17261423989.029999</c:v>
                </c:pt>
                <c:pt idx="28">
                  <c:v>10516541459.610001</c:v>
                </c:pt>
                <c:pt idx="29">
                  <c:v>8377600662.1999998</c:v>
                </c:pt>
                <c:pt idx="30">
                  <c:v>10801906536.809999</c:v>
                </c:pt>
                <c:pt idx="31">
                  <c:v>5732445173.1800003</c:v>
                </c:pt>
                <c:pt idx="32">
                  <c:v>2696725995.3099999</c:v>
                </c:pt>
                <c:pt idx="33">
                  <c:v>2591590578.4000001</c:v>
                </c:pt>
                <c:pt idx="34">
                  <c:v>2802764223.0799999</c:v>
                </c:pt>
                <c:pt idx="35">
                  <c:v>2156022138.73</c:v>
                </c:pt>
                <c:pt idx="36">
                  <c:v>1566313011.9100001</c:v>
                </c:pt>
                <c:pt idx="37">
                  <c:v>5401953585.3400002</c:v>
                </c:pt>
              </c:numCache>
            </c:numRef>
          </c:val>
        </c:ser>
        <c:ser>
          <c:idx val="2"/>
          <c:order val="2"/>
          <c:tx>
            <c:strRef>
              <c:f>Anlysis!$O$1</c:f>
              <c:strCache>
                <c:ptCount val="1"/>
                <c:pt idx="0">
                  <c:v>media_balance_repline</c:v>
                </c:pt>
              </c:strCache>
            </c:strRef>
          </c:tx>
          <c:invertIfNegative val="0"/>
          <c:cat>
            <c:numRef>
              <c:f>Anlysis!$B$2:$B$39</c:f>
              <c:numCache>
                <c:formatCode>0.00</c:formatCode>
                <c:ptCount val="38"/>
                <c:pt idx="0">
                  <c:v>3.25</c:v>
                </c:pt>
                <c:pt idx="1">
                  <c:v>3.375</c:v>
                </c:pt>
                <c:pt idx="2">
                  <c:v>3.5</c:v>
                </c:pt>
                <c:pt idx="3">
                  <c:v>3.625</c:v>
                </c:pt>
                <c:pt idx="4">
                  <c:v>3.75</c:v>
                </c:pt>
                <c:pt idx="5">
                  <c:v>3.875</c:v>
                </c:pt>
                <c:pt idx="6">
                  <c:v>4</c:v>
                </c:pt>
                <c:pt idx="7">
                  <c:v>4.125</c:v>
                </c:pt>
                <c:pt idx="8">
                  <c:v>4.25</c:v>
                </c:pt>
                <c:pt idx="9">
                  <c:v>4.375</c:v>
                </c:pt>
                <c:pt idx="10">
                  <c:v>4.5</c:v>
                </c:pt>
                <c:pt idx="11">
                  <c:v>4.625</c:v>
                </c:pt>
                <c:pt idx="12">
                  <c:v>4.75</c:v>
                </c:pt>
                <c:pt idx="13">
                  <c:v>4.875</c:v>
                </c:pt>
                <c:pt idx="14">
                  <c:v>5</c:v>
                </c:pt>
                <c:pt idx="15">
                  <c:v>5.125</c:v>
                </c:pt>
                <c:pt idx="16">
                  <c:v>5.25</c:v>
                </c:pt>
                <c:pt idx="17">
                  <c:v>5.375</c:v>
                </c:pt>
                <c:pt idx="18">
                  <c:v>5.5</c:v>
                </c:pt>
                <c:pt idx="19">
                  <c:v>5.625</c:v>
                </c:pt>
                <c:pt idx="20">
                  <c:v>5.75</c:v>
                </c:pt>
                <c:pt idx="21">
                  <c:v>5.875</c:v>
                </c:pt>
                <c:pt idx="22">
                  <c:v>6</c:v>
                </c:pt>
                <c:pt idx="23">
                  <c:v>6.125</c:v>
                </c:pt>
                <c:pt idx="24">
                  <c:v>6.25</c:v>
                </c:pt>
                <c:pt idx="25">
                  <c:v>6.375</c:v>
                </c:pt>
                <c:pt idx="26">
                  <c:v>6.5</c:v>
                </c:pt>
                <c:pt idx="27">
                  <c:v>6.625</c:v>
                </c:pt>
                <c:pt idx="28">
                  <c:v>6.75</c:v>
                </c:pt>
                <c:pt idx="29">
                  <c:v>6.875</c:v>
                </c:pt>
                <c:pt idx="30">
                  <c:v>7</c:v>
                </c:pt>
                <c:pt idx="31">
                  <c:v>7.125</c:v>
                </c:pt>
                <c:pt idx="32">
                  <c:v>7.25</c:v>
                </c:pt>
                <c:pt idx="33">
                  <c:v>7.375</c:v>
                </c:pt>
                <c:pt idx="34">
                  <c:v>7.5</c:v>
                </c:pt>
                <c:pt idx="35">
                  <c:v>7.625</c:v>
                </c:pt>
                <c:pt idx="36">
                  <c:v>7.75</c:v>
                </c:pt>
                <c:pt idx="37">
                  <c:v>7.875</c:v>
                </c:pt>
              </c:numCache>
            </c:numRef>
          </c:cat>
          <c:val>
            <c:numRef>
              <c:f>Anlysis!$O$2:$O$39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19803680006.302601</c:v>
                </c:pt>
                <c:pt idx="6">
                  <c:v>273009215911.20001</c:v>
                </c:pt>
                <c:pt idx="7">
                  <c:v>274873747937.59</c:v>
                </c:pt>
                <c:pt idx="8">
                  <c:v>301132079657.91998</c:v>
                </c:pt>
                <c:pt idx="9">
                  <c:v>123191674298.61</c:v>
                </c:pt>
                <c:pt idx="10">
                  <c:v>212556538204.28</c:v>
                </c:pt>
                <c:pt idx="11">
                  <c:v>225916560392.85999</c:v>
                </c:pt>
                <c:pt idx="12">
                  <c:v>144047357178.29001</c:v>
                </c:pt>
                <c:pt idx="13">
                  <c:v>80267207796.449997</c:v>
                </c:pt>
                <c:pt idx="14">
                  <c:v>164051787460.04001</c:v>
                </c:pt>
                <c:pt idx="15">
                  <c:v>39000504906.629997</c:v>
                </c:pt>
                <c:pt idx="16">
                  <c:v>22650462595.939999</c:v>
                </c:pt>
                <c:pt idx="17">
                  <c:v>50120673870.43</c:v>
                </c:pt>
                <c:pt idx="18">
                  <c:v>54311359764.089996</c:v>
                </c:pt>
                <c:pt idx="19">
                  <c:v>25741455477.93</c:v>
                </c:pt>
                <c:pt idx="20">
                  <c:v>14312840637.35</c:v>
                </c:pt>
                <c:pt idx="21">
                  <c:v>25210498300.18</c:v>
                </c:pt>
                <c:pt idx="22">
                  <c:v>45203511122.410004</c:v>
                </c:pt>
                <c:pt idx="23">
                  <c:v>20307788762.040001</c:v>
                </c:pt>
                <c:pt idx="24">
                  <c:v>12242948128.389999</c:v>
                </c:pt>
                <c:pt idx="25">
                  <c:v>14298319556.559999</c:v>
                </c:pt>
                <c:pt idx="26">
                  <c:v>23691555100.689999</c:v>
                </c:pt>
                <c:pt idx="27">
                  <c:v>17261423989.029999</c:v>
                </c:pt>
                <c:pt idx="28">
                  <c:v>10516541459.610001</c:v>
                </c:pt>
                <c:pt idx="29">
                  <c:v>8377600662.1999998</c:v>
                </c:pt>
                <c:pt idx="30">
                  <c:v>10801906536.809999</c:v>
                </c:pt>
                <c:pt idx="31">
                  <c:v>5732445173.1800003</c:v>
                </c:pt>
                <c:pt idx="32">
                  <c:v>2696725995.3099999</c:v>
                </c:pt>
                <c:pt idx="33">
                  <c:v>2591590578.4000001</c:v>
                </c:pt>
                <c:pt idx="34">
                  <c:v>2802764223.0799999</c:v>
                </c:pt>
                <c:pt idx="35">
                  <c:v>2156022138.73</c:v>
                </c:pt>
                <c:pt idx="36">
                  <c:v>1566313011.9100001</c:v>
                </c:pt>
                <c:pt idx="37">
                  <c:v>5401953585.3400002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1652096"/>
        <c:axId val="371653632"/>
      </c:barChart>
      <c:catAx>
        <c:axId val="371652096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371653632"/>
        <c:crosses val="autoZero"/>
        <c:auto val="1"/>
        <c:lblAlgn val="ctr"/>
        <c:lblOffset val="100"/>
        <c:noMultiLvlLbl val="0"/>
      </c:catAx>
      <c:valAx>
        <c:axId val="371653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16520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Sheet4!$H$1</c:f>
              <c:strCache>
                <c:ptCount val="1"/>
                <c:pt idx="0">
                  <c:v>balance</c:v>
                </c:pt>
              </c:strCache>
            </c:strRef>
          </c:tx>
          <c:invertIfNegative val="0"/>
          <c:cat>
            <c:numRef>
              <c:f>Sheet4!$B$2:$B$39</c:f>
              <c:numCache>
                <c:formatCode>General</c:formatCode>
                <c:ptCount val="38"/>
                <c:pt idx="0">
                  <c:v>3.25</c:v>
                </c:pt>
                <c:pt idx="1">
                  <c:v>3.375</c:v>
                </c:pt>
                <c:pt idx="2">
                  <c:v>3.5</c:v>
                </c:pt>
                <c:pt idx="3">
                  <c:v>3.625</c:v>
                </c:pt>
                <c:pt idx="4">
                  <c:v>3.75</c:v>
                </c:pt>
                <c:pt idx="5">
                  <c:v>3.875</c:v>
                </c:pt>
                <c:pt idx="6">
                  <c:v>4</c:v>
                </c:pt>
                <c:pt idx="7">
                  <c:v>4.125</c:v>
                </c:pt>
                <c:pt idx="8">
                  <c:v>4.25</c:v>
                </c:pt>
                <c:pt idx="9">
                  <c:v>4.375</c:v>
                </c:pt>
                <c:pt idx="10">
                  <c:v>4.5</c:v>
                </c:pt>
                <c:pt idx="11">
                  <c:v>4.625</c:v>
                </c:pt>
                <c:pt idx="12">
                  <c:v>4.75</c:v>
                </c:pt>
                <c:pt idx="13">
                  <c:v>4.875</c:v>
                </c:pt>
                <c:pt idx="14">
                  <c:v>5</c:v>
                </c:pt>
                <c:pt idx="15">
                  <c:v>5.125</c:v>
                </c:pt>
                <c:pt idx="16">
                  <c:v>5.25</c:v>
                </c:pt>
                <c:pt idx="17">
                  <c:v>5.375</c:v>
                </c:pt>
                <c:pt idx="18">
                  <c:v>5.5</c:v>
                </c:pt>
                <c:pt idx="19">
                  <c:v>5.625</c:v>
                </c:pt>
                <c:pt idx="20">
                  <c:v>5.75</c:v>
                </c:pt>
                <c:pt idx="21">
                  <c:v>5.875</c:v>
                </c:pt>
                <c:pt idx="22">
                  <c:v>6</c:v>
                </c:pt>
                <c:pt idx="23">
                  <c:v>6.125</c:v>
                </c:pt>
                <c:pt idx="24">
                  <c:v>6.25</c:v>
                </c:pt>
                <c:pt idx="25">
                  <c:v>6.375</c:v>
                </c:pt>
                <c:pt idx="26">
                  <c:v>6.5</c:v>
                </c:pt>
                <c:pt idx="27">
                  <c:v>6.625</c:v>
                </c:pt>
                <c:pt idx="28">
                  <c:v>6.75</c:v>
                </c:pt>
                <c:pt idx="29">
                  <c:v>6.875</c:v>
                </c:pt>
                <c:pt idx="30">
                  <c:v>7</c:v>
                </c:pt>
                <c:pt idx="31">
                  <c:v>7.125</c:v>
                </c:pt>
                <c:pt idx="32">
                  <c:v>7.25</c:v>
                </c:pt>
                <c:pt idx="33">
                  <c:v>7.375</c:v>
                </c:pt>
                <c:pt idx="34">
                  <c:v>7.5</c:v>
                </c:pt>
                <c:pt idx="35">
                  <c:v>7.625</c:v>
                </c:pt>
                <c:pt idx="36">
                  <c:v>7.75</c:v>
                </c:pt>
                <c:pt idx="37">
                  <c:v>7.875</c:v>
                </c:pt>
              </c:numCache>
            </c:numRef>
          </c:cat>
          <c:val>
            <c:numRef>
              <c:f>Sheet4!$H$2:$H$39</c:f>
              <c:numCache>
                <c:formatCode>General</c:formatCode>
                <c:ptCount val="38"/>
                <c:pt idx="0">
                  <c:v>14418180365.450001</c:v>
                </c:pt>
                <c:pt idx="1">
                  <c:v>10820411863.92</c:v>
                </c:pt>
                <c:pt idx="2">
                  <c:v>46958851952.519997</c:v>
                </c:pt>
                <c:pt idx="3">
                  <c:v>207164878848.10999</c:v>
                </c:pt>
                <c:pt idx="4">
                  <c:v>243751423685.19</c:v>
                </c:pt>
                <c:pt idx="5">
                  <c:v>168690145252.19</c:v>
                </c:pt>
                <c:pt idx="6">
                  <c:v>279818755838.41998</c:v>
                </c:pt>
                <c:pt idx="7">
                  <c:v>384055393286.79999</c:v>
                </c:pt>
                <c:pt idx="8">
                  <c:v>207685677931.42001</c:v>
                </c:pt>
                <c:pt idx="9">
                  <c:v>155412254291.17999</c:v>
                </c:pt>
                <c:pt idx="10">
                  <c:v>189818477644.31</c:v>
                </c:pt>
                <c:pt idx="11">
                  <c:v>194409326287.10999</c:v>
                </c:pt>
                <c:pt idx="12">
                  <c:v>105774263580.84</c:v>
                </c:pt>
                <c:pt idx="13">
                  <c:v>88034955660.729996</c:v>
                </c:pt>
                <c:pt idx="14">
                  <c:v>123284245702.63</c:v>
                </c:pt>
                <c:pt idx="15">
                  <c:v>58494740349.730003</c:v>
                </c:pt>
                <c:pt idx="16">
                  <c:v>30632257309.009998</c:v>
                </c:pt>
                <c:pt idx="17">
                  <c:v>34446766205.879997</c:v>
                </c:pt>
                <c:pt idx="18">
                  <c:v>40443518714.989998</c:v>
                </c:pt>
                <c:pt idx="19">
                  <c:v>24476463653.139999</c:v>
                </c:pt>
                <c:pt idx="20">
                  <c:v>20216655464.23</c:v>
                </c:pt>
                <c:pt idx="21">
                  <c:v>24284179450.889999</c:v>
                </c:pt>
                <c:pt idx="22">
                  <c:v>31096443796.290001</c:v>
                </c:pt>
                <c:pt idx="23">
                  <c:v>24137512189.759998</c:v>
                </c:pt>
                <c:pt idx="24">
                  <c:v>16000681568.700001</c:v>
                </c:pt>
                <c:pt idx="25">
                  <c:v>15901916639.6</c:v>
                </c:pt>
                <c:pt idx="26">
                  <c:v>15258067122.129999</c:v>
                </c:pt>
                <c:pt idx="27">
                  <c:v>16200863654.719999</c:v>
                </c:pt>
                <c:pt idx="28">
                  <c:v>13057658663.540001</c:v>
                </c:pt>
                <c:pt idx="29">
                  <c:v>11968001326.01</c:v>
                </c:pt>
                <c:pt idx="30">
                  <c:v>9851083167.7900009</c:v>
                </c:pt>
                <c:pt idx="31">
                  <c:v>6345506206.6800003</c:v>
                </c:pt>
                <c:pt idx="32">
                  <c:v>5108879502.3299999</c:v>
                </c:pt>
                <c:pt idx="33">
                  <c:v>4333167981.6899996</c:v>
                </c:pt>
                <c:pt idx="34">
                  <c:v>3530503112.5100002</c:v>
                </c:pt>
                <c:pt idx="35">
                  <c:v>2549318647.96</c:v>
                </c:pt>
                <c:pt idx="36">
                  <c:v>1916115158.45</c:v>
                </c:pt>
                <c:pt idx="37">
                  <c:v>8493707602.3699999</c:v>
                </c:pt>
              </c:numCache>
            </c:numRef>
          </c:val>
        </c:ser>
        <c:ser>
          <c:idx val="1"/>
          <c:order val="1"/>
          <c:tx>
            <c:strRef>
              <c:f>Sheet4!$I$1</c:f>
              <c:strCache>
                <c:ptCount val="1"/>
                <c:pt idx="0">
                  <c:v>me_balance</c:v>
                </c:pt>
              </c:strCache>
            </c:strRef>
          </c:tx>
          <c:invertIfNegative val="0"/>
          <c:cat>
            <c:numRef>
              <c:f>Sheet4!$B$2:$B$39</c:f>
              <c:numCache>
                <c:formatCode>General</c:formatCode>
                <c:ptCount val="38"/>
                <c:pt idx="0">
                  <c:v>3.25</c:v>
                </c:pt>
                <c:pt idx="1">
                  <c:v>3.375</c:v>
                </c:pt>
                <c:pt idx="2">
                  <c:v>3.5</c:v>
                </c:pt>
                <c:pt idx="3">
                  <c:v>3.625</c:v>
                </c:pt>
                <c:pt idx="4">
                  <c:v>3.75</c:v>
                </c:pt>
                <c:pt idx="5">
                  <c:v>3.875</c:v>
                </c:pt>
                <c:pt idx="6">
                  <c:v>4</c:v>
                </c:pt>
                <c:pt idx="7">
                  <c:v>4.125</c:v>
                </c:pt>
                <c:pt idx="8">
                  <c:v>4.25</c:v>
                </c:pt>
                <c:pt idx="9">
                  <c:v>4.375</c:v>
                </c:pt>
                <c:pt idx="10">
                  <c:v>4.5</c:v>
                </c:pt>
                <c:pt idx="11">
                  <c:v>4.625</c:v>
                </c:pt>
                <c:pt idx="12">
                  <c:v>4.75</c:v>
                </c:pt>
                <c:pt idx="13">
                  <c:v>4.875</c:v>
                </c:pt>
                <c:pt idx="14">
                  <c:v>5</c:v>
                </c:pt>
                <c:pt idx="15">
                  <c:v>5.125</c:v>
                </c:pt>
                <c:pt idx="16">
                  <c:v>5.25</c:v>
                </c:pt>
                <c:pt idx="17">
                  <c:v>5.375</c:v>
                </c:pt>
                <c:pt idx="18">
                  <c:v>5.5</c:v>
                </c:pt>
                <c:pt idx="19">
                  <c:v>5.625</c:v>
                </c:pt>
                <c:pt idx="20">
                  <c:v>5.75</c:v>
                </c:pt>
                <c:pt idx="21">
                  <c:v>5.875</c:v>
                </c:pt>
                <c:pt idx="22">
                  <c:v>6</c:v>
                </c:pt>
                <c:pt idx="23">
                  <c:v>6.125</c:v>
                </c:pt>
                <c:pt idx="24">
                  <c:v>6.25</c:v>
                </c:pt>
                <c:pt idx="25">
                  <c:v>6.375</c:v>
                </c:pt>
                <c:pt idx="26">
                  <c:v>6.5</c:v>
                </c:pt>
                <c:pt idx="27">
                  <c:v>6.625</c:v>
                </c:pt>
                <c:pt idx="28">
                  <c:v>6.75</c:v>
                </c:pt>
                <c:pt idx="29">
                  <c:v>6.875</c:v>
                </c:pt>
                <c:pt idx="30">
                  <c:v>7</c:v>
                </c:pt>
                <c:pt idx="31">
                  <c:v>7.125</c:v>
                </c:pt>
                <c:pt idx="32">
                  <c:v>7.25</c:v>
                </c:pt>
                <c:pt idx="33">
                  <c:v>7.375</c:v>
                </c:pt>
                <c:pt idx="34">
                  <c:v>7.5</c:v>
                </c:pt>
                <c:pt idx="35">
                  <c:v>7.625</c:v>
                </c:pt>
                <c:pt idx="36">
                  <c:v>7.75</c:v>
                </c:pt>
                <c:pt idx="37">
                  <c:v>7.875</c:v>
                </c:pt>
              </c:numCache>
            </c:numRef>
          </c:cat>
          <c:val>
            <c:numRef>
              <c:f>Sheet4!$I$2:$I$39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30923647279.900002</c:v>
                </c:pt>
                <c:pt idx="7">
                  <c:v>384055393286.79999</c:v>
                </c:pt>
                <c:pt idx="8">
                  <c:v>207685677931.42001</c:v>
                </c:pt>
                <c:pt idx="9">
                  <c:v>155412254291.17999</c:v>
                </c:pt>
                <c:pt idx="10">
                  <c:v>189818477644.31</c:v>
                </c:pt>
                <c:pt idx="11">
                  <c:v>194409326287.10999</c:v>
                </c:pt>
                <c:pt idx="12">
                  <c:v>105774263580.84</c:v>
                </c:pt>
                <c:pt idx="13">
                  <c:v>88034955660.729996</c:v>
                </c:pt>
                <c:pt idx="14">
                  <c:v>123284245702.63</c:v>
                </c:pt>
                <c:pt idx="15">
                  <c:v>58494740349.730003</c:v>
                </c:pt>
                <c:pt idx="16">
                  <c:v>30632257309.009998</c:v>
                </c:pt>
                <c:pt idx="17">
                  <c:v>34446766205.879997</c:v>
                </c:pt>
                <c:pt idx="18">
                  <c:v>40443518714.989998</c:v>
                </c:pt>
                <c:pt idx="19">
                  <c:v>24476463653.139999</c:v>
                </c:pt>
                <c:pt idx="20">
                  <c:v>20216655464.23</c:v>
                </c:pt>
                <c:pt idx="21">
                  <c:v>24284179450.889999</c:v>
                </c:pt>
                <c:pt idx="22">
                  <c:v>31096443796.290001</c:v>
                </c:pt>
                <c:pt idx="23">
                  <c:v>24137512189.759998</c:v>
                </c:pt>
                <c:pt idx="24">
                  <c:v>16000681568.700001</c:v>
                </c:pt>
                <c:pt idx="25">
                  <c:v>15901916639.6</c:v>
                </c:pt>
                <c:pt idx="26">
                  <c:v>15258067122.129999</c:v>
                </c:pt>
                <c:pt idx="27">
                  <c:v>16200863654.719999</c:v>
                </c:pt>
                <c:pt idx="28">
                  <c:v>13057658663.540001</c:v>
                </c:pt>
                <c:pt idx="29">
                  <c:v>11968001326.01</c:v>
                </c:pt>
                <c:pt idx="30">
                  <c:v>9851083167.7900009</c:v>
                </c:pt>
                <c:pt idx="31">
                  <c:v>6345506206.6800003</c:v>
                </c:pt>
                <c:pt idx="32">
                  <c:v>5108879502.3299999</c:v>
                </c:pt>
                <c:pt idx="33">
                  <c:v>4333167981.6899996</c:v>
                </c:pt>
                <c:pt idx="34">
                  <c:v>3530503112.5100002</c:v>
                </c:pt>
                <c:pt idx="35">
                  <c:v>2549318647.96</c:v>
                </c:pt>
                <c:pt idx="36">
                  <c:v>1916115158.45</c:v>
                </c:pt>
                <c:pt idx="37">
                  <c:v>8493707602.3699999</c:v>
                </c:pt>
              </c:numCache>
            </c:numRef>
          </c:val>
        </c:ser>
        <c:ser>
          <c:idx val="2"/>
          <c:order val="2"/>
          <c:tx>
            <c:strRef>
              <c:f>Sheet4!$N$1</c:f>
              <c:strCache>
                <c:ptCount val="1"/>
                <c:pt idx="0">
                  <c:v>media_balance</c:v>
                </c:pt>
              </c:strCache>
            </c:strRef>
          </c:tx>
          <c:invertIfNegative val="0"/>
          <c:cat>
            <c:numRef>
              <c:f>Sheet4!$B$2:$B$39</c:f>
              <c:numCache>
                <c:formatCode>General</c:formatCode>
                <c:ptCount val="38"/>
                <c:pt idx="0">
                  <c:v>3.25</c:v>
                </c:pt>
                <c:pt idx="1">
                  <c:v>3.375</c:v>
                </c:pt>
                <c:pt idx="2">
                  <c:v>3.5</c:v>
                </c:pt>
                <c:pt idx="3">
                  <c:v>3.625</c:v>
                </c:pt>
                <c:pt idx="4">
                  <c:v>3.75</c:v>
                </c:pt>
                <c:pt idx="5">
                  <c:v>3.875</c:v>
                </c:pt>
                <c:pt idx="6">
                  <c:v>4</c:v>
                </c:pt>
                <c:pt idx="7">
                  <c:v>4.125</c:v>
                </c:pt>
                <c:pt idx="8">
                  <c:v>4.25</c:v>
                </c:pt>
                <c:pt idx="9">
                  <c:v>4.375</c:v>
                </c:pt>
                <c:pt idx="10">
                  <c:v>4.5</c:v>
                </c:pt>
                <c:pt idx="11">
                  <c:v>4.625</c:v>
                </c:pt>
                <c:pt idx="12">
                  <c:v>4.75</c:v>
                </c:pt>
                <c:pt idx="13">
                  <c:v>4.875</c:v>
                </c:pt>
                <c:pt idx="14">
                  <c:v>5</c:v>
                </c:pt>
                <c:pt idx="15">
                  <c:v>5.125</c:v>
                </c:pt>
                <c:pt idx="16">
                  <c:v>5.25</c:v>
                </c:pt>
                <c:pt idx="17">
                  <c:v>5.375</c:v>
                </c:pt>
                <c:pt idx="18">
                  <c:v>5.5</c:v>
                </c:pt>
                <c:pt idx="19">
                  <c:v>5.625</c:v>
                </c:pt>
                <c:pt idx="20">
                  <c:v>5.75</c:v>
                </c:pt>
                <c:pt idx="21">
                  <c:v>5.875</c:v>
                </c:pt>
                <c:pt idx="22">
                  <c:v>6</c:v>
                </c:pt>
                <c:pt idx="23">
                  <c:v>6.125</c:v>
                </c:pt>
                <c:pt idx="24">
                  <c:v>6.25</c:v>
                </c:pt>
                <c:pt idx="25">
                  <c:v>6.375</c:v>
                </c:pt>
                <c:pt idx="26">
                  <c:v>6.5</c:v>
                </c:pt>
                <c:pt idx="27">
                  <c:v>6.625</c:v>
                </c:pt>
                <c:pt idx="28">
                  <c:v>6.75</c:v>
                </c:pt>
                <c:pt idx="29">
                  <c:v>6.875</c:v>
                </c:pt>
                <c:pt idx="30">
                  <c:v>7</c:v>
                </c:pt>
                <c:pt idx="31">
                  <c:v>7.125</c:v>
                </c:pt>
                <c:pt idx="32">
                  <c:v>7.25</c:v>
                </c:pt>
                <c:pt idx="33">
                  <c:v>7.375</c:v>
                </c:pt>
                <c:pt idx="34">
                  <c:v>7.5</c:v>
                </c:pt>
                <c:pt idx="35">
                  <c:v>7.625</c:v>
                </c:pt>
                <c:pt idx="36">
                  <c:v>7.75</c:v>
                </c:pt>
                <c:pt idx="37">
                  <c:v>7.875</c:v>
                </c:pt>
              </c:numCache>
            </c:numRef>
          </c:cat>
          <c:val>
            <c:numRef>
              <c:f>Sheet4!$N$2:$N$39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213075067573.905</c:v>
                </c:pt>
                <c:pt idx="7">
                  <c:v>384055393286.79999</c:v>
                </c:pt>
                <c:pt idx="8">
                  <c:v>207685677931.42001</c:v>
                </c:pt>
                <c:pt idx="9">
                  <c:v>155412254291.17999</c:v>
                </c:pt>
                <c:pt idx="10">
                  <c:v>189818477644.31</c:v>
                </c:pt>
                <c:pt idx="11">
                  <c:v>194409326287.10999</c:v>
                </c:pt>
                <c:pt idx="12">
                  <c:v>105774263580.84</c:v>
                </c:pt>
                <c:pt idx="13">
                  <c:v>88034955660.729996</c:v>
                </c:pt>
                <c:pt idx="14">
                  <c:v>123284245702.63</c:v>
                </c:pt>
                <c:pt idx="15">
                  <c:v>58494740349.730003</c:v>
                </c:pt>
                <c:pt idx="16">
                  <c:v>30632257309.009998</c:v>
                </c:pt>
                <c:pt idx="17">
                  <c:v>34446766205.879997</c:v>
                </c:pt>
                <c:pt idx="18">
                  <c:v>40443518714.989998</c:v>
                </c:pt>
                <c:pt idx="19">
                  <c:v>24476463653.139999</c:v>
                </c:pt>
                <c:pt idx="20">
                  <c:v>20216655464.23</c:v>
                </c:pt>
                <c:pt idx="21">
                  <c:v>24284179450.889999</c:v>
                </c:pt>
                <c:pt idx="22">
                  <c:v>31096443796.290001</c:v>
                </c:pt>
                <c:pt idx="23">
                  <c:v>24137512189.759998</c:v>
                </c:pt>
                <c:pt idx="24">
                  <c:v>16000681568.700001</c:v>
                </c:pt>
                <c:pt idx="25">
                  <c:v>15901916639.6</c:v>
                </c:pt>
                <c:pt idx="26">
                  <c:v>15258067122.129999</c:v>
                </c:pt>
                <c:pt idx="27">
                  <c:v>16200863654.719999</c:v>
                </c:pt>
                <c:pt idx="28">
                  <c:v>13057658663.540001</c:v>
                </c:pt>
                <c:pt idx="29">
                  <c:v>11968001326.01</c:v>
                </c:pt>
                <c:pt idx="30">
                  <c:v>9851083167.7900009</c:v>
                </c:pt>
                <c:pt idx="31">
                  <c:v>6345506206.6800003</c:v>
                </c:pt>
                <c:pt idx="32">
                  <c:v>5108879502.3299999</c:v>
                </c:pt>
                <c:pt idx="33">
                  <c:v>4333167981.6899996</c:v>
                </c:pt>
                <c:pt idx="34">
                  <c:v>3530503112.5100002</c:v>
                </c:pt>
                <c:pt idx="35">
                  <c:v>2549318647.96</c:v>
                </c:pt>
                <c:pt idx="36">
                  <c:v>1916115158.45</c:v>
                </c:pt>
                <c:pt idx="37">
                  <c:v>8493707602.3699999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706944"/>
        <c:axId val="376708480"/>
      </c:barChart>
      <c:catAx>
        <c:axId val="37670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76708480"/>
        <c:crosses val="autoZero"/>
        <c:auto val="1"/>
        <c:lblAlgn val="ctr"/>
        <c:lblOffset val="100"/>
        <c:noMultiLvlLbl val="0"/>
      </c:catAx>
      <c:valAx>
        <c:axId val="376708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767069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523874</xdr:colOff>
      <xdr:row>2</xdr:row>
      <xdr:rowOff>185737</xdr:rowOff>
    </xdr:from>
    <xdr:to>
      <xdr:col>25</xdr:col>
      <xdr:colOff>76199</xdr:colOff>
      <xdr:row>33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590550</xdr:colOff>
      <xdr:row>34</xdr:row>
      <xdr:rowOff>171450</xdr:rowOff>
    </xdr:from>
    <xdr:to>
      <xdr:col>25</xdr:col>
      <xdr:colOff>28575</xdr:colOff>
      <xdr:row>62</xdr:row>
      <xdr:rowOff>142875</xdr:rowOff>
    </xdr:to>
    <xdr:sp macro="" textlink="">
      <xdr:nvSpPr>
        <xdr:cNvPr id="3" name="TextBox 2"/>
        <xdr:cNvSpPr txBox="1"/>
      </xdr:nvSpPr>
      <xdr:spPr>
        <a:xfrm>
          <a:off x="7943850" y="6648450"/>
          <a:ext cx="7362825" cy="5305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-----------------------------------------------------------</a:t>
          </a:r>
        </a:p>
        <a:p>
          <a:r>
            <a:rPr lang="en-US" sz="1100"/>
            <a:t>-- Media Effect Series Calculated</a:t>
          </a:r>
        </a:p>
        <a:p>
          <a:r>
            <a:rPr lang="en-US" sz="1100"/>
            <a:t>-----------------------------------------------------------</a:t>
          </a:r>
        </a:p>
        <a:p>
          <a:endParaRPr lang="en-US" sz="1100"/>
        </a:p>
        <a:p>
          <a:r>
            <a:rPr lang="en-US" sz="1100"/>
            <a:t>--------------- PMMS weekly survey 1-point rate --------------------</a:t>
          </a:r>
        </a:p>
        <a:p>
          <a:r>
            <a:rPr lang="en-US" sz="1100"/>
            <a:t>--DROP TABLE IF EXISTS #mtgRate;</a:t>
          </a:r>
        </a:p>
        <a:p>
          <a:r>
            <a:rPr lang="en-US" sz="1100"/>
            <a:t>--select --top 2</a:t>
          </a:r>
        </a:p>
        <a:p>
          <a:r>
            <a:rPr lang="en-US" sz="1100"/>
            <a:t>--    AsOfDate,</a:t>
          </a:r>
        </a:p>
        <a:p>
          <a:r>
            <a:rPr lang="en-US" sz="1100"/>
            <a:t>--    convert(date, year(asOfDate) || '-' || month(asOfDate) || '-01') as AsOf,</a:t>
          </a:r>
        </a:p>
        <a:p>
          <a:r>
            <a:rPr lang="en-US" sz="1100"/>
            <a:t>--    convert(date, dateadd(month, -1, AsOf)) as lastmonth,</a:t>
          </a:r>
        </a:p>
        <a:p>
          <a:r>
            <a:rPr lang="en-US" sz="1100"/>
            <a:t>--    SeriesNumValue = sum(case when M.SeriesType = 'Points_US' then (1.0 - d.SeriesNumvalue)/-4.0 else d.SeriesNumvalue end)</a:t>
          </a:r>
        </a:p>
        <a:p>
          <a:r>
            <a:rPr lang="en-US" sz="1100"/>
            <a:t>--into #mtgRate</a:t>
          </a:r>
        </a:p>
        <a:p>
          <a:r>
            <a:rPr lang="en-US" sz="1100"/>
            <a:t>--from report.TimeSeriesMeta M</a:t>
          </a:r>
        </a:p>
        <a:p>
          <a:r>
            <a:rPr lang="en-US" sz="1100"/>
            <a:t>--join report.TimeSeries D on M.TimeSeriesMetaId = D.TimeSeriesMetaId</a:t>
          </a:r>
        </a:p>
        <a:p>
          <a:r>
            <a:rPr lang="en-US" sz="1100"/>
            <a:t>--and M.Source = 'Freddie'</a:t>
          </a:r>
        </a:p>
        <a:p>
          <a:r>
            <a:rPr lang="en-US" sz="1100"/>
            <a:t>--and M.TickerName  ='PMMS_FRM_30YR'</a:t>
          </a:r>
        </a:p>
        <a:p>
          <a:r>
            <a:rPr lang="en-US" sz="1100"/>
            <a:t>--and M.SeriesType in ('Points_US','Rate_US')</a:t>
          </a:r>
        </a:p>
        <a:p>
          <a:r>
            <a:rPr lang="en-US" sz="1100"/>
            <a:t>----and lastmonth = '2016-05-01'</a:t>
          </a:r>
        </a:p>
        <a:p>
          <a:r>
            <a:rPr lang="en-US" sz="1100"/>
            <a:t>--group by AsOfDate</a:t>
          </a:r>
        </a:p>
        <a:p>
          <a:r>
            <a:rPr lang="en-US" sz="1100"/>
            <a:t>--order by AsOfDate DESC;</a:t>
          </a:r>
        </a:p>
        <a:p>
          <a:r>
            <a:rPr lang="en-US" sz="1100"/>
            <a:t>--Commit;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-- 30 YR FRM Rate (point ajdusted)</a:t>
          </a:r>
        </a:p>
        <a:p>
          <a:r>
            <a:rPr lang="en-US" sz="1100"/>
            <a:t>DROP TABLE IF EXISTS #mtgRate;</a:t>
          </a:r>
        </a:p>
        <a:p>
          <a:r>
            <a:rPr lang="en-US" sz="1100"/>
            <a:t>SELECT</a:t>
          </a:r>
        </a:p>
        <a:p>
          <a:r>
            <a:rPr lang="en-US" sz="1100"/>
            <a:t>    TickerName as SeriesName,</a:t>
          </a:r>
        </a:p>
        <a:p>
          <a:r>
            <a:rPr lang="en-US" sz="1100"/>
            <a:t>    AsOfDate, </a:t>
          </a:r>
        </a:p>
        <a:p>
          <a:r>
            <a:rPr lang="en-US" sz="1100"/>
            <a:t>    convert(date, dateadd(month, -1, AsOfDate)) as lastmonth,</a:t>
          </a:r>
        </a:p>
        <a:p>
          <a:r>
            <a:rPr lang="en-US" sz="1100"/>
            <a:t>    SeriesNumValue</a:t>
          </a:r>
        </a:p>
        <a:p>
          <a:r>
            <a:rPr lang="en-US" sz="1100"/>
            <a:t>INTO #mtgRate</a:t>
          </a:r>
        </a:p>
        <a:p>
          <a:r>
            <a:rPr lang="en-US" sz="1100"/>
            <a:t>FROM report.TimeSeries ts</a:t>
          </a:r>
        </a:p>
        <a:p>
          <a:r>
            <a:rPr lang="en-US" sz="1100"/>
            <a:t>JOIN report.TimeSeriesMeta tsm</a:t>
          </a:r>
        </a:p>
        <a:p>
          <a:r>
            <a:rPr lang="en-US" sz="1100"/>
            <a:t>    ON ts.TimeSeriesMetaId = tsm.TimeSeriesMetaId</a:t>
          </a:r>
        </a:p>
        <a:p>
          <a:r>
            <a:rPr lang="en-US" sz="1100"/>
            <a:t>WHERE 1=1</a:t>
          </a:r>
        </a:p>
        <a:p>
          <a:r>
            <a:rPr lang="en-US" sz="1100"/>
            <a:t>    AND SeriesType = 'MONTHLY_MTG_RATE'</a:t>
          </a:r>
        </a:p>
        <a:p>
          <a:r>
            <a:rPr lang="en-US" sz="1100"/>
            <a:t>	AND ModelType = 'ScaleMtgRateModel v2.0'</a:t>
          </a:r>
        </a:p>
        <a:p>
          <a:r>
            <a:rPr lang="en-US" sz="1100"/>
            <a:t>    AND seriesName = 'CONVENTIONAL_30YR'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endParaRPr lang="en-US" sz="1100"/>
        </a:p>
        <a:p>
          <a:endParaRPr lang="en-US" sz="1100"/>
        </a:p>
        <a:p>
          <a:r>
            <a:rPr lang="en-US" sz="1100"/>
            <a:t>------------------------- main select for the loan/pool combined version model -------------------------------</a:t>
          </a:r>
        </a:p>
        <a:p>
          <a:r>
            <a:rPr lang="en-US" sz="1100"/>
            <a:t>DROP TABLE IF EXISTS #refiUniverse;</a:t>
          </a:r>
        </a:p>
        <a:p>
          <a:r>
            <a:rPr lang="en-US" sz="1100"/>
            <a:t>SELECT </a:t>
          </a:r>
        </a:p>
        <a:p>
          <a:r>
            <a:rPr lang="en-US" sz="1100"/>
            <a:t>    asOfDate,</a:t>
          </a:r>
        </a:p>
        <a:p>
          <a:r>
            <a:rPr lang="en-US" sz="1100"/>
            <a:t>    refinanceable = sum(case when (wac + origPMI/100) - (SeriesNumValue + currLLPA/400 + currPMI/100) &gt;= 0.5 then currentBalance else 0 end)/sum(case when currentBalance is not NULL THEN currentBalance ELSE 0.000001 END) </a:t>
          </a:r>
        </a:p>
        <a:p>
          <a:r>
            <a:rPr lang="en-US" sz="1100"/>
            <a:t>INTO #refiUniverse</a:t>
          </a:r>
        </a:p>
        <a:p>
          <a:r>
            <a:rPr lang="en-US" sz="1100"/>
            <a:t>FROM </a:t>
          </a:r>
        </a:p>
        <a:p>
          <a:r>
            <a:rPr lang="en-US" sz="1100"/>
            <a:t>(</a:t>
          </a:r>
        </a:p>
        <a:p>
          <a:r>
            <a:rPr lang="en-US" sz="1100"/>
            <a:t>    SELECT t.asOfDate, f.wac, origPMI, t.SeriesNumValue, currLLPA, currPMI, f.currentBalance</a:t>
          </a:r>
        </a:p>
        <a:p>
          <a:r>
            <a:rPr lang="en-US" sz="1100"/>
            <a:t>    FROM scale.FHL_PoolIncentive p</a:t>
          </a:r>
        </a:p>
        <a:p>
          <a:r>
            <a:rPr lang="en-US" sz="1100"/>
            <a:t>    JOIN fhl.secfactor f ON p.issueId = f.issueId AND f.asof = p.asOf</a:t>
          </a:r>
        </a:p>
        <a:p>
          <a:r>
            <a:rPr lang="en-US" sz="1100"/>
            <a:t>    JOIN fhl.sec s ON p.issueId = s.issueId</a:t>
          </a:r>
        </a:p>
        <a:p>
          <a:r>
            <a:rPr lang="en-US" sz="1100"/>
            <a:t>    JOIN #mtgRate t on t.lastmonth = f.asOf</a:t>
          </a:r>
        </a:p>
        <a:p>
          <a:r>
            <a:rPr lang="en-US" sz="1100"/>
            <a:t>    WHERE 1=1</a:t>
          </a:r>
        </a:p>
        <a:p>
          <a:r>
            <a:rPr lang="en-US" sz="1100"/>
            <a:t>    AND p.version = (SELECT IncentiveVersion_PL FROM scale.ModelVersionConfig WHERE appType = 'PROD' AND agency = 'FHL' AND tickerName = 'FGLMC')</a:t>
          </a:r>
        </a:p>
        <a:p>
          <a:r>
            <a:rPr lang="en-US" sz="1100"/>
            <a:t>    AND s.marketTicker in ('FGLMC')</a:t>
          </a:r>
        </a:p>
        <a:p>
          <a:endParaRPr lang="en-US" sz="1100"/>
        </a:p>
        <a:p>
          <a:r>
            <a:rPr lang="en-US" sz="1100"/>
            <a:t>UNION ALL</a:t>
          </a:r>
        </a:p>
        <a:p>
          <a:r>
            <a:rPr lang="en-US" sz="1100"/>
            <a:t>    </a:t>
          </a:r>
        </a:p>
        <a:p>
          <a:r>
            <a:rPr lang="en-US" sz="1100"/>
            <a:t>    SELECT t.asOfDate, f.wac, origPMI, t.SeriesNumValue, currLLPA, currPMI, f.currentBalance</a:t>
          </a:r>
        </a:p>
        <a:p>
          <a:r>
            <a:rPr lang="en-US" sz="1100"/>
            <a:t>    FROM scale.FNM_PoolIncentive p</a:t>
          </a:r>
        </a:p>
        <a:p>
          <a:r>
            <a:rPr lang="en-US" sz="1100"/>
            <a:t>    JOIN fnm.secfactor f ON p.issueId = f.issueId AND f.asof = p.asOf</a:t>
          </a:r>
        </a:p>
        <a:p>
          <a:r>
            <a:rPr lang="en-US" sz="1100"/>
            <a:t>    JOIN fnm.sec s ON p.issueId = s.issueId</a:t>
          </a:r>
        </a:p>
        <a:p>
          <a:r>
            <a:rPr lang="en-US" sz="1100"/>
            <a:t>    JOIN #mtgRate t on t.lastmonth = f.asOf</a:t>
          </a:r>
        </a:p>
        <a:p>
          <a:r>
            <a:rPr lang="en-US" sz="1100"/>
            <a:t>    WHERE 1=1</a:t>
          </a:r>
        </a:p>
        <a:p>
          <a:r>
            <a:rPr lang="en-US" sz="1100"/>
            <a:t>    AND p.version = (SELECT IncentiveVersion_PL FROM scale.ModelVersionConfig WHERE appType = 'PROD' AND agency = 'FNM' AND tickerName = 'FNCL')</a:t>
          </a:r>
        </a:p>
        <a:p>
          <a:r>
            <a:rPr lang="en-US" sz="1100"/>
            <a:t>    AND s.marketTicker in ('FNCL')</a:t>
          </a:r>
        </a:p>
        <a:p>
          <a:r>
            <a:rPr lang="en-US" sz="1100"/>
            <a:t>) u</a:t>
          </a:r>
        </a:p>
        <a:p>
          <a:r>
            <a:rPr lang="en-US" sz="1100"/>
            <a:t>group by asOfDate</a:t>
          </a:r>
        </a:p>
        <a:p>
          <a:r>
            <a:rPr lang="en-US" sz="1100"/>
            <a:t>order by asOfDate desc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r>
            <a:rPr lang="en-US" sz="1100"/>
            <a:t>--SELECT asofdate, refinanceable FROM #refiUniverse;</a:t>
          </a:r>
        </a:p>
        <a:p>
          <a:endParaRPr lang="en-US" sz="1100"/>
        </a:p>
        <a:p>
          <a:r>
            <a:rPr lang="en-US" sz="1100"/>
            <a:t>SELECT </a:t>
          </a:r>
        </a:p>
        <a:p>
          <a:r>
            <a:rPr lang="en-US" sz="1100"/>
            <a:t>    convert(date, year(asOfDate) || '-' || month(asOfDate) || '-01') as AsOf, </a:t>
          </a:r>
        </a:p>
        <a:p>
          <a:r>
            <a:rPr lang="en-US" sz="1100"/>
            <a:t>    avg(refinanceable) * 100</a:t>
          </a:r>
        </a:p>
        <a:p>
          <a:r>
            <a:rPr lang="en-US" sz="1100"/>
            <a:t>FROM #refiUniverse</a:t>
          </a:r>
        </a:p>
        <a:p>
          <a:r>
            <a:rPr lang="en-US" sz="1100"/>
            <a:t>group by AsOf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-----------------------------------------------------------</a:t>
          </a:r>
        </a:p>
        <a:p>
          <a:r>
            <a:rPr lang="en-US" sz="1100"/>
            <a:t>-- Media Effect Series Saved in DB</a:t>
          </a:r>
        </a:p>
        <a:p>
          <a:r>
            <a:rPr lang="en-US" sz="1100"/>
            <a:t>-----------------------------------------------------------</a:t>
          </a:r>
        </a:p>
        <a:p>
          <a:r>
            <a:rPr lang="en-US" sz="1100"/>
            <a:t>DROP TABLE IF EXISTS #MediaEffect;</a:t>
          </a:r>
        </a:p>
        <a:p>
          <a:r>
            <a:rPr lang="en-US" sz="1100"/>
            <a:t>SELECT</a:t>
          </a:r>
        </a:p>
        <a:p>
          <a:r>
            <a:rPr lang="en-US" sz="1100"/>
            <a:t>    asOfDate,</a:t>
          </a:r>
        </a:p>
        <a:p>
          <a:r>
            <a:rPr lang="en-US" sz="1100"/>
            <a:t>    convert(numeric(6,2), 100.0 * SeriesNumValue) as media_effect</a:t>
          </a:r>
        </a:p>
        <a:p>
          <a:r>
            <a:rPr lang="en-US" sz="1100"/>
            <a:t>INTO #MediaEffect</a:t>
          </a:r>
        </a:p>
        <a:p>
          <a:r>
            <a:rPr lang="en-US" sz="1100"/>
            <a:t>FROM report.TimeSeries</a:t>
          </a:r>
        </a:p>
        <a:p>
          <a:r>
            <a:rPr lang="en-US" sz="1100"/>
            <a:t>WHERE 1=1</a:t>
          </a:r>
        </a:p>
        <a:p>
          <a:r>
            <a:rPr lang="en-US" sz="1100"/>
            <a:t>    AND TimeSeriesMetaId = (SELECT TimeSeriesMetaId FROM report.TimeSeriesMeta WHERE Source = 'CELLO' AND TickerName = 'CONVENTIONAL_30YR_COMBINED' AND SeriesType = 'WEEKLY_PCT_REFI' AND ModelType = 'ScaleMediaEffectModel v4.0')</a:t>
          </a:r>
        </a:p>
        <a:p>
          <a:r>
            <a:rPr lang="en-US" sz="1100"/>
            <a:t>ORDER BY asOfDate desc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r>
            <a:rPr lang="en-US" sz="1100"/>
            <a:t>SELECT </a:t>
          </a:r>
        </a:p>
        <a:p>
          <a:r>
            <a:rPr lang="en-US" sz="1100"/>
            <a:t>    convert(date, year(asOfDate) || '-' || month(asOfDate) || '-01') as AsOf, </a:t>
          </a:r>
        </a:p>
        <a:p>
          <a:r>
            <a:rPr lang="en-US" sz="1100"/>
            <a:t>    avg(media_effect)</a:t>
          </a:r>
        </a:p>
        <a:p>
          <a:r>
            <a:rPr lang="en-US" sz="1100"/>
            <a:t>FROM #MediaEffect</a:t>
          </a:r>
        </a:p>
        <a:p>
          <a:r>
            <a:rPr lang="en-US" sz="1100"/>
            <a:t>group by AsOf</a:t>
          </a:r>
        </a:p>
        <a:p>
          <a:r>
            <a:rPr lang="en-US" sz="1100"/>
            <a:t>order by AsOf desc</a:t>
          </a:r>
        </a:p>
        <a:p>
          <a:endParaRPr lang="en-US" sz="1100"/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9525</xdr:colOff>
      <xdr:row>1</xdr:row>
      <xdr:rowOff>85725</xdr:rowOff>
    </xdr:from>
    <xdr:to>
      <xdr:col>26</xdr:col>
      <xdr:colOff>57150</xdr:colOff>
      <xdr:row>43</xdr:row>
      <xdr:rowOff>152400</xdr:rowOff>
    </xdr:to>
    <xdr:sp macro="" textlink="">
      <xdr:nvSpPr>
        <xdr:cNvPr id="3" name="TextBox 2"/>
        <xdr:cNvSpPr txBox="1"/>
      </xdr:nvSpPr>
      <xdr:spPr>
        <a:xfrm>
          <a:off x="12915900" y="276225"/>
          <a:ext cx="4924425" cy="806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-- Creates the 30 YR FRM Rate (point ajdusted)</a:t>
          </a:r>
        </a:p>
        <a:p>
          <a:r>
            <a:rPr lang="en-US" sz="1100"/>
            <a:t>DROP TABLE IF EXISTS #Mtg30YrRates_monthly;</a:t>
          </a:r>
        </a:p>
        <a:p>
          <a:r>
            <a:rPr lang="en-US" sz="1100"/>
            <a:t>SELECT</a:t>
          </a:r>
        </a:p>
        <a:p>
          <a:r>
            <a:rPr lang="en-US" sz="1100"/>
            <a:t>    TickerName as SeriesName,</a:t>
          </a:r>
        </a:p>
        <a:p>
          <a:r>
            <a:rPr lang="en-US" sz="1100"/>
            <a:t>    AsOfDate as asOf, </a:t>
          </a:r>
        </a:p>
        <a:p>
          <a:r>
            <a:rPr lang="en-US" sz="1100"/>
            <a:t>    convert(date, dateadd(month, -1, AsOfDate)) as lastmonth,</a:t>
          </a:r>
        </a:p>
        <a:p>
          <a:r>
            <a:rPr lang="en-US" sz="1100"/>
            <a:t>    SeriesNumValue as MtgRate</a:t>
          </a:r>
        </a:p>
        <a:p>
          <a:r>
            <a:rPr lang="en-US" sz="1100"/>
            <a:t>INTO #Mtg30YrRates_monthly</a:t>
          </a:r>
        </a:p>
        <a:p>
          <a:r>
            <a:rPr lang="en-US" sz="1100"/>
            <a:t>FROM report.TimeSeries ts</a:t>
          </a:r>
        </a:p>
        <a:p>
          <a:r>
            <a:rPr lang="en-US" sz="1100"/>
            <a:t>JOIN report.TimeSeriesMeta tsm</a:t>
          </a:r>
        </a:p>
        <a:p>
          <a:r>
            <a:rPr lang="en-US" sz="1100"/>
            <a:t>    ON ts.TimeSeriesMetaId = tsm.TimeSeriesMetaId</a:t>
          </a:r>
        </a:p>
        <a:p>
          <a:r>
            <a:rPr lang="en-US" sz="1100"/>
            <a:t>WHERE 1=1</a:t>
          </a:r>
        </a:p>
        <a:p>
          <a:r>
            <a:rPr lang="en-US" sz="1100"/>
            <a:t>    AND SeriesType = 'MONTHLY_MTG_RATE'</a:t>
          </a:r>
        </a:p>
        <a:p>
          <a:r>
            <a:rPr lang="en-US" sz="1100"/>
            <a:t>	AND ModelType = 'ScaleMtgRateModel v2.0'</a:t>
          </a:r>
        </a:p>
        <a:p>
          <a:r>
            <a:rPr lang="en-US" sz="1100"/>
            <a:t>    AND seriesName = 'CONVENTIONAL_30YR'</a:t>
          </a:r>
        </a:p>
        <a:p>
          <a:r>
            <a:rPr lang="en-US" sz="1100"/>
            <a:t>    and asof_lag1 &gt;= '2007-01-01'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r>
            <a:rPr lang="en-US" sz="1100"/>
            <a:t>--DROP TABLE IF EXISTS #MediaEffect;</a:t>
          </a:r>
        </a:p>
        <a:p>
          <a:r>
            <a:rPr lang="en-US" sz="1100"/>
            <a:t>--SELECT</a:t>
          </a:r>
        </a:p>
        <a:p>
          <a:r>
            <a:rPr lang="en-US" sz="1100"/>
            <a:t>--    AsOfDate as asOf,</a:t>
          </a:r>
        </a:p>
        <a:p>
          <a:r>
            <a:rPr lang="en-US" sz="1100"/>
            <a:t>--    convert(numeric(6,2), 100.0 * SeriesNumValue) as media_effect</a:t>
          </a:r>
        </a:p>
        <a:p>
          <a:r>
            <a:rPr lang="en-US" sz="1100"/>
            <a:t>--INTO #MediaEffect</a:t>
          </a:r>
        </a:p>
        <a:p>
          <a:r>
            <a:rPr lang="en-US" sz="1100"/>
            <a:t>--FROM report.TimeSeries</a:t>
          </a:r>
        </a:p>
        <a:p>
          <a:r>
            <a:rPr lang="en-US" sz="1100"/>
            <a:t>--WHERE 1=1</a:t>
          </a:r>
        </a:p>
        <a:p>
          <a:r>
            <a:rPr lang="en-US" sz="1100"/>
            <a:t>--    AND TimeSeriesMetaId = (SELECT TimeSeriesMetaId </a:t>
          </a:r>
        </a:p>
        <a:p>
          <a:r>
            <a:rPr lang="en-US" sz="1100"/>
            <a:t>--                            FROM report.TimeSeriesMeta </a:t>
          </a:r>
        </a:p>
        <a:p>
          <a:r>
            <a:rPr lang="en-US" sz="1100"/>
            <a:t>--                            WHERE Source = 'CELLO' </a:t>
          </a:r>
        </a:p>
        <a:p>
          <a:r>
            <a:rPr lang="en-US" sz="1100"/>
            <a:t>--                            AND TickerName = 'CONVENTIONAL_30YR_COMBINED' </a:t>
          </a:r>
        </a:p>
        <a:p>
          <a:r>
            <a:rPr lang="en-US" sz="1100"/>
            <a:t>--                            AND SeriesType = 'MONTHLY_PCT_REFI' </a:t>
          </a:r>
        </a:p>
        <a:p>
          <a:r>
            <a:rPr lang="en-US" sz="1100"/>
            <a:t>--                            AND ModelType = 'ScaleMediaEffectModel v4.0'</a:t>
          </a:r>
        </a:p>
        <a:p>
          <a:r>
            <a:rPr lang="en-US" sz="1100"/>
            <a:t>--                            )</a:t>
          </a:r>
        </a:p>
        <a:p>
          <a:r>
            <a:rPr lang="en-US" sz="1100"/>
            <a:t>--ORDER BY asof desc</a:t>
          </a:r>
        </a:p>
        <a:p>
          <a:r>
            <a:rPr lang="en-US" sz="1100"/>
            <a:t>--;</a:t>
          </a:r>
        </a:p>
        <a:p>
          <a:r>
            <a:rPr lang="en-US" sz="1100"/>
            <a:t>--COMMIT;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#replines;</a:t>
          </a:r>
        </a:p>
        <a:p>
          <a:r>
            <a:rPr lang="en-US" sz="1100"/>
            <a:t>select </a:t>
          </a:r>
        </a:p>
        <a:p>
          <a:r>
            <a:rPr lang="en-US" sz="1100"/>
            <a:t>s.asof,</a:t>
          </a:r>
        </a:p>
        <a:p>
          <a:r>
            <a:rPr lang="en-US" sz="1100"/>
            <a:t>wacBucket = case </a:t>
          </a:r>
        </a:p>
        <a:p>
          <a:r>
            <a:rPr lang="en-US" sz="1100"/>
            <a:t>            when wac &lt;= 3.25 THEN 3.25</a:t>
          </a:r>
        </a:p>
        <a:p>
          <a:r>
            <a:rPr lang="en-US" sz="1100"/>
            <a:t>            when wac &gt;= 7.875 THEN 7.875</a:t>
          </a:r>
        </a:p>
        <a:p>
          <a:r>
            <a:rPr lang="en-US" sz="1100"/>
            <a:t>            else convert(int, wac / 0.125) * 0.125 + 0.125</a:t>
          </a:r>
        </a:p>
        <a:p>
          <a:r>
            <a:rPr lang="en-US" sz="1100"/>
            <a:t>            end,</a:t>
          </a:r>
        </a:p>
        <a:p>
          <a:r>
            <a:rPr lang="en-US" sz="1100"/>
            <a:t>wac_ = sum(wac * currentBalance) / sum(case when currentBalance &gt; 0.0 THEN currentBalance ELSE 0.000001 END), </a:t>
          </a:r>
        </a:p>
        <a:p>
          <a:r>
            <a:rPr lang="en-US" sz="1100"/>
            <a:t>origPMI = sum(s.origPMI * currentBalance) / sum(case when currentBalance &gt; 0.0 THEN currentBalance ELSE 0.000001 END), </a:t>
          </a:r>
        </a:p>
        <a:p>
          <a:r>
            <a:rPr lang="en-US" sz="1100"/>
            <a:t>currentPMI = sum(s.currPMI * currentBalance) / sum(case when currentBalance &gt; 0.0 THEN currentBalance ELSE 0.000001 END), </a:t>
          </a:r>
        </a:p>
        <a:p>
          <a:r>
            <a:rPr lang="en-US" sz="1100"/>
            <a:t>currentLLPA = sum(s.currLLPA * currentBalance) / sum(case when currentBalance &gt; 0.0 THEN currentBalance ELSE 0.000001 END), </a:t>
          </a:r>
        </a:p>
        <a:p>
          <a:r>
            <a:rPr lang="en-US" sz="1100"/>
            <a:t>incentive_PL = sum(s.incentive_PL * currentBalance) / sum(case when currentBalance &gt; 0.0 THEN currentBalance ELSE 0.000001 END), </a:t>
          </a:r>
        </a:p>
        <a:p>
          <a:r>
            <a:rPr lang="en-US" sz="1100"/>
            <a:t>balance = sum(currentBalance),</a:t>
          </a:r>
        </a:p>
        <a:p>
          <a:r>
            <a:rPr lang="en-US" sz="1100"/>
            <a:t>me_balance = sum(case when s.incentive_PL &gt;= 0.5 then currentBalance else 0.0 end)</a:t>
          </a:r>
        </a:p>
        <a:p>
          <a:r>
            <a:rPr lang="en-US" sz="1100"/>
            <a:t>into #replines</a:t>
          </a:r>
        </a:p>
        <a:p>
          <a:r>
            <a:rPr lang="en-US" sz="1100"/>
            <a:t>from</a:t>
          </a:r>
        </a:p>
        <a:p>
          <a:r>
            <a:rPr lang="en-US" sz="1100"/>
            <a:t>(</a:t>
          </a:r>
        </a:p>
        <a:p>
          <a:r>
            <a:rPr lang="en-US" sz="1100"/>
            <a:t>    select mtg.asOf, sf.wac, calcSchamBalance, currentBalance, origPMI, currLLPA, currPMI, </a:t>
          </a:r>
        </a:p>
        <a:p>
          <a:r>
            <a:rPr lang="en-US" sz="1100"/>
            <a:t>           (sf.wac + origPMI/100.0 - mtg.MtgRate - currLLPA/400.0 - currPMI/100.0) as incentive_PL</a:t>
          </a:r>
        </a:p>
        <a:p>
          <a:r>
            <a:rPr lang="en-US" sz="1100"/>
            <a:t>    from fhl.Sec b</a:t>
          </a:r>
        </a:p>
        <a:p>
          <a:r>
            <a:rPr lang="en-US" sz="1100"/>
            <a:t>    join fhl.SecFactor sf on b.secid = sf.secId and sf.couponType='FIX' and b.collateraltype='LOAN'</a:t>
          </a:r>
        </a:p>
        <a:p>
          <a:r>
            <a:rPr lang="en-US" sz="1100"/>
            <a:t>    join scale.fhl_poolIncentive spi on b.issueId = spi.issueId and sf.asof = spi.asof</a:t>
          </a:r>
        </a:p>
        <a:p>
          <a:r>
            <a:rPr lang="en-US" sz="1100"/>
            <a:t>    join #Mtg30YrRates_monthly mtg on sf.asof = mtg.lastmonth</a:t>
          </a:r>
        </a:p>
        <a:p>
          <a:r>
            <a:rPr lang="en-US" sz="1100"/>
            <a:t>    where b.marketTicker = 'FGLMC'</a:t>
          </a:r>
        </a:p>
        <a:p>
          <a:r>
            <a:rPr lang="en-US" sz="1100"/>
            <a:t>    and spi.version = '2.41'</a:t>
          </a:r>
        </a:p>
        <a:p>
          <a:r>
            <a:rPr lang="en-US" sz="1100"/>
            <a:t>    </a:t>
          </a:r>
        </a:p>
        <a:p>
          <a:r>
            <a:rPr lang="en-US" sz="1100"/>
            <a:t>    UNION</a:t>
          </a:r>
        </a:p>
        <a:p>
          <a:r>
            <a:rPr lang="en-US" sz="1100"/>
            <a:t>    </a:t>
          </a:r>
        </a:p>
        <a:p>
          <a:r>
            <a:rPr lang="en-US" sz="1100"/>
            <a:t>    select mtg.asOf, sf.wac, calcSchamBalance, currentBalance, origPMI, currLLPA, currPMI, </a:t>
          </a:r>
        </a:p>
        <a:p>
          <a:r>
            <a:rPr lang="en-US" sz="1100"/>
            <a:t>           (sf.wac + origPMI/100.0 - mtg.MtgRate - currLLPA/400.0 - currPMI/100.0) as incentive_PL</a:t>
          </a:r>
        </a:p>
        <a:p>
          <a:r>
            <a:rPr lang="en-US" sz="1100"/>
            <a:t>    from fnm.Sec b</a:t>
          </a:r>
        </a:p>
        <a:p>
          <a:r>
            <a:rPr lang="en-US" sz="1100"/>
            <a:t>    join fnm.SecFactor sf on b.secid = sf.secId and sf.couponType='FIX' and b.collateraltype='LOAN'</a:t>
          </a:r>
        </a:p>
        <a:p>
          <a:r>
            <a:rPr lang="en-US" sz="1100"/>
            <a:t>    join scale.fnm_poolIncentive spi on b.issueId = spi.issueId and sf.asof = spi.asof</a:t>
          </a:r>
        </a:p>
        <a:p>
          <a:r>
            <a:rPr lang="en-US" sz="1100"/>
            <a:t>    join #Mtg30YrRates_monthly mtg on sf.asof = mtg.lastmonth</a:t>
          </a:r>
        </a:p>
        <a:p>
          <a:r>
            <a:rPr lang="en-US" sz="1100"/>
            <a:t>    where b.marketTicker = 'FNCL'</a:t>
          </a:r>
        </a:p>
        <a:p>
          <a:r>
            <a:rPr lang="en-US" sz="1100"/>
            <a:t>    and spi.version = '2.41'</a:t>
          </a:r>
        </a:p>
        <a:p>
          <a:r>
            <a:rPr lang="en-US" sz="1100"/>
            <a:t>) s</a:t>
          </a:r>
        </a:p>
        <a:p>
          <a:r>
            <a:rPr lang="en-US" sz="1100"/>
            <a:t>group by s.asof, wacBucket;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DROP TABLE IF EXISTS #replines_plus;</a:t>
          </a:r>
        </a:p>
        <a:p>
          <a:r>
            <a:rPr lang="en-US" sz="1100"/>
            <a:t>select </a:t>
          </a:r>
        </a:p>
        <a:p>
          <a:r>
            <a:rPr lang="en-US" sz="1100"/>
            <a:t>s.*, </a:t>
          </a:r>
        </a:p>
        <a:p>
          <a:r>
            <a:rPr lang="en-US" sz="1100"/>
            <a:t>mtg.MtgRate,</a:t>
          </a:r>
        </a:p>
        <a:p>
          <a:r>
            <a:rPr lang="en-US" sz="1100"/>
            <a:t>s.wacBucket + s.origPMI/100.0 - s.currentLLPA/400.0 - s.currentPMI/100.0 as wacWithCost,</a:t>
          </a:r>
        </a:p>
        <a:p>
          <a:r>
            <a:rPr lang="en-US" sz="1100"/>
            <a:t>cast((s.wacBucket + s.origPMI/100.0 - s.currentLLPA/400.0 - s.currentPMI/100.0 - mtg.MtgRate) * 100 as numeric(6,2)) as incentive_bucket,</a:t>
          </a:r>
        </a:p>
        <a:p>
          <a:r>
            <a:rPr lang="en-US" sz="1100"/>
            <a:t>me.media_effect</a:t>
          </a:r>
        </a:p>
        <a:p>
          <a:r>
            <a:rPr lang="en-US" sz="1100"/>
            <a:t>into #replines_plus</a:t>
          </a:r>
        </a:p>
        <a:p>
          <a:r>
            <a:rPr lang="en-US" sz="1100"/>
            <a:t>from #replines s</a:t>
          </a:r>
        </a:p>
        <a:p>
          <a:r>
            <a:rPr lang="en-US" sz="1100"/>
            <a:t>join #Mtg30YrRates_monthly mtg on mtg.lastmonth = s.asof --on mtg.asof_lag1 = s.asof</a:t>
          </a:r>
        </a:p>
        <a:p>
          <a:r>
            <a:rPr lang="en-US" sz="1100"/>
            <a:t>join #MediaEffect me on me.asof = s.asof</a:t>
          </a:r>
        </a:p>
        <a:p>
          <a:r>
            <a:rPr lang="en-US" sz="1100"/>
            <a:t>where s.asof = '2016-05-01'</a:t>
          </a:r>
        </a:p>
        <a:p>
          <a:r>
            <a:rPr lang="en-US" sz="1100"/>
            <a:t>order by s.asof, s.wacBucket</a:t>
          </a:r>
        </a:p>
        <a:p>
          <a:r>
            <a:rPr lang="en-US" sz="1100"/>
            <a:t>;</a:t>
          </a:r>
        </a:p>
        <a:p>
          <a:endParaRPr lang="en-US" sz="1100"/>
        </a:p>
        <a:p>
          <a:r>
            <a:rPr lang="en-US" sz="1100"/>
            <a:t>DROP TABLE IF EXISTS #media_balance;</a:t>
          </a:r>
        </a:p>
        <a:p>
          <a:r>
            <a:rPr lang="en-US" sz="1100"/>
            <a:t>select *,</a:t>
          </a:r>
        </a:p>
        <a:p>
          <a:r>
            <a:rPr lang="en-US" sz="1100"/>
            <a:t>media_balance = case when wacWithCost - MtgRate &gt;= 0.50 then balance </a:t>
          </a:r>
        </a:p>
        <a:p>
          <a:r>
            <a:rPr lang="en-US" sz="1100"/>
            <a:t>                --when wacBucket + 0.125 - MtgRate &gt;= 0.50 then balance * (MtgRate + 0.50 - wacBucket) / (wacBucket + 0.125 - wacBucket)    --bug version</a:t>
          </a:r>
        </a:p>
        <a:p>
          <a:r>
            <a:rPr lang="en-US" sz="1100"/>
            <a:t>--                when wacWithCost + 0.125 - MtgRate &gt;= 0.50 then balance * (MtgRate + 0.50 - wacWithCost) / (wacWithCost + 0.125 - wacWithCost)    --bug version with cost</a:t>
          </a:r>
        </a:p>
        <a:p>
          <a:r>
            <a:rPr lang="en-US" sz="1100"/>
            <a:t>--                when wacBucket + 0.125 - MtgRate &gt;= 0.50 then balance * (wacBucket + 0.125 - (MtgRate + 0.5)) / (wacBucket + 0.125 - wacBucket)</a:t>
          </a:r>
        </a:p>
        <a:p>
          <a:r>
            <a:rPr lang="en-US" sz="1100"/>
            <a:t>                when wacWithCost + 0.125 - MtgRate &gt;= 0.50 then balance * (wacWithCost + 0.125 - (MtgRate + 0.5)) / (wacWithCost + 0.125 - wacWithCost)</a:t>
          </a:r>
        </a:p>
        <a:p>
          <a:r>
            <a:rPr lang="en-US" sz="1100"/>
            <a:t>                else 0.0 end</a:t>
          </a:r>
        </a:p>
        <a:p>
          <a:r>
            <a:rPr lang="en-US" sz="1100"/>
            <a:t>--into #media_balance</a:t>
          </a:r>
        </a:p>
        <a:p>
          <a:r>
            <a:rPr lang="en-US" sz="1100"/>
            <a:t>from #replines_plus;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514350</xdr:colOff>
      <xdr:row>42</xdr:row>
      <xdr:rowOff>14287</xdr:rowOff>
    </xdr:from>
    <xdr:to>
      <xdr:col>26</xdr:col>
      <xdr:colOff>209550</xdr:colOff>
      <xdr:row>56</xdr:row>
      <xdr:rowOff>90487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495300</xdr:colOff>
      <xdr:row>7</xdr:row>
      <xdr:rowOff>128586</xdr:rowOff>
    </xdr:from>
    <xdr:to>
      <xdr:col>33</xdr:col>
      <xdr:colOff>114300</xdr:colOff>
      <xdr:row>38</xdr:row>
      <xdr:rowOff>133349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581025</xdr:colOff>
      <xdr:row>9</xdr:row>
      <xdr:rowOff>90486</xdr:rowOff>
    </xdr:from>
    <xdr:to>
      <xdr:col>33</xdr:col>
      <xdr:colOff>66675</xdr:colOff>
      <xdr:row>43</xdr:row>
      <xdr:rowOff>57149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34"/>
  <sheetViews>
    <sheetView workbookViewId="0">
      <selection activeCell="Z23" sqref="Z23"/>
    </sheetView>
  </sheetViews>
  <sheetFormatPr defaultRowHeight="15" x14ac:dyDescent="0.25"/>
  <cols>
    <col min="1" max="1" width="9.7109375" bestFit="1" customWidth="1"/>
    <col min="2" max="2" width="9.140625" style="2"/>
    <col min="7" max="7" width="28" bestFit="1" customWidth="1"/>
    <col min="8" max="8" width="27" style="2" bestFit="1" customWidth="1"/>
    <col min="9" max="9" width="26.140625" bestFit="1" customWidth="1"/>
    <col min="10" max="10" width="25" bestFit="1" customWidth="1"/>
  </cols>
  <sheetData>
    <row r="1" spans="1:10" x14ac:dyDescent="0.25">
      <c r="A1" t="s">
        <v>10</v>
      </c>
      <c r="B1" s="2" t="s">
        <v>12</v>
      </c>
      <c r="G1" t="s">
        <v>16</v>
      </c>
      <c r="H1" t="s">
        <v>17</v>
      </c>
      <c r="I1" t="s">
        <v>19</v>
      </c>
      <c r="J1" t="s">
        <v>18</v>
      </c>
    </row>
    <row r="2" spans="1:10" x14ac:dyDescent="0.25">
      <c r="A2" s="1">
        <v>42979</v>
      </c>
      <c r="B2" s="2">
        <v>39.9427416185749</v>
      </c>
      <c r="F2" s="1">
        <v>42979</v>
      </c>
      <c r="G2">
        <v>39.770000000000003</v>
      </c>
      <c r="H2" s="2">
        <v>39.765000000000001</v>
      </c>
      <c r="I2" s="2">
        <v>39.9427416185749</v>
      </c>
      <c r="J2" s="2">
        <v>39.772896058067097</v>
      </c>
    </row>
    <row r="3" spans="1:10" x14ac:dyDescent="0.25">
      <c r="A3" s="1">
        <v>42948</v>
      </c>
      <c r="B3" s="2">
        <v>35.543001978268002</v>
      </c>
      <c r="F3" s="1">
        <v>42948</v>
      </c>
      <c r="G3">
        <v>35.6</v>
      </c>
      <c r="H3" s="2">
        <v>35.603999999999999</v>
      </c>
      <c r="I3" s="2">
        <v>35.543001978268002</v>
      </c>
      <c r="J3" s="2">
        <v>35.607270335293997</v>
      </c>
    </row>
    <row r="4" spans="1:10" x14ac:dyDescent="0.25">
      <c r="A4" s="1">
        <v>42917</v>
      </c>
      <c r="B4" s="2">
        <v>30.1806115193396</v>
      </c>
      <c r="F4" s="1">
        <v>42917</v>
      </c>
      <c r="G4">
        <v>30.43</v>
      </c>
      <c r="H4" s="2">
        <v>30.425000000000001</v>
      </c>
      <c r="I4" s="2">
        <v>30.1806115193396</v>
      </c>
      <c r="J4" s="2">
        <v>30.256500181438</v>
      </c>
    </row>
    <row r="5" spans="1:10" x14ac:dyDescent="0.25">
      <c r="A5" s="1">
        <v>42887</v>
      </c>
      <c r="B5" s="2">
        <v>34.760886655024599</v>
      </c>
      <c r="F5" s="1">
        <v>42887</v>
      </c>
      <c r="G5">
        <v>34.19</v>
      </c>
      <c r="H5" s="2">
        <v>34.192</v>
      </c>
      <c r="I5" s="2">
        <v>34.760886655024599</v>
      </c>
      <c r="J5" s="2">
        <v>34.270225576778998</v>
      </c>
    </row>
    <row r="6" spans="1:10" x14ac:dyDescent="0.25">
      <c r="A6" s="1">
        <v>42856</v>
      </c>
      <c r="B6" s="2">
        <v>30.428991385773902</v>
      </c>
      <c r="F6" s="1">
        <v>42856</v>
      </c>
      <c r="G6">
        <v>29.65</v>
      </c>
      <c r="H6" s="2">
        <v>29.697500000000002</v>
      </c>
      <c r="I6" s="2">
        <v>30.428991385773902</v>
      </c>
      <c r="J6" s="2">
        <v>29.816768749984</v>
      </c>
    </row>
    <row r="7" spans="1:10" x14ac:dyDescent="0.25">
      <c r="A7" s="1">
        <v>42826</v>
      </c>
      <c r="B7" s="2">
        <v>28.9020968071246</v>
      </c>
      <c r="F7" s="1">
        <v>42826</v>
      </c>
      <c r="G7">
        <v>28.57</v>
      </c>
      <c r="H7" s="2">
        <v>28.627500000000001</v>
      </c>
      <c r="I7" s="2">
        <v>28.9020968071246</v>
      </c>
      <c r="J7" s="2">
        <v>28.823110117886401</v>
      </c>
    </row>
    <row r="8" spans="1:10" x14ac:dyDescent="0.25">
      <c r="A8" s="1">
        <v>42795</v>
      </c>
      <c r="B8" s="2">
        <v>22.758683640028199</v>
      </c>
      <c r="F8" s="1">
        <v>42795</v>
      </c>
      <c r="G8">
        <v>22.67</v>
      </c>
      <c r="H8" s="2">
        <v>22.81</v>
      </c>
      <c r="I8" s="2">
        <v>22.758683640028199</v>
      </c>
      <c r="J8" s="2">
        <v>22.867953429163901</v>
      </c>
    </row>
    <row r="9" spans="1:10" x14ac:dyDescent="0.25">
      <c r="A9" s="1">
        <v>42767</v>
      </c>
      <c r="B9" s="2">
        <v>24.7176159402911</v>
      </c>
      <c r="F9" s="1">
        <v>42767</v>
      </c>
      <c r="G9">
        <v>25.51</v>
      </c>
      <c r="H9" s="2">
        <v>24.704999999999998</v>
      </c>
      <c r="I9" s="2">
        <v>24.7176159402911</v>
      </c>
      <c r="J9" s="2">
        <v>24.709927004657501</v>
      </c>
    </row>
    <row r="10" spans="1:10" x14ac:dyDescent="0.25">
      <c r="A10" s="1">
        <v>42736</v>
      </c>
      <c r="B10" s="2">
        <v>26.1640184282756</v>
      </c>
      <c r="F10" s="1">
        <v>42736</v>
      </c>
      <c r="G10">
        <v>27.36</v>
      </c>
      <c r="H10" s="2">
        <v>26.122499999999999</v>
      </c>
      <c r="I10" s="2">
        <v>26.1640184282756</v>
      </c>
      <c r="J10" s="2">
        <v>26.126127187854099</v>
      </c>
    </row>
    <row r="11" spans="1:10" x14ac:dyDescent="0.25">
      <c r="A11" s="1">
        <v>42705</v>
      </c>
      <c r="B11" s="2">
        <v>22.8976928509088</v>
      </c>
      <c r="F11" s="1">
        <v>42705</v>
      </c>
      <c r="G11">
        <v>20.46</v>
      </c>
      <c r="H11" s="2">
        <v>24.84</v>
      </c>
      <c r="I11" s="2">
        <v>22.8976928509088</v>
      </c>
      <c r="J11" s="2">
        <v>24.845917441403099</v>
      </c>
    </row>
    <row r="12" spans="1:10" x14ac:dyDescent="0.25">
      <c r="A12" s="1">
        <v>42675</v>
      </c>
      <c r="B12" s="2">
        <v>41.669767075135297</v>
      </c>
      <c r="F12" s="1">
        <v>42675</v>
      </c>
      <c r="G12">
        <v>38.380000000000003</v>
      </c>
      <c r="H12" s="2">
        <v>49.55</v>
      </c>
      <c r="I12" s="2">
        <v>41.669767075135297</v>
      </c>
      <c r="J12" s="2">
        <v>49.552057254176901</v>
      </c>
    </row>
    <row r="13" spans="1:10" x14ac:dyDescent="0.25">
      <c r="A13" s="1">
        <v>42644</v>
      </c>
      <c r="B13" s="2">
        <v>70.247904537569099</v>
      </c>
      <c r="F13" s="1">
        <v>42644</v>
      </c>
      <c r="G13">
        <v>70.73</v>
      </c>
      <c r="H13" s="2">
        <v>70.162499999999994</v>
      </c>
      <c r="I13" s="2">
        <v>70.247904537569099</v>
      </c>
      <c r="J13" s="2">
        <v>70.167852083910503</v>
      </c>
    </row>
    <row r="14" spans="1:10" x14ac:dyDescent="0.25">
      <c r="A14" s="1">
        <v>42614</v>
      </c>
      <c r="B14" s="2">
        <v>72.555971980649502</v>
      </c>
      <c r="F14" s="1">
        <v>42614</v>
      </c>
      <c r="G14">
        <v>73.040000000000006</v>
      </c>
      <c r="H14" s="2">
        <v>72.552000000000007</v>
      </c>
      <c r="I14" s="2">
        <v>72.555971980649502</v>
      </c>
      <c r="J14" s="2">
        <v>72.556049278454907</v>
      </c>
    </row>
    <row r="15" spans="1:10" x14ac:dyDescent="0.25">
      <c r="A15" s="1">
        <v>42583</v>
      </c>
      <c r="B15" s="2">
        <v>75.348903110086994</v>
      </c>
      <c r="F15" s="1">
        <v>42583</v>
      </c>
      <c r="G15">
        <v>75.78</v>
      </c>
      <c r="H15" s="2">
        <v>75.484999999999999</v>
      </c>
      <c r="I15" s="2">
        <v>75.348903110086994</v>
      </c>
      <c r="J15" s="2">
        <v>75.490228380198303</v>
      </c>
    </row>
    <row r="16" spans="1:10" x14ac:dyDescent="0.25">
      <c r="A16" s="1">
        <v>42552</v>
      </c>
      <c r="B16" s="2">
        <v>76.725460071513098</v>
      </c>
      <c r="F16" s="1">
        <v>42552</v>
      </c>
      <c r="G16">
        <v>76.819999999999993</v>
      </c>
      <c r="H16" s="2">
        <v>76.685000000000002</v>
      </c>
      <c r="I16" s="2">
        <v>76.725460071513098</v>
      </c>
      <c r="J16" s="2">
        <v>76.691988325764001</v>
      </c>
    </row>
    <row r="17" spans="1:10" x14ac:dyDescent="0.25">
      <c r="A17" s="1">
        <v>42522</v>
      </c>
      <c r="B17" s="2">
        <v>70.258597365323993</v>
      </c>
      <c r="F17" s="1">
        <v>42522</v>
      </c>
      <c r="G17">
        <v>67.739999999999995</v>
      </c>
      <c r="H17" s="2">
        <v>69.403999999999996</v>
      </c>
      <c r="I17" s="2">
        <v>70.258597365323993</v>
      </c>
      <c r="J17" s="2">
        <v>69.407455931699104</v>
      </c>
    </row>
    <row r="18" spans="1:10" x14ac:dyDescent="0.25">
      <c r="A18" s="1">
        <v>42491</v>
      </c>
      <c r="B18" s="2">
        <v>66.863282650269895</v>
      </c>
      <c r="F18" s="4">
        <v>42491</v>
      </c>
      <c r="G18" s="5">
        <v>63.98</v>
      </c>
      <c r="H18" s="6">
        <v>67.067499999999995</v>
      </c>
      <c r="I18" s="7">
        <v>66.863282650269895</v>
      </c>
      <c r="J18" s="6">
        <v>67.069435553447093</v>
      </c>
    </row>
    <row r="19" spans="1:10" x14ac:dyDescent="0.25">
      <c r="A19" s="1">
        <v>42461</v>
      </c>
      <c r="B19" s="2">
        <v>64.270424389071806</v>
      </c>
      <c r="F19" s="1">
        <v>42461</v>
      </c>
      <c r="G19">
        <v>60.86</v>
      </c>
      <c r="H19" s="2">
        <v>64.032499999999999</v>
      </c>
      <c r="I19" s="2">
        <v>64.270424389071806</v>
      </c>
      <c r="J19" s="2">
        <v>64.035511219722295</v>
      </c>
    </row>
    <row r="20" spans="1:10" x14ac:dyDescent="0.25">
      <c r="A20" s="1">
        <v>42430</v>
      </c>
      <c r="B20" s="2">
        <v>56.4221999527674</v>
      </c>
      <c r="F20" s="1">
        <v>42430</v>
      </c>
      <c r="G20">
        <v>54.22</v>
      </c>
      <c r="H20" s="2">
        <v>56.658000000000001</v>
      </c>
      <c r="I20" s="2">
        <v>56.4221999527674</v>
      </c>
      <c r="J20" s="2">
        <v>56.664951344593099</v>
      </c>
    </row>
    <row r="21" spans="1:10" x14ac:dyDescent="0.25">
      <c r="A21" s="1">
        <v>42401</v>
      </c>
      <c r="B21" s="2">
        <v>58.7780221777805</v>
      </c>
      <c r="F21" s="1">
        <v>42401</v>
      </c>
      <c r="G21">
        <v>56.48</v>
      </c>
      <c r="H21" s="2">
        <v>59.112499999999997</v>
      </c>
      <c r="I21" s="2">
        <v>58.7780221777805</v>
      </c>
      <c r="J21" s="2">
        <v>59.119402423961802</v>
      </c>
    </row>
    <row r="22" spans="1:10" x14ac:dyDescent="0.25">
      <c r="A22" s="1">
        <v>42370</v>
      </c>
      <c r="B22" s="2">
        <v>45.423256212081199</v>
      </c>
      <c r="F22" s="1">
        <v>42370</v>
      </c>
      <c r="G22">
        <v>45.76</v>
      </c>
      <c r="H22" s="2">
        <v>45.662500000000001</v>
      </c>
      <c r="I22" s="2">
        <v>45.423256212081199</v>
      </c>
      <c r="J22" s="2">
        <v>45.666199054581597</v>
      </c>
    </row>
    <row r="23" spans="1:10" x14ac:dyDescent="0.25">
      <c r="A23" s="1">
        <v>42339</v>
      </c>
      <c r="B23" s="2">
        <v>42.709865749367999</v>
      </c>
      <c r="F23" s="1">
        <v>42339</v>
      </c>
      <c r="G23">
        <v>42.56</v>
      </c>
      <c r="H23" s="2">
        <v>42.585999999999999</v>
      </c>
      <c r="I23" s="2">
        <v>42.709865749367999</v>
      </c>
      <c r="J23" s="2">
        <v>42.592294544747602</v>
      </c>
    </row>
    <row r="24" spans="1:10" x14ac:dyDescent="0.25">
      <c r="A24" s="1">
        <v>42309</v>
      </c>
      <c r="B24" s="2">
        <v>43.991019529268598</v>
      </c>
      <c r="F24" s="1">
        <v>42309</v>
      </c>
      <c r="G24">
        <v>44.06</v>
      </c>
      <c r="H24" s="2">
        <v>43.89</v>
      </c>
      <c r="I24" s="2">
        <v>43.991019529268598</v>
      </c>
      <c r="J24" s="2">
        <v>43.894886138905299</v>
      </c>
    </row>
    <row r="25" spans="1:10" x14ac:dyDescent="0.25">
      <c r="A25" s="1">
        <v>42278</v>
      </c>
      <c r="B25" s="2">
        <v>51.898529176064997</v>
      </c>
      <c r="F25" s="1">
        <v>42278</v>
      </c>
      <c r="G25">
        <v>51.65</v>
      </c>
      <c r="H25" s="2">
        <v>51.41</v>
      </c>
      <c r="I25" s="2">
        <v>51.898529176064997</v>
      </c>
      <c r="J25" s="2">
        <v>51.412906090679499</v>
      </c>
    </row>
    <row r="26" spans="1:10" x14ac:dyDescent="0.25">
      <c r="A26" s="1">
        <v>42248</v>
      </c>
      <c r="B26" s="2">
        <v>47.803135838342499</v>
      </c>
      <c r="F26" s="1">
        <v>42248</v>
      </c>
      <c r="G26">
        <v>48.14</v>
      </c>
      <c r="H26" s="2">
        <v>47.44</v>
      </c>
      <c r="I26" s="2">
        <v>47.803135838342499</v>
      </c>
      <c r="J26" s="2">
        <v>47.4452926869631</v>
      </c>
    </row>
    <row r="27" spans="1:10" x14ac:dyDescent="0.25">
      <c r="A27" s="1">
        <v>42217</v>
      </c>
      <c r="B27" s="2">
        <v>47.786804300593801</v>
      </c>
      <c r="F27" s="1">
        <v>42217</v>
      </c>
      <c r="G27">
        <v>48.77</v>
      </c>
      <c r="H27" s="2">
        <v>47.8675</v>
      </c>
      <c r="I27" s="2">
        <v>47.786804300593801</v>
      </c>
      <c r="J27" s="2">
        <v>47.873810864861397</v>
      </c>
    </row>
    <row r="28" spans="1:10" x14ac:dyDescent="0.25">
      <c r="A28" s="1">
        <v>42186</v>
      </c>
      <c r="B28" s="2">
        <v>41.812306372716598</v>
      </c>
      <c r="F28" s="1">
        <v>42186</v>
      </c>
      <c r="G28">
        <v>41.79</v>
      </c>
      <c r="H28" s="2">
        <v>41.54</v>
      </c>
      <c r="I28" s="2">
        <v>41.812306372716598</v>
      </c>
      <c r="J28" s="2">
        <v>41.542905314616903</v>
      </c>
    </row>
    <row r="29" spans="1:10" x14ac:dyDescent="0.25">
      <c r="A29" s="1">
        <v>42156</v>
      </c>
      <c r="B29" s="2">
        <v>45.839352176113401</v>
      </c>
      <c r="F29" s="1">
        <v>42156</v>
      </c>
      <c r="G29">
        <v>45.34</v>
      </c>
      <c r="H29" s="2">
        <v>45.072499999999998</v>
      </c>
      <c r="I29" s="2">
        <v>45.839352176113401</v>
      </c>
      <c r="J29" s="2">
        <v>45.077752358356598</v>
      </c>
    </row>
    <row r="30" spans="1:10" x14ac:dyDescent="0.25">
      <c r="A30" s="1">
        <v>42125</v>
      </c>
      <c r="B30" s="2">
        <v>52.867013314055399</v>
      </c>
      <c r="F30" s="1">
        <v>42125</v>
      </c>
      <c r="G30">
        <v>53.9</v>
      </c>
      <c r="H30" s="2">
        <v>52.862499999999997</v>
      </c>
      <c r="I30" s="2">
        <v>52.867013314055399</v>
      </c>
      <c r="J30" s="2">
        <v>52.867738830758299</v>
      </c>
    </row>
    <row r="31" spans="1:10" x14ac:dyDescent="0.25">
      <c r="A31" s="1">
        <v>42095</v>
      </c>
      <c r="B31" s="2">
        <v>61.807599077219201</v>
      </c>
      <c r="F31" s="1">
        <v>42095</v>
      </c>
      <c r="G31">
        <v>61.49</v>
      </c>
      <c r="H31" s="2">
        <v>61.898000000000003</v>
      </c>
      <c r="I31" s="2">
        <v>61.807599077219201</v>
      </c>
      <c r="J31" s="2">
        <v>61.903374879907098</v>
      </c>
    </row>
    <row r="32" spans="1:10" x14ac:dyDescent="0.25">
      <c r="A32" s="1">
        <v>42064</v>
      </c>
      <c r="B32" s="2">
        <v>58.106218846429002</v>
      </c>
      <c r="F32" s="1">
        <v>42064</v>
      </c>
      <c r="G32">
        <v>58.42</v>
      </c>
      <c r="H32" s="2">
        <v>58.204999999999998</v>
      </c>
      <c r="I32" s="2">
        <v>58.106218846429002</v>
      </c>
      <c r="J32" s="2">
        <v>58.209033560134799</v>
      </c>
    </row>
    <row r="33" spans="1:10" x14ac:dyDescent="0.25">
      <c r="A33" s="1">
        <v>42036</v>
      </c>
      <c r="B33" s="2">
        <v>61.2796573098952</v>
      </c>
      <c r="F33" s="1">
        <v>42036</v>
      </c>
      <c r="G33">
        <v>61.22</v>
      </c>
      <c r="H33" s="2">
        <v>61.825000000000003</v>
      </c>
      <c r="I33" s="2">
        <v>61.2796573098952</v>
      </c>
      <c r="J33" s="2">
        <v>61.831327425595298</v>
      </c>
    </row>
    <row r="34" spans="1:10" x14ac:dyDescent="0.25">
      <c r="A34" s="1">
        <v>42005</v>
      </c>
      <c r="B34" s="2">
        <v>62.370683783674203</v>
      </c>
      <c r="F34" s="1">
        <v>42005</v>
      </c>
      <c r="G34">
        <v>61.42</v>
      </c>
      <c r="H34" s="2">
        <v>62.42</v>
      </c>
      <c r="I34" s="2">
        <v>62.370683783674203</v>
      </c>
      <c r="J34" s="2">
        <v>62.426955959762601</v>
      </c>
    </row>
    <row r="35" spans="1:10" x14ac:dyDescent="0.25">
      <c r="A35" s="1">
        <v>41974</v>
      </c>
      <c r="B35" s="2">
        <v>54.885500010904202</v>
      </c>
      <c r="F35" s="1">
        <v>41974</v>
      </c>
      <c r="G35">
        <v>55.3</v>
      </c>
      <c r="H35" s="2">
        <v>54.758000000000003</v>
      </c>
      <c r="I35" s="2">
        <v>54.885500010904202</v>
      </c>
      <c r="J35" s="2">
        <v>54.763665835545602</v>
      </c>
    </row>
    <row r="36" spans="1:10" x14ac:dyDescent="0.25">
      <c r="A36" s="1">
        <v>41944</v>
      </c>
      <c r="B36" s="2">
        <v>49.790381760043097</v>
      </c>
      <c r="F36" s="1">
        <v>41944</v>
      </c>
      <c r="G36">
        <v>49.67</v>
      </c>
      <c r="H36" s="2">
        <v>49.77</v>
      </c>
      <c r="I36" s="2">
        <v>49.790381760043097</v>
      </c>
      <c r="J36" s="2">
        <v>49.776083421512197</v>
      </c>
    </row>
    <row r="37" spans="1:10" x14ac:dyDescent="0.25">
      <c r="A37" s="1">
        <v>41913</v>
      </c>
      <c r="B37" s="2">
        <v>48.606329971578603</v>
      </c>
      <c r="F37" s="1">
        <v>41913</v>
      </c>
      <c r="G37">
        <v>48.29</v>
      </c>
      <c r="H37" s="2">
        <v>48.122</v>
      </c>
      <c r="I37" s="2">
        <v>48.606329971578603</v>
      </c>
      <c r="J37" s="2">
        <v>48.127160760092998</v>
      </c>
    </row>
    <row r="38" spans="1:10" x14ac:dyDescent="0.25">
      <c r="A38" s="1">
        <v>41883</v>
      </c>
      <c r="B38" s="2">
        <v>41.083544615663399</v>
      </c>
      <c r="F38" s="1">
        <v>41883</v>
      </c>
      <c r="G38">
        <v>41.33</v>
      </c>
      <c r="H38" s="2">
        <v>41.247500000000002</v>
      </c>
      <c r="I38" s="2">
        <v>41.083544615663399</v>
      </c>
      <c r="J38" s="2">
        <v>41.251251068751202</v>
      </c>
    </row>
    <row r="39" spans="1:10" x14ac:dyDescent="0.25">
      <c r="A39" s="1">
        <v>41852</v>
      </c>
      <c r="B39" s="2">
        <v>43.514262752357503</v>
      </c>
      <c r="F39" s="1">
        <v>41852</v>
      </c>
      <c r="G39">
        <v>43.31</v>
      </c>
      <c r="H39" s="2">
        <v>43.55</v>
      </c>
      <c r="I39" s="2">
        <v>43.514262752357503</v>
      </c>
      <c r="J39" s="2">
        <v>43.554637726849897</v>
      </c>
    </row>
    <row r="40" spans="1:10" x14ac:dyDescent="0.25">
      <c r="A40" s="1">
        <v>41821</v>
      </c>
      <c r="B40" s="2">
        <v>42.889808013440799</v>
      </c>
      <c r="F40" s="1">
        <v>41821</v>
      </c>
      <c r="G40">
        <v>42.58</v>
      </c>
      <c r="H40" s="2">
        <v>42.88</v>
      </c>
      <c r="I40" s="2">
        <v>42.889808013440799</v>
      </c>
      <c r="J40" s="2">
        <v>42.887080354004802</v>
      </c>
    </row>
    <row r="41" spans="1:10" x14ac:dyDescent="0.25">
      <c r="A41" s="1">
        <v>41791</v>
      </c>
      <c r="B41" s="2">
        <v>42.170444778209898</v>
      </c>
      <c r="F41" s="1">
        <v>41791</v>
      </c>
      <c r="G41">
        <v>41.87</v>
      </c>
      <c r="H41" s="2">
        <v>42.202500000000001</v>
      </c>
      <c r="I41" s="2">
        <v>42.170444778209898</v>
      </c>
      <c r="J41" s="2">
        <v>42.205592015997702</v>
      </c>
    </row>
    <row r="42" spans="1:10" x14ac:dyDescent="0.25">
      <c r="A42" s="1">
        <v>41760</v>
      </c>
      <c r="B42" s="2">
        <v>41.375331169631998</v>
      </c>
      <c r="F42" s="1">
        <v>41760</v>
      </c>
      <c r="G42">
        <v>40.26</v>
      </c>
      <c r="H42" s="2">
        <v>40.433999999999997</v>
      </c>
      <c r="I42" s="2">
        <v>41.375331169631998</v>
      </c>
      <c r="J42" s="2">
        <v>40.442138507358898</v>
      </c>
    </row>
    <row r="43" spans="1:10" x14ac:dyDescent="0.25">
      <c r="A43" s="1">
        <v>41730</v>
      </c>
      <c r="B43" s="2">
        <v>35.407502853823601</v>
      </c>
      <c r="F43" s="1">
        <v>41730</v>
      </c>
      <c r="G43">
        <v>35.049999999999997</v>
      </c>
      <c r="H43" s="2">
        <v>34.972499999999997</v>
      </c>
      <c r="I43" s="2">
        <v>35.407502853823601</v>
      </c>
      <c r="J43" s="2">
        <v>34.978360439927599</v>
      </c>
    </row>
    <row r="44" spans="1:10" x14ac:dyDescent="0.25">
      <c r="A44" s="1">
        <v>41699</v>
      </c>
      <c r="B44" s="2">
        <v>35.853504081737299</v>
      </c>
      <c r="F44" s="1">
        <v>41699</v>
      </c>
      <c r="G44">
        <v>36.049999999999997</v>
      </c>
      <c r="H44" s="2">
        <v>35.755000000000003</v>
      </c>
      <c r="I44" s="2">
        <v>35.853504081737299</v>
      </c>
      <c r="J44" s="2">
        <v>35.760012409063897</v>
      </c>
    </row>
    <row r="45" spans="1:10" x14ac:dyDescent="0.25">
      <c r="A45" s="1">
        <v>41671</v>
      </c>
      <c r="B45" s="2">
        <v>37.0343876294016</v>
      </c>
      <c r="F45" s="1">
        <v>41671</v>
      </c>
      <c r="G45">
        <v>37.340000000000003</v>
      </c>
      <c r="H45" s="2">
        <v>36.965000000000003</v>
      </c>
      <c r="I45" s="2">
        <v>37.0343876294016</v>
      </c>
      <c r="J45" s="2">
        <v>36.970293609210799</v>
      </c>
    </row>
    <row r="46" spans="1:10" x14ac:dyDescent="0.25">
      <c r="A46" s="1">
        <v>41640</v>
      </c>
      <c r="B46" s="2">
        <v>31.060624352163099</v>
      </c>
      <c r="F46" s="1">
        <v>41640</v>
      </c>
      <c r="G46">
        <v>31.82</v>
      </c>
      <c r="H46" s="2">
        <v>31.34</v>
      </c>
      <c r="I46" s="2">
        <v>31.060624352163099</v>
      </c>
      <c r="J46" s="2">
        <v>31.3436476916247</v>
      </c>
    </row>
    <row r="47" spans="1:10" x14ac:dyDescent="0.25">
      <c r="A47" s="1">
        <v>41609</v>
      </c>
      <c r="B47" s="2">
        <v>31.882258303233499</v>
      </c>
      <c r="F47" s="1">
        <v>41609</v>
      </c>
      <c r="G47">
        <v>32.67</v>
      </c>
      <c r="H47" s="2">
        <v>32.207500000000003</v>
      </c>
      <c r="I47" s="2">
        <v>31.882258303233499</v>
      </c>
      <c r="J47" s="2">
        <v>32.211421806539697</v>
      </c>
    </row>
    <row r="48" spans="1:10" x14ac:dyDescent="0.25">
      <c r="A48" s="1">
        <v>41579</v>
      </c>
      <c r="B48" s="2">
        <v>41.185987820424103</v>
      </c>
      <c r="F48" s="1">
        <v>41579</v>
      </c>
      <c r="G48">
        <v>41.41</v>
      </c>
      <c r="H48" s="2">
        <v>40.957500000000003</v>
      </c>
      <c r="I48" s="2">
        <v>41.185987820424103</v>
      </c>
      <c r="J48" s="2">
        <v>40.960104346653502</v>
      </c>
    </row>
    <row r="49" spans="1:10" x14ac:dyDescent="0.25">
      <c r="A49" s="1">
        <v>41548</v>
      </c>
      <c r="B49" s="2">
        <v>42.925890478876497</v>
      </c>
      <c r="F49" s="1">
        <v>41548</v>
      </c>
      <c r="G49">
        <v>43.99</v>
      </c>
      <c r="H49" s="2">
        <v>43.113999999999997</v>
      </c>
      <c r="I49" s="2">
        <v>42.925890478876497</v>
      </c>
      <c r="J49" s="2">
        <v>43.118615061451202</v>
      </c>
    </row>
    <row r="50" spans="1:10" x14ac:dyDescent="0.25">
      <c r="A50" s="1">
        <v>41518</v>
      </c>
      <c r="B50" s="2">
        <v>31.324338572730699</v>
      </c>
      <c r="F50" s="1">
        <v>41518</v>
      </c>
      <c r="G50">
        <v>33.4</v>
      </c>
      <c r="H50" s="2">
        <v>32.56</v>
      </c>
      <c r="I50" s="2">
        <v>31.324338572730699</v>
      </c>
      <c r="J50" s="2">
        <v>32.566009964739102</v>
      </c>
    </row>
    <row r="51" spans="1:10" x14ac:dyDescent="0.25">
      <c r="A51" s="1">
        <v>41487</v>
      </c>
      <c r="B51" s="2">
        <v>33.429415715050801</v>
      </c>
      <c r="F51" s="1">
        <v>41487</v>
      </c>
      <c r="G51">
        <v>37.200000000000003</v>
      </c>
      <c r="H51" s="2">
        <v>36.186</v>
      </c>
      <c r="I51" s="2">
        <v>33.429415715050801</v>
      </c>
      <c r="J51" s="2">
        <v>36.192048448799603</v>
      </c>
    </row>
    <row r="52" spans="1:10" x14ac:dyDescent="0.25">
      <c r="A52" s="1">
        <v>41456</v>
      </c>
      <c r="B52" s="2">
        <v>42.143963491101402</v>
      </c>
      <c r="F52" s="1">
        <v>41456</v>
      </c>
      <c r="G52">
        <v>42.38</v>
      </c>
      <c r="H52" s="2">
        <v>41.232500000000002</v>
      </c>
      <c r="I52" s="2">
        <v>42.143963491101402</v>
      </c>
      <c r="J52" s="2">
        <v>41.238990969123101</v>
      </c>
    </row>
    <row r="53" spans="1:10" x14ac:dyDescent="0.25">
      <c r="A53" s="1">
        <v>41426</v>
      </c>
      <c r="B53" s="2">
        <v>52.020841027628499</v>
      </c>
      <c r="F53" s="1">
        <v>41426</v>
      </c>
      <c r="G53">
        <v>53.22</v>
      </c>
      <c r="H53" s="2">
        <v>51.807499999999997</v>
      </c>
      <c r="I53" s="2">
        <v>52.020841027628499</v>
      </c>
      <c r="J53" s="2">
        <v>51.811735276435002</v>
      </c>
    </row>
    <row r="54" spans="1:10" x14ac:dyDescent="0.25">
      <c r="A54" s="1">
        <v>41395</v>
      </c>
      <c r="B54" s="2">
        <v>69.940826336603095</v>
      </c>
      <c r="F54" s="1">
        <v>41395</v>
      </c>
      <c r="G54">
        <v>74.19</v>
      </c>
      <c r="H54" s="2">
        <v>72.150000000000006</v>
      </c>
      <c r="I54" s="2">
        <v>69.940826336603095</v>
      </c>
      <c r="J54" s="2">
        <v>72.154264199986798</v>
      </c>
    </row>
    <row r="55" spans="1:10" x14ac:dyDescent="0.25">
      <c r="A55" s="1">
        <v>41365</v>
      </c>
      <c r="B55" s="2">
        <v>77.025933999709693</v>
      </c>
      <c r="F55" s="1">
        <v>41365</v>
      </c>
      <c r="G55">
        <v>78.95</v>
      </c>
      <c r="H55" s="2">
        <v>76.862499999999997</v>
      </c>
      <c r="I55" s="2">
        <v>77.025933999709693</v>
      </c>
      <c r="J55" s="2">
        <v>76.868209113979802</v>
      </c>
    </row>
    <row r="56" spans="1:10" x14ac:dyDescent="0.25">
      <c r="A56" s="1">
        <v>41334</v>
      </c>
      <c r="B56" s="2">
        <v>72.212910565097701</v>
      </c>
      <c r="F56" s="1">
        <v>41334</v>
      </c>
      <c r="G56">
        <v>74.56</v>
      </c>
      <c r="H56" s="2">
        <v>72.47</v>
      </c>
      <c r="I56" s="2">
        <v>72.212910565097701</v>
      </c>
      <c r="J56" s="2">
        <v>72.476362548866007</v>
      </c>
    </row>
    <row r="57" spans="1:10" x14ac:dyDescent="0.25">
      <c r="A57" s="1">
        <v>41306</v>
      </c>
      <c r="B57" s="2">
        <v>75.399531478896506</v>
      </c>
      <c r="F57" s="1">
        <v>41306</v>
      </c>
      <c r="G57">
        <v>77.53</v>
      </c>
      <c r="H57" s="2">
        <v>75.397499999999994</v>
      </c>
      <c r="I57" s="2">
        <v>75.399531478896506</v>
      </c>
      <c r="J57" s="2">
        <v>75.402532518734304</v>
      </c>
    </row>
    <row r="58" spans="1:10" x14ac:dyDescent="0.25">
      <c r="A58" s="1">
        <v>41275</v>
      </c>
      <c r="B58" s="2">
        <v>86.559343278553001</v>
      </c>
      <c r="F58" s="1">
        <v>41275</v>
      </c>
      <c r="G58">
        <v>87.22</v>
      </c>
      <c r="H58" s="2">
        <v>85.475999999999999</v>
      </c>
      <c r="I58" s="2">
        <v>86.559343278553001</v>
      </c>
      <c r="J58" s="2">
        <v>85.480102964682501</v>
      </c>
    </row>
    <row r="59" spans="1:10" x14ac:dyDescent="0.25">
      <c r="A59" s="1">
        <v>41244</v>
      </c>
      <c r="B59" s="2">
        <v>89.886843789764498</v>
      </c>
      <c r="F59" s="1">
        <v>41244</v>
      </c>
      <c r="G59">
        <v>92.87</v>
      </c>
      <c r="H59" s="2">
        <v>89.864999999999995</v>
      </c>
      <c r="I59" s="2">
        <v>89.886843789764498</v>
      </c>
      <c r="J59" s="2">
        <v>89.868233054593105</v>
      </c>
    </row>
    <row r="60" spans="1:10" x14ac:dyDescent="0.25">
      <c r="A60" s="1">
        <v>41214</v>
      </c>
      <c r="B60" s="2">
        <v>92.942666573401098</v>
      </c>
      <c r="F60" s="1">
        <v>41214</v>
      </c>
      <c r="G60">
        <v>94.5</v>
      </c>
      <c r="H60" s="2">
        <v>92.731999999999999</v>
      </c>
      <c r="I60" s="2">
        <v>92.942666573401098</v>
      </c>
      <c r="J60" s="2">
        <v>92.7365956961291</v>
      </c>
    </row>
    <row r="61" spans="1:10" x14ac:dyDescent="0.25">
      <c r="A61" s="1">
        <v>41183</v>
      </c>
      <c r="B61" s="2">
        <v>94.381081728544103</v>
      </c>
      <c r="F61" s="1">
        <v>41183</v>
      </c>
      <c r="G61">
        <v>96.07</v>
      </c>
      <c r="H61" s="2">
        <v>94.275000000000006</v>
      </c>
      <c r="I61" s="2">
        <v>94.381081728544103</v>
      </c>
      <c r="J61" s="2">
        <v>94.278235862806596</v>
      </c>
    </row>
    <row r="62" spans="1:10" x14ac:dyDescent="0.25">
      <c r="A62" s="1">
        <v>41153</v>
      </c>
      <c r="B62" s="2">
        <v>91.620814463893396</v>
      </c>
      <c r="F62" s="1">
        <v>41153</v>
      </c>
      <c r="G62">
        <v>92.63</v>
      </c>
      <c r="H62" s="2">
        <v>90.81</v>
      </c>
      <c r="I62" s="2">
        <v>91.620814463893396</v>
      </c>
      <c r="J62" s="2">
        <v>90.814212810838001</v>
      </c>
    </row>
    <row r="63" spans="1:10" x14ac:dyDescent="0.25">
      <c r="A63" s="1">
        <v>41122</v>
      </c>
      <c r="B63" s="2">
        <v>87.424067779444002</v>
      </c>
      <c r="F63" s="1">
        <v>41122</v>
      </c>
      <c r="G63">
        <v>89.15</v>
      </c>
      <c r="H63" s="2">
        <v>87.623999999999995</v>
      </c>
      <c r="I63" s="2">
        <v>87.424067779444002</v>
      </c>
      <c r="J63" s="2">
        <v>87.630522714081195</v>
      </c>
    </row>
    <row r="64" spans="1:10" x14ac:dyDescent="0.25">
      <c r="A64" s="1">
        <v>41091</v>
      </c>
      <c r="B64" s="2">
        <v>89.922842598586499</v>
      </c>
      <c r="F64" s="1">
        <v>41091</v>
      </c>
      <c r="G64">
        <v>91.76</v>
      </c>
      <c r="H64" s="2">
        <v>90.507499999999993</v>
      </c>
      <c r="I64" s="2">
        <v>89.922842598586499</v>
      </c>
      <c r="J64" s="2">
        <v>90.511460160968397</v>
      </c>
    </row>
    <row r="65" spans="1:10" x14ac:dyDescent="0.25">
      <c r="A65" s="1">
        <v>41061</v>
      </c>
      <c r="B65" s="2">
        <v>88.515012609866403</v>
      </c>
      <c r="F65" s="1">
        <v>41061</v>
      </c>
      <c r="G65">
        <v>89.97</v>
      </c>
      <c r="H65" s="2">
        <v>88.532499999999999</v>
      </c>
      <c r="I65" s="2">
        <v>88.515012609866403</v>
      </c>
      <c r="J65" s="2">
        <v>88.540460632679199</v>
      </c>
    </row>
    <row r="66" spans="1:10" x14ac:dyDescent="0.25">
      <c r="A66" s="1">
        <v>41030</v>
      </c>
      <c r="B66" s="2">
        <v>86.719894832786295</v>
      </c>
      <c r="F66" s="1">
        <v>41030</v>
      </c>
      <c r="G66">
        <v>88.11</v>
      </c>
      <c r="H66" s="2">
        <v>86.754000000000005</v>
      </c>
      <c r="I66" s="2">
        <v>86.719894832786295</v>
      </c>
      <c r="J66" s="2">
        <v>86.760637992288494</v>
      </c>
    </row>
    <row r="67" spans="1:10" x14ac:dyDescent="0.25">
      <c r="A67" s="1">
        <v>41000</v>
      </c>
      <c r="B67" s="2">
        <v>82.199262573507795</v>
      </c>
      <c r="F67" s="1">
        <v>41000</v>
      </c>
      <c r="G67">
        <v>84.2</v>
      </c>
      <c r="H67" s="2">
        <v>82.15</v>
      </c>
      <c r="I67" s="2">
        <v>82.199262573507795</v>
      </c>
      <c r="J67" s="2">
        <v>82.151968251177493</v>
      </c>
    </row>
    <row r="68" spans="1:10" x14ac:dyDescent="0.25">
      <c r="A68" s="1">
        <v>40969</v>
      </c>
      <c r="B68" s="2">
        <v>80.486988949267996</v>
      </c>
      <c r="F68" s="1">
        <v>40969</v>
      </c>
      <c r="G68">
        <v>82.4</v>
      </c>
      <c r="H68" s="2">
        <v>80.882000000000005</v>
      </c>
      <c r="I68" s="2">
        <v>80.486988949267996</v>
      </c>
      <c r="J68" s="2">
        <v>80.886123059817294</v>
      </c>
    </row>
    <row r="69" spans="1:10" x14ac:dyDescent="0.25">
      <c r="A69" s="1">
        <v>40940</v>
      </c>
      <c r="B69" s="2">
        <v>85.943390645114704</v>
      </c>
      <c r="F69" s="1">
        <v>40940</v>
      </c>
      <c r="G69">
        <v>87.32</v>
      </c>
      <c r="H69" s="2">
        <v>86.002499999999998</v>
      </c>
      <c r="I69" s="2">
        <v>85.943390645114704</v>
      </c>
      <c r="J69" s="2">
        <v>86.005896088711793</v>
      </c>
    </row>
    <row r="70" spans="1:10" x14ac:dyDescent="0.25">
      <c r="A70" s="1">
        <v>40909</v>
      </c>
      <c r="B70" s="2">
        <v>86.967277422903905</v>
      </c>
      <c r="F70" s="1">
        <v>40909</v>
      </c>
      <c r="G70">
        <v>88.32</v>
      </c>
      <c r="H70" s="2">
        <v>86.832499999999996</v>
      </c>
      <c r="I70" s="2">
        <v>86.967277422903905</v>
      </c>
      <c r="J70" s="2">
        <v>86.836871045223305</v>
      </c>
    </row>
    <row r="71" spans="1:10" x14ac:dyDescent="0.25">
      <c r="A71" s="1">
        <v>40878</v>
      </c>
      <c r="B71" s="2">
        <v>87.522533738239602</v>
      </c>
      <c r="F71" s="1">
        <v>40878</v>
      </c>
      <c r="G71">
        <v>88.11</v>
      </c>
      <c r="H71" s="2">
        <v>86.947999999999993</v>
      </c>
      <c r="I71" s="2">
        <v>87.522533738239602</v>
      </c>
      <c r="J71" s="2">
        <v>86.955200282041304</v>
      </c>
    </row>
    <row r="72" spans="1:10" x14ac:dyDescent="0.25">
      <c r="A72" s="1">
        <v>40848</v>
      </c>
      <c r="B72" s="2">
        <v>86.905621544245705</v>
      </c>
      <c r="F72" s="1">
        <v>40848</v>
      </c>
      <c r="G72">
        <v>87.91</v>
      </c>
      <c r="H72" s="2">
        <v>87.03</v>
      </c>
      <c r="I72" s="2">
        <v>86.905621544245705</v>
      </c>
      <c r="J72" s="2">
        <v>87.035009542429904</v>
      </c>
    </row>
    <row r="73" spans="1:10" x14ac:dyDescent="0.25">
      <c r="A73" s="1">
        <v>40817</v>
      </c>
      <c r="B73" s="2">
        <v>82.327801885365105</v>
      </c>
      <c r="F73" s="1">
        <v>40817</v>
      </c>
      <c r="G73">
        <v>83.43</v>
      </c>
      <c r="H73" s="2">
        <v>82.922499999999999</v>
      </c>
      <c r="I73" s="2">
        <v>82.327801885365105</v>
      </c>
      <c r="J73" s="2">
        <v>82.929780079733703</v>
      </c>
    </row>
    <row r="74" spans="1:10" x14ac:dyDescent="0.25">
      <c r="A74" s="1">
        <v>40787</v>
      </c>
      <c r="B74" s="2">
        <v>83.695426356558201</v>
      </c>
      <c r="F74" s="1">
        <v>40787</v>
      </c>
      <c r="G74">
        <v>82.8</v>
      </c>
      <c r="H74" s="2">
        <v>82.495999999999995</v>
      </c>
      <c r="I74" s="2">
        <v>83.695426356558201</v>
      </c>
      <c r="J74" s="2">
        <v>82.500585834409307</v>
      </c>
    </row>
    <row r="75" spans="1:10" x14ac:dyDescent="0.25">
      <c r="A75" s="1">
        <v>40756</v>
      </c>
      <c r="B75" s="2">
        <v>75.113019860170397</v>
      </c>
      <c r="F75" s="1">
        <v>40756</v>
      </c>
      <c r="G75">
        <v>73.959999999999994</v>
      </c>
      <c r="H75" s="2">
        <v>73.697500000000005</v>
      </c>
      <c r="I75" s="2">
        <v>75.113019860170397</v>
      </c>
      <c r="J75" s="2">
        <v>73.700111972659897</v>
      </c>
    </row>
    <row r="76" spans="1:10" x14ac:dyDescent="0.25">
      <c r="A76" s="1">
        <v>40725</v>
      </c>
      <c r="B76" s="2">
        <v>54.988746662644502</v>
      </c>
      <c r="F76" s="1">
        <v>40725</v>
      </c>
      <c r="G76">
        <v>55.51</v>
      </c>
      <c r="H76" s="2">
        <v>55.094999999999999</v>
      </c>
      <c r="I76" s="2">
        <v>54.988746662644502</v>
      </c>
      <c r="J76" s="2">
        <v>55.097636428798801</v>
      </c>
    </row>
    <row r="77" spans="1:10" x14ac:dyDescent="0.25">
      <c r="A77" s="1">
        <v>40695</v>
      </c>
      <c r="B77" s="2">
        <v>56.6510905243073</v>
      </c>
      <c r="F77" s="1">
        <v>40695</v>
      </c>
      <c r="G77">
        <v>56.99</v>
      </c>
      <c r="H77" s="2">
        <v>56.661999999999999</v>
      </c>
      <c r="I77" s="2">
        <v>56.6510905243073</v>
      </c>
      <c r="J77" s="2">
        <v>56.6674314342415</v>
      </c>
    </row>
    <row r="78" spans="1:10" x14ac:dyDescent="0.25">
      <c r="A78" s="1">
        <v>40664</v>
      </c>
      <c r="B78" s="2">
        <v>54.108368758948203</v>
      </c>
      <c r="F78" s="1">
        <v>40664</v>
      </c>
      <c r="G78">
        <v>54.58</v>
      </c>
      <c r="H78" s="2">
        <v>54.172499999999999</v>
      </c>
      <c r="I78" s="2">
        <v>54.108368758948203</v>
      </c>
      <c r="J78" s="2">
        <v>54.175797327322698</v>
      </c>
    </row>
    <row r="79" spans="1:10" x14ac:dyDescent="0.25">
      <c r="A79" s="1">
        <v>40634</v>
      </c>
      <c r="B79" s="2">
        <v>51.481235726275301</v>
      </c>
      <c r="F79" s="1">
        <v>40634</v>
      </c>
      <c r="G79">
        <v>52.21</v>
      </c>
      <c r="H79" s="2">
        <v>51.4925</v>
      </c>
      <c r="I79" s="2">
        <v>51.481235726275301</v>
      </c>
      <c r="J79" s="2">
        <v>51.496262398002401</v>
      </c>
    </row>
    <row r="80" spans="1:10" x14ac:dyDescent="0.25">
      <c r="A80" s="1">
        <v>40603</v>
      </c>
      <c r="B80" s="2">
        <v>52.747832980340803</v>
      </c>
      <c r="F80" s="1">
        <v>40603</v>
      </c>
      <c r="G80">
        <v>53.7</v>
      </c>
      <c r="H80" s="2">
        <v>52.793999999999997</v>
      </c>
      <c r="I80" s="2">
        <v>52.747832980340803</v>
      </c>
      <c r="J80" s="2">
        <v>52.800325597907303</v>
      </c>
    </row>
    <row r="81" spans="1:10" x14ac:dyDescent="0.25">
      <c r="A81" s="1">
        <v>40575</v>
      </c>
      <c r="B81" s="2">
        <v>50.404813426443802</v>
      </c>
      <c r="F81" s="1">
        <v>40575</v>
      </c>
      <c r="G81">
        <v>51.17</v>
      </c>
      <c r="H81" s="2">
        <v>50.15</v>
      </c>
      <c r="I81" s="2">
        <v>50.404813426443802</v>
      </c>
      <c r="J81" s="2">
        <v>50.1554189346881</v>
      </c>
    </row>
    <row r="82" spans="1:10" x14ac:dyDescent="0.25">
      <c r="A82" s="1">
        <v>40544</v>
      </c>
      <c r="B82" s="2">
        <v>57.2901192750478</v>
      </c>
      <c r="F82" s="1">
        <v>40544</v>
      </c>
      <c r="G82">
        <v>58.86</v>
      </c>
      <c r="H82" s="2">
        <v>57.494999999999997</v>
      </c>
      <c r="I82" s="2">
        <v>57.2901192750478</v>
      </c>
      <c r="J82" s="2">
        <v>57.502512128816903</v>
      </c>
    </row>
    <row r="83" spans="1:10" x14ac:dyDescent="0.25">
      <c r="A83" s="1">
        <v>40513</v>
      </c>
      <c r="B83" s="2">
        <v>60.614817499980397</v>
      </c>
      <c r="F83" s="1">
        <v>40513</v>
      </c>
      <c r="G83">
        <v>61.73</v>
      </c>
      <c r="H83" s="2">
        <v>60.472000000000001</v>
      </c>
      <c r="I83" s="2">
        <v>60.614817499980397</v>
      </c>
      <c r="J83" s="2">
        <v>60.476990538090902</v>
      </c>
    </row>
    <row r="84" spans="1:10" x14ac:dyDescent="0.25">
      <c r="A84" s="1">
        <v>40483</v>
      </c>
      <c r="B84" s="2">
        <v>82.737617269496397</v>
      </c>
      <c r="F84" s="1">
        <v>40483</v>
      </c>
      <c r="G84">
        <v>82.68</v>
      </c>
      <c r="H84" s="2">
        <v>81.204999999999998</v>
      </c>
      <c r="I84" s="2">
        <v>82.737617269496397</v>
      </c>
      <c r="J84" s="2">
        <v>81.209497225199797</v>
      </c>
    </row>
    <row r="85" spans="1:10" x14ac:dyDescent="0.25">
      <c r="A85" s="1">
        <v>40452</v>
      </c>
      <c r="B85" s="2">
        <v>88.888505526701493</v>
      </c>
      <c r="F85" s="1">
        <v>40452</v>
      </c>
      <c r="G85">
        <v>90.03</v>
      </c>
      <c r="H85" s="2">
        <v>88.77</v>
      </c>
      <c r="I85" s="2">
        <v>88.888505526701493</v>
      </c>
      <c r="J85" s="2">
        <v>88.772799680355902</v>
      </c>
    </row>
    <row r="86" spans="1:10" x14ac:dyDescent="0.25">
      <c r="A86" s="1">
        <v>40422</v>
      </c>
      <c r="B86" s="2">
        <v>86.640656605214204</v>
      </c>
      <c r="F86" s="1">
        <v>40422</v>
      </c>
      <c r="G86">
        <v>87.26</v>
      </c>
      <c r="H86" s="2">
        <v>86.537999999999997</v>
      </c>
      <c r="I86" s="2">
        <v>86.640656605214204</v>
      </c>
      <c r="J86" s="2">
        <v>86.542416468054896</v>
      </c>
    </row>
    <row r="87" spans="1:10" x14ac:dyDescent="0.25">
      <c r="A87" s="1">
        <v>40391</v>
      </c>
      <c r="B87" s="2">
        <v>82.001852183673705</v>
      </c>
      <c r="F87" s="1">
        <v>40391</v>
      </c>
      <c r="G87">
        <v>81.67</v>
      </c>
      <c r="H87" s="2">
        <v>81.319999999999993</v>
      </c>
      <c r="I87" s="2">
        <v>82.001852183673705</v>
      </c>
      <c r="J87" s="2">
        <v>81.3247612817148</v>
      </c>
    </row>
    <row r="88" spans="1:10" x14ac:dyDescent="0.25">
      <c r="A88" s="1">
        <v>40360</v>
      </c>
      <c r="B88" s="2">
        <v>72.892549140753005</v>
      </c>
      <c r="F88" s="1">
        <v>40360</v>
      </c>
      <c r="G88">
        <v>73.11</v>
      </c>
      <c r="H88" s="2">
        <v>72.822000000000003</v>
      </c>
      <c r="I88" s="2">
        <v>72.892549140753005</v>
      </c>
      <c r="J88" s="2">
        <v>72.825284925173605</v>
      </c>
    </row>
    <row r="89" spans="1:10" x14ac:dyDescent="0.25">
      <c r="A89" s="1">
        <v>40330</v>
      </c>
      <c r="B89" s="2">
        <v>69.7452294213508</v>
      </c>
      <c r="F89" s="1">
        <v>40330</v>
      </c>
      <c r="G89">
        <v>69.709999999999994</v>
      </c>
      <c r="H89" s="2">
        <v>69.055000000000007</v>
      </c>
      <c r="I89" s="2">
        <v>69.7452294213508</v>
      </c>
      <c r="J89" s="2">
        <v>69.06082277822</v>
      </c>
    </row>
    <row r="90" spans="1:10" x14ac:dyDescent="0.25">
      <c r="A90" s="1">
        <v>40299</v>
      </c>
      <c r="B90" s="2">
        <v>66.431035891557002</v>
      </c>
      <c r="F90" s="1">
        <v>40299</v>
      </c>
      <c r="G90">
        <v>66.47</v>
      </c>
      <c r="H90" s="2">
        <v>65.662499999999994</v>
      </c>
      <c r="I90" s="2">
        <v>66.431035891557002</v>
      </c>
      <c r="J90" s="2">
        <v>65.668794103812303</v>
      </c>
    </row>
    <row r="91" spans="1:10" x14ac:dyDescent="0.25">
      <c r="A91" s="1">
        <v>40269</v>
      </c>
      <c r="B91" s="2">
        <v>57.471419067293702</v>
      </c>
      <c r="F91" s="1">
        <v>40269</v>
      </c>
      <c r="G91">
        <v>58.49</v>
      </c>
      <c r="H91" s="2">
        <v>57.67</v>
      </c>
      <c r="I91" s="2">
        <v>57.471419067293702</v>
      </c>
      <c r="J91" s="2">
        <v>57.675855899438702</v>
      </c>
    </row>
    <row r="92" spans="1:10" x14ac:dyDescent="0.25">
      <c r="A92" s="1">
        <v>40238</v>
      </c>
      <c r="B92" s="2">
        <v>64.406061325782403</v>
      </c>
      <c r="F92" s="1">
        <v>40238</v>
      </c>
      <c r="G92">
        <v>66.790000000000006</v>
      </c>
      <c r="H92" s="2">
        <v>65.792500000000004</v>
      </c>
      <c r="I92" s="2">
        <v>64.406061325782403</v>
      </c>
      <c r="J92" s="2">
        <v>65.797165441676398</v>
      </c>
    </row>
    <row r="93" spans="1:10" x14ac:dyDescent="0.25">
      <c r="A93" s="1">
        <v>40210</v>
      </c>
      <c r="B93" s="2">
        <v>65.531726894057599</v>
      </c>
      <c r="F93" s="1">
        <v>40210</v>
      </c>
      <c r="G93">
        <v>66.66</v>
      </c>
      <c r="H93" s="2">
        <v>65.674999999999997</v>
      </c>
      <c r="I93" s="2">
        <v>65.531726894057599</v>
      </c>
      <c r="J93" s="2">
        <v>65.6797558476229</v>
      </c>
    </row>
    <row r="94" spans="1:10" x14ac:dyDescent="0.25">
      <c r="A94" s="1">
        <v>40179</v>
      </c>
      <c r="B94" s="2">
        <v>65.115981327478806</v>
      </c>
      <c r="F94" s="1">
        <v>40179</v>
      </c>
      <c r="G94">
        <v>66.41</v>
      </c>
      <c r="H94" s="2">
        <v>65.192499999999995</v>
      </c>
      <c r="I94" s="2">
        <v>65.115981327478806</v>
      </c>
      <c r="J94" s="2">
        <v>65.197486065455806</v>
      </c>
    </row>
    <row r="95" spans="1:10" x14ac:dyDescent="0.25">
      <c r="A95" s="1">
        <v>40148</v>
      </c>
      <c r="B95" s="2">
        <v>72.115493072490395</v>
      </c>
      <c r="F95" s="1">
        <v>40148</v>
      </c>
      <c r="G95">
        <v>71.17</v>
      </c>
      <c r="H95" s="2">
        <v>70.268000000000001</v>
      </c>
      <c r="I95" s="2">
        <v>72.115493072490395</v>
      </c>
      <c r="J95" s="2">
        <v>70.2718028644301</v>
      </c>
    </row>
    <row r="96" spans="1:10" x14ac:dyDescent="0.25">
      <c r="A96" s="1">
        <v>40118</v>
      </c>
      <c r="B96" s="2">
        <v>75.603410734646104</v>
      </c>
      <c r="F96" s="1">
        <v>40118</v>
      </c>
      <c r="G96">
        <v>75.5</v>
      </c>
      <c r="H96" s="2">
        <v>74.644999999999996</v>
      </c>
      <c r="I96" s="2">
        <v>75.603410734646104</v>
      </c>
      <c r="J96" s="2">
        <v>74.648095304796001</v>
      </c>
    </row>
    <row r="97" spans="1:10" x14ac:dyDescent="0.25">
      <c r="A97" s="1">
        <v>40087</v>
      </c>
      <c r="B97" s="2">
        <v>73.019158273983393</v>
      </c>
      <c r="F97" s="1">
        <v>40087</v>
      </c>
      <c r="G97">
        <v>74.290000000000006</v>
      </c>
      <c r="H97" s="2">
        <v>73.007999999999996</v>
      </c>
      <c r="I97" s="2">
        <v>73.019158273983393</v>
      </c>
      <c r="J97" s="2">
        <v>73.013233512273501</v>
      </c>
    </row>
    <row r="98" spans="1:10" x14ac:dyDescent="0.25">
      <c r="A98" s="1">
        <v>40057</v>
      </c>
      <c r="B98" s="2">
        <v>70.261461124924196</v>
      </c>
      <c r="F98" s="1">
        <v>40057</v>
      </c>
      <c r="G98">
        <v>70.790000000000006</v>
      </c>
      <c r="H98" s="2">
        <v>69.004999999999995</v>
      </c>
      <c r="I98" s="2">
        <v>70.261461124924196</v>
      </c>
      <c r="J98" s="2">
        <v>69.008853949362702</v>
      </c>
    </row>
    <row r="99" spans="1:10" x14ac:dyDescent="0.25">
      <c r="A99" s="1">
        <v>40026</v>
      </c>
      <c r="B99" s="2">
        <v>64.082430575130502</v>
      </c>
      <c r="F99" s="1">
        <v>40026</v>
      </c>
      <c r="G99">
        <v>65.89</v>
      </c>
      <c r="H99" s="2">
        <v>63.9</v>
      </c>
      <c r="I99" s="2">
        <v>64.082430575130502</v>
      </c>
      <c r="J99" s="2">
        <v>63.9018242710873</v>
      </c>
    </row>
    <row r="100" spans="1:10" x14ac:dyDescent="0.25">
      <c r="A100" s="1">
        <v>39995</v>
      </c>
      <c r="B100" s="2">
        <v>64.545883504973204</v>
      </c>
      <c r="F100" s="1">
        <v>39995</v>
      </c>
      <c r="G100">
        <v>66.95</v>
      </c>
      <c r="H100" s="2">
        <v>64.382000000000005</v>
      </c>
      <c r="I100" s="2">
        <v>64.545883504973204</v>
      </c>
      <c r="J100" s="2">
        <v>64.386539615295604</v>
      </c>
    </row>
    <row r="101" spans="1:10" x14ac:dyDescent="0.25">
      <c r="A101" s="1">
        <v>39965</v>
      </c>
      <c r="B101" s="2">
        <v>23.9802743493652</v>
      </c>
      <c r="F101" s="1">
        <v>39965</v>
      </c>
      <c r="G101">
        <v>24.63</v>
      </c>
      <c r="H101" s="2">
        <v>24.337499999999999</v>
      </c>
      <c r="I101" s="2">
        <v>23.9802743493652</v>
      </c>
      <c r="J101" s="2">
        <v>24.3408259798132</v>
      </c>
    </row>
    <row r="102" spans="1:10" x14ac:dyDescent="0.25">
      <c r="A102" s="1">
        <v>39934</v>
      </c>
      <c r="B102" s="2">
        <v>72.928339821908907</v>
      </c>
      <c r="F102" s="1">
        <v>39934</v>
      </c>
      <c r="G102">
        <v>74.86</v>
      </c>
      <c r="H102" s="2">
        <v>72.847499999999997</v>
      </c>
      <c r="I102" s="2">
        <v>72.928339821908907</v>
      </c>
      <c r="J102" s="2">
        <v>72.851404143994699</v>
      </c>
    </row>
    <row r="103" spans="1:10" x14ac:dyDescent="0.25">
      <c r="A103" s="1">
        <v>39904</v>
      </c>
      <c r="B103" s="2">
        <v>79.127525301561406</v>
      </c>
      <c r="F103" s="1">
        <v>39904</v>
      </c>
      <c r="G103">
        <v>81.87</v>
      </c>
      <c r="H103" s="2">
        <v>78.947999999999993</v>
      </c>
      <c r="I103" s="2">
        <v>79.127525301561406</v>
      </c>
      <c r="J103" s="2">
        <v>78.952776494172795</v>
      </c>
    </row>
    <row r="104" spans="1:10" x14ac:dyDescent="0.25">
      <c r="A104" s="1">
        <v>39873</v>
      </c>
      <c r="B104" s="2">
        <v>69.645444389995404</v>
      </c>
      <c r="F104" s="1">
        <v>39873</v>
      </c>
      <c r="G104">
        <v>70.3</v>
      </c>
      <c r="H104" s="2">
        <v>69.055000000000007</v>
      </c>
      <c r="I104" s="2">
        <v>69.645444389995404</v>
      </c>
      <c r="J104" s="2">
        <v>69.060330278271095</v>
      </c>
    </row>
    <row r="105" spans="1:10" x14ac:dyDescent="0.25">
      <c r="A105" s="1">
        <v>39845</v>
      </c>
      <c r="B105" s="2">
        <v>57.495307551348503</v>
      </c>
      <c r="F105" s="1">
        <v>39845</v>
      </c>
      <c r="G105">
        <v>58.21</v>
      </c>
      <c r="H105" s="2">
        <v>58.087499999999999</v>
      </c>
      <c r="I105" s="2">
        <v>57.495307551348503</v>
      </c>
      <c r="J105" s="2">
        <v>58.090961352163099</v>
      </c>
    </row>
    <row r="106" spans="1:10" x14ac:dyDescent="0.25">
      <c r="A106" s="1">
        <v>39814</v>
      </c>
      <c r="B106" s="2">
        <v>69.829305072916299</v>
      </c>
      <c r="F106" s="1">
        <v>39814</v>
      </c>
      <c r="G106">
        <v>69.290000000000006</v>
      </c>
      <c r="H106" s="2">
        <v>69.625</v>
      </c>
      <c r="I106" s="2">
        <v>69.829305072916299</v>
      </c>
      <c r="J106" s="2">
        <v>69.630849781943397</v>
      </c>
    </row>
    <row r="107" spans="1:10" x14ac:dyDescent="0.25">
      <c r="A107" s="1">
        <v>39783</v>
      </c>
      <c r="B107" s="2">
        <v>47.010753357229802</v>
      </c>
      <c r="F107" s="1">
        <v>39783</v>
      </c>
      <c r="G107">
        <v>47</v>
      </c>
      <c r="H107" s="2">
        <v>47.171999999999997</v>
      </c>
      <c r="I107" s="2">
        <v>47.010753357229802</v>
      </c>
      <c r="J107" s="2">
        <v>47.180795226486303</v>
      </c>
    </row>
    <row r="108" spans="1:10" x14ac:dyDescent="0.25">
      <c r="A108" s="1">
        <v>39753</v>
      </c>
      <c r="B108" s="2">
        <v>6.1280838163700402</v>
      </c>
      <c r="F108" s="1">
        <v>39753</v>
      </c>
      <c r="G108">
        <v>6.33</v>
      </c>
      <c r="H108" s="2">
        <v>6.37</v>
      </c>
      <c r="I108" s="2">
        <v>6.1280838163700402</v>
      </c>
      <c r="J108" s="2">
        <v>6.3755810591590603</v>
      </c>
    </row>
    <row r="109" spans="1:10" x14ac:dyDescent="0.25">
      <c r="A109" s="1">
        <v>39722</v>
      </c>
      <c r="B109" s="2">
        <v>5.2651876635739603</v>
      </c>
      <c r="F109" s="1">
        <v>39722</v>
      </c>
      <c r="G109">
        <v>6.13</v>
      </c>
      <c r="H109" s="2">
        <v>6.2359999999999998</v>
      </c>
      <c r="I109" s="2">
        <v>5.2651876635739603</v>
      </c>
      <c r="J109" s="2">
        <v>6.2428776731622904</v>
      </c>
    </row>
    <row r="110" spans="1:10" x14ac:dyDescent="0.25">
      <c r="A110" s="1">
        <v>39692</v>
      </c>
      <c r="B110" s="2">
        <v>7.6190085158091501</v>
      </c>
      <c r="F110" s="1">
        <v>39692</v>
      </c>
      <c r="G110">
        <v>8.9700000000000006</v>
      </c>
      <c r="H110" s="2">
        <v>9.0250000000000004</v>
      </c>
      <c r="I110" s="2">
        <v>7.6190085158091501</v>
      </c>
      <c r="J110" s="2">
        <v>9.0299044913194297</v>
      </c>
    </row>
    <row r="111" spans="1:10" x14ac:dyDescent="0.25">
      <c r="A111" s="1">
        <v>39661</v>
      </c>
      <c r="B111" s="2">
        <v>3.2402702353340702</v>
      </c>
      <c r="F111" s="1">
        <v>39661</v>
      </c>
      <c r="G111">
        <v>3.32</v>
      </c>
      <c r="H111" s="2">
        <v>3.2650000000000001</v>
      </c>
      <c r="I111" s="2">
        <v>3.2402702353340702</v>
      </c>
      <c r="J111" s="2">
        <v>3.2733566282619599</v>
      </c>
    </row>
    <row r="112" spans="1:10" x14ac:dyDescent="0.25">
      <c r="A112" s="1">
        <v>39630</v>
      </c>
      <c r="B112" s="2">
        <v>3.9553539514428202</v>
      </c>
      <c r="F112" s="1">
        <v>39630</v>
      </c>
      <c r="G112">
        <v>4</v>
      </c>
      <c r="H112" s="2">
        <v>3.9239999999999999</v>
      </c>
      <c r="I112" s="2">
        <v>3.9553539514428202</v>
      </c>
      <c r="J112" s="2">
        <v>3.92832101583158</v>
      </c>
    </row>
    <row r="113" spans="1:10" x14ac:dyDescent="0.25">
      <c r="A113" s="1">
        <v>39600</v>
      </c>
      <c r="B113" s="2">
        <v>4.8820984759030797</v>
      </c>
      <c r="F113" s="1">
        <v>39600</v>
      </c>
      <c r="G113">
        <v>5.29</v>
      </c>
      <c r="H113" s="2">
        <v>5.1749999999999998</v>
      </c>
      <c r="I113" s="2">
        <v>4.8820984759030797</v>
      </c>
      <c r="J113" s="2">
        <v>5.1808441030052599</v>
      </c>
    </row>
    <row r="114" spans="1:10" x14ac:dyDescent="0.25">
      <c r="A114" s="1">
        <v>39569</v>
      </c>
      <c r="B114" s="2">
        <v>10.703046564588499</v>
      </c>
      <c r="F114" s="1">
        <v>39569</v>
      </c>
      <c r="G114">
        <v>10.83</v>
      </c>
      <c r="H114" s="2">
        <v>10.618</v>
      </c>
      <c r="I114" s="2">
        <v>10.703046564588499</v>
      </c>
      <c r="J114" s="2">
        <v>10.6230572724848</v>
      </c>
    </row>
    <row r="115" spans="1:10" x14ac:dyDescent="0.25">
      <c r="A115" s="1">
        <v>39539</v>
      </c>
      <c r="B115" s="2">
        <v>15.7328208444591</v>
      </c>
      <c r="F115" s="1">
        <v>39539</v>
      </c>
      <c r="G115">
        <v>17.63</v>
      </c>
      <c r="H115" s="2">
        <v>17.302499999999998</v>
      </c>
      <c r="I115" s="2">
        <v>15.7328208444591</v>
      </c>
      <c r="J115" s="2">
        <v>17.3065419577432</v>
      </c>
    </row>
    <row r="116" spans="1:10" x14ac:dyDescent="0.25">
      <c r="A116" s="1">
        <v>39508</v>
      </c>
      <c r="B116" s="2">
        <v>18.390250470801799</v>
      </c>
      <c r="F116" s="1">
        <v>39508</v>
      </c>
      <c r="G116">
        <v>19.190000000000001</v>
      </c>
      <c r="H116" s="2">
        <v>18.86</v>
      </c>
      <c r="I116" s="2">
        <v>18.390250470801799</v>
      </c>
      <c r="J116" s="2">
        <v>18.864968625972399</v>
      </c>
    </row>
    <row r="117" spans="1:10" x14ac:dyDescent="0.25">
      <c r="A117" s="1">
        <v>39479</v>
      </c>
      <c r="B117" s="2">
        <v>23.123410209304001</v>
      </c>
      <c r="F117" s="1">
        <v>39479</v>
      </c>
      <c r="G117">
        <v>26.38</v>
      </c>
      <c r="H117" s="2">
        <v>26.4925</v>
      </c>
      <c r="I117" s="2">
        <v>23.123410209304001</v>
      </c>
      <c r="J117" s="2">
        <v>26.4969690626397</v>
      </c>
    </row>
    <row r="118" spans="1:10" x14ac:dyDescent="0.25">
      <c r="A118" s="1">
        <v>39448</v>
      </c>
      <c r="B118" s="2">
        <v>36.125525073233099</v>
      </c>
      <c r="F118" s="1">
        <v>39448</v>
      </c>
      <c r="G118">
        <v>38.49</v>
      </c>
      <c r="H118" s="2">
        <v>39.194000000000003</v>
      </c>
      <c r="I118" s="2">
        <v>36.125525073233099</v>
      </c>
      <c r="J118" s="2">
        <v>39.198052326897901</v>
      </c>
    </row>
    <row r="119" spans="1:10" x14ac:dyDescent="0.25">
      <c r="A119" s="1">
        <v>39417</v>
      </c>
      <c r="B119" s="2">
        <v>15.867337775907201</v>
      </c>
      <c r="F119" s="1">
        <v>39417</v>
      </c>
      <c r="G119">
        <v>16.16</v>
      </c>
      <c r="H119" s="2">
        <v>16.392499999999998</v>
      </c>
      <c r="I119" s="2">
        <v>15.867337775907201</v>
      </c>
      <c r="J119" s="2">
        <v>16.396392362177501</v>
      </c>
    </row>
    <row r="120" spans="1:10" x14ac:dyDescent="0.25">
      <c r="A120" s="1">
        <v>39387</v>
      </c>
      <c r="B120" s="2">
        <v>12.0942356343404</v>
      </c>
      <c r="F120" s="1">
        <v>39387</v>
      </c>
      <c r="G120">
        <v>11.53</v>
      </c>
      <c r="H120" s="2">
        <v>11.776</v>
      </c>
      <c r="I120" s="2">
        <v>12.0942356343404</v>
      </c>
      <c r="J120" s="2">
        <v>11.7814590184624</v>
      </c>
    </row>
    <row r="121" spans="1:10" x14ac:dyDescent="0.25">
      <c r="A121" s="1">
        <v>39356</v>
      </c>
      <c r="B121" s="2">
        <v>8.0083819802903609</v>
      </c>
      <c r="F121" s="1">
        <v>39356</v>
      </c>
      <c r="G121">
        <v>7.55</v>
      </c>
      <c r="H121" s="2">
        <v>7.63</v>
      </c>
      <c r="I121" s="2">
        <v>8.0083819802903609</v>
      </c>
      <c r="J121" s="2">
        <v>7.6343126640412899</v>
      </c>
    </row>
    <row r="122" spans="1:10" x14ac:dyDescent="0.25">
      <c r="A122" s="1">
        <v>39326</v>
      </c>
      <c r="B122" s="2">
        <v>7.5232292585340401</v>
      </c>
      <c r="F122" s="1">
        <v>39326</v>
      </c>
      <c r="G122">
        <v>7.52</v>
      </c>
      <c r="H122" s="2">
        <v>7.5449999999999999</v>
      </c>
      <c r="I122" s="2">
        <v>7.5232292585340401</v>
      </c>
      <c r="J122" s="2">
        <v>7.5500383584836301</v>
      </c>
    </row>
    <row r="123" spans="1:10" x14ac:dyDescent="0.25">
      <c r="A123" s="1">
        <v>39295</v>
      </c>
      <c r="B123" s="2">
        <v>5.5365686005243804</v>
      </c>
      <c r="F123" s="1">
        <v>39295</v>
      </c>
      <c r="G123">
        <v>5.49</v>
      </c>
      <c r="H123" s="2">
        <v>5.45</v>
      </c>
      <c r="I123" s="2">
        <v>5.5365686005243804</v>
      </c>
      <c r="J123" s="2">
        <v>5.4553066200570104</v>
      </c>
    </row>
    <row r="124" spans="1:10" x14ac:dyDescent="0.25">
      <c r="A124" s="1">
        <v>39264</v>
      </c>
      <c r="B124" s="2">
        <v>4.0743307432369598</v>
      </c>
      <c r="F124" s="1">
        <v>39264</v>
      </c>
      <c r="G124">
        <v>4.1900000000000004</v>
      </c>
      <c r="H124" s="2">
        <v>4.1074999999999999</v>
      </c>
      <c r="I124" s="2">
        <v>4.0743307432369598</v>
      </c>
      <c r="J124" s="2">
        <v>4.1123210914847297</v>
      </c>
    </row>
    <row r="125" spans="1:10" x14ac:dyDescent="0.25">
      <c r="A125" s="1">
        <v>39234</v>
      </c>
      <c r="B125" s="2">
        <v>4.44806926522645</v>
      </c>
      <c r="F125" s="1">
        <v>39234</v>
      </c>
      <c r="G125">
        <v>4.6399999999999997</v>
      </c>
      <c r="H125" s="2">
        <v>4.5549999999999997</v>
      </c>
      <c r="I125" s="2">
        <v>4.44806926522645</v>
      </c>
      <c r="J125" s="2">
        <v>4.5589061685098802</v>
      </c>
    </row>
    <row r="126" spans="1:10" x14ac:dyDescent="0.25">
      <c r="A126" s="1">
        <v>39203</v>
      </c>
      <c r="B126" s="2">
        <v>10.6224959149894</v>
      </c>
      <c r="F126" s="1">
        <v>39203</v>
      </c>
      <c r="G126">
        <v>11.53</v>
      </c>
      <c r="H126" s="2">
        <v>11.36</v>
      </c>
      <c r="I126" s="2">
        <v>10.6224959149894</v>
      </c>
      <c r="J126" s="2">
        <v>11.3637020116053</v>
      </c>
    </row>
    <row r="127" spans="1:10" x14ac:dyDescent="0.25">
      <c r="A127" s="1">
        <v>39173</v>
      </c>
      <c r="B127" s="2">
        <v>13.4002797549192</v>
      </c>
      <c r="F127" s="1">
        <v>39173</v>
      </c>
      <c r="G127">
        <v>13.59</v>
      </c>
      <c r="H127" s="2">
        <v>13.3925</v>
      </c>
      <c r="I127" s="2">
        <v>13.4002797549192</v>
      </c>
      <c r="J127" s="2">
        <v>13.400081958402501</v>
      </c>
    </row>
    <row r="128" spans="1:10" x14ac:dyDescent="0.25">
      <c r="A128" s="1">
        <v>39142</v>
      </c>
      <c r="B128" s="2">
        <v>15.0405727943762</v>
      </c>
      <c r="F128" s="1">
        <v>39142</v>
      </c>
      <c r="G128">
        <v>15.08</v>
      </c>
      <c r="H128" s="2">
        <v>14.864000000000001</v>
      </c>
      <c r="I128" s="2">
        <v>15.0405727943762</v>
      </c>
      <c r="J128" s="2">
        <v>14.8697673886684</v>
      </c>
    </row>
    <row r="129" spans="1:10" x14ac:dyDescent="0.25">
      <c r="A129" s="1">
        <v>39114</v>
      </c>
      <c r="B129" s="2">
        <v>11.907786619661699</v>
      </c>
      <c r="F129" s="1">
        <v>39114</v>
      </c>
      <c r="G129">
        <v>11.02</v>
      </c>
      <c r="H129" s="2">
        <v>10.8675</v>
      </c>
      <c r="I129" s="2">
        <v>11.907786619661699</v>
      </c>
      <c r="J129" s="2">
        <v>10.8749519076034</v>
      </c>
    </row>
    <row r="130" spans="1:10" x14ac:dyDescent="0.25">
      <c r="A130" s="1">
        <v>39083</v>
      </c>
      <c r="B130" s="2">
        <v>12.230449798340301</v>
      </c>
      <c r="F130" s="1">
        <v>39083</v>
      </c>
      <c r="G130">
        <v>13.28</v>
      </c>
      <c r="H130" s="2">
        <v>13.1675</v>
      </c>
      <c r="I130" s="2">
        <v>12.230449798340301</v>
      </c>
      <c r="J130" s="2">
        <v>13.170889770207401</v>
      </c>
    </row>
    <row r="131" spans="1:10" x14ac:dyDescent="0.25">
      <c r="A131" s="1">
        <v>39052</v>
      </c>
      <c r="B131" s="2">
        <v>16.587857101952601</v>
      </c>
      <c r="F131" s="1">
        <v>39052</v>
      </c>
      <c r="G131">
        <v>16.350000000000001</v>
      </c>
      <c r="H131" s="2">
        <v>16.515000000000001</v>
      </c>
      <c r="I131" s="2">
        <v>16.587857101952601</v>
      </c>
      <c r="J131" s="2">
        <v>16.522373646110101</v>
      </c>
    </row>
    <row r="132" spans="1:10" x14ac:dyDescent="0.25">
      <c r="A132" s="1">
        <v>39022</v>
      </c>
      <c r="B132" s="2">
        <v>12.201686682190299</v>
      </c>
      <c r="F132" s="1">
        <v>39022</v>
      </c>
      <c r="G132">
        <v>12.39</v>
      </c>
      <c r="H132" s="2">
        <v>12.68</v>
      </c>
      <c r="I132" s="2">
        <v>12.201686682190299</v>
      </c>
      <c r="J132" s="2">
        <v>12.6852956636637</v>
      </c>
    </row>
    <row r="133" spans="1:10" x14ac:dyDescent="0.25">
      <c r="A133" s="1">
        <v>38991</v>
      </c>
      <c r="B133" s="2">
        <v>9.6922174476947394</v>
      </c>
      <c r="F133" s="1">
        <v>38991</v>
      </c>
      <c r="G133">
        <v>9.6</v>
      </c>
      <c r="H133" s="2">
        <v>9.8650000000000002</v>
      </c>
      <c r="I133" s="2">
        <v>9.6922174476947394</v>
      </c>
      <c r="J133" s="2">
        <v>9.8694063046017195</v>
      </c>
    </row>
    <row r="134" spans="1:10" x14ac:dyDescent="0.25">
      <c r="A134" s="1">
        <v>38961</v>
      </c>
      <c r="B134" s="2">
        <v>8.8774811723060605</v>
      </c>
      <c r="F134" s="1">
        <v>38961</v>
      </c>
      <c r="G134">
        <v>8.76</v>
      </c>
      <c r="H134" s="2">
        <v>8.9275000000000002</v>
      </c>
      <c r="I134" s="2">
        <v>8.8774811723060605</v>
      </c>
      <c r="J134" s="2">
        <v>8.9304582476093195</v>
      </c>
    </row>
    <row r="135" spans="1:10" x14ac:dyDescent="0.25">
      <c r="A135" s="1">
        <v>38930</v>
      </c>
      <c r="B135" s="2">
        <v>7.5986964313550898</v>
      </c>
      <c r="F135" s="1">
        <v>38930</v>
      </c>
      <c r="G135">
        <v>7.57</v>
      </c>
      <c r="H135" s="2">
        <v>7.5259999999999998</v>
      </c>
      <c r="I135" s="2">
        <v>7.5986964313550898</v>
      </c>
      <c r="J135" s="2">
        <v>7.5322694622729598</v>
      </c>
    </row>
    <row r="136" spans="1:10" x14ac:dyDescent="0.25">
      <c r="A136" s="1">
        <v>38899</v>
      </c>
      <c r="B136" s="2">
        <v>4.3578301630088596</v>
      </c>
      <c r="F136" s="1">
        <v>38899</v>
      </c>
      <c r="G136">
        <v>4.49</v>
      </c>
      <c r="H136" s="2">
        <v>4.4074999999999998</v>
      </c>
      <c r="I136" s="2">
        <v>4.3578301630088596</v>
      </c>
      <c r="J136" s="2">
        <v>4.41200748438877</v>
      </c>
    </row>
    <row r="137" spans="1:10" x14ac:dyDescent="0.25">
      <c r="A137" s="1">
        <v>38869</v>
      </c>
      <c r="B137" s="2">
        <v>5.1081180537706103</v>
      </c>
      <c r="F137" s="1">
        <v>38869</v>
      </c>
      <c r="G137">
        <v>5.39</v>
      </c>
      <c r="H137" s="2">
        <v>5.2960000000000003</v>
      </c>
      <c r="I137" s="2">
        <v>5.1081180537706103</v>
      </c>
      <c r="J137" s="2">
        <v>5.3025688868601701</v>
      </c>
    </row>
    <row r="138" spans="1:10" x14ac:dyDescent="0.25">
      <c r="A138" s="1">
        <v>38838</v>
      </c>
      <c r="B138" s="2">
        <v>6.2612249217552201</v>
      </c>
      <c r="F138" s="1">
        <v>38838</v>
      </c>
      <c r="G138">
        <v>6.51</v>
      </c>
      <c r="H138" s="2">
        <v>6.375</v>
      </c>
      <c r="I138" s="2">
        <v>6.2612249217552201</v>
      </c>
      <c r="J138" s="2">
        <v>6.3798240256908603</v>
      </c>
    </row>
    <row r="139" spans="1:10" x14ac:dyDescent="0.25">
      <c r="A139" s="1">
        <v>38808</v>
      </c>
      <c r="B139" s="2">
        <v>7.7704190063691696</v>
      </c>
      <c r="F139" s="1">
        <v>38808</v>
      </c>
      <c r="G139">
        <v>7.78</v>
      </c>
      <c r="H139" s="2">
        <v>7.6524999999999999</v>
      </c>
      <c r="I139" s="2">
        <v>7.7704190063691696</v>
      </c>
      <c r="J139" s="2">
        <v>7.6561938701605099</v>
      </c>
    </row>
    <row r="140" spans="1:10" x14ac:dyDescent="0.25">
      <c r="A140" s="1">
        <v>38777</v>
      </c>
      <c r="B140" s="2">
        <v>10.0029440734759</v>
      </c>
      <c r="F140" s="1">
        <v>38777</v>
      </c>
      <c r="G140">
        <v>10.210000000000001</v>
      </c>
      <c r="H140" s="2">
        <v>10.066000000000001</v>
      </c>
      <c r="I140" s="2">
        <v>10.0029440734759</v>
      </c>
      <c r="J140" s="2">
        <v>10.0690131172065</v>
      </c>
    </row>
    <row r="141" spans="1:10" x14ac:dyDescent="0.25">
      <c r="A141" s="1">
        <v>38749</v>
      </c>
      <c r="B141" s="2">
        <v>11.3906051826311</v>
      </c>
      <c r="F141" s="1">
        <v>38749</v>
      </c>
      <c r="G141">
        <v>11.65</v>
      </c>
      <c r="H141" s="2">
        <v>11.4375</v>
      </c>
      <c r="I141" s="2">
        <v>11.3906051826311</v>
      </c>
      <c r="J141" s="2">
        <v>11.4425885344451</v>
      </c>
    </row>
    <row r="142" spans="1:10" x14ac:dyDescent="0.25">
      <c r="A142" s="1">
        <v>38718</v>
      </c>
      <c r="B142" s="2">
        <v>14.2966776759146</v>
      </c>
      <c r="F142" s="1">
        <v>38718</v>
      </c>
      <c r="G142">
        <v>14.53</v>
      </c>
      <c r="H142" s="2">
        <v>14.227499999999999</v>
      </c>
      <c r="I142" s="2">
        <v>14.2966776759146</v>
      </c>
      <c r="J142" s="2">
        <v>14.232980709834001</v>
      </c>
    </row>
    <row r="143" spans="1:10" x14ac:dyDescent="0.25">
      <c r="A143" s="1">
        <v>38687</v>
      </c>
      <c r="B143" s="2">
        <v>11.8157528964348</v>
      </c>
      <c r="F143" s="1">
        <v>38687</v>
      </c>
      <c r="G143">
        <v>12.26</v>
      </c>
      <c r="H143" s="2">
        <v>11.936</v>
      </c>
      <c r="I143" s="2">
        <v>11.8157528964348</v>
      </c>
      <c r="J143" s="2">
        <v>11.939542811327501</v>
      </c>
    </row>
    <row r="144" spans="1:10" x14ac:dyDescent="0.25">
      <c r="A144" s="1">
        <v>38657</v>
      </c>
      <c r="B144" s="2">
        <v>11.618550609283099</v>
      </c>
      <c r="F144" s="1">
        <v>38657</v>
      </c>
      <c r="G144">
        <v>11.81</v>
      </c>
      <c r="H144" s="2">
        <v>11.4725</v>
      </c>
      <c r="I144" s="2">
        <v>11.618550609283099</v>
      </c>
      <c r="J144" s="2">
        <v>11.477011692187601</v>
      </c>
    </row>
    <row r="145" spans="1:10" x14ac:dyDescent="0.25">
      <c r="A145" s="1">
        <v>38626</v>
      </c>
      <c r="B145" s="2">
        <v>17.558928942017602</v>
      </c>
      <c r="F145" s="1">
        <v>38626</v>
      </c>
      <c r="G145">
        <v>18.5</v>
      </c>
      <c r="H145" s="2">
        <v>17.850000000000001</v>
      </c>
      <c r="I145" s="2">
        <v>17.558928942017602</v>
      </c>
      <c r="J145" s="2">
        <v>17.8556389786966</v>
      </c>
    </row>
    <row r="146" spans="1:10" x14ac:dyDescent="0.25">
      <c r="A146" s="1">
        <v>38596</v>
      </c>
      <c r="B146" s="2">
        <v>26.115022733654399</v>
      </c>
      <c r="F146" s="1">
        <v>38596</v>
      </c>
      <c r="G146">
        <v>27.6</v>
      </c>
      <c r="H146" s="2">
        <v>26.776</v>
      </c>
      <c r="I146" s="2">
        <v>26.115022733654399</v>
      </c>
      <c r="J146" s="2">
        <v>26.780488044137599</v>
      </c>
    </row>
    <row r="147" spans="1:10" x14ac:dyDescent="0.25">
      <c r="A147" s="1">
        <v>38565</v>
      </c>
      <c r="B147" s="2">
        <v>26.999139424629</v>
      </c>
      <c r="F147" s="1">
        <v>38565</v>
      </c>
      <c r="G147">
        <v>27.14</v>
      </c>
      <c r="H147" s="2">
        <v>26.4575</v>
      </c>
      <c r="I147" s="2">
        <v>26.999139424629</v>
      </c>
      <c r="J147" s="2">
        <v>26.4626377598955</v>
      </c>
    </row>
    <row r="148" spans="1:10" x14ac:dyDescent="0.25">
      <c r="A148" s="1">
        <v>38534</v>
      </c>
      <c r="B148" s="2">
        <v>32.136800530954503</v>
      </c>
      <c r="F148" s="1">
        <v>38534</v>
      </c>
      <c r="G148">
        <v>33.47</v>
      </c>
      <c r="H148" s="2">
        <v>32.902500000000003</v>
      </c>
      <c r="I148" s="2">
        <v>32.136800530954503</v>
      </c>
      <c r="J148" s="2">
        <v>32.908718124686601</v>
      </c>
    </row>
    <row r="149" spans="1:10" x14ac:dyDescent="0.25">
      <c r="A149" s="1">
        <v>38504</v>
      </c>
      <c r="B149" s="2">
        <v>41.547851196972502</v>
      </c>
      <c r="F149" s="1">
        <v>38504</v>
      </c>
      <c r="G149">
        <v>42.67</v>
      </c>
      <c r="H149" s="2">
        <v>42.01</v>
      </c>
      <c r="I149" s="2">
        <v>41.547851196972502</v>
      </c>
      <c r="J149" s="2">
        <v>42.0125708074168</v>
      </c>
    </row>
    <row r="150" spans="1:10" x14ac:dyDescent="0.25">
      <c r="A150" s="1">
        <v>38473</v>
      </c>
      <c r="B150" s="2">
        <v>31.079636852008299</v>
      </c>
      <c r="F150" s="1">
        <v>38473</v>
      </c>
      <c r="G150">
        <v>32.299999999999997</v>
      </c>
      <c r="H150" s="2">
        <v>31.54</v>
      </c>
      <c r="I150" s="2">
        <v>31.079636852008299</v>
      </c>
      <c r="J150" s="2">
        <v>31.545278092703199</v>
      </c>
    </row>
    <row r="151" spans="1:10" x14ac:dyDescent="0.25">
      <c r="A151" s="1">
        <v>38443</v>
      </c>
      <c r="B151" s="2">
        <v>26.569768129690001</v>
      </c>
      <c r="F151" s="1">
        <v>38443</v>
      </c>
      <c r="G151">
        <v>27.26</v>
      </c>
      <c r="H151" s="2">
        <v>26.75</v>
      </c>
      <c r="I151" s="2">
        <v>26.569768129690001</v>
      </c>
      <c r="J151" s="2">
        <v>26.7577930402175</v>
      </c>
    </row>
    <row r="152" spans="1:10" x14ac:dyDescent="0.25">
      <c r="A152" s="1">
        <v>38412</v>
      </c>
      <c r="B152" s="2">
        <v>24.595069875488399</v>
      </c>
      <c r="F152" s="1">
        <v>38412</v>
      </c>
      <c r="G152">
        <v>24.96</v>
      </c>
      <c r="H152" s="2">
        <v>24.558</v>
      </c>
      <c r="I152" s="2">
        <v>24.595069875488399</v>
      </c>
      <c r="J152" s="2">
        <v>24.5612364880831</v>
      </c>
    </row>
    <row r="153" spans="1:10" x14ac:dyDescent="0.25">
      <c r="A153" s="1">
        <v>38384</v>
      </c>
      <c r="B153" s="2">
        <v>36.436782942660798</v>
      </c>
      <c r="F153" s="1">
        <v>38384</v>
      </c>
      <c r="G153">
        <v>37.549999999999997</v>
      </c>
      <c r="H153" s="2">
        <v>36.795000000000002</v>
      </c>
      <c r="I153" s="2">
        <v>36.436782942660798</v>
      </c>
      <c r="J153" s="2">
        <v>36.803187152720099</v>
      </c>
    </row>
    <row r="154" spans="1:10" x14ac:dyDescent="0.25">
      <c r="A154" s="1">
        <v>38353</v>
      </c>
      <c r="B154" s="2">
        <v>33.529179408277599</v>
      </c>
      <c r="F154" s="1">
        <v>38353</v>
      </c>
      <c r="G154">
        <v>34.44</v>
      </c>
      <c r="H154" s="2">
        <v>33.752499999999998</v>
      </c>
      <c r="I154" s="2">
        <v>33.529179408277599</v>
      </c>
      <c r="J154" s="2">
        <v>33.754666137020003</v>
      </c>
    </row>
    <row r="155" spans="1:10" x14ac:dyDescent="0.25">
      <c r="A155" s="1">
        <v>38322</v>
      </c>
      <c r="B155" s="2">
        <v>32.844508183032403</v>
      </c>
      <c r="F155" s="1">
        <v>38322</v>
      </c>
      <c r="G155">
        <v>33.47</v>
      </c>
      <c r="H155" s="2">
        <v>32.863999999999997</v>
      </c>
      <c r="I155" s="2">
        <v>32.844508183032403</v>
      </c>
      <c r="J155" s="2">
        <v>32.868673208760697</v>
      </c>
    </row>
    <row r="156" spans="1:10" x14ac:dyDescent="0.25">
      <c r="A156" s="1">
        <v>38292</v>
      </c>
      <c r="B156" s="2">
        <v>34.302242503225798</v>
      </c>
      <c r="F156" s="1">
        <v>38292</v>
      </c>
      <c r="G156">
        <v>35.01</v>
      </c>
      <c r="H156" s="2">
        <v>34.494999999999997</v>
      </c>
      <c r="I156" s="2">
        <v>34.302242503225798</v>
      </c>
      <c r="J156" s="2">
        <v>34.498809200844399</v>
      </c>
    </row>
    <row r="157" spans="1:10" x14ac:dyDescent="0.25">
      <c r="A157" s="1">
        <v>38261</v>
      </c>
      <c r="B157" s="2">
        <v>34.9780821863284</v>
      </c>
      <c r="F157" s="1">
        <v>38261</v>
      </c>
      <c r="G157">
        <v>35.67</v>
      </c>
      <c r="H157" s="2">
        <v>35.442500000000003</v>
      </c>
      <c r="I157" s="2">
        <v>34.9780821863284</v>
      </c>
      <c r="J157" s="2">
        <v>35.448983234192198</v>
      </c>
    </row>
    <row r="158" spans="1:10" x14ac:dyDescent="0.25">
      <c r="A158" s="1">
        <v>38231</v>
      </c>
      <c r="B158" s="2">
        <v>33.185571485287198</v>
      </c>
      <c r="F158" s="1">
        <v>38231</v>
      </c>
      <c r="G158">
        <v>33.44</v>
      </c>
      <c r="H158" s="2">
        <v>33.421999999999997</v>
      </c>
      <c r="I158" s="2">
        <v>33.185571485287198</v>
      </c>
      <c r="J158" s="2">
        <v>33.429381376873302</v>
      </c>
    </row>
    <row r="159" spans="1:10" x14ac:dyDescent="0.25">
      <c r="A159" s="1">
        <v>38200</v>
      </c>
      <c r="B159" s="2">
        <v>30.3499354112449</v>
      </c>
      <c r="F159" s="1">
        <v>38200</v>
      </c>
      <c r="G159">
        <v>30.65</v>
      </c>
      <c r="H159" s="2">
        <v>30.2425</v>
      </c>
      <c r="I159" s="2">
        <v>30.3499354112449</v>
      </c>
      <c r="J159" s="2">
        <v>30.249624856369401</v>
      </c>
    </row>
    <row r="160" spans="1:10" x14ac:dyDescent="0.25">
      <c r="A160" s="1">
        <v>38169</v>
      </c>
      <c r="B160" s="2">
        <v>27.1839836930248</v>
      </c>
      <c r="F160" s="1">
        <v>38169</v>
      </c>
      <c r="G160">
        <v>26.82</v>
      </c>
      <c r="H160" s="2">
        <v>26.094000000000001</v>
      </c>
      <c r="I160" s="2">
        <v>27.1839836930248</v>
      </c>
      <c r="J160" s="2">
        <v>26.099959887000001</v>
      </c>
    </row>
    <row r="161" spans="1:10" x14ac:dyDescent="0.25">
      <c r="A161" s="1">
        <v>38139</v>
      </c>
      <c r="B161" s="2">
        <v>21.4280890992314</v>
      </c>
      <c r="F161" s="1">
        <v>38139</v>
      </c>
      <c r="G161">
        <v>21.61</v>
      </c>
      <c r="H161" s="2">
        <v>20.95</v>
      </c>
      <c r="I161" s="2">
        <v>21.4280890992314</v>
      </c>
      <c r="J161" s="2">
        <v>20.957305884444001</v>
      </c>
    </row>
    <row r="162" spans="1:10" x14ac:dyDescent="0.25">
      <c r="A162" s="1">
        <v>38108</v>
      </c>
      <c r="B162" s="2">
        <v>21.942468860550701</v>
      </c>
      <c r="F162" s="1">
        <v>38108</v>
      </c>
      <c r="G162">
        <v>22.71</v>
      </c>
      <c r="H162" s="2">
        <v>22.002500000000001</v>
      </c>
      <c r="I162" s="2">
        <v>21.942468860550701</v>
      </c>
      <c r="J162" s="2">
        <v>22.006375415808598</v>
      </c>
    </row>
    <row r="163" spans="1:10" x14ac:dyDescent="0.25">
      <c r="A163" s="1">
        <v>38078</v>
      </c>
      <c r="B163" s="2">
        <v>33.562912945321699</v>
      </c>
      <c r="F163" s="1">
        <v>38078</v>
      </c>
      <c r="G163">
        <v>38.479999999999997</v>
      </c>
      <c r="H163" s="2">
        <v>37.677999999999997</v>
      </c>
      <c r="I163" s="2">
        <v>33.562912945321699</v>
      </c>
      <c r="J163" s="2">
        <v>37.681250045382399</v>
      </c>
    </row>
    <row r="164" spans="1:10" x14ac:dyDescent="0.25">
      <c r="A164" s="1">
        <v>38047</v>
      </c>
      <c r="B164" s="2">
        <v>59.2419562326101</v>
      </c>
      <c r="F164" s="1">
        <v>38047</v>
      </c>
      <c r="G164">
        <v>61.93</v>
      </c>
      <c r="H164" s="2">
        <v>61.12</v>
      </c>
      <c r="I164" s="2">
        <v>59.2419562326101</v>
      </c>
      <c r="J164" s="2">
        <v>61.125532874797997</v>
      </c>
    </row>
    <row r="165" spans="1:10" x14ac:dyDescent="0.25">
      <c r="A165" s="1">
        <v>38018</v>
      </c>
      <c r="B165" s="2">
        <v>46.147493100786399</v>
      </c>
      <c r="F165" s="1">
        <v>38018</v>
      </c>
      <c r="G165">
        <v>47.58</v>
      </c>
      <c r="H165" s="2">
        <v>46.77</v>
      </c>
      <c r="I165" s="2">
        <v>46.147493100786399</v>
      </c>
      <c r="J165" s="2">
        <v>46.778115881673997</v>
      </c>
    </row>
    <row r="166" spans="1:10" x14ac:dyDescent="0.25">
      <c r="A166" s="1">
        <v>37987</v>
      </c>
      <c r="B166" s="2">
        <v>43.876558524889901</v>
      </c>
      <c r="F166" s="1">
        <v>37987</v>
      </c>
      <c r="G166">
        <v>45.53</v>
      </c>
      <c r="H166" s="2">
        <v>44.41</v>
      </c>
      <c r="I166" s="2">
        <v>43.876558524889901</v>
      </c>
      <c r="J166" s="2">
        <v>44.417333050636202</v>
      </c>
    </row>
    <row r="167" spans="1:10" x14ac:dyDescent="0.25">
      <c r="A167" s="1">
        <v>37956</v>
      </c>
      <c r="B167" s="2">
        <v>39.772229888484802</v>
      </c>
      <c r="F167" s="1">
        <v>37956</v>
      </c>
      <c r="G167">
        <v>40.81</v>
      </c>
      <c r="H167" s="2">
        <v>39.713999999999999</v>
      </c>
      <c r="I167" s="2">
        <v>39.772229888484802</v>
      </c>
      <c r="J167" s="2">
        <v>39.719370803878903</v>
      </c>
    </row>
    <row r="168" spans="1:10" x14ac:dyDescent="0.25">
      <c r="A168" s="1">
        <v>37926</v>
      </c>
      <c r="B168" s="2">
        <v>40.384341862476802</v>
      </c>
      <c r="F168" s="1">
        <v>37926</v>
      </c>
      <c r="G168">
        <v>42.18</v>
      </c>
      <c r="H168" s="2">
        <v>40.39</v>
      </c>
      <c r="I168" s="2">
        <v>40.384341862476802</v>
      </c>
      <c r="J168" s="2">
        <v>40.393675896737903</v>
      </c>
    </row>
    <row r="169" spans="1:10" x14ac:dyDescent="0.25">
      <c r="A169" s="1">
        <v>37895</v>
      </c>
      <c r="B169" s="2">
        <v>43.150253866701803</v>
      </c>
      <c r="F169" s="1">
        <v>37895</v>
      </c>
      <c r="G169">
        <v>45.96</v>
      </c>
      <c r="H169" s="2">
        <v>43.134</v>
      </c>
      <c r="I169" s="2">
        <v>43.150253866701803</v>
      </c>
      <c r="J169" s="2">
        <v>43.137660961478602</v>
      </c>
    </row>
    <row r="170" spans="1:10" x14ac:dyDescent="0.25">
      <c r="A170" s="1">
        <v>37865</v>
      </c>
      <c r="B170" s="2">
        <v>40.658238569938703</v>
      </c>
      <c r="F170" s="1">
        <v>37865</v>
      </c>
      <c r="G170">
        <v>42.98</v>
      </c>
      <c r="H170" s="2">
        <v>40.002499999999998</v>
      </c>
      <c r="I170" s="2">
        <v>40.658238569938703</v>
      </c>
      <c r="J170" s="2">
        <v>40.006379290284301</v>
      </c>
    </row>
    <row r="171" spans="1:10" x14ac:dyDescent="0.25">
      <c r="A171" s="1">
        <v>37834</v>
      </c>
      <c r="B171" s="2">
        <v>36.511777359421899</v>
      </c>
      <c r="F171" s="1">
        <v>37834</v>
      </c>
      <c r="G171">
        <v>40.69</v>
      </c>
      <c r="H171" s="2">
        <v>38.186</v>
      </c>
      <c r="I171" s="2">
        <v>36.511777359421899</v>
      </c>
      <c r="J171" s="2">
        <v>38.191433470520998</v>
      </c>
    </row>
    <row r="172" spans="1:10" x14ac:dyDescent="0.25">
      <c r="A172" s="1">
        <v>37803</v>
      </c>
      <c r="B172" s="2">
        <v>67.446761925391598</v>
      </c>
      <c r="F172" s="1">
        <v>37803</v>
      </c>
      <c r="G172">
        <v>78.900000000000006</v>
      </c>
      <c r="H172" s="2">
        <v>75.117500000000007</v>
      </c>
      <c r="I172" s="2">
        <v>67.446761925391598</v>
      </c>
      <c r="J172" s="2">
        <v>75.120066737530095</v>
      </c>
    </row>
    <row r="173" spans="1:10" x14ac:dyDescent="0.25">
      <c r="A173" s="1">
        <v>37773</v>
      </c>
      <c r="B173" s="2">
        <v>97.388347194955301</v>
      </c>
      <c r="F173" s="1">
        <v>37773</v>
      </c>
      <c r="G173">
        <v>98.65</v>
      </c>
      <c r="H173" s="2">
        <v>97.222499999999997</v>
      </c>
      <c r="I173" s="2">
        <v>97.388347194955301</v>
      </c>
      <c r="J173" s="2">
        <v>97.227111848974005</v>
      </c>
    </row>
    <row r="174" spans="1:10" x14ac:dyDescent="0.25">
      <c r="A174" s="1">
        <v>37742</v>
      </c>
      <c r="B174" s="2">
        <v>89.866503600003199</v>
      </c>
      <c r="F174" s="1">
        <v>37742</v>
      </c>
      <c r="G174">
        <v>91.26</v>
      </c>
      <c r="H174" s="2">
        <v>88.701999999999998</v>
      </c>
      <c r="I174" s="2">
        <v>89.866503600003199</v>
      </c>
      <c r="J174" s="2">
        <v>88.704667775225104</v>
      </c>
    </row>
    <row r="175" spans="1:10" x14ac:dyDescent="0.25">
      <c r="A175" s="1">
        <v>37712</v>
      </c>
      <c r="B175" s="2">
        <v>77.150297891012201</v>
      </c>
      <c r="F175" s="1">
        <v>37712</v>
      </c>
      <c r="G175">
        <v>80.89</v>
      </c>
      <c r="H175" s="2">
        <v>77.099999999999994</v>
      </c>
      <c r="I175" s="2">
        <v>77.150297891012201</v>
      </c>
      <c r="J175" s="2">
        <v>77.106802851538603</v>
      </c>
    </row>
    <row r="176" spans="1:10" x14ac:dyDescent="0.25">
      <c r="A176" s="1">
        <v>37681</v>
      </c>
      <c r="B176" s="2">
        <v>84.145396656698296</v>
      </c>
      <c r="F176" s="1">
        <v>37681</v>
      </c>
      <c r="G176">
        <v>86.85</v>
      </c>
      <c r="H176" s="2">
        <v>83.924999999999997</v>
      </c>
      <c r="I176" s="2">
        <v>84.145396656698296</v>
      </c>
      <c r="J176" s="2">
        <v>83.933590294263496</v>
      </c>
    </row>
    <row r="177" spans="1:10" x14ac:dyDescent="0.25">
      <c r="A177" s="1">
        <v>37653</v>
      </c>
      <c r="B177" s="2">
        <v>84.057013789750499</v>
      </c>
      <c r="F177" s="1">
        <v>37653</v>
      </c>
      <c r="G177">
        <v>87.72</v>
      </c>
      <c r="H177" s="2">
        <v>83.97</v>
      </c>
      <c r="I177" s="2">
        <v>84.057013789750499</v>
      </c>
      <c r="J177" s="2">
        <v>83.977191060034301</v>
      </c>
    </row>
    <row r="178" spans="1:10" x14ac:dyDescent="0.25">
      <c r="A178" s="1">
        <v>37622</v>
      </c>
      <c r="B178" s="2">
        <v>85.732914816124094</v>
      </c>
      <c r="F178" s="1">
        <v>37622</v>
      </c>
      <c r="G178">
        <v>89.77</v>
      </c>
      <c r="H178" s="2">
        <v>85.688000000000002</v>
      </c>
      <c r="I178" s="2">
        <v>85.732914816124094</v>
      </c>
      <c r="J178" s="2">
        <v>85.692953635293506</v>
      </c>
    </row>
    <row r="179" spans="1:10" x14ac:dyDescent="0.25">
      <c r="A179" s="1">
        <v>37591</v>
      </c>
      <c r="B179" s="2">
        <v>83.633190716145805</v>
      </c>
      <c r="F179" s="1">
        <v>37591</v>
      </c>
      <c r="G179">
        <v>87.27</v>
      </c>
      <c r="H179" s="2">
        <v>83.375</v>
      </c>
      <c r="I179" s="2">
        <v>83.633190716145805</v>
      </c>
      <c r="J179" s="2">
        <v>83.378344573342204</v>
      </c>
    </row>
    <row r="180" spans="1:10" x14ac:dyDescent="0.25">
      <c r="A180" s="1">
        <v>37561</v>
      </c>
      <c r="B180" s="2">
        <v>86.942298595565106</v>
      </c>
      <c r="F180" s="1">
        <v>37561</v>
      </c>
      <c r="G180">
        <v>88.98</v>
      </c>
      <c r="H180" s="2">
        <v>85.89</v>
      </c>
      <c r="I180" s="2">
        <v>86.942298595565106</v>
      </c>
      <c r="J180" s="2">
        <v>85.896568721144206</v>
      </c>
    </row>
    <row r="181" spans="1:10" x14ac:dyDescent="0.25">
      <c r="A181" s="1">
        <v>37530</v>
      </c>
      <c r="B181" s="2">
        <v>86.9429334917006</v>
      </c>
      <c r="F181" s="1">
        <v>37530</v>
      </c>
      <c r="G181">
        <v>88.1</v>
      </c>
      <c r="H181" s="2">
        <v>85.814999999999998</v>
      </c>
      <c r="I181" s="2">
        <v>86.9429334917006</v>
      </c>
      <c r="J181" s="2">
        <v>85.822393848942696</v>
      </c>
    </row>
    <row r="182" spans="1:10" x14ac:dyDescent="0.25">
      <c r="A182" s="1">
        <v>37500</v>
      </c>
      <c r="B182" s="2">
        <v>89.999321056678696</v>
      </c>
      <c r="F182" s="1">
        <v>37500</v>
      </c>
      <c r="G182">
        <v>90.78</v>
      </c>
      <c r="H182" s="2">
        <v>89.412499999999994</v>
      </c>
      <c r="I182" s="2">
        <v>89.999321056678696</v>
      </c>
      <c r="J182" s="2">
        <v>89.416981404417996</v>
      </c>
    </row>
    <row r="183" spans="1:10" x14ac:dyDescent="0.25">
      <c r="A183" s="1">
        <v>37469</v>
      </c>
      <c r="B183" s="2">
        <v>75.186253635560902</v>
      </c>
      <c r="F183" s="1">
        <v>37469</v>
      </c>
      <c r="G183">
        <v>76.400000000000006</v>
      </c>
      <c r="H183" s="2">
        <v>75.221999999999994</v>
      </c>
      <c r="I183" s="2">
        <v>75.186253635560902</v>
      </c>
      <c r="J183" s="2">
        <v>75.227913629358497</v>
      </c>
    </row>
    <row r="184" spans="1:10" x14ac:dyDescent="0.25">
      <c r="A184" s="1">
        <v>37438</v>
      </c>
      <c r="B184" s="2">
        <v>59.396444071759198</v>
      </c>
      <c r="F184" s="1">
        <v>37438</v>
      </c>
      <c r="G184">
        <v>60.82</v>
      </c>
      <c r="H184" s="2">
        <v>59.702500000000001</v>
      </c>
      <c r="I184" s="2">
        <v>59.396444071759198</v>
      </c>
      <c r="J184" s="2">
        <v>59.706945416417298</v>
      </c>
    </row>
    <row r="185" spans="1:10" x14ac:dyDescent="0.25">
      <c r="A185" s="1">
        <v>37408</v>
      </c>
      <c r="B185" s="2">
        <v>45.674477699623203</v>
      </c>
      <c r="F185" s="1">
        <v>37408</v>
      </c>
      <c r="G185">
        <v>46.89</v>
      </c>
      <c r="H185" s="2">
        <v>45.887500000000003</v>
      </c>
      <c r="I185" s="2">
        <v>45.674477699623203</v>
      </c>
      <c r="J185" s="2">
        <v>45.890753335672798</v>
      </c>
    </row>
    <row r="186" spans="1:10" x14ac:dyDescent="0.25">
      <c r="A186" s="1">
        <v>37377</v>
      </c>
      <c r="B186" s="2">
        <v>33.9149153661523</v>
      </c>
      <c r="F186" s="1">
        <v>37377</v>
      </c>
      <c r="G186">
        <v>35.01</v>
      </c>
      <c r="H186" s="2">
        <v>33.96</v>
      </c>
      <c r="I186" s="2">
        <v>33.9149153661523</v>
      </c>
      <c r="J186" s="2">
        <v>33.964088796579702</v>
      </c>
    </row>
    <row r="187" spans="1:10" x14ac:dyDescent="0.25">
      <c r="A187" s="1">
        <v>37347</v>
      </c>
      <c r="B187" s="2">
        <v>28.4916378047132</v>
      </c>
      <c r="F187" s="1">
        <v>37347</v>
      </c>
      <c r="G187">
        <v>29.18</v>
      </c>
      <c r="H187" s="2">
        <v>28.287500000000001</v>
      </c>
      <c r="I187" s="2">
        <v>28.4916378047132</v>
      </c>
      <c r="J187" s="2">
        <v>28.293612257523598</v>
      </c>
    </row>
    <row r="188" spans="1:10" x14ac:dyDescent="0.25">
      <c r="A188" s="1">
        <v>37316</v>
      </c>
      <c r="B188" s="2">
        <v>26.4724530821271</v>
      </c>
      <c r="F188" s="1">
        <v>37316</v>
      </c>
      <c r="G188">
        <v>29.87</v>
      </c>
      <c r="H188" s="2">
        <v>28.776</v>
      </c>
      <c r="I188" s="2">
        <v>26.4724530821271</v>
      </c>
      <c r="J188" s="2">
        <v>28.781917153795501</v>
      </c>
    </row>
    <row r="189" spans="1:10" x14ac:dyDescent="0.25">
      <c r="A189" s="1">
        <v>37288</v>
      </c>
      <c r="B189" s="2">
        <v>37.724812213564299</v>
      </c>
      <c r="F189" s="1">
        <v>37288</v>
      </c>
      <c r="G189">
        <v>37.01</v>
      </c>
      <c r="H189" s="2">
        <v>35.532499999999999</v>
      </c>
      <c r="I189" s="2">
        <v>37.724812213564299</v>
      </c>
      <c r="J189" s="2">
        <v>35.537122360537502</v>
      </c>
    </row>
    <row r="190" spans="1:10" x14ac:dyDescent="0.25">
      <c r="A190" s="1">
        <v>37257</v>
      </c>
      <c r="B190" s="2">
        <v>32.822146076641303</v>
      </c>
      <c r="F190" s="1">
        <v>37257</v>
      </c>
      <c r="G190">
        <v>34.07</v>
      </c>
      <c r="H190" s="2">
        <v>32.630000000000003</v>
      </c>
      <c r="I190" s="2">
        <v>32.822146076641303</v>
      </c>
      <c r="J190" s="2">
        <v>32.633728629605599</v>
      </c>
    </row>
    <row r="191" spans="1:10" x14ac:dyDescent="0.25">
      <c r="A191" s="1">
        <v>37226</v>
      </c>
      <c r="B191" s="2">
        <v>31.5442098194805</v>
      </c>
      <c r="F191" s="1">
        <v>37226</v>
      </c>
      <c r="G191">
        <v>33</v>
      </c>
      <c r="H191" s="2">
        <v>31.79</v>
      </c>
      <c r="I191" s="2">
        <v>31.5442098194805</v>
      </c>
      <c r="J191" s="2">
        <v>31.792080531937501</v>
      </c>
    </row>
    <row r="192" spans="1:10" x14ac:dyDescent="0.25">
      <c r="A192" s="1">
        <v>37196</v>
      </c>
      <c r="B192" s="2">
        <v>54.622128500525697</v>
      </c>
      <c r="F192" s="1">
        <v>37196</v>
      </c>
      <c r="G192">
        <v>58.13</v>
      </c>
      <c r="H192" s="2">
        <v>56.658000000000001</v>
      </c>
      <c r="I192" s="2">
        <v>54.622128500525697</v>
      </c>
      <c r="J192" s="2">
        <v>56.662120536020801</v>
      </c>
    </row>
    <row r="193" spans="1:10" x14ac:dyDescent="0.25">
      <c r="A193" s="1">
        <v>37165</v>
      </c>
      <c r="B193" s="2">
        <v>58.018537213436502</v>
      </c>
      <c r="F193" s="1">
        <v>37165</v>
      </c>
      <c r="G193">
        <v>59.81</v>
      </c>
      <c r="H193" s="2">
        <v>58.174999999999997</v>
      </c>
      <c r="I193" s="2">
        <v>58.018537213436502</v>
      </c>
      <c r="J193" s="2">
        <v>58.178690415937901</v>
      </c>
    </row>
    <row r="194" spans="1:10" x14ac:dyDescent="0.25">
      <c r="A194" s="1">
        <v>37135</v>
      </c>
      <c r="B194" s="2">
        <v>46.106453305570398</v>
      </c>
      <c r="F194" s="1">
        <v>37135</v>
      </c>
      <c r="G194">
        <v>47.53</v>
      </c>
      <c r="H194" s="2">
        <v>46.09</v>
      </c>
      <c r="I194" s="2">
        <v>46.106453305570398</v>
      </c>
      <c r="J194" s="2">
        <v>46.095970313980899</v>
      </c>
    </row>
    <row r="195" spans="1:10" x14ac:dyDescent="0.25">
      <c r="A195" s="1">
        <v>37104</v>
      </c>
      <c r="B195" s="2">
        <v>41.6981474661211</v>
      </c>
      <c r="F195" s="1">
        <v>37104</v>
      </c>
      <c r="G195">
        <v>43.05</v>
      </c>
      <c r="H195" s="2">
        <v>41.478000000000002</v>
      </c>
      <c r="I195" s="2">
        <v>41.6981474661211</v>
      </c>
      <c r="J195" s="2">
        <v>41.486080261648503</v>
      </c>
    </row>
    <row r="196" spans="1:10" x14ac:dyDescent="0.25">
      <c r="A196" s="1">
        <v>37073</v>
      </c>
      <c r="B196" s="2">
        <v>34.347227870342799</v>
      </c>
      <c r="F196" s="1">
        <v>37073</v>
      </c>
      <c r="G196">
        <v>35.799999999999997</v>
      </c>
      <c r="H196" s="2">
        <v>34.342500000000001</v>
      </c>
      <c r="I196" s="2">
        <v>34.347227870342799</v>
      </c>
      <c r="J196" s="2">
        <v>34.351190665323102</v>
      </c>
    </row>
    <row r="197" spans="1:10" x14ac:dyDescent="0.25">
      <c r="A197" s="1">
        <v>37043</v>
      </c>
      <c r="B197" s="2">
        <v>34.472606259517697</v>
      </c>
      <c r="F197" s="1">
        <v>37043</v>
      </c>
      <c r="G197">
        <v>35.19</v>
      </c>
      <c r="H197" s="2">
        <v>33.81</v>
      </c>
      <c r="I197" s="2">
        <v>34.472606259517697</v>
      </c>
      <c r="J197" s="2">
        <v>33.813336754392203</v>
      </c>
    </row>
    <row r="198" spans="1:10" x14ac:dyDescent="0.25">
      <c r="A198" s="1">
        <v>37012</v>
      </c>
      <c r="B198" s="2">
        <v>35.155428478492802</v>
      </c>
      <c r="F198" s="1">
        <v>37012</v>
      </c>
      <c r="G198">
        <v>37.409999999999997</v>
      </c>
      <c r="H198" s="2">
        <v>36.0625</v>
      </c>
      <c r="I198" s="2">
        <v>35.155428478492802</v>
      </c>
      <c r="J198" s="2">
        <v>36.065575949896903</v>
      </c>
    </row>
    <row r="199" spans="1:10" x14ac:dyDescent="0.25">
      <c r="A199" s="1">
        <v>36982</v>
      </c>
      <c r="B199" s="2">
        <v>42.118925328345497</v>
      </c>
      <c r="F199" s="1">
        <v>36982</v>
      </c>
      <c r="G199">
        <v>43.19</v>
      </c>
      <c r="H199" s="2">
        <v>42.122500000000002</v>
      </c>
      <c r="I199" s="2">
        <v>42.118925328345497</v>
      </c>
      <c r="J199" s="2">
        <v>42.128254758610097</v>
      </c>
    </row>
    <row r="200" spans="1:10" x14ac:dyDescent="0.25">
      <c r="A200" s="1">
        <v>36951</v>
      </c>
      <c r="B200" s="2">
        <v>50.123254780536897</v>
      </c>
      <c r="F200" s="1">
        <v>36951</v>
      </c>
      <c r="G200">
        <v>50.66</v>
      </c>
      <c r="H200" s="2">
        <v>49.966000000000001</v>
      </c>
      <c r="I200" s="2">
        <v>50.123254780536897</v>
      </c>
      <c r="J200" s="2">
        <v>49.971312353444603</v>
      </c>
    </row>
    <row r="201" spans="1:10" x14ac:dyDescent="0.25">
      <c r="A201" s="1">
        <v>36923</v>
      </c>
      <c r="B201" s="2">
        <v>44.008200800306298</v>
      </c>
      <c r="F201" s="1">
        <v>36923</v>
      </c>
      <c r="G201">
        <v>44.04</v>
      </c>
      <c r="H201" s="2">
        <v>43.94</v>
      </c>
      <c r="I201" s="2">
        <v>44.008200800306298</v>
      </c>
      <c r="J201" s="2">
        <v>43.9450448138534</v>
      </c>
    </row>
    <row r="202" spans="1:10" x14ac:dyDescent="0.25">
      <c r="A202" s="1">
        <v>36892</v>
      </c>
      <c r="B202" s="2">
        <v>45.186714047333901</v>
      </c>
      <c r="F202" s="1">
        <v>36892</v>
      </c>
      <c r="G202">
        <v>44.8</v>
      </c>
      <c r="H202" s="2">
        <v>45.094999999999999</v>
      </c>
      <c r="I202" s="2">
        <v>45.186714047333901</v>
      </c>
      <c r="J202" s="2">
        <v>45.1006361429028</v>
      </c>
    </row>
    <row r="203" spans="1:10" x14ac:dyDescent="0.25">
      <c r="A203" s="1">
        <v>36861</v>
      </c>
      <c r="B203" s="2">
        <v>28.4044184085861</v>
      </c>
      <c r="F203" s="1">
        <v>36861</v>
      </c>
      <c r="G203">
        <v>25.99</v>
      </c>
      <c r="H203" s="2">
        <v>26.045999999999999</v>
      </c>
      <c r="I203" s="2">
        <v>28.4044184085861</v>
      </c>
      <c r="J203" s="2">
        <v>26.050301282528899</v>
      </c>
    </row>
    <row r="204" spans="1:10" x14ac:dyDescent="0.25">
      <c r="A204" s="1">
        <v>36831</v>
      </c>
      <c r="B204" s="2">
        <v>12.802155717299099</v>
      </c>
      <c r="F204" s="1">
        <v>36831</v>
      </c>
      <c r="G204">
        <v>12.43</v>
      </c>
      <c r="H204" s="2">
        <v>12.3575</v>
      </c>
      <c r="I204" s="2">
        <v>12.802155717299099</v>
      </c>
      <c r="J204" s="2">
        <v>12.362646142419599</v>
      </c>
    </row>
    <row r="205" spans="1:10" x14ac:dyDescent="0.25">
      <c r="A205" s="1">
        <v>36800</v>
      </c>
      <c r="B205" s="2">
        <v>10.6509313961032</v>
      </c>
      <c r="F205" s="1">
        <v>36800</v>
      </c>
      <c r="G205">
        <v>10.5</v>
      </c>
      <c r="H205" s="2">
        <v>10.51</v>
      </c>
      <c r="I205" s="2">
        <v>10.6509313961032</v>
      </c>
      <c r="J205" s="2">
        <v>10.5175598816512</v>
      </c>
    </row>
    <row r="206" spans="1:10" x14ac:dyDescent="0.25">
      <c r="A206" s="1">
        <v>36770</v>
      </c>
      <c r="B206" s="2">
        <v>8.0675431965555902</v>
      </c>
      <c r="F206" s="1">
        <v>36770</v>
      </c>
      <c r="G206">
        <v>7.78</v>
      </c>
      <c r="H206" s="2">
        <v>7.8579999999999997</v>
      </c>
      <c r="I206" s="2">
        <v>8.0675431965555902</v>
      </c>
      <c r="J206" s="2">
        <v>7.8624572388958001</v>
      </c>
    </row>
    <row r="207" spans="1:10" x14ac:dyDescent="0.25">
      <c r="A207" s="1">
        <v>36739</v>
      </c>
      <c r="B207" s="2">
        <v>6.3160694542126903</v>
      </c>
      <c r="F207" s="1">
        <v>36739</v>
      </c>
      <c r="G207">
        <v>6.09</v>
      </c>
      <c r="H207" s="2">
        <v>6.1775000000000002</v>
      </c>
      <c r="I207" s="2">
        <v>6.3160694542126903</v>
      </c>
      <c r="J207" s="2">
        <v>6.1842249829563398</v>
      </c>
    </row>
    <row r="208" spans="1:10" x14ac:dyDescent="0.25">
      <c r="A208" s="1">
        <v>36708</v>
      </c>
      <c r="B208" s="2">
        <v>4.8265475509960796</v>
      </c>
      <c r="F208" s="1">
        <v>36708</v>
      </c>
      <c r="G208">
        <v>4.82</v>
      </c>
      <c r="H208" s="2">
        <v>4.82</v>
      </c>
      <c r="I208" s="2">
        <v>4.8265475509960796</v>
      </c>
      <c r="J208" s="2">
        <v>4.8257817221074397</v>
      </c>
    </row>
    <row r="209" spans="1:10" x14ac:dyDescent="0.25">
      <c r="A209" s="1">
        <v>36678</v>
      </c>
      <c r="B209" s="2">
        <v>3.5668078285728599</v>
      </c>
      <c r="F209" s="1">
        <v>36678</v>
      </c>
      <c r="G209">
        <v>3.7</v>
      </c>
      <c r="H209" s="2">
        <v>3.6840000000000002</v>
      </c>
      <c r="I209" s="2">
        <v>3.5668078285728599</v>
      </c>
      <c r="J209" s="2">
        <v>3.6896974179962698</v>
      </c>
    </row>
    <row r="210" spans="1:10" x14ac:dyDescent="0.25">
      <c r="A210" s="1">
        <v>36647</v>
      </c>
      <c r="B210" s="2">
        <v>2.2493286781450599</v>
      </c>
      <c r="F210" s="1">
        <v>36647</v>
      </c>
      <c r="G210">
        <v>2.36</v>
      </c>
      <c r="H210" s="2">
        <v>2.36</v>
      </c>
      <c r="I210" s="2">
        <v>2.2493286781450599</v>
      </c>
      <c r="J210" s="2">
        <v>2.3646042774344802</v>
      </c>
    </row>
    <row r="211" spans="1:10" x14ac:dyDescent="0.25">
      <c r="A211" s="1">
        <v>36617</v>
      </c>
      <c r="B211" s="2">
        <v>4.5699096969480797</v>
      </c>
      <c r="F211" s="1">
        <v>36617</v>
      </c>
      <c r="G211">
        <v>4.57</v>
      </c>
      <c r="H211" s="2">
        <v>4.5549999999999997</v>
      </c>
      <c r="I211" s="2">
        <v>4.5699096969480797</v>
      </c>
      <c r="J211" s="2">
        <v>4.5601681681058803</v>
      </c>
    </row>
    <row r="212" spans="1:10" x14ac:dyDescent="0.25">
      <c r="A212" s="1">
        <v>36586</v>
      </c>
      <c r="B212" s="2">
        <v>3.7830879356404998</v>
      </c>
      <c r="F212" s="1">
        <v>36586</v>
      </c>
      <c r="G212">
        <v>3.8</v>
      </c>
      <c r="H212" s="2">
        <v>3.7839999999999998</v>
      </c>
      <c r="I212" s="2">
        <v>3.7830879356404998</v>
      </c>
      <c r="J212" s="2">
        <v>3.7868191571173502</v>
      </c>
    </row>
    <row r="213" spans="1:10" x14ac:dyDescent="0.25">
      <c r="A213" s="1">
        <v>36557</v>
      </c>
      <c r="B213" s="2">
        <v>3.2201175183725499</v>
      </c>
      <c r="F213" s="1">
        <v>36557</v>
      </c>
      <c r="G213">
        <v>3.31</v>
      </c>
      <c r="H213" s="2">
        <v>3.2574999999999998</v>
      </c>
      <c r="I213" s="2">
        <v>3.2201175183725499</v>
      </c>
      <c r="J213" s="2">
        <v>3.2632237256407901</v>
      </c>
    </row>
    <row r="214" spans="1:10" x14ac:dyDescent="0.25">
      <c r="A214" s="1">
        <v>36526</v>
      </c>
      <c r="B214" s="2">
        <v>4.0462869827820498</v>
      </c>
      <c r="F214" s="1">
        <v>36526</v>
      </c>
      <c r="G214">
        <v>4.18</v>
      </c>
      <c r="H214" s="2">
        <v>4.1375000000000002</v>
      </c>
      <c r="I214" s="2">
        <v>4.0462869827820498</v>
      </c>
      <c r="J214" s="2">
        <v>4.1408470289264603</v>
      </c>
    </row>
    <row r="215" spans="1:10" x14ac:dyDescent="0.25">
      <c r="A215" s="1">
        <v>36495</v>
      </c>
      <c r="B215" s="2">
        <v>7.3360038878513603</v>
      </c>
      <c r="F215" s="1">
        <v>36495</v>
      </c>
      <c r="G215">
        <v>7.33</v>
      </c>
      <c r="H215" s="2">
        <v>7.2439999999999998</v>
      </c>
      <c r="I215" s="2">
        <v>7.3360038878513603</v>
      </c>
      <c r="J215" s="2">
        <v>7.2507306613824101</v>
      </c>
    </row>
    <row r="216" spans="1:10" x14ac:dyDescent="0.25">
      <c r="A216" s="1">
        <v>36465</v>
      </c>
      <c r="B216" s="2">
        <v>9.5783524951194803</v>
      </c>
      <c r="F216" s="1">
        <v>36465</v>
      </c>
      <c r="G216">
        <v>9.77</v>
      </c>
      <c r="H216" s="2">
        <v>9.6475000000000009</v>
      </c>
      <c r="I216" s="2">
        <v>9.5783524951194803</v>
      </c>
      <c r="J216" s="2">
        <v>9.6520459319399201</v>
      </c>
    </row>
    <row r="217" spans="1:10" x14ac:dyDescent="0.25">
      <c r="A217" s="1">
        <v>36434</v>
      </c>
      <c r="B217" s="2">
        <v>7.8211006491905604</v>
      </c>
      <c r="F217" s="1">
        <v>36434</v>
      </c>
      <c r="G217">
        <v>8.41</v>
      </c>
      <c r="H217" s="2">
        <v>8.2620000000000005</v>
      </c>
      <c r="I217" s="2">
        <v>7.8211006491905604</v>
      </c>
      <c r="J217" s="2">
        <v>8.2685922759489898</v>
      </c>
    </row>
    <row r="218" spans="1:10" x14ac:dyDescent="0.25">
      <c r="A218" s="1">
        <v>36404</v>
      </c>
      <c r="B218" s="2">
        <v>9.2515985763061401</v>
      </c>
      <c r="F218" s="1">
        <v>36404</v>
      </c>
      <c r="G218">
        <v>9.08</v>
      </c>
      <c r="H218" s="2">
        <v>8.875</v>
      </c>
      <c r="I218" s="2">
        <v>9.2515985763061401</v>
      </c>
      <c r="J218" s="2">
        <v>8.8817195457897</v>
      </c>
    </row>
    <row r="219" spans="1:10" x14ac:dyDescent="0.25">
      <c r="A219" s="1">
        <v>36373</v>
      </c>
      <c r="B219" s="2">
        <v>7.6583997343168804</v>
      </c>
      <c r="F219" s="1">
        <v>36373</v>
      </c>
      <c r="G219">
        <v>7.93</v>
      </c>
      <c r="H219" s="2">
        <v>7.7249999999999996</v>
      </c>
      <c r="I219" s="2">
        <v>7.6583997343168804</v>
      </c>
      <c r="J219" s="2">
        <v>7.7284357210203796</v>
      </c>
    </row>
    <row r="220" spans="1:10" x14ac:dyDescent="0.25">
      <c r="A220" s="1">
        <v>36342</v>
      </c>
      <c r="B220" s="2">
        <v>12.662609330949399</v>
      </c>
      <c r="F220" s="1">
        <v>36342</v>
      </c>
      <c r="G220">
        <v>13.07</v>
      </c>
      <c r="H220" s="2">
        <v>12.692</v>
      </c>
      <c r="I220" s="2">
        <v>12.662609330949399</v>
      </c>
      <c r="J220" s="2">
        <v>12.6948243849607</v>
      </c>
    </row>
    <row r="221" spans="1:10" x14ac:dyDescent="0.25">
      <c r="A221" s="1">
        <v>36312</v>
      </c>
      <c r="B221" s="2">
        <v>15.073725795799101</v>
      </c>
      <c r="F221" s="1">
        <v>36312</v>
      </c>
      <c r="G221">
        <v>15.74</v>
      </c>
      <c r="H221" s="2">
        <v>15.2525</v>
      </c>
      <c r="I221" s="2">
        <v>15.073725795799101</v>
      </c>
      <c r="J221" s="2">
        <v>15.2569595657731</v>
      </c>
    </row>
    <row r="222" spans="1:10" x14ac:dyDescent="0.25">
      <c r="A222" s="1">
        <v>36281</v>
      </c>
      <c r="B222" s="2">
        <v>28.540183343759299</v>
      </c>
      <c r="F222" s="1">
        <v>36281</v>
      </c>
      <c r="G222">
        <v>29.92</v>
      </c>
      <c r="H222" s="2">
        <v>28.89</v>
      </c>
      <c r="I222" s="2">
        <v>28.540183343759299</v>
      </c>
      <c r="J222" s="2">
        <v>28.8934744633432</v>
      </c>
    </row>
    <row r="223" spans="1:10" x14ac:dyDescent="0.25">
      <c r="A223" s="1">
        <v>36251</v>
      </c>
      <c r="B223" s="2">
        <v>41.731398443298197</v>
      </c>
      <c r="F223" s="1">
        <v>36251</v>
      </c>
      <c r="G223">
        <v>43.05</v>
      </c>
      <c r="H223" s="2">
        <v>41.561999999999998</v>
      </c>
      <c r="I223" s="2">
        <v>41.731398443298197</v>
      </c>
      <c r="J223" s="2">
        <v>41.565516093969798</v>
      </c>
    </row>
    <row r="224" spans="1:10" x14ac:dyDescent="0.25">
      <c r="A224" s="1">
        <v>36220</v>
      </c>
      <c r="B224" s="2">
        <v>37.479168598105602</v>
      </c>
      <c r="F224" s="1">
        <v>36220</v>
      </c>
      <c r="G224">
        <v>39.020000000000003</v>
      </c>
      <c r="H224" s="2">
        <v>37.475000000000001</v>
      </c>
      <c r="I224" s="2">
        <v>37.479168598105602</v>
      </c>
      <c r="J224" s="2">
        <v>37.480445202239899</v>
      </c>
    </row>
    <row r="225" spans="1:10" x14ac:dyDescent="0.25">
      <c r="A225" s="1">
        <v>36192</v>
      </c>
      <c r="B225" s="2">
        <v>50.307346857572803</v>
      </c>
      <c r="F225" s="1">
        <v>36192</v>
      </c>
      <c r="G225">
        <v>52.67</v>
      </c>
      <c r="H225" s="2">
        <v>50.327500000000001</v>
      </c>
      <c r="I225" s="2">
        <v>50.307346857572803</v>
      </c>
      <c r="J225" s="2">
        <v>50.333445847480697</v>
      </c>
    </row>
    <row r="226" spans="1:10" x14ac:dyDescent="0.25">
      <c r="A226" s="1">
        <v>36161</v>
      </c>
      <c r="B226" s="2">
        <v>55.1322643288145</v>
      </c>
      <c r="F226" s="1">
        <v>36161</v>
      </c>
      <c r="G226">
        <v>57.93</v>
      </c>
      <c r="H226" s="2">
        <v>55.26</v>
      </c>
      <c r="I226" s="2">
        <v>55.1322643288145</v>
      </c>
      <c r="J226" s="2">
        <v>55.265095310055401</v>
      </c>
    </row>
    <row r="227" spans="1:10" x14ac:dyDescent="0.25">
      <c r="A227" s="1">
        <v>36130</v>
      </c>
      <c r="B227" s="2">
        <v>60.394970759329397</v>
      </c>
      <c r="F227" s="1">
        <v>36130</v>
      </c>
      <c r="G227">
        <v>63.18</v>
      </c>
      <c r="H227" s="2">
        <v>60.496000000000002</v>
      </c>
      <c r="I227" s="2">
        <v>60.394970759329397</v>
      </c>
      <c r="J227" s="2">
        <v>60.503056525319899</v>
      </c>
    </row>
    <row r="228" spans="1:10" x14ac:dyDescent="0.25">
      <c r="A228" s="1">
        <v>36100</v>
      </c>
      <c r="B228" s="2">
        <v>57.1962382759775</v>
      </c>
      <c r="F228" s="1">
        <v>36100</v>
      </c>
      <c r="G228">
        <v>59.25</v>
      </c>
      <c r="H228" s="2">
        <v>56.965000000000003</v>
      </c>
      <c r="I228" s="2">
        <v>57.1962382759775</v>
      </c>
      <c r="J228" s="2">
        <v>56.970110132304299</v>
      </c>
    </row>
    <row r="229" spans="1:10" x14ac:dyDescent="0.25">
      <c r="A229" s="1">
        <v>36069</v>
      </c>
      <c r="B229" s="2">
        <v>67.080317230967694</v>
      </c>
      <c r="F229" s="1">
        <v>36069</v>
      </c>
      <c r="G229">
        <v>70.44</v>
      </c>
      <c r="H229" s="2">
        <v>68.08</v>
      </c>
      <c r="I229" s="2">
        <v>67.080317230967694</v>
      </c>
      <c r="J229" s="2">
        <v>68.084486960862293</v>
      </c>
    </row>
    <row r="230" spans="1:10" x14ac:dyDescent="0.25">
      <c r="A230" s="1">
        <v>36039</v>
      </c>
      <c r="B230" s="2">
        <v>68.260256895066505</v>
      </c>
      <c r="F230" s="1">
        <v>36039</v>
      </c>
      <c r="G230">
        <v>70.48</v>
      </c>
      <c r="H230" s="2">
        <v>68.12</v>
      </c>
      <c r="I230" s="2">
        <v>68.260256895066505</v>
      </c>
      <c r="J230" s="2">
        <v>68.123273518657896</v>
      </c>
    </row>
    <row r="231" spans="1:10" x14ac:dyDescent="0.25">
      <c r="A231" s="1">
        <v>36008</v>
      </c>
      <c r="B231" s="2">
        <v>57.607856983129501</v>
      </c>
      <c r="F231" s="1">
        <v>36008</v>
      </c>
      <c r="G231">
        <v>59.92</v>
      </c>
      <c r="H231" s="2">
        <v>57.642499999999998</v>
      </c>
      <c r="I231" s="2">
        <v>57.607856983129501</v>
      </c>
      <c r="J231" s="2">
        <v>57.646383686358</v>
      </c>
    </row>
    <row r="232" spans="1:10" x14ac:dyDescent="0.25">
      <c r="A232" s="1">
        <v>35977</v>
      </c>
      <c r="B232" s="2">
        <v>58.235391088078103</v>
      </c>
      <c r="F232" s="1">
        <v>35977</v>
      </c>
      <c r="G232">
        <v>60.41</v>
      </c>
      <c r="H232" s="2">
        <v>58.188000000000002</v>
      </c>
      <c r="I232" s="2">
        <v>58.235391088078103</v>
      </c>
      <c r="J232" s="2">
        <v>58.191763091759803</v>
      </c>
    </row>
    <row r="233" spans="1:10" x14ac:dyDescent="0.25">
      <c r="A233" s="1">
        <v>35947</v>
      </c>
      <c r="B233" s="2">
        <v>58.246861325368499</v>
      </c>
      <c r="F233" s="1">
        <v>35947</v>
      </c>
      <c r="G233">
        <v>60.75</v>
      </c>
      <c r="H233" s="2">
        <v>58.405000000000001</v>
      </c>
      <c r="I233" s="2">
        <v>58.246861325368499</v>
      </c>
      <c r="J233" s="2">
        <v>58.410228275480897</v>
      </c>
    </row>
    <row r="234" spans="1:10" x14ac:dyDescent="0.25">
      <c r="A234" s="1">
        <v>35916</v>
      </c>
      <c r="B234" s="2">
        <v>50.802200046173503</v>
      </c>
      <c r="F234" s="1">
        <v>35916</v>
      </c>
      <c r="G234">
        <v>51.88</v>
      </c>
      <c r="H234" s="2">
        <v>49.774000000000001</v>
      </c>
      <c r="I234" s="2">
        <v>50.802200046173503</v>
      </c>
      <c r="J234" s="2">
        <v>49.7785428627203</v>
      </c>
    </row>
    <row r="235" spans="1:10" x14ac:dyDescent="0.25">
      <c r="A235" s="1">
        <v>35886</v>
      </c>
      <c r="B235" s="2">
        <v>52.158529515894003</v>
      </c>
      <c r="F235" s="1">
        <v>35886</v>
      </c>
      <c r="G235">
        <v>55.16</v>
      </c>
      <c r="H235" s="2">
        <v>53.152500000000003</v>
      </c>
      <c r="I235" s="2">
        <v>52.158529515894003</v>
      </c>
      <c r="J235" s="2">
        <v>53.1569043125089</v>
      </c>
    </row>
    <row r="236" spans="1:10" x14ac:dyDescent="0.25">
      <c r="A236" s="1">
        <v>35855</v>
      </c>
      <c r="B236" s="2">
        <v>54.154268395128803</v>
      </c>
      <c r="F236" s="1">
        <v>35855</v>
      </c>
      <c r="G236">
        <v>55.15</v>
      </c>
      <c r="H236" s="2">
        <v>53.852499999999999</v>
      </c>
      <c r="I236" s="2">
        <v>54.154268395128803</v>
      </c>
      <c r="J236" s="2">
        <v>53.860494686701102</v>
      </c>
    </row>
    <row r="237" spans="1:10" x14ac:dyDescent="0.25">
      <c r="A237" s="1">
        <v>35827</v>
      </c>
      <c r="B237" s="2">
        <v>58.536266690286702</v>
      </c>
      <c r="F237" s="1">
        <v>35827</v>
      </c>
      <c r="G237">
        <v>60.28</v>
      </c>
      <c r="H237" s="2">
        <v>58.914999999999999</v>
      </c>
      <c r="I237" s="2">
        <v>58.536266690286702</v>
      </c>
      <c r="J237" s="2">
        <v>58.917117481218099</v>
      </c>
    </row>
    <row r="238" spans="1:10" x14ac:dyDescent="0.25">
      <c r="A238" s="1">
        <v>35796</v>
      </c>
      <c r="B238" s="2">
        <v>60.3808898698815</v>
      </c>
      <c r="F238" s="1">
        <v>35796</v>
      </c>
      <c r="G238">
        <v>62.9</v>
      </c>
      <c r="H238" s="2">
        <v>61.63</v>
      </c>
      <c r="I238" s="2">
        <v>60.3808898698815</v>
      </c>
      <c r="J238" s="2">
        <v>61.636122644646598</v>
      </c>
    </row>
    <row r="239" spans="1:10" x14ac:dyDescent="0.25">
      <c r="A239" s="1">
        <v>35765</v>
      </c>
      <c r="B239" s="2">
        <v>49.451934693101897</v>
      </c>
      <c r="F239" s="1">
        <v>35765</v>
      </c>
      <c r="G239">
        <v>49.74</v>
      </c>
      <c r="H239" s="2">
        <v>48.722499999999997</v>
      </c>
      <c r="I239" s="2">
        <v>49.451934693101897</v>
      </c>
      <c r="J239" s="2">
        <v>48.729147925521502</v>
      </c>
    </row>
    <row r="240" spans="1:10" x14ac:dyDescent="0.25">
      <c r="A240" s="1">
        <v>35735</v>
      </c>
      <c r="B240" s="2">
        <v>43.615211766927203</v>
      </c>
      <c r="F240" s="1">
        <v>35735</v>
      </c>
      <c r="G240">
        <v>44.47</v>
      </c>
      <c r="H240" s="2">
        <v>43.545000000000002</v>
      </c>
      <c r="I240" s="2">
        <v>43.615211766927203</v>
      </c>
      <c r="J240" s="2">
        <v>43.5474988554814</v>
      </c>
    </row>
    <row r="241" spans="1:10" x14ac:dyDescent="0.25">
      <c r="A241" s="1">
        <v>35704</v>
      </c>
      <c r="B241" s="2">
        <v>38.775270128066801</v>
      </c>
      <c r="F241" s="1">
        <v>35704</v>
      </c>
      <c r="G241">
        <v>39.76</v>
      </c>
      <c r="H241" s="2">
        <v>39.067999999999998</v>
      </c>
      <c r="I241" s="2">
        <v>38.775270128066801</v>
      </c>
      <c r="J241" s="2">
        <v>39.073192394890803</v>
      </c>
    </row>
    <row r="242" spans="1:10" x14ac:dyDescent="0.25">
      <c r="A242" s="1">
        <v>35674</v>
      </c>
      <c r="B242" s="2">
        <v>32.538027080910503</v>
      </c>
      <c r="F242" s="1">
        <v>35674</v>
      </c>
      <c r="G242">
        <v>33.299999999999997</v>
      </c>
      <c r="H242" s="2">
        <v>32.76</v>
      </c>
      <c r="I242" s="2">
        <v>32.538027080910503</v>
      </c>
      <c r="J242" s="2">
        <v>32.762116204866302</v>
      </c>
    </row>
    <row r="243" spans="1:10" x14ac:dyDescent="0.25">
      <c r="A243" s="1">
        <v>35643</v>
      </c>
      <c r="B243" s="2">
        <v>29.122715184065001</v>
      </c>
      <c r="F243" s="1">
        <v>35643</v>
      </c>
      <c r="G243">
        <v>30.93</v>
      </c>
      <c r="H243" s="2">
        <v>30.547999999999998</v>
      </c>
      <c r="I243" s="2">
        <v>29.122715184065001</v>
      </c>
      <c r="J243" s="2">
        <v>30.555726076676201</v>
      </c>
    </row>
    <row r="244" spans="1:10" x14ac:dyDescent="0.25">
      <c r="A244" s="1">
        <v>35612</v>
      </c>
      <c r="B244" s="2">
        <v>30.714699960128801</v>
      </c>
      <c r="F244" s="1">
        <v>35612</v>
      </c>
      <c r="G244">
        <v>29.66</v>
      </c>
      <c r="H244" s="2">
        <v>29.362500000000001</v>
      </c>
      <c r="I244" s="2">
        <v>30.714699960128801</v>
      </c>
      <c r="J244" s="2">
        <v>29.3692551179182</v>
      </c>
    </row>
    <row r="245" spans="1:10" x14ac:dyDescent="0.25">
      <c r="A245" s="1">
        <v>35582</v>
      </c>
      <c r="B245" s="2">
        <v>22.662272793909001</v>
      </c>
      <c r="F245" s="1">
        <v>35582</v>
      </c>
      <c r="G245">
        <v>23.7</v>
      </c>
      <c r="H245" s="2">
        <v>23.352499999999999</v>
      </c>
      <c r="I245" s="2">
        <v>22.662272793909001</v>
      </c>
      <c r="J245" s="2">
        <v>23.358921242399202</v>
      </c>
    </row>
    <row r="246" spans="1:10" x14ac:dyDescent="0.25">
      <c r="A246" s="1">
        <v>35551</v>
      </c>
      <c r="B246" s="2">
        <v>16.2714515392477</v>
      </c>
      <c r="F246" s="1">
        <v>35551</v>
      </c>
      <c r="G246">
        <v>16.52</v>
      </c>
      <c r="H246" s="2">
        <v>16.297999999999998</v>
      </c>
      <c r="I246" s="2">
        <v>16.2714515392477</v>
      </c>
      <c r="J246" s="2">
        <v>16.302995517372999</v>
      </c>
    </row>
    <row r="247" spans="1:10" x14ac:dyDescent="0.25">
      <c r="A247" s="1">
        <v>35521</v>
      </c>
      <c r="B247" s="2">
        <v>11.059065606493499</v>
      </c>
      <c r="F247" s="1">
        <v>35521</v>
      </c>
      <c r="G247">
        <v>11.4</v>
      </c>
      <c r="H247" s="2">
        <v>11.2425</v>
      </c>
      <c r="I247" s="2">
        <v>11.059065606493499</v>
      </c>
      <c r="J247" s="2">
        <v>11.248047197046599</v>
      </c>
    </row>
    <row r="248" spans="1:10" x14ac:dyDescent="0.25">
      <c r="A248" s="1">
        <v>35490</v>
      </c>
      <c r="B248" s="2">
        <v>19.858338171784901</v>
      </c>
      <c r="F248" s="1">
        <v>35490</v>
      </c>
      <c r="G248">
        <v>20.46</v>
      </c>
      <c r="H248" s="2">
        <v>20.142499999999998</v>
      </c>
      <c r="I248" s="2">
        <v>19.858338171784901</v>
      </c>
      <c r="J248" s="2">
        <v>20.147718165909801</v>
      </c>
    </row>
    <row r="249" spans="1:10" x14ac:dyDescent="0.25">
      <c r="A249" s="1">
        <v>35462</v>
      </c>
      <c r="B249" s="2">
        <v>28.068216468729201</v>
      </c>
      <c r="F249" s="1">
        <v>35462</v>
      </c>
      <c r="G249">
        <v>28.86</v>
      </c>
      <c r="H249" s="2">
        <v>28.03</v>
      </c>
      <c r="I249" s="2">
        <v>28.068216468729201</v>
      </c>
      <c r="J249" s="2">
        <v>28.035005071732702</v>
      </c>
    </row>
    <row r="250" spans="1:10" x14ac:dyDescent="0.25">
      <c r="A250" s="1">
        <v>35431</v>
      </c>
      <c r="B250" s="2">
        <v>20.1895217952335</v>
      </c>
      <c r="F250" s="1">
        <v>35431</v>
      </c>
      <c r="G250">
        <v>20.5</v>
      </c>
      <c r="H250" s="2">
        <v>20.202000000000002</v>
      </c>
      <c r="I250" s="2">
        <v>20.1895217952335</v>
      </c>
      <c r="J250" s="2">
        <v>20.2062423707861</v>
      </c>
    </row>
    <row r="251" spans="1:10" x14ac:dyDescent="0.25">
      <c r="A251" s="1">
        <v>35400</v>
      </c>
      <c r="B251" s="2">
        <v>28.005973604375701</v>
      </c>
      <c r="F251" s="1">
        <v>35400</v>
      </c>
      <c r="G251">
        <v>28.03</v>
      </c>
      <c r="H251" s="2">
        <v>27.782499999999999</v>
      </c>
      <c r="I251" s="2">
        <v>28.005973604375701</v>
      </c>
      <c r="J251" s="2">
        <v>27.787564926398201</v>
      </c>
    </row>
    <row r="252" spans="1:10" x14ac:dyDescent="0.25">
      <c r="A252" s="1">
        <v>35370</v>
      </c>
      <c r="B252" s="2">
        <v>28.245346072261899</v>
      </c>
      <c r="F252" s="1">
        <v>35370</v>
      </c>
      <c r="G252">
        <v>27.05</v>
      </c>
      <c r="H252" s="2">
        <v>26.744</v>
      </c>
      <c r="I252" s="2">
        <v>28.245346072261899</v>
      </c>
      <c r="J252" s="2">
        <v>26.749887724110899</v>
      </c>
    </row>
    <row r="253" spans="1:10" x14ac:dyDescent="0.25">
      <c r="A253" s="1">
        <v>35339</v>
      </c>
      <c r="B253" s="2">
        <v>19.3486856282431</v>
      </c>
      <c r="F253" s="1">
        <v>35339</v>
      </c>
      <c r="G253">
        <v>19.13</v>
      </c>
      <c r="H253" s="2">
        <v>18.852499999999999</v>
      </c>
      <c r="I253" s="2">
        <v>19.3486856282431</v>
      </c>
      <c r="J253" s="2">
        <v>18.855938414086701</v>
      </c>
    </row>
    <row r="254" spans="1:10" x14ac:dyDescent="0.25">
      <c r="A254" s="1">
        <v>35309</v>
      </c>
      <c r="B254" s="2">
        <v>11.4966864855475</v>
      </c>
      <c r="F254" s="1">
        <v>35309</v>
      </c>
      <c r="G254">
        <v>11.77</v>
      </c>
      <c r="H254" s="2">
        <v>11.577500000000001</v>
      </c>
      <c r="I254" s="2">
        <v>11.4966864855475</v>
      </c>
      <c r="J254" s="2">
        <v>11.5820705223434</v>
      </c>
    </row>
    <row r="255" spans="1:10" x14ac:dyDescent="0.25">
      <c r="A255" s="1">
        <v>35278</v>
      </c>
      <c r="B255" s="2">
        <v>17.2528601134964</v>
      </c>
      <c r="F255" s="1">
        <v>35278</v>
      </c>
      <c r="G255">
        <v>17.649999999999999</v>
      </c>
      <c r="H255" s="2">
        <v>17.277999999999999</v>
      </c>
      <c r="I255" s="2">
        <v>17.2528601134964</v>
      </c>
      <c r="J255" s="2">
        <v>17.283784099831099</v>
      </c>
    </row>
    <row r="256" spans="1:10" x14ac:dyDescent="0.25">
      <c r="A256" s="1">
        <v>35247</v>
      </c>
      <c r="B256" s="2">
        <v>11.595734781720999</v>
      </c>
      <c r="F256" s="1">
        <v>35247</v>
      </c>
      <c r="G256">
        <v>11.99</v>
      </c>
      <c r="H256" s="2">
        <v>11.7325</v>
      </c>
      <c r="I256" s="2">
        <v>11.595734781720999</v>
      </c>
      <c r="J256" s="2">
        <v>11.737179542035999</v>
      </c>
    </row>
    <row r="257" spans="1:10" x14ac:dyDescent="0.25">
      <c r="A257" s="1">
        <v>35217</v>
      </c>
      <c r="B257" s="2">
        <v>11.2091866881828</v>
      </c>
      <c r="F257" s="1">
        <v>35217</v>
      </c>
      <c r="G257">
        <v>11.54</v>
      </c>
      <c r="H257" s="2">
        <v>11.2525</v>
      </c>
      <c r="I257" s="2">
        <v>11.2091866881828</v>
      </c>
      <c r="J257" s="2">
        <v>11.2572844376714</v>
      </c>
    </row>
    <row r="258" spans="1:10" x14ac:dyDescent="0.25">
      <c r="A258" s="1">
        <v>35186</v>
      </c>
      <c r="B258" s="2">
        <v>16.627597249666699</v>
      </c>
      <c r="F258" s="1">
        <v>35186</v>
      </c>
      <c r="G258">
        <v>17.3</v>
      </c>
      <c r="H258" s="2">
        <v>16.815999999999999</v>
      </c>
      <c r="I258" s="2">
        <v>16.627597249666699</v>
      </c>
      <c r="J258" s="2">
        <v>16.821901730413799</v>
      </c>
    </row>
    <row r="259" spans="1:10" x14ac:dyDescent="0.25">
      <c r="A259" s="1">
        <v>35156</v>
      </c>
      <c r="B259" s="2">
        <v>21.3532818216806</v>
      </c>
      <c r="F259" s="1">
        <v>35156</v>
      </c>
      <c r="G259">
        <v>22.01</v>
      </c>
      <c r="H259" s="2">
        <v>21.392499999999998</v>
      </c>
      <c r="I259" s="2">
        <v>21.3532818216806</v>
      </c>
      <c r="J259" s="2">
        <v>21.398250696594999</v>
      </c>
    </row>
    <row r="260" spans="1:10" x14ac:dyDescent="0.25">
      <c r="A260" s="1">
        <v>35125</v>
      </c>
      <c r="B260" s="2">
        <v>29.706449315848499</v>
      </c>
      <c r="F260" s="1">
        <v>35125</v>
      </c>
      <c r="G260">
        <v>32.54</v>
      </c>
      <c r="H260" s="2">
        <v>31.69</v>
      </c>
      <c r="I260" s="2">
        <v>29.706449315848499</v>
      </c>
      <c r="J260" s="2">
        <v>31.694853499712</v>
      </c>
    </row>
    <row r="261" spans="1:10" x14ac:dyDescent="0.25">
      <c r="A261" s="1">
        <v>35096</v>
      </c>
      <c r="B261" s="2">
        <v>49.3506646792192</v>
      </c>
      <c r="F261" s="1">
        <v>35096</v>
      </c>
      <c r="G261">
        <v>54.37</v>
      </c>
      <c r="H261" s="2">
        <v>53.172499999999999</v>
      </c>
      <c r="I261" s="2">
        <v>49.3506646792192</v>
      </c>
      <c r="J261" s="2">
        <v>53.175749254284298</v>
      </c>
    </row>
    <row r="262" spans="1:10" x14ac:dyDescent="0.25">
      <c r="A262" s="1">
        <v>35065</v>
      </c>
      <c r="B262" s="2">
        <v>55.798397640683199</v>
      </c>
      <c r="F262" s="1">
        <v>35065</v>
      </c>
      <c r="G262">
        <v>56.5</v>
      </c>
      <c r="H262" s="2">
        <v>55.63</v>
      </c>
      <c r="I262" s="2">
        <v>55.798397640683199</v>
      </c>
      <c r="J262" s="2">
        <v>55.636170293960198</v>
      </c>
    </row>
    <row r="263" spans="1:10" x14ac:dyDescent="0.25">
      <c r="A263" s="1">
        <v>35034</v>
      </c>
      <c r="B263" s="2">
        <v>49.899266106574103</v>
      </c>
      <c r="F263" s="1">
        <v>35034</v>
      </c>
      <c r="G263">
        <v>49.01</v>
      </c>
      <c r="H263" s="2">
        <v>48.326000000000001</v>
      </c>
      <c r="I263" s="2">
        <v>49.899266106574103</v>
      </c>
      <c r="J263" s="2">
        <v>48.330897946584699</v>
      </c>
    </row>
    <row r="264" spans="1:10" x14ac:dyDescent="0.25">
      <c r="A264" s="1">
        <v>35004</v>
      </c>
      <c r="B264" s="2">
        <v>42.9350817509306</v>
      </c>
      <c r="F264" s="1">
        <v>35004</v>
      </c>
      <c r="G264">
        <v>43.98</v>
      </c>
      <c r="H264" s="2">
        <v>43.094999999999999</v>
      </c>
      <c r="I264" s="2">
        <v>42.9350817509306</v>
      </c>
      <c r="J264" s="2">
        <v>43.099434654888299</v>
      </c>
    </row>
    <row r="265" spans="1:10" x14ac:dyDescent="0.25">
      <c r="A265" s="1">
        <v>34973</v>
      </c>
      <c r="B265" s="2">
        <v>40.696359435232303</v>
      </c>
      <c r="F265" s="1">
        <v>34973</v>
      </c>
      <c r="G265">
        <v>41.46</v>
      </c>
      <c r="H265" s="2">
        <v>40.555</v>
      </c>
      <c r="I265" s="2">
        <v>40.696359435232303</v>
      </c>
      <c r="J265" s="2">
        <v>40.560080615168602</v>
      </c>
    </row>
    <row r="266" spans="1:10" x14ac:dyDescent="0.25">
      <c r="A266" s="1">
        <v>34943</v>
      </c>
      <c r="B266" s="2">
        <v>36.664277488115601</v>
      </c>
      <c r="F266" s="1">
        <v>34943</v>
      </c>
      <c r="G266">
        <v>36.31</v>
      </c>
      <c r="H266" s="2">
        <v>35.584000000000003</v>
      </c>
      <c r="I266" s="2">
        <v>36.664277488115601</v>
      </c>
      <c r="J266" s="2">
        <v>35.588928639934501</v>
      </c>
    </row>
    <row r="267" spans="1:10" x14ac:dyDescent="0.25">
      <c r="A267" s="1">
        <v>34912</v>
      </c>
      <c r="B267" s="2">
        <v>29.4594847468593</v>
      </c>
      <c r="F267" s="1">
        <v>34912</v>
      </c>
      <c r="G267">
        <v>28.86</v>
      </c>
      <c r="H267" s="2">
        <v>28.412500000000001</v>
      </c>
      <c r="I267" s="2">
        <v>29.4594847468593</v>
      </c>
      <c r="J267" s="2">
        <v>28.417796603179401</v>
      </c>
    </row>
    <row r="268" spans="1:10" x14ac:dyDescent="0.25">
      <c r="A268" s="1">
        <v>34881</v>
      </c>
      <c r="B268" s="2">
        <v>37.646883601506097</v>
      </c>
      <c r="F268" s="1">
        <v>34881</v>
      </c>
      <c r="G268">
        <v>37.270000000000003</v>
      </c>
      <c r="H268" s="2">
        <v>37.432499999999997</v>
      </c>
      <c r="I268" s="2">
        <v>37.646883601506097</v>
      </c>
      <c r="J268" s="2">
        <v>37.4400129669854</v>
      </c>
    </row>
    <row r="269" spans="1:10" x14ac:dyDescent="0.25">
      <c r="A269" s="1">
        <v>34851</v>
      </c>
      <c r="B269" s="2">
        <v>38.363477121004102</v>
      </c>
      <c r="F269" s="1">
        <v>34851</v>
      </c>
      <c r="G269">
        <v>37.76</v>
      </c>
      <c r="H269" s="2">
        <v>38.253999999999998</v>
      </c>
      <c r="I269" s="2">
        <v>38.363477121004102</v>
      </c>
      <c r="J269" s="2">
        <v>38.260854404695998</v>
      </c>
    </row>
    <row r="270" spans="1:10" x14ac:dyDescent="0.25">
      <c r="A270" s="1">
        <v>34820</v>
      </c>
      <c r="B270" s="2">
        <v>24.753561768266401</v>
      </c>
      <c r="F270" s="1">
        <v>34820</v>
      </c>
      <c r="G270">
        <v>24.58</v>
      </c>
      <c r="H270" s="2">
        <v>24.97</v>
      </c>
      <c r="I270" s="2">
        <v>24.753561768266401</v>
      </c>
      <c r="J270" s="2">
        <v>24.9763729741235</v>
      </c>
    </row>
    <row r="271" spans="1:10" x14ac:dyDescent="0.25">
      <c r="A271" s="1">
        <v>34790</v>
      </c>
      <c r="B271" s="2">
        <v>14.759766441879201</v>
      </c>
      <c r="F271" s="1">
        <v>34790</v>
      </c>
      <c r="G271">
        <v>14.56</v>
      </c>
      <c r="H271" s="2">
        <v>14.7875</v>
      </c>
      <c r="I271" s="2">
        <v>14.759766441879201</v>
      </c>
      <c r="J271" s="2">
        <v>14.791999114975701</v>
      </c>
    </row>
    <row r="272" spans="1:10" x14ac:dyDescent="0.25">
      <c r="A272" s="1">
        <v>34759</v>
      </c>
      <c r="B272" s="2">
        <v>12.828037175272399</v>
      </c>
      <c r="F272" s="1">
        <v>34759</v>
      </c>
      <c r="G272">
        <v>12.77</v>
      </c>
      <c r="H272" s="2">
        <v>12.946</v>
      </c>
      <c r="I272" s="2">
        <v>12.828037175272399</v>
      </c>
      <c r="J272" s="2">
        <v>12.9494713702138</v>
      </c>
    </row>
    <row r="273" spans="1:10" x14ac:dyDescent="0.25">
      <c r="A273" s="1">
        <v>34731</v>
      </c>
      <c r="B273" s="2">
        <v>9.4957263980637006</v>
      </c>
      <c r="F273" s="1">
        <v>34731</v>
      </c>
      <c r="G273">
        <v>9.43</v>
      </c>
      <c r="H273" s="2">
        <v>9.4175000000000004</v>
      </c>
      <c r="I273" s="2">
        <v>9.4957263980637006</v>
      </c>
      <c r="J273" s="2">
        <v>9.4245789448476796</v>
      </c>
    </row>
    <row r="274" spans="1:10" x14ac:dyDescent="0.25">
      <c r="A274" s="1">
        <v>34700</v>
      </c>
      <c r="B274" s="2">
        <v>5.73522769550957</v>
      </c>
      <c r="F274" s="1">
        <v>34700</v>
      </c>
      <c r="G274">
        <v>5.91</v>
      </c>
      <c r="H274" s="2">
        <v>5.8449999999999998</v>
      </c>
      <c r="I274" s="2">
        <v>5.73522769550957</v>
      </c>
      <c r="J274" s="2">
        <v>5.8511957202314697</v>
      </c>
    </row>
    <row r="275" spans="1:10" x14ac:dyDescent="0.25">
      <c r="A275" s="1">
        <v>34669</v>
      </c>
      <c r="B275" s="2">
        <v>5.7049632885402701</v>
      </c>
      <c r="F275" s="1">
        <v>34669</v>
      </c>
      <c r="G275">
        <v>5.71</v>
      </c>
      <c r="H275" s="2">
        <v>5.6420000000000003</v>
      </c>
      <c r="I275" s="2">
        <v>5.7049632885402701</v>
      </c>
      <c r="J275" s="2">
        <v>5.6480814953013398</v>
      </c>
    </row>
    <row r="276" spans="1:10" x14ac:dyDescent="0.25">
      <c r="A276" s="1">
        <v>34639</v>
      </c>
      <c r="B276" s="2">
        <v>5.8979527802618499</v>
      </c>
      <c r="F276" s="1">
        <v>34639</v>
      </c>
      <c r="G276">
        <v>6.05</v>
      </c>
      <c r="H276" s="2">
        <v>5.9749999999999996</v>
      </c>
      <c r="I276" s="2">
        <v>5.8979527802618499</v>
      </c>
      <c r="J276" s="2">
        <v>5.9781986440460599</v>
      </c>
    </row>
    <row r="277" spans="1:10" x14ac:dyDescent="0.25">
      <c r="A277" s="1">
        <v>34608</v>
      </c>
      <c r="B277" s="2">
        <v>9.2684557194793999</v>
      </c>
      <c r="F277" s="1">
        <v>34608</v>
      </c>
      <c r="G277">
        <v>9.23</v>
      </c>
      <c r="H277" s="2">
        <v>9.09</v>
      </c>
      <c r="I277" s="2">
        <v>9.2684557194793999</v>
      </c>
      <c r="J277" s="2">
        <v>9.0975298304929808</v>
      </c>
    </row>
    <row r="278" spans="1:10" x14ac:dyDescent="0.25">
      <c r="A278" s="1">
        <v>34578</v>
      </c>
      <c r="B278" s="2">
        <v>11.6407240735183</v>
      </c>
      <c r="F278" s="1">
        <v>34578</v>
      </c>
      <c r="G278">
        <v>11.99</v>
      </c>
      <c r="H278" s="2">
        <v>11.82</v>
      </c>
      <c r="I278" s="2">
        <v>11.6407240735183</v>
      </c>
      <c r="J278" s="2">
        <v>11.823083173174799</v>
      </c>
    </row>
    <row r="279" spans="1:10" x14ac:dyDescent="0.25">
      <c r="A279" s="1">
        <v>34547</v>
      </c>
      <c r="B279" s="2">
        <v>12.937465479987701</v>
      </c>
      <c r="F279" s="1">
        <v>34547</v>
      </c>
      <c r="G279">
        <v>13.26</v>
      </c>
      <c r="H279" s="2">
        <v>13.05</v>
      </c>
      <c r="I279" s="2">
        <v>12.937465479987701</v>
      </c>
      <c r="J279" s="2">
        <v>13.051272021684101</v>
      </c>
    </row>
    <row r="280" spans="1:10" x14ac:dyDescent="0.25">
      <c r="A280" s="1">
        <v>34516</v>
      </c>
      <c r="B280" s="2">
        <v>16.6146773674329</v>
      </c>
      <c r="F280" s="1">
        <v>34516</v>
      </c>
      <c r="G280">
        <v>17.03</v>
      </c>
      <c r="H280" s="2">
        <v>16.72</v>
      </c>
      <c r="I280" s="2">
        <v>16.6146773674329</v>
      </c>
      <c r="J280" s="2">
        <v>16.725625869298</v>
      </c>
    </row>
    <row r="281" spans="1:10" x14ac:dyDescent="0.25">
      <c r="A281" s="1">
        <v>34486</v>
      </c>
      <c r="B281" s="2">
        <v>18.717374904553399</v>
      </c>
      <c r="F281" s="1">
        <v>34486</v>
      </c>
      <c r="G281">
        <v>20.02</v>
      </c>
      <c r="H281" s="2">
        <v>19.149999999999999</v>
      </c>
      <c r="I281" s="2">
        <v>18.717374904553399</v>
      </c>
      <c r="J281" s="2">
        <v>19.1581479214911</v>
      </c>
    </row>
    <row r="282" spans="1:10" x14ac:dyDescent="0.25">
      <c r="A282" s="1">
        <v>34455</v>
      </c>
      <c r="B282" s="2">
        <v>14.017578880891101</v>
      </c>
      <c r="F282" s="1">
        <v>34455</v>
      </c>
      <c r="G282">
        <v>14.45</v>
      </c>
      <c r="H282" s="2">
        <v>13.9725</v>
      </c>
      <c r="I282" s="2">
        <v>14.017578880891101</v>
      </c>
      <c r="J282" s="2">
        <v>13.979569137422301</v>
      </c>
    </row>
    <row r="283" spans="1:10" x14ac:dyDescent="0.25">
      <c r="A283" s="1">
        <v>34425</v>
      </c>
      <c r="B283" s="2">
        <v>16.834105460831999</v>
      </c>
      <c r="F283" s="1">
        <v>34425</v>
      </c>
      <c r="G283">
        <v>18.89</v>
      </c>
      <c r="H283" s="2">
        <v>18.23</v>
      </c>
      <c r="I283" s="2">
        <v>16.834105460831999</v>
      </c>
      <c r="J283" s="2">
        <v>18.235288623758098</v>
      </c>
    </row>
    <row r="284" spans="1:10" x14ac:dyDescent="0.25">
      <c r="A284" s="1">
        <v>34394</v>
      </c>
      <c r="B284" s="2">
        <v>32.919248976272698</v>
      </c>
      <c r="F284" s="1">
        <v>34394</v>
      </c>
      <c r="G284">
        <v>36.619999999999997</v>
      </c>
      <c r="H284" s="2">
        <v>35.119999999999997</v>
      </c>
      <c r="I284" s="2">
        <v>32.919248976272698</v>
      </c>
      <c r="J284" s="2">
        <v>35.1240164807379</v>
      </c>
    </row>
    <row r="285" spans="1:10" x14ac:dyDescent="0.25">
      <c r="A285" s="1">
        <v>34394</v>
      </c>
      <c r="B285" s="2">
        <v>35.1240164807379</v>
      </c>
    </row>
    <row r="286" spans="1:10" x14ac:dyDescent="0.25">
      <c r="A286" s="1"/>
    </row>
    <row r="287" spans="1:10" x14ac:dyDescent="0.25">
      <c r="A287" s="1"/>
    </row>
    <row r="288" spans="1:10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"/>
  <sheetViews>
    <sheetView workbookViewId="0">
      <selection activeCell="H41" sqref="H41:N44"/>
    </sheetView>
  </sheetViews>
  <sheetFormatPr defaultRowHeight="15" x14ac:dyDescent="0.25"/>
  <cols>
    <col min="2" max="2" width="10.42578125" style="2" bestFit="1" customWidth="1"/>
    <col min="3" max="3" width="5.42578125" style="2" bestFit="1" customWidth="1"/>
    <col min="4" max="4" width="7.85546875" style="2" bestFit="1" customWidth="1"/>
    <col min="5" max="5" width="10.85546875" style="2" bestFit="1" customWidth="1"/>
    <col min="6" max="6" width="11.5703125" style="2" bestFit="1" customWidth="1"/>
    <col min="7" max="7" width="12.28515625" style="2" bestFit="1" customWidth="1"/>
    <col min="8" max="9" width="12" style="3" customWidth="1"/>
    <col min="10" max="10" width="8.42578125" style="2" bestFit="1" customWidth="1"/>
    <col min="11" max="11" width="12.5703125" style="2" bestFit="1" customWidth="1"/>
    <col min="12" max="12" width="16.42578125" style="2" bestFit="1" customWidth="1"/>
    <col min="13" max="13" width="12.85546875" style="2" bestFit="1" customWidth="1"/>
    <col min="14" max="14" width="14.5703125" style="3" customWidth="1"/>
    <col min="15" max="15" width="9.140625" style="2"/>
    <col min="16" max="16" width="9.7109375" bestFit="1" customWidth="1"/>
  </cols>
  <sheetData>
    <row r="1" spans="1:16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13</v>
      </c>
      <c r="H1" s="3" t="s">
        <v>6</v>
      </c>
      <c r="I1" s="3" t="s">
        <v>7</v>
      </c>
      <c r="J1" s="2" t="s">
        <v>8</v>
      </c>
      <c r="K1" s="2" t="s">
        <v>9</v>
      </c>
      <c r="L1" s="2" t="s">
        <v>14</v>
      </c>
      <c r="M1" s="2" t="s">
        <v>11</v>
      </c>
      <c r="N1" s="3" t="s">
        <v>15</v>
      </c>
      <c r="P1" s="1"/>
    </row>
    <row r="2" spans="1:16" x14ac:dyDescent="0.25">
      <c r="A2" s="1">
        <v>42491</v>
      </c>
      <c r="B2" s="2">
        <v>3.25</v>
      </c>
      <c r="C2" s="2">
        <v>3.1418297648001499</v>
      </c>
      <c r="D2" s="2">
        <v>8.3673118151201802</v>
      </c>
      <c r="E2" s="2">
        <v>1.0310979537246601</v>
      </c>
      <c r="F2" s="2">
        <v>11.702398914206</v>
      </c>
      <c r="G2" s="2">
        <v>-0.30156409387140998</v>
      </c>
      <c r="H2" s="3">
        <v>10435655864.370001</v>
      </c>
      <c r="I2" s="3">
        <v>499796.87</v>
      </c>
      <c r="J2" s="2">
        <v>3.448</v>
      </c>
      <c r="K2" s="2">
        <v>3.2941061413284398</v>
      </c>
      <c r="L2" s="2">
        <v>-15.38</v>
      </c>
      <c r="M2" s="2">
        <v>63.98</v>
      </c>
      <c r="N2" s="3">
        <v>0</v>
      </c>
      <c r="P2" s="1"/>
    </row>
    <row r="3" spans="1:16" x14ac:dyDescent="0.25">
      <c r="A3" s="1">
        <v>42491</v>
      </c>
      <c r="B3" s="2">
        <v>3.375</v>
      </c>
      <c r="C3" s="2">
        <v>3.3113734167211599</v>
      </c>
      <c r="D3" s="2">
        <v>5.8397085705470904</v>
      </c>
      <c r="E3" s="2">
        <v>0.37191548319726297</v>
      </c>
      <c r="F3" s="2">
        <v>11.3171899574796</v>
      </c>
      <c r="G3" s="2">
        <v>-0.14974162729903501</v>
      </c>
      <c r="H3" s="3">
        <v>5959347869.0600004</v>
      </c>
      <c r="I3" s="3">
        <v>0</v>
      </c>
      <c r="J3" s="2">
        <v>3.448</v>
      </c>
      <c r="K3" s="2">
        <v>3.4013849559797902</v>
      </c>
      <c r="L3" s="2">
        <v>-4.66</v>
      </c>
      <c r="M3" s="2">
        <v>63.98</v>
      </c>
      <c r="N3" s="3">
        <v>0</v>
      </c>
      <c r="P3" s="1"/>
    </row>
    <row r="4" spans="1:16" x14ac:dyDescent="0.25">
      <c r="A4" s="1">
        <v>42491</v>
      </c>
      <c r="B4" s="2">
        <v>3.5</v>
      </c>
      <c r="C4" s="2">
        <v>3.4626301994862398</v>
      </c>
      <c r="D4" s="2">
        <v>9.0492553697518403</v>
      </c>
      <c r="E4" s="2">
        <v>0.55641452998071395</v>
      </c>
      <c r="F4" s="2">
        <v>16.025180196161699</v>
      </c>
      <c r="G4" s="2">
        <v>1.9995657393548999E-2</v>
      </c>
      <c r="H4" s="3">
        <v>66245941674.739998</v>
      </c>
      <c r="I4" s="3">
        <v>1191935961.1400001</v>
      </c>
      <c r="J4" s="2">
        <v>3.448</v>
      </c>
      <c r="K4" s="2">
        <v>3.5448654579072998</v>
      </c>
      <c r="L4" s="2">
        <v>9.68</v>
      </c>
      <c r="M4" s="2">
        <v>63.98</v>
      </c>
      <c r="N4" s="3">
        <v>0</v>
      </c>
      <c r="P4" s="1"/>
    </row>
    <row r="5" spans="1:16" x14ac:dyDescent="0.25">
      <c r="A5" s="1">
        <v>42491</v>
      </c>
      <c r="B5" s="2">
        <v>3.625</v>
      </c>
      <c r="C5" s="2">
        <v>3.5598257875015098</v>
      </c>
      <c r="D5" s="2">
        <v>10.671392482017501</v>
      </c>
      <c r="E5" s="2">
        <v>0.74036689268225497</v>
      </c>
      <c r="F5" s="2">
        <v>20.204684438727</v>
      </c>
      <c r="G5" s="2">
        <v>0.121124332298056</v>
      </c>
      <c r="H5" s="3">
        <v>241367917013.29999</v>
      </c>
      <c r="I5" s="3">
        <v>3491099016.6100001</v>
      </c>
      <c r="J5" s="2">
        <v>3.448</v>
      </c>
      <c r="K5" s="2">
        <v>3.6737985447965298</v>
      </c>
      <c r="L5" s="2">
        <v>22.57</v>
      </c>
      <c r="M5" s="2">
        <v>63.98</v>
      </c>
      <c r="N5" s="3">
        <v>0</v>
      </c>
      <c r="P5" s="1"/>
    </row>
    <row r="6" spans="1:16" x14ac:dyDescent="0.25">
      <c r="A6" s="1">
        <v>42491</v>
      </c>
      <c r="B6" s="2">
        <v>3.75</v>
      </c>
      <c r="C6" s="2">
        <v>3.6842254109958299</v>
      </c>
      <c r="D6" s="2">
        <v>10.812479973934201</v>
      </c>
      <c r="E6" s="2">
        <v>2.18231704299559</v>
      </c>
      <c r="F6" s="2">
        <v>25.4408731711416</v>
      </c>
      <c r="G6" s="2">
        <v>0.219424857377363</v>
      </c>
      <c r="H6" s="3">
        <v>155114377512.44</v>
      </c>
      <c r="I6" s="3">
        <v>1797216805.1900001</v>
      </c>
      <c r="J6" s="2">
        <v>3.448</v>
      </c>
      <c r="K6" s="2">
        <v>3.7726994463815302</v>
      </c>
      <c r="L6" s="2">
        <v>32.46</v>
      </c>
      <c r="M6" s="2">
        <v>63.98</v>
      </c>
      <c r="N6" s="3">
        <v>0</v>
      </c>
    </row>
    <row r="7" spans="1:16" x14ac:dyDescent="0.25">
      <c r="A7" s="1">
        <v>42491</v>
      </c>
      <c r="B7" s="2">
        <v>3.875</v>
      </c>
      <c r="C7" s="2">
        <v>3.8055258974882999</v>
      </c>
      <c r="D7" s="2">
        <v>12.406599073579001</v>
      </c>
      <c r="E7" s="2">
        <v>6.5204489902161002</v>
      </c>
      <c r="F7" s="2">
        <v>37.4527505784257</v>
      </c>
      <c r="G7" s="2">
        <v>0.28325552187587499</v>
      </c>
      <c r="H7" s="3">
        <v>143674635331.82999</v>
      </c>
      <c r="I7" s="3">
        <v>2697182752.8299999</v>
      </c>
      <c r="J7" s="2">
        <v>3.448</v>
      </c>
      <c r="K7" s="2">
        <v>3.8402296243875602</v>
      </c>
      <c r="L7" s="2">
        <v>39.22</v>
      </c>
      <c r="M7" s="2">
        <v>63.98</v>
      </c>
      <c r="N7" s="3">
        <v>19803680006.302601</v>
      </c>
    </row>
    <row r="8" spans="1:16" x14ac:dyDescent="0.25">
      <c r="A8" s="1">
        <v>42491</v>
      </c>
      <c r="B8" s="2">
        <v>4</v>
      </c>
      <c r="C8" s="2">
        <v>3.9483709741736499</v>
      </c>
      <c r="D8" s="2">
        <v>12.872664276837501</v>
      </c>
      <c r="E8" s="2">
        <v>2.7943343280497501</v>
      </c>
      <c r="F8" s="2">
        <v>35.196358274794797</v>
      </c>
      <c r="G8" s="2">
        <v>0.473663377974542</v>
      </c>
      <c r="H8" s="3">
        <v>273009215911.20001</v>
      </c>
      <c r="I8" s="3">
        <v>113695942034.49001</v>
      </c>
      <c r="J8" s="2">
        <v>3.448</v>
      </c>
      <c r="K8" s="2">
        <v>4.0127924038008898</v>
      </c>
      <c r="L8" s="2">
        <v>56.47</v>
      </c>
      <c r="M8" s="2">
        <v>63.98</v>
      </c>
      <c r="N8" s="3">
        <v>273009215911.20001</v>
      </c>
    </row>
    <row r="9" spans="1:16" x14ac:dyDescent="0.25">
      <c r="A9" s="1">
        <v>42491</v>
      </c>
      <c r="B9" s="2">
        <v>4.125</v>
      </c>
      <c r="C9" s="2">
        <v>4.0626611491159199</v>
      </c>
      <c r="D9" s="2">
        <v>15.064044774469799</v>
      </c>
      <c r="E9" s="2">
        <v>6.9025748450732101</v>
      </c>
      <c r="F9" s="2">
        <v>51.242664322970903</v>
      </c>
      <c r="G9" s="2">
        <v>0.52866918760246195</v>
      </c>
      <c r="H9" s="3">
        <v>274873747937.59</v>
      </c>
      <c r="I9" s="3">
        <v>172808736026.01999</v>
      </c>
      <c r="J9" s="2">
        <v>3.448</v>
      </c>
      <c r="K9" s="2">
        <v>4.0785080384865298</v>
      </c>
      <c r="L9" s="2">
        <v>63.05</v>
      </c>
      <c r="M9" s="2">
        <v>63.98</v>
      </c>
      <c r="N9" s="3">
        <v>274873747937.59</v>
      </c>
    </row>
    <row r="10" spans="1:16" x14ac:dyDescent="0.25">
      <c r="A10" s="1">
        <v>42491</v>
      </c>
      <c r="B10" s="2">
        <v>4.25</v>
      </c>
      <c r="C10" s="2">
        <v>4.1824249064236598</v>
      </c>
      <c r="D10" s="2">
        <v>18.018723642562701</v>
      </c>
      <c r="E10" s="2">
        <v>10.550923190459899</v>
      </c>
      <c r="F10" s="2">
        <v>60.011089541014201</v>
      </c>
      <c r="G10" s="2">
        <v>0.61957518709216297</v>
      </c>
      <c r="H10" s="3">
        <v>301132079657.91998</v>
      </c>
      <c r="I10" s="3">
        <v>265563812249.73001</v>
      </c>
      <c r="J10" s="2">
        <v>3.448</v>
      </c>
      <c r="K10" s="2">
        <v>4.17465028066849</v>
      </c>
      <c r="L10" s="2">
        <v>72.66</v>
      </c>
      <c r="M10" s="2">
        <v>63.98</v>
      </c>
      <c r="N10" s="3">
        <v>301132079657.91998</v>
      </c>
    </row>
    <row r="11" spans="1:16" x14ac:dyDescent="0.25">
      <c r="A11" s="1">
        <v>42491</v>
      </c>
      <c r="B11" s="2">
        <v>4.375</v>
      </c>
      <c r="C11" s="2">
        <v>4.3054287836939</v>
      </c>
      <c r="D11" s="2">
        <v>16.456497054587299</v>
      </c>
      <c r="E11" s="2">
        <v>6.3236824979092701</v>
      </c>
      <c r="F11" s="2">
        <v>57.457102203651203</v>
      </c>
      <c r="G11" s="2">
        <v>0.77561417375155495</v>
      </c>
      <c r="H11" s="3">
        <v>123191674298.61</v>
      </c>
      <c r="I11" s="3">
        <v>114097771561</v>
      </c>
      <c r="J11" s="2">
        <v>3.448</v>
      </c>
      <c r="K11" s="2">
        <v>4.3326853900576499</v>
      </c>
      <c r="L11" s="2">
        <v>88.46</v>
      </c>
      <c r="M11" s="2">
        <v>63.98</v>
      </c>
      <c r="N11" s="3">
        <v>123191674298.61</v>
      </c>
    </row>
    <row r="12" spans="1:16" x14ac:dyDescent="0.25">
      <c r="A12" s="1">
        <v>42491</v>
      </c>
      <c r="B12" s="2">
        <v>4.5</v>
      </c>
      <c r="C12" s="2">
        <v>4.4372815492634201</v>
      </c>
      <c r="D12" s="2">
        <v>14.363318962745099</v>
      </c>
      <c r="E12" s="2">
        <v>4.5498939264773401</v>
      </c>
      <c r="F12" s="2">
        <v>52.389494238670302</v>
      </c>
      <c r="G12" s="2">
        <v>0.91694206402942802</v>
      </c>
      <c r="H12" s="3">
        <v>212556538204.28</v>
      </c>
      <c r="I12" s="3">
        <v>204635861349.20999</v>
      </c>
      <c r="J12" s="2">
        <v>3.448</v>
      </c>
      <c r="K12" s="2">
        <v>4.4671605147660003</v>
      </c>
      <c r="L12" s="2">
        <v>101.91</v>
      </c>
      <c r="M12" s="2">
        <v>63.98</v>
      </c>
      <c r="N12" s="3">
        <v>212556538204.28</v>
      </c>
    </row>
    <row r="13" spans="1:16" x14ac:dyDescent="0.25">
      <c r="A13" s="1">
        <v>42491</v>
      </c>
      <c r="B13" s="2">
        <v>4.625</v>
      </c>
      <c r="C13" s="2">
        <v>4.5589477753027401</v>
      </c>
      <c r="D13" s="2">
        <v>17.990905248124498</v>
      </c>
      <c r="E13" s="2">
        <v>7.1858781132307596</v>
      </c>
      <c r="F13" s="2">
        <v>73.5404279148146</v>
      </c>
      <c r="G13" s="2">
        <v>0.99564697686464099</v>
      </c>
      <c r="H13" s="3">
        <v>225916560392.85999</v>
      </c>
      <c r="I13" s="3">
        <v>218762905850.04999</v>
      </c>
      <c r="J13" s="2">
        <v>3.448</v>
      </c>
      <c r="K13" s="2">
        <v>4.5491992015619003</v>
      </c>
      <c r="L13" s="2">
        <v>110.11</v>
      </c>
      <c r="M13" s="2">
        <v>63.98</v>
      </c>
      <c r="N13" s="3">
        <v>225916560392.85999</v>
      </c>
    </row>
    <row r="14" spans="1:16" x14ac:dyDescent="0.25">
      <c r="A14" s="1">
        <v>42491</v>
      </c>
      <c r="B14" s="2">
        <v>4.75</v>
      </c>
      <c r="C14" s="2">
        <v>4.6720665767194198</v>
      </c>
      <c r="D14" s="2">
        <v>21.600556275019599</v>
      </c>
      <c r="E14" s="2">
        <v>10.031555898272501</v>
      </c>
      <c r="F14" s="2">
        <v>105.55340808090401</v>
      </c>
      <c r="G14" s="2">
        <v>1.0363730602846299</v>
      </c>
      <c r="H14" s="3">
        <v>144047357178.29001</v>
      </c>
      <c r="I14" s="3">
        <v>140359362906.76999</v>
      </c>
      <c r="J14" s="2">
        <v>3.448</v>
      </c>
      <c r="K14" s="2">
        <v>4.6018064835652099</v>
      </c>
      <c r="L14" s="2">
        <v>115.38</v>
      </c>
      <c r="M14" s="2">
        <v>63.98</v>
      </c>
      <c r="N14" s="3">
        <v>144047357178.29001</v>
      </c>
    </row>
    <row r="15" spans="1:16" x14ac:dyDescent="0.25">
      <c r="A15" s="1">
        <v>42491</v>
      </c>
      <c r="B15" s="2">
        <v>4.875</v>
      </c>
      <c r="C15" s="2">
        <v>4.8214420100022597</v>
      </c>
      <c r="D15" s="2">
        <v>12.175261950829899</v>
      </c>
      <c r="E15" s="2">
        <v>4.1836207412032103</v>
      </c>
      <c r="F15" s="2">
        <v>65.374113958381301</v>
      </c>
      <c r="G15" s="2">
        <v>1.25042313720257</v>
      </c>
      <c r="H15" s="3">
        <v>80267207796.449997</v>
      </c>
      <c r="I15" s="3">
        <v>79372220577.589996</v>
      </c>
      <c r="J15" s="2">
        <v>3.448</v>
      </c>
      <c r="K15" s="2">
        <v>4.7914811272003099</v>
      </c>
      <c r="L15" s="2">
        <v>134.34</v>
      </c>
      <c r="M15" s="2">
        <v>63.98</v>
      </c>
      <c r="N15" s="3">
        <v>80267207796.449997</v>
      </c>
    </row>
    <row r="16" spans="1:16" x14ac:dyDescent="0.25">
      <c r="A16" s="1">
        <v>42491</v>
      </c>
      <c r="B16" s="2">
        <v>5</v>
      </c>
      <c r="C16" s="2">
        <v>4.9252683331950102</v>
      </c>
      <c r="D16" s="2">
        <v>8.6233108415032191</v>
      </c>
      <c r="E16" s="2">
        <v>1.5106974586390101</v>
      </c>
      <c r="F16" s="2">
        <v>39.069220405230197</v>
      </c>
      <c r="G16" s="2">
        <v>1.41122141601058</v>
      </c>
      <c r="H16" s="3">
        <v>164051787460.04001</v>
      </c>
      <c r="I16" s="3">
        <v>163545292760.84</v>
      </c>
      <c r="J16" s="2">
        <v>3.448</v>
      </c>
      <c r="K16" s="2">
        <v>4.9734530828155599</v>
      </c>
      <c r="L16" s="2">
        <v>152.54</v>
      </c>
      <c r="M16" s="2">
        <v>63.98</v>
      </c>
      <c r="N16" s="3">
        <v>164051787460.04001</v>
      </c>
    </row>
    <row r="17" spans="1:14" x14ac:dyDescent="0.25">
      <c r="A17" s="1">
        <v>42491</v>
      </c>
      <c r="B17" s="2">
        <v>5.125</v>
      </c>
      <c r="C17" s="2">
        <v>5.0508364130673202</v>
      </c>
      <c r="D17" s="2">
        <v>10.847850134382499</v>
      </c>
      <c r="E17" s="2">
        <v>5.1352261969399304</v>
      </c>
      <c r="F17" s="2">
        <v>83.959854602793698</v>
      </c>
      <c r="G17" s="2">
        <v>1.41056301593476</v>
      </c>
      <c r="H17" s="3">
        <v>39000504906.629997</v>
      </c>
      <c r="I17" s="3">
        <v>38542562697.779999</v>
      </c>
      <c r="J17" s="2">
        <v>3.448</v>
      </c>
      <c r="K17" s="2">
        <v>4.9722266028674396</v>
      </c>
      <c r="L17" s="2">
        <v>152.41999999999999</v>
      </c>
      <c r="M17" s="2">
        <v>63.98</v>
      </c>
      <c r="N17" s="3">
        <v>39000504906.629997</v>
      </c>
    </row>
    <row r="18" spans="1:14" x14ac:dyDescent="0.25">
      <c r="A18" s="1">
        <v>42491</v>
      </c>
      <c r="B18" s="2">
        <v>5.25</v>
      </c>
      <c r="C18" s="2">
        <v>5.1770785778176496</v>
      </c>
      <c r="D18" s="2">
        <v>16.7406563832192</v>
      </c>
      <c r="E18" s="2">
        <v>8.1633818143955406</v>
      </c>
      <c r="F18" s="2">
        <v>127.233605609401</v>
      </c>
      <c r="G18" s="2">
        <v>1.45726730948238</v>
      </c>
      <c r="H18" s="3">
        <v>22650462595.939999</v>
      </c>
      <c r="I18" s="3">
        <v>22343009734.310001</v>
      </c>
      <c r="J18" s="2">
        <v>3.448</v>
      </c>
      <c r="K18" s="2">
        <v>5.0176887316647303</v>
      </c>
      <c r="L18" s="2">
        <v>156.96</v>
      </c>
      <c r="M18" s="2">
        <v>63.98</v>
      </c>
      <c r="N18" s="3">
        <v>22650462595.939999</v>
      </c>
    </row>
    <row r="19" spans="1:14" x14ac:dyDescent="0.25">
      <c r="A19" s="1">
        <v>42491</v>
      </c>
      <c r="B19" s="2">
        <v>5.375</v>
      </c>
      <c r="C19" s="2">
        <v>5.3283310584558796</v>
      </c>
      <c r="D19" s="2">
        <v>7.7643899678732202</v>
      </c>
      <c r="E19" s="2">
        <v>1.92834452447019</v>
      </c>
      <c r="F19" s="2">
        <v>55.904036993398599</v>
      </c>
      <c r="G19" s="2">
        <v>1.7594314204064101</v>
      </c>
      <c r="H19" s="3">
        <v>50120673870.43</v>
      </c>
      <c r="I19" s="3">
        <v>50043349258.449997</v>
      </c>
      <c r="J19" s="2">
        <v>3.448</v>
      </c>
      <c r="K19" s="2">
        <v>5.2936003619505296</v>
      </c>
      <c r="L19" s="2">
        <v>184.56</v>
      </c>
      <c r="M19" s="2">
        <v>63.98</v>
      </c>
      <c r="N19" s="3">
        <v>50120673870.43</v>
      </c>
    </row>
    <row r="20" spans="1:14" x14ac:dyDescent="0.25">
      <c r="A20" s="1">
        <v>42491</v>
      </c>
      <c r="B20" s="2">
        <v>5.5</v>
      </c>
      <c r="C20" s="2">
        <v>5.4215330761070799</v>
      </c>
      <c r="D20" s="2">
        <v>6.7943452625652796</v>
      </c>
      <c r="E20" s="2">
        <v>1.33125901768674</v>
      </c>
      <c r="F20" s="2">
        <v>46.994335323394502</v>
      </c>
      <c r="G20" s="2">
        <v>1.87117810024737</v>
      </c>
      <c r="H20" s="3">
        <v>54311359764.089996</v>
      </c>
      <c r="I20" s="3">
        <v>54294771421.190002</v>
      </c>
      <c r="J20" s="2">
        <v>3.448</v>
      </c>
      <c r="K20" s="2">
        <v>5.4371450241402899</v>
      </c>
      <c r="L20" s="2">
        <v>198.91</v>
      </c>
      <c r="M20" s="2">
        <v>63.98</v>
      </c>
      <c r="N20" s="3">
        <v>54311359764.089996</v>
      </c>
    </row>
    <row r="21" spans="1:14" x14ac:dyDescent="0.25">
      <c r="A21" s="1">
        <v>42491</v>
      </c>
      <c r="B21" s="2">
        <v>5.625</v>
      </c>
      <c r="C21" s="2">
        <v>5.5539871177134099</v>
      </c>
      <c r="D21" s="2">
        <v>7.0791371739508602</v>
      </c>
      <c r="E21" s="2">
        <v>0.602783422078213</v>
      </c>
      <c r="F21" s="2">
        <v>22.336344034968999</v>
      </c>
      <c r="G21" s="2">
        <v>2.0754097951447199</v>
      </c>
      <c r="H21" s="3">
        <v>25741455477.93</v>
      </c>
      <c r="I21" s="3">
        <v>25730576097.689999</v>
      </c>
      <c r="J21" s="2">
        <v>3.448</v>
      </c>
      <c r="K21" s="2">
        <v>5.6339226774312996</v>
      </c>
      <c r="L21" s="2">
        <v>218.59</v>
      </c>
      <c r="M21" s="2">
        <v>63.98</v>
      </c>
      <c r="N21" s="3">
        <v>25741455477.93</v>
      </c>
    </row>
    <row r="22" spans="1:14" x14ac:dyDescent="0.25">
      <c r="A22" s="1">
        <v>42491</v>
      </c>
      <c r="B22" s="2">
        <v>5.75</v>
      </c>
      <c r="C22" s="2">
        <v>5.6752205072517601</v>
      </c>
      <c r="D22" s="2">
        <v>8.2843538796621292</v>
      </c>
      <c r="E22" s="2">
        <v>0.341224692260653</v>
      </c>
      <c r="F22" s="2">
        <v>19.640342119939401</v>
      </c>
      <c r="G22" s="2">
        <v>2.2180509438259399</v>
      </c>
      <c r="H22" s="3">
        <v>14312840637.35</v>
      </c>
      <c r="I22" s="3">
        <v>14309934477.57</v>
      </c>
      <c r="J22" s="2">
        <v>3.448</v>
      </c>
      <c r="K22" s="2">
        <v>5.7803304365741601</v>
      </c>
      <c r="L22" s="2">
        <v>233.23</v>
      </c>
      <c r="M22" s="2">
        <v>63.98</v>
      </c>
      <c r="N22" s="3">
        <v>14312840637.35</v>
      </c>
    </row>
    <row r="23" spans="1:14" x14ac:dyDescent="0.25">
      <c r="A23" s="1">
        <v>42491</v>
      </c>
      <c r="B23" s="2">
        <v>5.875</v>
      </c>
      <c r="C23" s="2">
        <v>5.8104342927767503</v>
      </c>
      <c r="D23" s="2">
        <v>7.79902319851276</v>
      </c>
      <c r="E23" s="2">
        <v>0.40440047414136399</v>
      </c>
      <c r="F23" s="2">
        <v>26.367257809672999</v>
      </c>
      <c r="G23" s="2">
        <v>2.33096237549629</v>
      </c>
      <c r="H23" s="3">
        <v>25210498300.18</v>
      </c>
      <c r="I23" s="3">
        <v>25209915139.849998</v>
      </c>
      <c r="J23" s="2">
        <v>3.448</v>
      </c>
      <c r="K23" s="2">
        <v>5.8830280827195303</v>
      </c>
      <c r="L23" s="2">
        <v>243.5</v>
      </c>
      <c r="M23" s="2">
        <v>63.98</v>
      </c>
      <c r="N23" s="3">
        <v>25210498300.18</v>
      </c>
    </row>
    <row r="24" spans="1:14" x14ac:dyDescent="0.25">
      <c r="A24" s="1">
        <v>42491</v>
      </c>
      <c r="B24" s="2">
        <v>6</v>
      </c>
      <c r="C24" s="2">
        <v>5.9250800440537397</v>
      </c>
      <c r="D24" s="2">
        <v>9.1625051236037294</v>
      </c>
      <c r="E24" s="2">
        <v>0.15951864337407201</v>
      </c>
      <c r="F24" s="2">
        <v>20.042793756986399</v>
      </c>
      <c r="G24" s="2">
        <v>2.4775029244636002</v>
      </c>
      <c r="H24" s="3">
        <v>45203511122.410004</v>
      </c>
      <c r="I24" s="3">
        <v>45203511122.410004</v>
      </c>
      <c r="J24" s="2">
        <v>3.448</v>
      </c>
      <c r="K24" s="2">
        <v>6.0399228804098302</v>
      </c>
      <c r="L24" s="2">
        <v>259.19</v>
      </c>
      <c r="M24" s="2">
        <v>63.98</v>
      </c>
      <c r="N24" s="3">
        <v>45203511122.410004</v>
      </c>
    </row>
    <row r="25" spans="1:14" x14ac:dyDescent="0.25">
      <c r="A25" s="1">
        <v>42491</v>
      </c>
      <c r="B25" s="2">
        <v>6.125</v>
      </c>
      <c r="C25" s="2">
        <v>6.0445482778816304</v>
      </c>
      <c r="D25" s="2">
        <v>11.203994255301399</v>
      </c>
      <c r="E25" s="2">
        <v>3.7372636147184002E-2</v>
      </c>
      <c r="F25" s="2">
        <v>20.338708860073702</v>
      </c>
      <c r="G25" s="2">
        <v>2.6178677219229902</v>
      </c>
      <c r="H25" s="3">
        <v>20307788762.040001</v>
      </c>
      <c r="I25" s="3">
        <v>20307788762.040001</v>
      </c>
      <c r="J25" s="2">
        <v>3.448</v>
      </c>
      <c r="K25" s="2">
        <v>6.1858194440413499</v>
      </c>
      <c r="L25" s="2">
        <v>273.77999999999997</v>
      </c>
      <c r="M25" s="2">
        <v>63.98</v>
      </c>
      <c r="N25" s="3">
        <v>20307788762.040001</v>
      </c>
    </row>
    <row r="26" spans="1:14" x14ac:dyDescent="0.25">
      <c r="A26" s="1">
        <v>42491</v>
      </c>
      <c r="B26" s="2">
        <v>6.25</v>
      </c>
      <c r="C26" s="2">
        <v>6.1766065407874402</v>
      </c>
      <c r="D26" s="2">
        <v>12.9584094881521</v>
      </c>
      <c r="E26" s="2">
        <v>1.30134394154253E-2</v>
      </c>
      <c r="F26" s="2">
        <v>22.019230149915298</v>
      </c>
      <c r="G26" s="2">
        <v>2.7635124259000401</v>
      </c>
      <c r="H26" s="3">
        <v>12242948128.389999</v>
      </c>
      <c r="I26" s="3">
        <v>12242948128.389999</v>
      </c>
      <c r="J26" s="2">
        <v>3.448</v>
      </c>
      <c r="K26" s="2">
        <v>6.3244058851125704</v>
      </c>
      <c r="L26" s="2">
        <v>287.64</v>
      </c>
      <c r="M26" s="2">
        <v>63.98</v>
      </c>
      <c r="N26" s="3">
        <v>12242948128.389999</v>
      </c>
    </row>
    <row r="27" spans="1:14" x14ac:dyDescent="0.25">
      <c r="A27" s="1">
        <v>42491</v>
      </c>
      <c r="B27" s="2">
        <v>6.375</v>
      </c>
      <c r="C27" s="2">
        <v>6.3007229856673002</v>
      </c>
      <c r="D27" s="2">
        <v>13.6148517229626</v>
      </c>
      <c r="E27" s="2">
        <v>2.5634645647985E-2</v>
      </c>
      <c r="F27" s="2">
        <v>25.6057917713065</v>
      </c>
      <c r="G27" s="2">
        <v>2.8851006770122098</v>
      </c>
      <c r="H27" s="3">
        <v>14298319556.559999</v>
      </c>
      <c r="I27" s="3">
        <v>14298319556.559999</v>
      </c>
      <c r="J27" s="2">
        <v>3.448</v>
      </c>
      <c r="K27" s="2">
        <v>6.4468776913448798</v>
      </c>
      <c r="L27" s="2">
        <v>299.88</v>
      </c>
      <c r="M27" s="2">
        <v>63.98</v>
      </c>
      <c r="N27" s="3">
        <v>14298319556.559999</v>
      </c>
    </row>
    <row r="28" spans="1:14" x14ac:dyDescent="0.25">
      <c r="A28" s="1">
        <v>42491</v>
      </c>
      <c r="B28" s="2">
        <v>6.5</v>
      </c>
      <c r="C28" s="2">
        <v>6.4295896493301203</v>
      </c>
      <c r="D28" s="2">
        <v>16.7898062766652</v>
      </c>
      <c r="E28" s="2">
        <v>1.98046351596784E-2</v>
      </c>
      <c r="F28" s="2">
        <v>27.038375567859799</v>
      </c>
      <c r="G28" s="2">
        <v>3.0421937268255199</v>
      </c>
      <c r="H28" s="3">
        <v>23691555100.689999</v>
      </c>
      <c r="I28" s="3">
        <v>23690435755.139999</v>
      </c>
      <c r="J28" s="2">
        <v>3.448</v>
      </c>
      <c r="K28" s="2">
        <v>6.6001040774954003</v>
      </c>
      <c r="L28" s="2">
        <v>315.20999999999998</v>
      </c>
      <c r="M28" s="2">
        <v>63.98</v>
      </c>
      <c r="N28" s="3">
        <v>23691555100.689999</v>
      </c>
    </row>
    <row r="29" spans="1:14" x14ac:dyDescent="0.25">
      <c r="A29" s="1">
        <v>42491</v>
      </c>
      <c r="B29" s="2">
        <v>6.625</v>
      </c>
      <c r="C29" s="2">
        <v>6.5488607847007003</v>
      </c>
      <c r="D29" s="2">
        <v>17.7112667892224</v>
      </c>
      <c r="E29" s="2">
        <v>4.0007781405775201E-3</v>
      </c>
      <c r="F29" s="2">
        <v>25.888487626443698</v>
      </c>
      <c r="G29" s="2">
        <v>3.1737122257454198</v>
      </c>
      <c r="H29" s="3">
        <v>17261423989.029999</v>
      </c>
      <c r="I29" s="3">
        <v>17261423989.029999</v>
      </c>
      <c r="J29" s="2">
        <v>3.448</v>
      </c>
      <c r="K29" s="2">
        <v>6.7373514410446997</v>
      </c>
      <c r="L29" s="2">
        <v>328.93</v>
      </c>
      <c r="M29" s="2">
        <v>63.98</v>
      </c>
      <c r="N29" s="3">
        <v>17261423989.029999</v>
      </c>
    </row>
    <row r="30" spans="1:14" x14ac:dyDescent="0.25">
      <c r="A30" s="1">
        <v>42491</v>
      </c>
      <c r="B30" s="2">
        <v>6.75</v>
      </c>
      <c r="C30" s="2">
        <v>6.6752348198064499</v>
      </c>
      <c r="D30" s="2">
        <v>18.414857695018</v>
      </c>
      <c r="E30" s="2">
        <v>0</v>
      </c>
      <c r="F30" s="2">
        <v>26.384116718425499</v>
      </c>
      <c r="G30" s="2">
        <v>3.3059231049605899</v>
      </c>
      <c r="H30" s="3">
        <v>10516541459.610001</v>
      </c>
      <c r="I30" s="3">
        <v>10516541459.610001</v>
      </c>
      <c r="J30" s="2">
        <v>3.448</v>
      </c>
      <c r="K30" s="2">
        <v>6.8681882851541101</v>
      </c>
      <c r="L30" s="2">
        <v>342.01</v>
      </c>
      <c r="M30" s="2">
        <v>63.98</v>
      </c>
      <c r="N30" s="3">
        <v>10516541459.610001</v>
      </c>
    </row>
    <row r="31" spans="1:14" x14ac:dyDescent="0.25">
      <c r="A31" s="1">
        <v>42491</v>
      </c>
      <c r="B31" s="2">
        <v>6.875</v>
      </c>
      <c r="C31" s="2">
        <v>6.8025542627627802</v>
      </c>
      <c r="D31" s="2">
        <v>20.039352302890698</v>
      </c>
      <c r="E31" s="2">
        <v>1.35788802596366E-2</v>
      </c>
      <c r="F31" s="2">
        <v>31.135272353785901</v>
      </c>
      <c r="G31" s="2">
        <v>3.4374738161046698</v>
      </c>
      <c r="H31" s="3">
        <v>8377600662.1999998</v>
      </c>
      <c r="I31" s="3">
        <v>8377600662.1999998</v>
      </c>
      <c r="J31" s="2">
        <v>3.448</v>
      </c>
      <c r="K31" s="2">
        <v>6.9974195533418397</v>
      </c>
      <c r="L31" s="2">
        <v>354.94</v>
      </c>
      <c r="M31" s="2">
        <v>63.98</v>
      </c>
      <c r="N31" s="3">
        <v>8377600662.1999998</v>
      </c>
    </row>
    <row r="32" spans="1:14" x14ac:dyDescent="0.25">
      <c r="A32" s="1">
        <v>42491</v>
      </c>
      <c r="B32" s="2">
        <v>7</v>
      </c>
      <c r="C32" s="2">
        <v>6.9199031892723903</v>
      </c>
      <c r="D32" s="2">
        <v>19.581304101296201</v>
      </c>
      <c r="E32" s="2">
        <v>1.69182175823997E-3</v>
      </c>
      <c r="F32" s="2">
        <v>29.573230633140401</v>
      </c>
      <c r="G32" s="2">
        <v>3.5542662354849401</v>
      </c>
      <c r="H32" s="3">
        <v>10801906536.809999</v>
      </c>
      <c r="I32" s="3">
        <v>10801906536.809999</v>
      </c>
      <c r="J32" s="2">
        <v>3.448</v>
      </c>
      <c r="K32" s="2">
        <v>7.1218630462125203</v>
      </c>
      <c r="L32" s="2">
        <v>367.38</v>
      </c>
      <c r="M32" s="2">
        <v>63.98</v>
      </c>
      <c r="N32" s="3">
        <v>10801906536.809999</v>
      </c>
    </row>
    <row r="33" spans="1:14" x14ac:dyDescent="0.25">
      <c r="A33" s="1">
        <v>42491</v>
      </c>
      <c r="B33" s="2">
        <v>7.125</v>
      </c>
      <c r="C33" s="2">
        <v>7.0454242091586199</v>
      </c>
      <c r="D33" s="2">
        <v>21.9468885501533</v>
      </c>
      <c r="E33" s="2">
        <v>0</v>
      </c>
      <c r="F33" s="2">
        <v>27.151141683074201</v>
      </c>
      <c r="G33" s="2">
        <v>3.70951524045251</v>
      </c>
      <c r="H33" s="3">
        <v>5732445173.1800003</v>
      </c>
      <c r="I33" s="3">
        <v>5732445173.1800003</v>
      </c>
      <c r="J33" s="2">
        <v>3.448</v>
      </c>
      <c r="K33" s="2">
        <v>7.2765910312938402</v>
      </c>
      <c r="L33" s="2">
        <v>382.85</v>
      </c>
      <c r="M33" s="2">
        <v>63.98</v>
      </c>
      <c r="N33" s="3">
        <v>5732445173.1800003</v>
      </c>
    </row>
    <row r="34" spans="1:14" x14ac:dyDescent="0.25">
      <c r="A34" s="1">
        <v>42491</v>
      </c>
      <c r="B34" s="2">
        <v>7.25</v>
      </c>
      <c r="C34" s="2">
        <v>7.1693509131980599</v>
      </c>
      <c r="D34" s="2">
        <v>24.066704010536899</v>
      </c>
      <c r="E34" s="2">
        <v>0</v>
      </c>
      <c r="F34" s="2">
        <v>30.395750306508301</v>
      </c>
      <c r="G34" s="2">
        <v>3.84652857753724</v>
      </c>
      <c r="H34" s="3">
        <v>2696725995.3099999</v>
      </c>
      <c r="I34" s="3">
        <v>2696725995.3099999</v>
      </c>
      <c r="J34" s="2">
        <v>3.448</v>
      </c>
      <c r="K34" s="2">
        <v>7.4146776643390897</v>
      </c>
      <c r="L34" s="2">
        <v>396.66</v>
      </c>
      <c r="M34" s="2">
        <v>63.98</v>
      </c>
      <c r="N34" s="3">
        <v>2696725995.3099999</v>
      </c>
    </row>
    <row r="35" spans="1:14" x14ac:dyDescent="0.25">
      <c r="A35" s="1">
        <v>42491</v>
      </c>
      <c r="B35" s="2">
        <v>7.375</v>
      </c>
      <c r="C35" s="2">
        <v>7.2939650557917401</v>
      </c>
      <c r="D35" s="2">
        <v>22.088804912986301</v>
      </c>
      <c r="E35" s="2">
        <v>8.4724012840601305E-3</v>
      </c>
      <c r="F35" s="2">
        <v>34.061046096526098</v>
      </c>
      <c r="G35" s="2">
        <v>3.9421157656675598</v>
      </c>
      <c r="H35" s="3">
        <v>2591590578.4000001</v>
      </c>
      <c r="I35" s="3">
        <v>2591590578.4000001</v>
      </c>
      <c r="J35" s="2">
        <v>3.448</v>
      </c>
      <c r="K35" s="2">
        <v>7.5106507098756996</v>
      </c>
      <c r="L35" s="2">
        <v>406.26</v>
      </c>
      <c r="M35" s="2">
        <v>63.98</v>
      </c>
      <c r="N35" s="3">
        <v>2591590578.4000001</v>
      </c>
    </row>
    <row r="36" spans="1:14" x14ac:dyDescent="0.25">
      <c r="A36" s="1">
        <v>42491</v>
      </c>
      <c r="B36" s="2">
        <v>7.5</v>
      </c>
      <c r="C36" s="2">
        <v>7.4220959638230104</v>
      </c>
      <c r="D36" s="2">
        <v>20.702783098905101</v>
      </c>
      <c r="E36" s="2">
        <v>2.0022684255999498E-2</v>
      </c>
      <c r="F36" s="2">
        <v>34.057546708325198</v>
      </c>
      <c r="G36" s="2">
        <v>4.0562797011987701</v>
      </c>
      <c r="H36" s="3">
        <v>2802764223.0799999</v>
      </c>
      <c r="I36" s="3">
        <v>2802764223.0799999</v>
      </c>
      <c r="J36" s="2">
        <v>3.448</v>
      </c>
      <c r="K36" s="2">
        <v>7.6216837373756698</v>
      </c>
      <c r="L36" s="2">
        <v>417.36</v>
      </c>
      <c r="M36" s="2">
        <v>63.98</v>
      </c>
      <c r="N36" s="3">
        <v>2802764223.0799999</v>
      </c>
    </row>
    <row r="37" spans="1:14" x14ac:dyDescent="0.25">
      <c r="A37" s="1">
        <v>42491</v>
      </c>
      <c r="B37" s="2">
        <v>7.625</v>
      </c>
      <c r="C37" s="2">
        <v>7.5438285049375198</v>
      </c>
      <c r="D37" s="2">
        <v>22.649318148413599</v>
      </c>
      <c r="E37" s="2">
        <v>0</v>
      </c>
      <c r="F37" s="2">
        <v>29.773766851771999</v>
      </c>
      <c r="G37" s="2">
        <v>4.2083872692923503</v>
      </c>
      <c r="H37" s="3">
        <v>2156022138.73</v>
      </c>
      <c r="I37" s="3">
        <v>2156022138.73</v>
      </c>
      <c r="J37" s="2">
        <v>3.448</v>
      </c>
      <c r="K37" s="2">
        <v>7.7770587643546998</v>
      </c>
      <c r="L37" s="2">
        <v>432.9</v>
      </c>
      <c r="M37" s="2">
        <v>63.98</v>
      </c>
      <c r="N37" s="3">
        <v>2156022138.73</v>
      </c>
    </row>
    <row r="38" spans="1:14" x14ac:dyDescent="0.25">
      <c r="A38" s="1">
        <v>42491</v>
      </c>
      <c r="B38" s="2">
        <v>7.75</v>
      </c>
      <c r="C38" s="2">
        <v>7.6739434447732302</v>
      </c>
      <c r="D38" s="2">
        <v>23.483161106495398</v>
      </c>
      <c r="E38" s="2">
        <v>0</v>
      </c>
      <c r="F38" s="2">
        <v>28.0487386842894</v>
      </c>
      <c r="G38" s="2">
        <v>4.3511532091275402</v>
      </c>
      <c r="H38" s="3">
        <v>1566313011.9100001</v>
      </c>
      <c r="I38" s="3">
        <v>1566313011.9100001</v>
      </c>
      <c r="J38" s="2">
        <v>3.448</v>
      </c>
      <c r="K38" s="2">
        <v>7.9147097643542299</v>
      </c>
      <c r="L38" s="2">
        <v>446.67</v>
      </c>
      <c r="M38" s="2">
        <v>63.98</v>
      </c>
      <c r="N38" s="3">
        <v>1566313011.9100001</v>
      </c>
    </row>
    <row r="39" spans="1:14" x14ac:dyDescent="0.25">
      <c r="A39" s="1">
        <v>42491</v>
      </c>
      <c r="B39" s="2">
        <v>7.875</v>
      </c>
      <c r="C39" s="2">
        <v>8.2231335899743101</v>
      </c>
      <c r="D39" s="2">
        <v>23.308499387660099</v>
      </c>
      <c r="E39" s="2">
        <v>0</v>
      </c>
      <c r="F39" s="2">
        <v>24.075785596165598</v>
      </c>
      <c r="G39" s="2">
        <v>4.9085291198608303</v>
      </c>
      <c r="H39" s="3">
        <v>5401953585.3400002</v>
      </c>
      <c r="I39" s="3">
        <v>5401953585.3400002</v>
      </c>
      <c r="J39" s="2">
        <v>3.448</v>
      </c>
      <c r="K39" s="2">
        <v>8.0478955298861798</v>
      </c>
      <c r="L39" s="2">
        <v>459.98</v>
      </c>
      <c r="M39" s="2">
        <v>63.98</v>
      </c>
      <c r="N39" s="3">
        <v>5401953585.3400002</v>
      </c>
    </row>
    <row r="41" spans="1:14" x14ac:dyDescent="0.25">
      <c r="H41" s="3">
        <f>SUM(H2:H39)</f>
        <v>2838841249679.2212</v>
      </c>
      <c r="I41" s="3">
        <f>SUM(I2:I39)</f>
        <v>1898142249153.3201</v>
      </c>
      <c r="N41" s="3">
        <f>SUM(N2:N39)</f>
        <v>2235847054419.7827</v>
      </c>
    </row>
    <row r="43" spans="1:14" x14ac:dyDescent="0.25">
      <c r="H43" s="3" t="s">
        <v>21</v>
      </c>
      <c r="I43" s="7">
        <f>I41/H41*100</f>
        <v>66.863275618804082</v>
      </c>
      <c r="M43" s="2" t="s">
        <v>22</v>
      </c>
      <c r="N43" s="2">
        <f>N41/H41*100</f>
        <v>78.759143529861888</v>
      </c>
    </row>
    <row r="44" spans="1:14" x14ac:dyDescent="0.25">
      <c r="H44" s="3" t="s">
        <v>20</v>
      </c>
      <c r="I44" s="2">
        <f>I43-'db check'!I18</f>
        <v>-7.0314658131565011E-6</v>
      </c>
      <c r="M44" s="2" t="s">
        <v>23</v>
      </c>
      <c r="N44" s="2">
        <f>N43-'db check'!I18</f>
        <v>11.895860879591993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workbookViewId="0">
      <selection activeCell="O54" sqref="O54"/>
    </sheetView>
  </sheetViews>
  <sheetFormatPr defaultRowHeight="15" x14ac:dyDescent="0.25"/>
  <cols>
    <col min="10" max="10" width="12" bestFit="1" customWidth="1"/>
  </cols>
  <sheetData>
    <row r="1" spans="1:16" x14ac:dyDescent="0.25">
      <c r="A1" t="s">
        <v>0</v>
      </c>
      <c r="B1" s="2"/>
      <c r="C1" s="2" t="s">
        <v>2</v>
      </c>
      <c r="D1" s="2" t="s">
        <v>3</v>
      </c>
      <c r="E1" s="2" t="s">
        <v>4</v>
      </c>
      <c r="F1" s="2" t="s">
        <v>5</v>
      </c>
      <c r="G1" s="2" t="s">
        <v>13</v>
      </c>
      <c r="H1" s="3" t="s">
        <v>6</v>
      </c>
      <c r="I1" s="3" t="s">
        <v>27</v>
      </c>
      <c r="J1" s="2" t="s">
        <v>24</v>
      </c>
      <c r="K1" s="2" t="s">
        <v>8</v>
      </c>
      <c r="L1" s="2" t="s">
        <v>9</v>
      </c>
      <c r="M1" s="2" t="s">
        <v>14</v>
      </c>
      <c r="N1" s="2"/>
      <c r="O1" s="3" t="s">
        <v>26</v>
      </c>
      <c r="P1" s="2" t="s">
        <v>25</v>
      </c>
    </row>
    <row r="2" spans="1:16" x14ac:dyDescent="0.25">
      <c r="A2" s="1">
        <v>42491</v>
      </c>
      <c r="B2" s="2">
        <v>3.25</v>
      </c>
      <c r="C2" s="2">
        <v>3.1418297648001499</v>
      </c>
      <c r="D2" s="2">
        <v>8.3673118151201802</v>
      </c>
      <c r="E2" s="2">
        <v>1.0310979537246601</v>
      </c>
      <c r="F2" s="2">
        <v>11.702398914206</v>
      </c>
      <c r="G2" s="2">
        <f>'From Calculation'!G2*100</f>
        <v>-30.156409387140997</v>
      </c>
      <c r="H2" s="3">
        <v>10435655864.370001</v>
      </c>
      <c r="I2" s="3">
        <v>499796.87</v>
      </c>
      <c r="J2" s="2">
        <f>I2/H2*100</f>
        <v>4.7893192004005644E-3</v>
      </c>
      <c r="K2" s="2">
        <v>3.448</v>
      </c>
      <c r="L2" s="2">
        <v>3.2941061413284398</v>
      </c>
      <c r="M2" s="2">
        <v>-15.38</v>
      </c>
      <c r="N2" s="2"/>
      <c r="O2" s="3">
        <v>0</v>
      </c>
      <c r="P2">
        <f>O2/H2*100</f>
        <v>0</v>
      </c>
    </row>
    <row r="3" spans="1:16" x14ac:dyDescent="0.25">
      <c r="A3" s="1">
        <v>42491</v>
      </c>
      <c r="B3" s="2">
        <v>3.375</v>
      </c>
      <c r="C3" s="2">
        <v>3.3113734167211599</v>
      </c>
      <c r="D3" s="2">
        <v>5.8397085705470904</v>
      </c>
      <c r="E3" s="2">
        <v>0.37191548319726297</v>
      </c>
      <c r="F3" s="2">
        <v>11.3171899574796</v>
      </c>
      <c r="G3" s="2">
        <f>'From Calculation'!G3*100</f>
        <v>-14.974162729903501</v>
      </c>
      <c r="H3" s="3">
        <v>5959347869.0600004</v>
      </c>
      <c r="I3" s="3">
        <v>0</v>
      </c>
      <c r="J3" s="2">
        <f t="shared" ref="J3:J39" si="0">I3/H3*100</f>
        <v>0</v>
      </c>
      <c r="K3" s="2">
        <v>3.448</v>
      </c>
      <c r="L3" s="2">
        <v>3.4013849559797902</v>
      </c>
      <c r="M3" s="2">
        <v>-4.66</v>
      </c>
      <c r="N3" s="2"/>
      <c r="O3" s="3">
        <v>0</v>
      </c>
      <c r="P3">
        <f t="shared" ref="P3:P39" si="1">O3/H3*100</f>
        <v>0</v>
      </c>
    </row>
    <row r="4" spans="1:16" x14ac:dyDescent="0.25">
      <c r="A4" s="1">
        <v>42491</v>
      </c>
      <c r="B4" s="2">
        <v>3.5</v>
      </c>
      <c r="C4" s="2">
        <v>3.4626301994862398</v>
      </c>
      <c r="D4" s="2">
        <v>9.0492553697518403</v>
      </c>
      <c r="E4" s="2">
        <v>0.55641452998071395</v>
      </c>
      <c r="F4" s="2">
        <v>16.025180196161699</v>
      </c>
      <c r="G4" s="2">
        <f>'From Calculation'!G4*100</f>
        <v>1.9995657393549</v>
      </c>
      <c r="H4" s="3">
        <v>66245941674.739998</v>
      </c>
      <c r="I4" s="3">
        <v>1191935961.1400001</v>
      </c>
      <c r="J4" s="2">
        <f t="shared" si="0"/>
        <v>1.7992588391184314</v>
      </c>
      <c r="K4" s="2">
        <v>3.448</v>
      </c>
      <c r="L4" s="2">
        <v>3.5448654579072998</v>
      </c>
      <c r="M4" s="2">
        <v>9.68</v>
      </c>
      <c r="N4" s="2"/>
      <c r="O4" s="3">
        <v>0</v>
      </c>
      <c r="P4">
        <f t="shared" si="1"/>
        <v>0</v>
      </c>
    </row>
    <row r="5" spans="1:16" x14ac:dyDescent="0.25">
      <c r="A5" s="1">
        <v>42491</v>
      </c>
      <c r="B5" s="2">
        <v>3.625</v>
      </c>
      <c r="C5" s="2">
        <v>3.5598257875015098</v>
      </c>
      <c r="D5" s="2">
        <v>10.671392482017501</v>
      </c>
      <c r="E5" s="2">
        <v>0.74036689268225497</v>
      </c>
      <c r="F5" s="2">
        <v>20.204684438727</v>
      </c>
      <c r="G5" s="2">
        <f>'From Calculation'!G5*100</f>
        <v>12.1124332298056</v>
      </c>
      <c r="H5" s="3">
        <v>241367917013.29999</v>
      </c>
      <c r="I5" s="3">
        <v>3491099016.6100001</v>
      </c>
      <c r="J5" s="2">
        <f t="shared" si="0"/>
        <v>1.4463807202751109</v>
      </c>
      <c r="K5" s="2">
        <v>3.448</v>
      </c>
      <c r="L5" s="2">
        <v>3.6737985447965298</v>
      </c>
      <c r="M5" s="2">
        <v>22.57</v>
      </c>
      <c r="N5" s="2"/>
      <c r="O5" s="3">
        <v>0</v>
      </c>
      <c r="P5">
        <f t="shared" si="1"/>
        <v>0</v>
      </c>
    </row>
    <row r="6" spans="1:16" x14ac:dyDescent="0.25">
      <c r="A6" s="1">
        <v>42491</v>
      </c>
      <c r="B6" s="2">
        <v>3.75</v>
      </c>
      <c r="C6" s="2">
        <v>3.6842254109958299</v>
      </c>
      <c r="D6" s="2">
        <v>10.812479973934201</v>
      </c>
      <c r="E6" s="2">
        <v>2.18231704299559</v>
      </c>
      <c r="F6" s="2">
        <v>25.4408731711416</v>
      </c>
      <c r="G6" s="2">
        <f>'From Calculation'!G6*100</f>
        <v>21.942485737736302</v>
      </c>
      <c r="H6" s="3">
        <v>155114377512.44</v>
      </c>
      <c r="I6" s="3">
        <v>1797216805.1900001</v>
      </c>
      <c r="J6" s="2">
        <f t="shared" si="0"/>
        <v>1.1586397302505793</v>
      </c>
      <c r="K6" s="2">
        <v>3.448</v>
      </c>
      <c r="L6" s="2">
        <v>3.7726994463815302</v>
      </c>
      <c r="M6" s="2">
        <v>32.46</v>
      </c>
      <c r="N6" s="2"/>
      <c r="O6" s="3">
        <v>0</v>
      </c>
      <c r="P6">
        <f t="shared" si="1"/>
        <v>0</v>
      </c>
    </row>
    <row r="7" spans="1:16" x14ac:dyDescent="0.25">
      <c r="A7" s="1">
        <v>42491</v>
      </c>
      <c r="B7" s="2">
        <v>3.875</v>
      </c>
      <c r="C7" s="2">
        <v>3.8055258974882999</v>
      </c>
      <c r="D7" s="2">
        <v>12.406599073579001</v>
      </c>
      <c r="E7" s="2">
        <v>6.5204489902161002</v>
      </c>
      <c r="F7" s="2">
        <v>37.4527505784257</v>
      </c>
      <c r="G7" s="2">
        <f>'From Calculation'!G7*100</f>
        <v>28.325552187587498</v>
      </c>
      <c r="H7" s="3">
        <v>143674635331.82999</v>
      </c>
      <c r="I7" s="3">
        <v>2697182752.8299999</v>
      </c>
      <c r="J7" s="2">
        <f t="shared" si="0"/>
        <v>1.8772852609652391</v>
      </c>
      <c r="K7" s="2">
        <v>3.448</v>
      </c>
      <c r="L7" s="2">
        <v>3.8402296243875602</v>
      </c>
      <c r="M7" s="2">
        <v>39.22</v>
      </c>
      <c r="N7" s="2"/>
      <c r="O7" s="3">
        <v>19803680006.302601</v>
      </c>
      <c r="P7">
        <f t="shared" si="1"/>
        <v>13.783699510052106</v>
      </c>
    </row>
    <row r="8" spans="1:16" x14ac:dyDescent="0.25">
      <c r="A8" s="1">
        <v>42491</v>
      </c>
      <c r="B8" s="2">
        <v>4</v>
      </c>
      <c r="C8" s="2">
        <v>3.9483709741736499</v>
      </c>
      <c r="D8" s="2">
        <v>12.872664276837501</v>
      </c>
      <c r="E8" s="2">
        <v>2.7943343280497501</v>
      </c>
      <c r="F8" s="2">
        <v>35.196358274794797</v>
      </c>
      <c r="G8" s="2">
        <f>'From Calculation'!G8*100</f>
        <v>47.3663377974542</v>
      </c>
      <c r="H8" s="3">
        <v>273009215911.20001</v>
      </c>
      <c r="I8" s="3">
        <v>113695942034.49001</v>
      </c>
      <c r="J8" s="2">
        <f t="shared" si="0"/>
        <v>41.645459350160237</v>
      </c>
      <c r="K8" s="2">
        <v>3.448</v>
      </c>
      <c r="L8" s="2">
        <v>4.0127924038008898</v>
      </c>
      <c r="M8" s="2">
        <v>56.47</v>
      </c>
      <c r="N8" s="2"/>
      <c r="O8" s="3">
        <v>273009215911.20001</v>
      </c>
      <c r="P8">
        <f t="shared" si="1"/>
        <v>100</v>
      </c>
    </row>
    <row r="9" spans="1:16" x14ac:dyDescent="0.25">
      <c r="A9" s="1">
        <v>42491</v>
      </c>
      <c r="B9" s="2">
        <v>4.125</v>
      </c>
      <c r="C9" s="2">
        <v>4.0626611491159199</v>
      </c>
      <c r="D9" s="2">
        <v>15.064044774469799</v>
      </c>
      <c r="E9" s="2">
        <v>6.9025748450732101</v>
      </c>
      <c r="F9" s="2">
        <v>51.242664322970903</v>
      </c>
      <c r="G9" s="2">
        <f>'From Calculation'!G9*100</f>
        <v>52.866918760246193</v>
      </c>
      <c r="H9" s="3">
        <v>274873747937.59</v>
      </c>
      <c r="I9" s="3">
        <v>172808736026.01999</v>
      </c>
      <c r="J9" s="2">
        <f t="shared" si="0"/>
        <v>62.86840315694905</v>
      </c>
      <c r="K9" s="2">
        <v>3.448</v>
      </c>
      <c r="L9" s="2">
        <v>4.0785080384865298</v>
      </c>
      <c r="M9" s="2">
        <v>63.05</v>
      </c>
      <c r="N9" s="2"/>
      <c r="O9" s="3">
        <v>274873747937.59</v>
      </c>
      <c r="P9">
        <f t="shared" si="1"/>
        <v>100</v>
      </c>
    </row>
    <row r="10" spans="1:16" x14ac:dyDescent="0.25">
      <c r="A10" s="1">
        <v>42491</v>
      </c>
      <c r="B10" s="2">
        <v>4.25</v>
      </c>
      <c r="C10" s="2">
        <v>4.1824249064236598</v>
      </c>
      <c r="D10" s="2">
        <v>18.018723642562701</v>
      </c>
      <c r="E10" s="2">
        <v>10.550923190459899</v>
      </c>
      <c r="F10" s="2">
        <v>60.011089541014201</v>
      </c>
      <c r="G10" s="2">
        <f>'From Calculation'!G10*100</f>
        <v>61.957518709216295</v>
      </c>
      <c r="H10" s="3">
        <v>301132079657.91998</v>
      </c>
      <c r="I10" s="3">
        <v>265563812249.73001</v>
      </c>
      <c r="J10" s="2">
        <f t="shared" si="0"/>
        <v>88.188482791805242</v>
      </c>
      <c r="K10" s="2">
        <v>3.448</v>
      </c>
      <c r="L10" s="2">
        <v>4.17465028066849</v>
      </c>
      <c r="M10" s="2">
        <v>72.66</v>
      </c>
      <c r="N10" s="2"/>
      <c r="O10" s="3">
        <v>301132079657.91998</v>
      </c>
      <c r="P10">
        <f t="shared" si="1"/>
        <v>100</v>
      </c>
    </row>
    <row r="11" spans="1:16" x14ac:dyDescent="0.25">
      <c r="A11" s="1">
        <v>42491</v>
      </c>
      <c r="B11" s="2">
        <v>4.375</v>
      </c>
      <c r="C11" s="2">
        <v>4.3054287836939</v>
      </c>
      <c r="D11" s="2">
        <v>16.456497054587299</v>
      </c>
      <c r="E11" s="2">
        <v>6.3236824979092701</v>
      </c>
      <c r="F11" s="2">
        <v>57.457102203651203</v>
      </c>
      <c r="G11" s="2">
        <f>'From Calculation'!G11*100</f>
        <v>77.5614173751555</v>
      </c>
      <c r="H11" s="3">
        <v>123191674298.61</v>
      </c>
      <c r="I11" s="3">
        <v>114097771561</v>
      </c>
      <c r="J11" s="2">
        <f t="shared" si="0"/>
        <v>92.618086579806629</v>
      </c>
      <c r="K11" s="2">
        <v>3.448</v>
      </c>
      <c r="L11" s="2">
        <v>4.3326853900576499</v>
      </c>
      <c r="M11" s="2">
        <v>88.46</v>
      </c>
      <c r="N11" s="2"/>
      <c r="O11" s="3">
        <v>123191674298.61</v>
      </c>
      <c r="P11">
        <f t="shared" si="1"/>
        <v>100</v>
      </c>
    </row>
    <row r="12" spans="1:16" x14ac:dyDescent="0.25">
      <c r="A12" s="1">
        <v>42491</v>
      </c>
      <c r="B12" s="2">
        <v>4.5</v>
      </c>
      <c r="C12" s="2">
        <v>4.4372815492634201</v>
      </c>
      <c r="D12" s="2">
        <v>14.363318962745099</v>
      </c>
      <c r="E12" s="2">
        <v>4.5498939264773401</v>
      </c>
      <c r="F12" s="2">
        <v>52.389494238670302</v>
      </c>
      <c r="G12" s="2">
        <f>'From Calculation'!G12*100</f>
        <v>91.694206402942797</v>
      </c>
      <c r="H12" s="3">
        <v>212556538204.28</v>
      </c>
      <c r="I12" s="3">
        <v>204635861349.20999</v>
      </c>
      <c r="J12" s="2">
        <f t="shared" si="0"/>
        <v>96.273614106634653</v>
      </c>
      <c r="K12" s="2">
        <v>3.448</v>
      </c>
      <c r="L12" s="2">
        <v>4.4671605147660003</v>
      </c>
      <c r="M12" s="2">
        <v>101.91</v>
      </c>
      <c r="N12" s="2"/>
      <c r="O12" s="3">
        <v>212556538204.28</v>
      </c>
      <c r="P12">
        <f t="shared" si="1"/>
        <v>100</v>
      </c>
    </row>
    <row r="13" spans="1:16" x14ac:dyDescent="0.25">
      <c r="A13" s="1">
        <v>42491</v>
      </c>
      <c r="B13" s="2">
        <v>4.625</v>
      </c>
      <c r="C13" s="2">
        <v>4.5589477753027401</v>
      </c>
      <c r="D13" s="2">
        <v>17.990905248124498</v>
      </c>
      <c r="E13" s="2">
        <v>7.1858781132307596</v>
      </c>
      <c r="F13" s="2">
        <v>73.5404279148146</v>
      </c>
      <c r="G13" s="2">
        <f>'From Calculation'!G13*100</f>
        <v>99.5646976864641</v>
      </c>
      <c r="H13" s="3">
        <v>225916560392.85999</v>
      </c>
      <c r="I13" s="3">
        <v>218762905850.04999</v>
      </c>
      <c r="J13" s="2">
        <f t="shared" si="0"/>
        <v>96.833497052907475</v>
      </c>
      <c r="K13" s="2">
        <v>3.448</v>
      </c>
      <c r="L13" s="2">
        <v>4.5491992015619003</v>
      </c>
      <c r="M13" s="2">
        <v>110.11</v>
      </c>
      <c r="N13" s="2"/>
      <c r="O13" s="3">
        <v>225916560392.85999</v>
      </c>
      <c r="P13">
        <f t="shared" si="1"/>
        <v>100</v>
      </c>
    </row>
    <row r="14" spans="1:16" x14ac:dyDescent="0.25">
      <c r="A14" s="1">
        <v>42491</v>
      </c>
      <c r="B14" s="2">
        <v>4.75</v>
      </c>
      <c r="C14" s="2">
        <v>4.6720665767194198</v>
      </c>
      <c r="D14" s="2">
        <v>21.600556275019599</v>
      </c>
      <c r="E14" s="2">
        <v>10.031555898272501</v>
      </c>
      <c r="F14" s="2">
        <v>105.55340808090401</v>
      </c>
      <c r="G14" s="2">
        <f>'From Calculation'!G14*100</f>
        <v>103.637306028463</v>
      </c>
      <c r="H14" s="3">
        <v>144047357178.29001</v>
      </c>
      <c r="I14" s="3">
        <v>140359362906.76999</v>
      </c>
      <c r="J14" s="2">
        <f t="shared" si="0"/>
        <v>97.439734859588341</v>
      </c>
      <c r="K14" s="2">
        <v>3.448</v>
      </c>
      <c r="L14" s="2">
        <v>4.6018064835652099</v>
      </c>
      <c r="M14" s="2">
        <v>115.38</v>
      </c>
      <c r="N14" s="2"/>
      <c r="O14" s="3">
        <v>144047357178.29001</v>
      </c>
      <c r="P14">
        <f t="shared" si="1"/>
        <v>100</v>
      </c>
    </row>
    <row r="15" spans="1:16" x14ac:dyDescent="0.25">
      <c r="A15" s="1">
        <v>42491</v>
      </c>
      <c r="B15" s="2">
        <v>4.875</v>
      </c>
      <c r="C15" s="2">
        <v>4.8214420100022597</v>
      </c>
      <c r="D15" s="2">
        <v>12.175261950829899</v>
      </c>
      <c r="E15" s="2">
        <v>4.1836207412032103</v>
      </c>
      <c r="F15" s="2">
        <v>65.374113958381301</v>
      </c>
      <c r="G15" s="2">
        <f>'From Calculation'!G15*100</f>
        <v>125.042313720257</v>
      </c>
      <c r="H15" s="3">
        <v>80267207796.449997</v>
      </c>
      <c r="I15" s="3">
        <v>79372220577.589996</v>
      </c>
      <c r="J15" s="2">
        <f t="shared" si="0"/>
        <v>98.884990217761654</v>
      </c>
      <c r="K15" s="2">
        <v>3.448</v>
      </c>
      <c r="L15" s="2">
        <v>4.7914811272003099</v>
      </c>
      <c r="M15" s="2">
        <v>134.34</v>
      </c>
      <c r="N15" s="2"/>
      <c r="O15" s="3">
        <v>80267207796.449997</v>
      </c>
      <c r="P15">
        <f t="shared" si="1"/>
        <v>100</v>
      </c>
    </row>
    <row r="16" spans="1:16" x14ac:dyDescent="0.25">
      <c r="A16" s="1">
        <v>42491</v>
      </c>
      <c r="B16" s="2">
        <v>5</v>
      </c>
      <c r="C16" s="2">
        <v>4.9252683331950102</v>
      </c>
      <c r="D16" s="2">
        <v>8.6233108415032191</v>
      </c>
      <c r="E16" s="2">
        <v>1.5106974586390101</v>
      </c>
      <c r="F16" s="2">
        <v>39.069220405230197</v>
      </c>
      <c r="G16" s="2">
        <f>'From Calculation'!G16*100</f>
        <v>141.12214160105799</v>
      </c>
      <c r="H16" s="3">
        <v>164051787460.04001</v>
      </c>
      <c r="I16" s="3">
        <v>163545292760.84</v>
      </c>
      <c r="J16" s="2">
        <f t="shared" si="0"/>
        <v>99.691259262064804</v>
      </c>
      <c r="K16" s="2">
        <v>3.448</v>
      </c>
      <c r="L16" s="2">
        <v>4.9734530828155599</v>
      </c>
      <c r="M16" s="2">
        <v>152.54</v>
      </c>
      <c r="N16" s="2"/>
      <c r="O16" s="3">
        <v>164051787460.04001</v>
      </c>
      <c r="P16">
        <f t="shared" si="1"/>
        <v>100</v>
      </c>
    </row>
    <row r="17" spans="1:16" x14ac:dyDescent="0.25">
      <c r="A17" s="1">
        <v>42491</v>
      </c>
      <c r="B17" s="2">
        <v>5.125</v>
      </c>
      <c r="C17" s="2">
        <v>5.0508364130673202</v>
      </c>
      <c r="D17" s="2">
        <v>10.847850134382499</v>
      </c>
      <c r="E17" s="2">
        <v>5.1352261969399304</v>
      </c>
      <c r="F17" s="2">
        <v>83.959854602793698</v>
      </c>
      <c r="G17" s="2">
        <f>'From Calculation'!G17*100</f>
        <v>141.05630159347601</v>
      </c>
      <c r="H17" s="3">
        <v>39000504906.629997</v>
      </c>
      <c r="I17" s="3">
        <v>38542562697.779999</v>
      </c>
      <c r="J17" s="2">
        <f t="shared" si="0"/>
        <v>98.825804409593303</v>
      </c>
      <c r="K17" s="2">
        <v>3.448</v>
      </c>
      <c r="L17" s="2">
        <v>4.9722266028674396</v>
      </c>
      <c r="M17" s="2">
        <v>152.41999999999999</v>
      </c>
      <c r="N17" s="2"/>
      <c r="O17" s="3">
        <v>39000504906.629997</v>
      </c>
      <c r="P17">
        <f t="shared" si="1"/>
        <v>100</v>
      </c>
    </row>
    <row r="18" spans="1:16" x14ac:dyDescent="0.25">
      <c r="A18" s="1">
        <v>42491</v>
      </c>
      <c r="B18" s="2">
        <v>5.25</v>
      </c>
      <c r="C18" s="2">
        <v>5.1770785778176496</v>
      </c>
      <c r="D18" s="2">
        <v>16.7406563832192</v>
      </c>
      <c r="E18" s="2">
        <v>8.1633818143955406</v>
      </c>
      <c r="F18" s="2">
        <v>127.233605609401</v>
      </c>
      <c r="G18" s="2">
        <f>'From Calculation'!G18*100</f>
        <v>145.72673094823801</v>
      </c>
      <c r="H18" s="3">
        <v>22650462595.939999</v>
      </c>
      <c r="I18" s="3">
        <v>22343009734.310001</v>
      </c>
      <c r="J18" s="2">
        <f t="shared" si="0"/>
        <v>98.642619945055316</v>
      </c>
      <c r="K18" s="2">
        <v>3.448</v>
      </c>
      <c r="L18" s="2">
        <v>5.0176887316647303</v>
      </c>
      <c r="M18" s="2">
        <v>156.96</v>
      </c>
      <c r="N18" s="2"/>
      <c r="O18" s="3">
        <v>22650462595.939999</v>
      </c>
      <c r="P18">
        <f t="shared" si="1"/>
        <v>100</v>
      </c>
    </row>
    <row r="19" spans="1:16" x14ac:dyDescent="0.25">
      <c r="A19" s="1">
        <v>42491</v>
      </c>
      <c r="B19" s="2">
        <v>5.375</v>
      </c>
      <c r="C19" s="2">
        <v>5.3283310584558796</v>
      </c>
      <c r="D19" s="2">
        <v>7.7643899678732202</v>
      </c>
      <c r="E19" s="2">
        <v>1.92834452447019</v>
      </c>
      <c r="F19" s="2">
        <v>55.904036993398599</v>
      </c>
      <c r="G19" s="2">
        <f>'From Calculation'!G19*100</f>
        <v>175.94314204064102</v>
      </c>
      <c r="H19" s="3">
        <v>50120673870.43</v>
      </c>
      <c r="I19" s="3">
        <v>50043349258.449997</v>
      </c>
      <c r="J19" s="2">
        <f t="shared" si="0"/>
        <v>99.845723119805001</v>
      </c>
      <c r="K19" s="2">
        <v>3.448</v>
      </c>
      <c r="L19" s="2">
        <v>5.2936003619505296</v>
      </c>
      <c r="M19" s="2">
        <v>184.56</v>
      </c>
      <c r="N19" s="2"/>
      <c r="O19" s="3">
        <v>50120673870.43</v>
      </c>
      <c r="P19">
        <f t="shared" si="1"/>
        <v>100</v>
      </c>
    </row>
    <row r="20" spans="1:16" x14ac:dyDescent="0.25">
      <c r="A20" s="1">
        <v>42491</v>
      </c>
      <c r="B20" s="2">
        <v>5.5</v>
      </c>
      <c r="C20" s="2">
        <v>5.4215330761070799</v>
      </c>
      <c r="D20" s="2">
        <v>6.7943452625652796</v>
      </c>
      <c r="E20" s="2">
        <v>1.33125901768674</v>
      </c>
      <c r="F20" s="2">
        <v>46.994335323394502</v>
      </c>
      <c r="G20" s="2">
        <f>'From Calculation'!G20*100</f>
        <v>187.117810024737</v>
      </c>
      <c r="H20" s="3">
        <v>54311359764.089996</v>
      </c>
      <c r="I20" s="3">
        <v>54294771421.190002</v>
      </c>
      <c r="J20" s="2">
        <f t="shared" si="0"/>
        <v>99.969456955281458</v>
      </c>
      <c r="K20" s="2">
        <v>3.448</v>
      </c>
      <c r="L20" s="2">
        <v>5.4371450241402899</v>
      </c>
      <c r="M20" s="2">
        <v>198.91</v>
      </c>
      <c r="N20" s="2"/>
      <c r="O20" s="3">
        <v>54311359764.089996</v>
      </c>
      <c r="P20">
        <f t="shared" si="1"/>
        <v>100</v>
      </c>
    </row>
    <row r="21" spans="1:16" x14ac:dyDescent="0.25">
      <c r="A21" s="1">
        <v>42491</v>
      </c>
      <c r="B21" s="2">
        <v>5.625</v>
      </c>
      <c r="C21" s="2">
        <v>5.5539871177134099</v>
      </c>
      <c r="D21" s="2">
        <v>7.0791371739508602</v>
      </c>
      <c r="E21" s="2">
        <v>0.602783422078213</v>
      </c>
      <c r="F21" s="2">
        <v>22.336344034968999</v>
      </c>
      <c r="G21" s="2">
        <f>'From Calculation'!G21*100</f>
        <v>207.54097951447199</v>
      </c>
      <c r="H21" s="3">
        <v>25741455477.93</v>
      </c>
      <c r="I21" s="3">
        <v>25730576097.689999</v>
      </c>
      <c r="J21" s="2">
        <f t="shared" si="0"/>
        <v>99.957735955337384</v>
      </c>
      <c r="K21" s="2">
        <v>3.448</v>
      </c>
      <c r="L21" s="2">
        <v>5.6339226774312996</v>
      </c>
      <c r="M21" s="2">
        <v>218.59</v>
      </c>
      <c r="N21" s="2"/>
      <c r="O21" s="3">
        <v>25741455477.93</v>
      </c>
      <c r="P21">
        <f t="shared" si="1"/>
        <v>100</v>
      </c>
    </row>
    <row r="22" spans="1:16" x14ac:dyDescent="0.25">
      <c r="A22" s="1">
        <v>42491</v>
      </c>
      <c r="B22" s="2">
        <v>5.75</v>
      </c>
      <c r="C22" s="2">
        <v>5.6752205072517601</v>
      </c>
      <c r="D22" s="2">
        <v>8.2843538796621292</v>
      </c>
      <c r="E22" s="2">
        <v>0.341224692260653</v>
      </c>
      <c r="F22" s="2">
        <v>19.640342119939401</v>
      </c>
      <c r="G22" s="2">
        <f>'From Calculation'!G22*100</f>
        <v>221.80509438259401</v>
      </c>
      <c r="H22" s="3">
        <v>14312840637.35</v>
      </c>
      <c r="I22" s="3">
        <v>14309934477.57</v>
      </c>
      <c r="J22" s="2">
        <f t="shared" si="0"/>
        <v>99.979695436750575</v>
      </c>
      <c r="K22" s="2">
        <v>3.448</v>
      </c>
      <c r="L22" s="2">
        <v>5.7803304365741601</v>
      </c>
      <c r="M22" s="2">
        <v>233.23</v>
      </c>
      <c r="N22" s="2"/>
      <c r="O22" s="3">
        <v>14312840637.35</v>
      </c>
      <c r="P22">
        <f t="shared" si="1"/>
        <v>100</v>
      </c>
    </row>
    <row r="23" spans="1:16" x14ac:dyDescent="0.25">
      <c r="A23" s="1">
        <v>42491</v>
      </c>
      <c r="B23" s="2">
        <v>5.875</v>
      </c>
      <c r="C23" s="2">
        <v>5.8104342927767503</v>
      </c>
      <c r="D23" s="2">
        <v>7.79902319851276</v>
      </c>
      <c r="E23" s="2">
        <v>0.40440047414136399</v>
      </c>
      <c r="F23" s="2">
        <v>26.367257809672999</v>
      </c>
      <c r="G23" s="2">
        <f>'From Calculation'!G23*100</f>
        <v>233.096237549629</v>
      </c>
      <c r="H23" s="3">
        <v>25210498300.18</v>
      </c>
      <c r="I23" s="3">
        <v>25209915139.849998</v>
      </c>
      <c r="J23" s="2">
        <f t="shared" si="0"/>
        <v>99.99768683536891</v>
      </c>
      <c r="K23" s="2">
        <v>3.448</v>
      </c>
      <c r="L23" s="2">
        <v>5.8830280827195303</v>
      </c>
      <c r="M23" s="2">
        <v>243.5</v>
      </c>
      <c r="N23" s="2"/>
      <c r="O23" s="3">
        <v>25210498300.18</v>
      </c>
      <c r="P23">
        <f t="shared" si="1"/>
        <v>100</v>
      </c>
    </row>
    <row r="24" spans="1:16" x14ac:dyDescent="0.25">
      <c r="A24" s="1">
        <v>42491</v>
      </c>
      <c r="B24" s="2">
        <v>6</v>
      </c>
      <c r="C24" s="2">
        <v>5.9250800440537397</v>
      </c>
      <c r="D24" s="2">
        <v>9.1625051236037294</v>
      </c>
      <c r="E24" s="2">
        <v>0.15951864337407201</v>
      </c>
      <c r="F24" s="2">
        <v>20.042793756986399</v>
      </c>
      <c r="G24" s="2">
        <f>'From Calculation'!G24*100</f>
        <v>247.75029244636002</v>
      </c>
      <c r="H24" s="3">
        <v>45203511122.410004</v>
      </c>
      <c r="I24" s="3">
        <v>45203511122.410004</v>
      </c>
      <c r="J24" s="2">
        <f t="shared" si="0"/>
        <v>100</v>
      </c>
      <c r="K24" s="2">
        <v>3.448</v>
      </c>
      <c r="L24" s="2">
        <v>6.0399228804098302</v>
      </c>
      <c r="M24" s="2">
        <v>259.19</v>
      </c>
      <c r="N24" s="2"/>
      <c r="O24" s="3">
        <v>45203511122.410004</v>
      </c>
      <c r="P24">
        <f t="shared" si="1"/>
        <v>100</v>
      </c>
    </row>
    <row r="25" spans="1:16" x14ac:dyDescent="0.25">
      <c r="A25" s="1">
        <v>42491</v>
      </c>
      <c r="B25" s="2">
        <v>6.125</v>
      </c>
      <c r="C25" s="2">
        <v>6.0445482778816304</v>
      </c>
      <c r="D25" s="2">
        <v>11.203994255301399</v>
      </c>
      <c r="E25" s="2">
        <v>3.7372636147184002E-2</v>
      </c>
      <c r="F25" s="2">
        <v>20.338708860073702</v>
      </c>
      <c r="G25" s="2">
        <f>'From Calculation'!G25*100</f>
        <v>261.786772192299</v>
      </c>
      <c r="H25" s="3">
        <v>20307788762.040001</v>
      </c>
      <c r="I25" s="3">
        <v>20307788762.040001</v>
      </c>
      <c r="J25" s="2">
        <f t="shared" si="0"/>
        <v>100</v>
      </c>
      <c r="K25" s="2">
        <v>3.448</v>
      </c>
      <c r="L25" s="2">
        <v>6.1858194440413499</v>
      </c>
      <c r="M25" s="2">
        <v>273.77999999999997</v>
      </c>
      <c r="N25" s="2"/>
      <c r="O25" s="3">
        <v>20307788762.040001</v>
      </c>
      <c r="P25">
        <f t="shared" si="1"/>
        <v>100</v>
      </c>
    </row>
    <row r="26" spans="1:16" x14ac:dyDescent="0.25">
      <c r="A26" s="1">
        <v>42491</v>
      </c>
      <c r="B26" s="2">
        <v>6.25</v>
      </c>
      <c r="C26" s="2">
        <v>6.1766065407874402</v>
      </c>
      <c r="D26" s="2">
        <v>12.9584094881521</v>
      </c>
      <c r="E26" s="2">
        <v>1.30134394154253E-2</v>
      </c>
      <c r="F26" s="2">
        <v>22.019230149915298</v>
      </c>
      <c r="G26" s="2">
        <f>'From Calculation'!G26*100</f>
        <v>276.35124259000401</v>
      </c>
      <c r="H26" s="3">
        <v>12242948128.389999</v>
      </c>
      <c r="I26" s="3">
        <v>12242948128.389999</v>
      </c>
      <c r="J26" s="2">
        <f t="shared" si="0"/>
        <v>100</v>
      </c>
      <c r="K26" s="2">
        <v>3.448</v>
      </c>
      <c r="L26" s="2">
        <v>6.3244058851125704</v>
      </c>
      <c r="M26" s="2">
        <v>287.64</v>
      </c>
      <c r="N26" s="2"/>
      <c r="O26" s="3">
        <v>12242948128.389999</v>
      </c>
      <c r="P26">
        <f t="shared" si="1"/>
        <v>100</v>
      </c>
    </row>
    <row r="27" spans="1:16" x14ac:dyDescent="0.25">
      <c r="A27" s="1">
        <v>42491</v>
      </c>
      <c r="B27" s="2">
        <v>6.375</v>
      </c>
      <c r="C27" s="2">
        <v>6.3007229856673002</v>
      </c>
      <c r="D27" s="2">
        <v>13.6148517229626</v>
      </c>
      <c r="E27" s="2">
        <v>2.5634645647985E-2</v>
      </c>
      <c r="F27" s="2">
        <v>25.6057917713065</v>
      </c>
      <c r="G27" s="2">
        <f>'From Calculation'!G27*100</f>
        <v>288.51006770122098</v>
      </c>
      <c r="H27" s="3">
        <v>14298319556.559999</v>
      </c>
      <c r="I27" s="3">
        <v>14298319556.559999</v>
      </c>
      <c r="J27" s="2">
        <f t="shared" si="0"/>
        <v>100</v>
      </c>
      <c r="K27" s="2">
        <v>3.448</v>
      </c>
      <c r="L27" s="2">
        <v>6.4468776913448798</v>
      </c>
      <c r="M27" s="2">
        <v>299.88</v>
      </c>
      <c r="N27" s="2"/>
      <c r="O27" s="3">
        <v>14298319556.559999</v>
      </c>
      <c r="P27">
        <f t="shared" si="1"/>
        <v>100</v>
      </c>
    </row>
    <row r="28" spans="1:16" x14ac:dyDescent="0.25">
      <c r="A28" s="1">
        <v>42491</v>
      </c>
      <c r="B28" s="2">
        <v>6.5</v>
      </c>
      <c r="C28" s="2">
        <v>6.4295896493301203</v>
      </c>
      <c r="D28" s="2">
        <v>16.7898062766652</v>
      </c>
      <c r="E28" s="2">
        <v>1.98046351596784E-2</v>
      </c>
      <c r="F28" s="2">
        <v>27.038375567859799</v>
      </c>
      <c r="G28" s="2">
        <f>'From Calculation'!G28*100</f>
        <v>304.21937268255198</v>
      </c>
      <c r="H28" s="3">
        <v>23691555100.689999</v>
      </c>
      <c r="I28" s="3">
        <v>23690435755.139999</v>
      </c>
      <c r="J28" s="2">
        <f t="shared" si="0"/>
        <v>99.995275339481765</v>
      </c>
      <c r="K28" s="2">
        <v>3.448</v>
      </c>
      <c r="L28" s="2">
        <v>6.6001040774954003</v>
      </c>
      <c r="M28" s="2">
        <v>315.20999999999998</v>
      </c>
      <c r="N28" s="2"/>
      <c r="O28" s="3">
        <v>23691555100.689999</v>
      </c>
      <c r="P28">
        <f t="shared" si="1"/>
        <v>100</v>
      </c>
    </row>
    <row r="29" spans="1:16" x14ac:dyDescent="0.25">
      <c r="A29" s="1">
        <v>42491</v>
      </c>
      <c r="B29" s="2">
        <v>6.625</v>
      </c>
      <c r="C29" s="2">
        <v>6.5488607847007003</v>
      </c>
      <c r="D29" s="2">
        <v>17.7112667892224</v>
      </c>
      <c r="E29" s="2">
        <v>4.0007781405775201E-3</v>
      </c>
      <c r="F29" s="2">
        <v>25.888487626443698</v>
      </c>
      <c r="G29" s="2">
        <f>'From Calculation'!G29*100</f>
        <v>317.371222574542</v>
      </c>
      <c r="H29" s="3">
        <v>17261423989.029999</v>
      </c>
      <c r="I29" s="3">
        <v>17261423989.029999</v>
      </c>
      <c r="J29" s="2">
        <f t="shared" si="0"/>
        <v>100</v>
      </c>
      <c r="K29" s="2">
        <v>3.448</v>
      </c>
      <c r="L29" s="2">
        <v>6.7373514410446997</v>
      </c>
      <c r="M29" s="2">
        <v>328.93</v>
      </c>
      <c r="N29" s="2"/>
      <c r="O29" s="3">
        <v>17261423989.029999</v>
      </c>
      <c r="P29">
        <f t="shared" si="1"/>
        <v>100</v>
      </c>
    </row>
    <row r="30" spans="1:16" x14ac:dyDescent="0.25">
      <c r="A30" s="1">
        <v>42491</v>
      </c>
      <c r="B30" s="2">
        <v>6.75</v>
      </c>
      <c r="C30" s="2">
        <v>6.6752348198064499</v>
      </c>
      <c r="D30" s="2">
        <v>18.414857695018</v>
      </c>
      <c r="E30" s="2">
        <v>0</v>
      </c>
      <c r="F30" s="2">
        <v>26.384116718425499</v>
      </c>
      <c r="G30" s="2">
        <f>'From Calculation'!G30*100</f>
        <v>330.59231049605899</v>
      </c>
      <c r="H30" s="3">
        <v>10516541459.610001</v>
      </c>
      <c r="I30" s="3">
        <v>10516541459.610001</v>
      </c>
      <c r="J30" s="2">
        <f t="shared" si="0"/>
        <v>100</v>
      </c>
      <c r="K30" s="2">
        <v>3.448</v>
      </c>
      <c r="L30" s="2">
        <v>6.8681882851541101</v>
      </c>
      <c r="M30" s="2">
        <v>342.01</v>
      </c>
      <c r="N30" s="2"/>
      <c r="O30" s="3">
        <v>10516541459.610001</v>
      </c>
      <c r="P30">
        <f t="shared" si="1"/>
        <v>100</v>
      </c>
    </row>
    <row r="31" spans="1:16" x14ac:dyDescent="0.25">
      <c r="A31" s="1">
        <v>42491</v>
      </c>
      <c r="B31" s="2">
        <v>6.875</v>
      </c>
      <c r="C31" s="2">
        <v>6.8025542627627802</v>
      </c>
      <c r="D31" s="2">
        <v>20.039352302890698</v>
      </c>
      <c r="E31" s="2">
        <v>1.35788802596366E-2</v>
      </c>
      <c r="F31" s="2">
        <v>31.135272353785901</v>
      </c>
      <c r="G31" s="2">
        <f>'From Calculation'!G31*100</f>
        <v>343.74738161046696</v>
      </c>
      <c r="H31" s="3">
        <v>8377600662.1999998</v>
      </c>
      <c r="I31" s="3">
        <v>8377600662.1999998</v>
      </c>
      <c r="J31" s="2">
        <f t="shared" si="0"/>
        <v>100</v>
      </c>
      <c r="K31" s="2">
        <v>3.448</v>
      </c>
      <c r="L31" s="2">
        <v>6.9974195533418397</v>
      </c>
      <c r="M31" s="2">
        <v>354.94</v>
      </c>
      <c r="N31" s="2"/>
      <c r="O31" s="3">
        <v>8377600662.1999998</v>
      </c>
      <c r="P31">
        <f t="shared" si="1"/>
        <v>100</v>
      </c>
    </row>
    <row r="32" spans="1:16" x14ac:dyDescent="0.25">
      <c r="A32" s="1">
        <v>42491</v>
      </c>
      <c r="B32" s="2">
        <v>7</v>
      </c>
      <c r="C32" s="2">
        <v>6.9199031892723903</v>
      </c>
      <c r="D32" s="2">
        <v>19.581304101296201</v>
      </c>
      <c r="E32" s="2">
        <v>1.69182175823997E-3</v>
      </c>
      <c r="F32" s="2">
        <v>29.573230633140401</v>
      </c>
      <c r="G32" s="2">
        <f>'From Calculation'!G32*100</f>
        <v>355.42662354849404</v>
      </c>
      <c r="H32" s="3">
        <v>10801906536.809999</v>
      </c>
      <c r="I32" s="3">
        <v>10801906536.809999</v>
      </c>
      <c r="J32" s="2">
        <f t="shared" si="0"/>
        <v>100</v>
      </c>
      <c r="K32" s="2">
        <v>3.448</v>
      </c>
      <c r="L32" s="2">
        <v>7.1218630462125203</v>
      </c>
      <c r="M32" s="2">
        <v>367.38</v>
      </c>
      <c r="N32" s="2"/>
      <c r="O32" s="3">
        <v>10801906536.809999</v>
      </c>
      <c r="P32">
        <f t="shared" si="1"/>
        <v>100</v>
      </c>
    </row>
    <row r="33" spans="1:16" x14ac:dyDescent="0.25">
      <c r="A33" s="1">
        <v>42491</v>
      </c>
      <c r="B33" s="2">
        <v>7.125</v>
      </c>
      <c r="C33" s="2">
        <v>7.0454242091586199</v>
      </c>
      <c r="D33" s="2">
        <v>21.9468885501533</v>
      </c>
      <c r="E33" s="2">
        <v>0</v>
      </c>
      <c r="F33" s="2">
        <v>27.151141683074201</v>
      </c>
      <c r="G33" s="2">
        <f>'From Calculation'!G33*100</f>
        <v>370.95152404525101</v>
      </c>
      <c r="H33" s="3">
        <v>5732445173.1800003</v>
      </c>
      <c r="I33" s="3">
        <v>5732445173.1800003</v>
      </c>
      <c r="J33" s="2">
        <f t="shared" si="0"/>
        <v>100</v>
      </c>
      <c r="K33" s="2">
        <v>3.448</v>
      </c>
      <c r="L33" s="2">
        <v>7.2765910312938402</v>
      </c>
      <c r="M33" s="2">
        <v>382.85</v>
      </c>
      <c r="N33" s="2"/>
      <c r="O33" s="3">
        <v>5732445173.1800003</v>
      </c>
      <c r="P33">
        <f t="shared" si="1"/>
        <v>100</v>
      </c>
    </row>
    <row r="34" spans="1:16" x14ac:dyDescent="0.25">
      <c r="A34" s="1">
        <v>42491</v>
      </c>
      <c r="B34" s="2">
        <v>7.25</v>
      </c>
      <c r="C34" s="2">
        <v>7.1693509131980599</v>
      </c>
      <c r="D34" s="2">
        <v>24.066704010536899</v>
      </c>
      <c r="E34" s="2">
        <v>0</v>
      </c>
      <c r="F34" s="2">
        <v>30.395750306508301</v>
      </c>
      <c r="G34" s="2">
        <f>'From Calculation'!G34*100</f>
        <v>384.65285775372399</v>
      </c>
      <c r="H34" s="3">
        <v>2696725995.3099999</v>
      </c>
      <c r="I34" s="3">
        <v>2696725995.3099999</v>
      </c>
      <c r="J34" s="2">
        <f t="shared" si="0"/>
        <v>100</v>
      </c>
      <c r="K34" s="2">
        <v>3.448</v>
      </c>
      <c r="L34" s="2">
        <v>7.4146776643390897</v>
      </c>
      <c r="M34" s="2">
        <v>396.66</v>
      </c>
      <c r="N34" s="2"/>
      <c r="O34" s="3">
        <v>2696725995.3099999</v>
      </c>
      <c r="P34">
        <f t="shared" si="1"/>
        <v>100</v>
      </c>
    </row>
    <row r="35" spans="1:16" x14ac:dyDescent="0.25">
      <c r="A35" s="1">
        <v>42491</v>
      </c>
      <c r="B35" s="2">
        <v>7.375</v>
      </c>
      <c r="C35" s="2">
        <v>7.2939650557917401</v>
      </c>
      <c r="D35" s="2">
        <v>22.088804912986301</v>
      </c>
      <c r="E35" s="2">
        <v>8.4724012840601305E-3</v>
      </c>
      <c r="F35" s="2">
        <v>34.061046096526098</v>
      </c>
      <c r="G35" s="2">
        <f>'From Calculation'!G35*100</f>
        <v>394.21157656675598</v>
      </c>
      <c r="H35" s="3">
        <v>2591590578.4000001</v>
      </c>
      <c r="I35" s="3">
        <v>2591590578.4000001</v>
      </c>
      <c r="J35" s="2">
        <f t="shared" si="0"/>
        <v>100</v>
      </c>
      <c r="K35" s="2">
        <v>3.448</v>
      </c>
      <c r="L35" s="2">
        <v>7.5106507098756996</v>
      </c>
      <c r="M35" s="2">
        <v>406.26</v>
      </c>
      <c r="N35" s="2"/>
      <c r="O35" s="3">
        <v>2591590578.4000001</v>
      </c>
      <c r="P35">
        <f t="shared" si="1"/>
        <v>100</v>
      </c>
    </row>
    <row r="36" spans="1:16" x14ac:dyDescent="0.25">
      <c r="A36" s="1">
        <v>42491</v>
      </c>
      <c r="B36" s="2">
        <v>7.5</v>
      </c>
      <c r="C36" s="2">
        <v>7.4220959638230104</v>
      </c>
      <c r="D36" s="2">
        <v>20.702783098905101</v>
      </c>
      <c r="E36" s="2">
        <v>2.0022684255999498E-2</v>
      </c>
      <c r="F36" s="2">
        <v>34.057546708325198</v>
      </c>
      <c r="G36" s="2">
        <f>'From Calculation'!G36*100</f>
        <v>405.62797011987703</v>
      </c>
      <c r="H36" s="3">
        <v>2802764223.0799999</v>
      </c>
      <c r="I36" s="3">
        <v>2802764223.0799999</v>
      </c>
      <c r="J36" s="2">
        <f t="shared" si="0"/>
        <v>100</v>
      </c>
      <c r="K36" s="2">
        <v>3.448</v>
      </c>
      <c r="L36" s="2">
        <v>7.6216837373756698</v>
      </c>
      <c r="M36" s="2">
        <v>417.36</v>
      </c>
      <c r="N36" s="2"/>
      <c r="O36" s="3">
        <v>2802764223.0799999</v>
      </c>
      <c r="P36">
        <f t="shared" si="1"/>
        <v>100</v>
      </c>
    </row>
    <row r="37" spans="1:16" x14ac:dyDescent="0.25">
      <c r="A37" s="1">
        <v>42491</v>
      </c>
      <c r="B37" s="2">
        <v>7.625</v>
      </c>
      <c r="C37" s="2">
        <v>7.5438285049375198</v>
      </c>
      <c r="D37" s="2">
        <v>22.649318148413599</v>
      </c>
      <c r="E37" s="2">
        <v>0</v>
      </c>
      <c r="F37" s="2">
        <v>29.773766851771999</v>
      </c>
      <c r="G37" s="2">
        <f>'From Calculation'!G37*100</f>
        <v>420.83872692923501</v>
      </c>
      <c r="H37" s="3">
        <v>2156022138.73</v>
      </c>
      <c r="I37" s="3">
        <v>2156022138.73</v>
      </c>
      <c r="J37" s="2">
        <f t="shared" si="0"/>
        <v>100</v>
      </c>
      <c r="K37" s="2">
        <v>3.448</v>
      </c>
      <c r="L37" s="2">
        <v>7.7770587643546998</v>
      </c>
      <c r="M37" s="2">
        <v>432.9</v>
      </c>
      <c r="N37" s="2"/>
      <c r="O37" s="3">
        <v>2156022138.73</v>
      </c>
      <c r="P37">
        <f t="shared" si="1"/>
        <v>100</v>
      </c>
    </row>
    <row r="38" spans="1:16" x14ac:dyDescent="0.25">
      <c r="A38" s="1">
        <v>42491</v>
      </c>
      <c r="B38" s="2">
        <v>7.75</v>
      </c>
      <c r="C38" s="2">
        <v>7.6739434447732302</v>
      </c>
      <c r="D38" s="2">
        <v>23.483161106495398</v>
      </c>
      <c r="E38" s="2">
        <v>0</v>
      </c>
      <c r="F38" s="2">
        <v>28.0487386842894</v>
      </c>
      <c r="G38" s="2">
        <f>'From Calculation'!G38*100</f>
        <v>435.11532091275404</v>
      </c>
      <c r="H38" s="3">
        <v>1566313011.9100001</v>
      </c>
      <c r="I38" s="3">
        <v>1566313011.9100001</v>
      </c>
      <c r="J38" s="2">
        <f t="shared" si="0"/>
        <v>100</v>
      </c>
      <c r="K38" s="2">
        <v>3.448</v>
      </c>
      <c r="L38" s="2">
        <v>7.9147097643542299</v>
      </c>
      <c r="M38" s="2">
        <v>446.67</v>
      </c>
      <c r="N38" s="2"/>
      <c r="O38" s="3">
        <v>1566313011.9100001</v>
      </c>
      <c r="P38">
        <f t="shared" si="1"/>
        <v>100</v>
      </c>
    </row>
    <row r="39" spans="1:16" x14ac:dyDescent="0.25">
      <c r="A39" s="1">
        <v>42491</v>
      </c>
      <c r="B39" s="2">
        <v>7.875</v>
      </c>
      <c r="C39" s="2">
        <v>8.2231335899743101</v>
      </c>
      <c r="D39" s="2">
        <v>23.308499387660099</v>
      </c>
      <c r="E39" s="2">
        <v>0</v>
      </c>
      <c r="F39" s="2">
        <v>24.075785596165598</v>
      </c>
      <c r="G39" s="2">
        <f>'From Calculation'!G39*100</f>
        <v>490.85291198608303</v>
      </c>
      <c r="H39" s="3">
        <v>5401953585.3400002</v>
      </c>
      <c r="I39" s="3">
        <v>5401953585.3400002</v>
      </c>
      <c r="J39" s="2">
        <f t="shared" si="0"/>
        <v>100</v>
      </c>
      <c r="K39" s="2">
        <v>3.448</v>
      </c>
      <c r="L39" s="2">
        <v>8.0478955298861798</v>
      </c>
      <c r="M39" s="2">
        <v>459.98</v>
      </c>
      <c r="N39" s="2"/>
      <c r="O39" s="3">
        <v>5401953585.3400002</v>
      </c>
      <c r="P39">
        <f t="shared" si="1"/>
        <v>100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tabSelected="1" workbookViewId="0">
      <selection activeCell="P25" sqref="P25"/>
    </sheetView>
  </sheetViews>
  <sheetFormatPr defaultRowHeight="15" x14ac:dyDescent="0.25"/>
  <sheetData>
    <row r="1" spans="1:14" x14ac:dyDescent="0.25">
      <c r="A1" t="s">
        <v>0</v>
      </c>
      <c r="C1" t="s">
        <v>2</v>
      </c>
      <c r="D1" t="s">
        <v>3</v>
      </c>
      <c r="E1" t="s">
        <v>4</v>
      </c>
      <c r="F1" t="s">
        <v>5</v>
      </c>
      <c r="G1" t="s">
        <v>13</v>
      </c>
      <c r="H1" t="s">
        <v>6</v>
      </c>
      <c r="I1" t="s">
        <v>7</v>
      </c>
      <c r="J1" t="s">
        <v>8</v>
      </c>
      <c r="K1" t="s">
        <v>9</v>
      </c>
      <c r="L1" t="s">
        <v>14</v>
      </c>
      <c r="N1" t="s">
        <v>15</v>
      </c>
    </row>
    <row r="2" spans="1:14" x14ac:dyDescent="0.25">
      <c r="A2" s="1">
        <v>42491</v>
      </c>
      <c r="B2">
        <v>3.25</v>
      </c>
      <c r="C2">
        <v>3.4817328248972599</v>
      </c>
      <c r="D2">
        <v>9.40587157260636</v>
      </c>
      <c r="E2">
        <v>25.4866473181035</v>
      </c>
      <c r="F2">
        <v>102.95761010507501</v>
      </c>
      <c r="G2">
        <v>-0.42396895782040001</v>
      </c>
      <c r="H2">
        <v>14418180365.450001</v>
      </c>
      <c r="I2">
        <v>0</v>
      </c>
      <c r="J2">
        <v>3.448</v>
      </c>
      <c r="K2">
        <v>2.8317982172823402</v>
      </c>
      <c r="L2">
        <v>-61.62</v>
      </c>
      <c r="N2">
        <v>0</v>
      </c>
    </row>
    <row r="3" spans="1:14" x14ac:dyDescent="0.25">
      <c r="A3" s="1">
        <v>42491</v>
      </c>
      <c r="B3">
        <v>3.375</v>
      </c>
      <c r="C3">
        <v>3.5548271903092798</v>
      </c>
      <c r="D3">
        <v>6.1109212331229701</v>
      </c>
      <c r="E3">
        <v>7.9402547039349498</v>
      </c>
      <c r="F3">
        <v>88.645372412088193</v>
      </c>
      <c r="G3">
        <v>-0.172579575429055</v>
      </c>
      <c r="H3">
        <v>10820411863.92</v>
      </c>
      <c r="I3">
        <v>0</v>
      </c>
      <c r="J3">
        <v>3.448</v>
      </c>
      <c r="K3">
        <v>3.13509323426165</v>
      </c>
      <c r="L3">
        <v>-31.29</v>
      </c>
      <c r="N3">
        <v>0</v>
      </c>
    </row>
    <row r="4" spans="1:14" x14ac:dyDescent="0.25">
      <c r="A4" s="1">
        <v>42491</v>
      </c>
      <c r="B4">
        <v>3.5</v>
      </c>
      <c r="C4">
        <v>3.5568025926856599</v>
      </c>
      <c r="D4">
        <v>5.5475886953868203</v>
      </c>
      <c r="E4">
        <v>2.8053266106020001</v>
      </c>
      <c r="F4">
        <v>50.788108221317003</v>
      </c>
      <c r="G4">
        <v>-3.0245057019784E-2</v>
      </c>
      <c r="H4">
        <v>46958851952.519997</v>
      </c>
      <c r="I4">
        <v>0</v>
      </c>
      <c r="J4">
        <v>3.448</v>
      </c>
      <c r="K4">
        <v>3.4004523502945498</v>
      </c>
      <c r="L4">
        <v>-4.75</v>
      </c>
      <c r="N4">
        <v>0</v>
      </c>
    </row>
    <row r="5" spans="1:14" x14ac:dyDescent="0.25">
      <c r="A5" s="1">
        <v>42491</v>
      </c>
      <c r="B5">
        <v>3.625</v>
      </c>
      <c r="C5">
        <v>3.5700371498152799</v>
      </c>
      <c r="D5">
        <v>7.9339191574426602</v>
      </c>
      <c r="E5">
        <v>1.30505824001577</v>
      </c>
      <c r="F5">
        <v>26.914372339328001</v>
      </c>
      <c r="G5">
        <v>8.1539828141233006E-2</v>
      </c>
      <c r="H5">
        <v>207164878848.10999</v>
      </c>
      <c r="I5">
        <v>0</v>
      </c>
      <c r="J5">
        <v>3.448</v>
      </c>
      <c r="K5">
        <v>3.6240026783259398</v>
      </c>
      <c r="L5">
        <v>17.600000000000001</v>
      </c>
      <c r="N5">
        <v>0</v>
      </c>
    </row>
    <row r="6" spans="1:14" x14ac:dyDescent="0.25">
      <c r="A6" s="1">
        <v>42491</v>
      </c>
      <c r="B6">
        <v>3.75</v>
      </c>
      <c r="C6">
        <v>3.7020627138493798</v>
      </c>
      <c r="D6">
        <v>10.6889485751298</v>
      </c>
      <c r="E6">
        <v>4.24291996262314</v>
      </c>
      <c r="F6">
        <v>32.828829871859803</v>
      </c>
      <c r="G6">
        <v>0.19695092529479899</v>
      </c>
      <c r="H6">
        <v>243751423685.19</v>
      </c>
      <c r="I6">
        <v>0</v>
      </c>
      <c r="J6">
        <v>3.448</v>
      </c>
      <c r="K6">
        <v>3.7323882114454099</v>
      </c>
      <c r="L6">
        <v>28.43</v>
      </c>
      <c r="N6">
        <v>0</v>
      </c>
    </row>
    <row r="7" spans="1:14" x14ac:dyDescent="0.25">
      <c r="A7" s="1">
        <v>42491</v>
      </c>
      <c r="B7">
        <v>3.875</v>
      </c>
      <c r="C7">
        <v>3.8629779497961301</v>
      </c>
      <c r="D7">
        <v>12.689952007897199</v>
      </c>
      <c r="E7">
        <v>5.2356790830194999</v>
      </c>
      <c r="F7">
        <v>51.777487403074197</v>
      </c>
      <c r="G7">
        <v>0.32057696053722401</v>
      </c>
      <c r="H7">
        <v>168690145252.19</v>
      </c>
      <c r="I7">
        <v>0</v>
      </c>
      <c r="J7">
        <v>3.448</v>
      </c>
      <c r="K7">
        <v>3.8200990107410902</v>
      </c>
      <c r="L7">
        <v>37.200000000000003</v>
      </c>
      <c r="N7">
        <v>0</v>
      </c>
    </row>
    <row r="8" spans="1:14" x14ac:dyDescent="0.25">
      <c r="A8" s="1">
        <v>42491</v>
      </c>
      <c r="B8">
        <v>4</v>
      </c>
      <c r="C8">
        <v>4.0285573357139004</v>
      </c>
      <c r="D8">
        <v>13.6570741588838</v>
      </c>
      <c r="E8">
        <v>7.0854345006346602</v>
      </c>
      <c r="F8">
        <v>59.012794253716798</v>
      </c>
      <c r="G8">
        <v>0.45924174666210499</v>
      </c>
      <c r="H8">
        <v>279818755838.41998</v>
      </c>
      <c r="I8">
        <v>30923647279.900002</v>
      </c>
      <c r="J8">
        <v>3.448</v>
      </c>
      <c r="K8">
        <v>3.9181844109482</v>
      </c>
      <c r="L8">
        <v>47.01</v>
      </c>
      <c r="N8">
        <v>213075067573.905</v>
      </c>
    </row>
    <row r="9" spans="1:14" x14ac:dyDescent="0.25">
      <c r="A9" s="1">
        <v>42491</v>
      </c>
      <c r="B9">
        <v>4.125</v>
      </c>
      <c r="C9">
        <v>4.1120694887284399</v>
      </c>
      <c r="D9">
        <v>14.998921513044101</v>
      </c>
      <c r="E9">
        <v>7.4731218458084898</v>
      </c>
      <c r="F9">
        <v>52.002292310254198</v>
      </c>
      <c r="G9">
        <v>0.56982175462516804</v>
      </c>
      <c r="H9">
        <v>384055393286.79999</v>
      </c>
      <c r="I9">
        <v>384055393286.79999</v>
      </c>
      <c r="J9">
        <v>3.448</v>
      </c>
      <c r="K9">
        <v>4.0702522658967197</v>
      </c>
      <c r="L9">
        <v>62.22</v>
      </c>
      <c r="N9">
        <v>384055393286.79999</v>
      </c>
    </row>
    <row r="10" spans="1:14" x14ac:dyDescent="0.25">
      <c r="A10" s="1">
        <v>42491</v>
      </c>
      <c r="B10">
        <v>4.25</v>
      </c>
      <c r="C10">
        <v>4.2592124816440702</v>
      </c>
      <c r="D10">
        <v>18.543149554872301</v>
      </c>
      <c r="E10">
        <v>8.3469638065594705</v>
      </c>
      <c r="F10">
        <v>69.573132959606397</v>
      </c>
      <c r="G10">
        <v>0.69974150672818103</v>
      </c>
      <c r="H10">
        <v>207685677931.42001</v>
      </c>
      <c r="I10">
        <v>207685677931.42001</v>
      </c>
      <c r="J10">
        <v>3.448</v>
      </c>
      <c r="K10">
        <v>4.1780290250841103</v>
      </c>
      <c r="L10">
        <v>73</v>
      </c>
      <c r="N10">
        <v>207685677931.42001</v>
      </c>
    </row>
    <row r="11" spans="1:14" x14ac:dyDescent="0.25">
      <c r="A11" s="1">
        <v>42491</v>
      </c>
      <c r="B11">
        <v>4.375</v>
      </c>
      <c r="C11">
        <v>4.3849803296101904</v>
      </c>
      <c r="D11">
        <v>18.952467759066799</v>
      </c>
      <c r="E11">
        <v>8.0784569863779403</v>
      </c>
      <c r="F11">
        <v>74.169539707772898</v>
      </c>
      <c r="G11">
        <v>0.82079658806765399</v>
      </c>
      <c r="H11">
        <v>155412254291.17999</v>
      </c>
      <c r="I11">
        <v>155412254291.17999</v>
      </c>
      <c r="J11">
        <v>3.448</v>
      </c>
      <c r="K11">
        <v>4.2983162584574499</v>
      </c>
      <c r="L11">
        <v>85.03</v>
      </c>
      <c r="N11">
        <v>155412254291.17999</v>
      </c>
    </row>
    <row r="12" spans="1:14" x14ac:dyDescent="0.25">
      <c r="A12" s="1">
        <v>42491</v>
      </c>
      <c r="B12">
        <v>4.5</v>
      </c>
      <c r="C12">
        <v>4.4817755184478898</v>
      </c>
      <c r="D12">
        <v>14.231764227063101</v>
      </c>
      <c r="E12">
        <v>4.2841102119599697</v>
      </c>
      <c r="F12">
        <v>55.426271760856103</v>
      </c>
      <c r="G12">
        <v>0.95518637919679195</v>
      </c>
      <c r="H12">
        <v>189818477644.31</v>
      </c>
      <c r="I12">
        <v>189818477644.31</v>
      </c>
      <c r="J12">
        <v>3.448</v>
      </c>
      <c r="K12">
        <v>4.4609108607488901</v>
      </c>
      <c r="L12">
        <v>101.29</v>
      </c>
      <c r="N12">
        <v>189818477644.31</v>
      </c>
    </row>
    <row r="13" spans="1:14" x14ac:dyDescent="0.25">
      <c r="A13" s="1">
        <v>42491</v>
      </c>
      <c r="B13">
        <v>4.625</v>
      </c>
      <c r="C13">
        <v>4.5642373495842596</v>
      </c>
      <c r="D13">
        <v>16.945367524679799</v>
      </c>
      <c r="E13">
        <v>4.0102843988897598</v>
      </c>
      <c r="F13">
        <v>53.194023904122098</v>
      </c>
      <c r="G13">
        <v>1.07310312108185</v>
      </c>
      <c r="H13">
        <v>194409326287.10999</v>
      </c>
      <c r="I13">
        <v>194409326287.10999</v>
      </c>
      <c r="J13">
        <v>3.448</v>
      </c>
      <c r="K13">
        <v>4.6213657714975902</v>
      </c>
      <c r="L13">
        <v>117.33</v>
      </c>
      <c r="N13">
        <v>194409326287.10999</v>
      </c>
    </row>
    <row r="14" spans="1:14" x14ac:dyDescent="0.25">
      <c r="A14" s="1">
        <v>42491</v>
      </c>
      <c r="B14">
        <v>4.75</v>
      </c>
      <c r="C14">
        <v>4.67691183708025</v>
      </c>
      <c r="D14">
        <v>21.2580643773486</v>
      </c>
      <c r="E14">
        <v>4.7501225412418204</v>
      </c>
      <c r="F14">
        <v>63.889380362575302</v>
      </c>
      <c r="G14">
        <v>1.19476780453488</v>
      </c>
      <c r="H14">
        <v>105774263580.84</v>
      </c>
      <c r="I14">
        <v>105774263580.84</v>
      </c>
      <c r="J14">
        <v>3.448</v>
      </c>
      <c r="K14">
        <v>4.7553559674546202</v>
      </c>
      <c r="L14">
        <v>130.72999999999999</v>
      </c>
      <c r="N14">
        <v>105774263580.84</v>
      </c>
    </row>
    <row r="15" spans="1:14" x14ac:dyDescent="0.25">
      <c r="A15" s="1">
        <v>42491</v>
      </c>
      <c r="B15">
        <v>4.875</v>
      </c>
      <c r="C15">
        <v>4.8417947547750799</v>
      </c>
      <c r="D15">
        <v>14.5887291855661</v>
      </c>
      <c r="E15">
        <v>2.7771149059451199</v>
      </c>
      <c r="F15">
        <v>58.485529081675203</v>
      </c>
      <c r="G15">
        <v>1.3261970748670999</v>
      </c>
      <c r="H15">
        <v>88034955660.729996</v>
      </c>
      <c r="I15">
        <v>88034955660.729996</v>
      </c>
      <c r="J15">
        <v>3.448</v>
      </c>
      <c r="K15">
        <v>4.8469023200920196</v>
      </c>
      <c r="L15">
        <v>139.88999999999999</v>
      </c>
      <c r="N15">
        <v>88034955660.729996</v>
      </c>
    </row>
    <row r="16" spans="1:14" x14ac:dyDescent="0.25">
      <c r="A16" s="1">
        <v>42491</v>
      </c>
      <c r="B16">
        <v>5</v>
      </c>
      <c r="C16">
        <v>4.9232026902984503</v>
      </c>
      <c r="D16">
        <v>8.6754691031996902</v>
      </c>
      <c r="E16">
        <v>0.922662422104775</v>
      </c>
      <c r="F16">
        <v>25.353801831599299</v>
      </c>
      <c r="G16">
        <v>1.4498462525304101</v>
      </c>
      <c r="H16">
        <v>123284245702.63</v>
      </c>
      <c r="I16">
        <v>123284245702.63</v>
      </c>
      <c r="J16">
        <v>3.448</v>
      </c>
      <c r="K16">
        <v>5.0141435622319497</v>
      </c>
      <c r="L16">
        <v>156.61000000000001</v>
      </c>
      <c r="N16">
        <v>123284245702.63</v>
      </c>
    </row>
    <row r="17" spans="1:14" x14ac:dyDescent="0.25">
      <c r="A17" s="1">
        <v>42491</v>
      </c>
      <c r="B17">
        <v>5.125</v>
      </c>
      <c r="C17">
        <v>4.9928023096837402</v>
      </c>
      <c r="D17">
        <v>14.4352379591142</v>
      </c>
      <c r="E17">
        <v>1.53557790383215</v>
      </c>
      <c r="F17">
        <v>29.353631804694299</v>
      </c>
      <c r="G17">
        <v>1.5609148307248299</v>
      </c>
      <c r="H17">
        <v>58494740349.730003</v>
      </c>
      <c r="I17">
        <v>58494740349.730003</v>
      </c>
      <c r="J17">
        <v>3.448</v>
      </c>
      <c r="K17">
        <v>5.1806125210410796</v>
      </c>
      <c r="L17">
        <v>173.26</v>
      </c>
      <c r="N17">
        <v>58494740349.730003</v>
      </c>
    </row>
    <row r="18" spans="1:14" x14ac:dyDescent="0.25">
      <c r="A18" s="1">
        <v>42491</v>
      </c>
      <c r="B18">
        <v>5.25</v>
      </c>
      <c r="C18">
        <v>5.2226499153109804</v>
      </c>
      <c r="D18">
        <v>13.921481002535799</v>
      </c>
      <c r="E18">
        <v>2.9050072772157201</v>
      </c>
      <c r="F18">
        <v>56.100011606746598</v>
      </c>
      <c r="G18">
        <v>1.7050646235473199</v>
      </c>
      <c r="H18">
        <v>30632257309.009998</v>
      </c>
      <c r="I18">
        <v>30632257309.009998</v>
      </c>
      <c r="J18">
        <v>3.448</v>
      </c>
      <c r="K18">
        <v>5.2199147082363302</v>
      </c>
      <c r="L18">
        <v>177.19</v>
      </c>
      <c r="N18">
        <v>30632257309.009998</v>
      </c>
    </row>
    <row r="19" spans="1:14" x14ac:dyDescent="0.25">
      <c r="A19" s="1">
        <v>42491</v>
      </c>
      <c r="B19">
        <v>5.375</v>
      </c>
      <c r="C19">
        <v>5.3295490735887698</v>
      </c>
      <c r="D19">
        <v>9.52284278613193</v>
      </c>
      <c r="E19">
        <v>1.42342221783393</v>
      </c>
      <c r="F19">
        <v>38.7802700070364</v>
      </c>
      <c r="G19">
        <v>1.8260926042541601</v>
      </c>
      <c r="H19">
        <v>34446766205.879997</v>
      </c>
      <c r="I19">
        <v>34446766205.879997</v>
      </c>
      <c r="J19">
        <v>3.448</v>
      </c>
      <c r="K19">
        <v>5.3590435306653799</v>
      </c>
      <c r="L19">
        <v>191.1</v>
      </c>
      <c r="N19">
        <v>34446766205.879997</v>
      </c>
    </row>
    <row r="20" spans="1:14" x14ac:dyDescent="0.25">
      <c r="A20" s="1">
        <v>42491</v>
      </c>
      <c r="B20">
        <v>5.5</v>
      </c>
      <c r="C20">
        <v>5.4039837159961897</v>
      </c>
      <c r="D20">
        <v>7.8903139938061004</v>
      </c>
      <c r="E20">
        <v>0.43563725588959301</v>
      </c>
      <c r="F20">
        <v>19.4367530706383</v>
      </c>
      <c r="G20">
        <v>1.94243860069876</v>
      </c>
      <c r="H20">
        <v>40443518714.989998</v>
      </c>
      <c r="I20">
        <v>40443518714.989998</v>
      </c>
      <c r="J20">
        <v>3.448</v>
      </c>
      <c r="K20">
        <v>5.5259548847025597</v>
      </c>
      <c r="L20">
        <v>207.79</v>
      </c>
      <c r="N20">
        <v>40443518714.989998</v>
      </c>
    </row>
    <row r="21" spans="1:14" x14ac:dyDescent="0.25">
      <c r="A21" s="1">
        <v>42491</v>
      </c>
      <c r="B21">
        <v>5.625</v>
      </c>
      <c r="C21">
        <v>5.5214503020695496</v>
      </c>
      <c r="D21">
        <v>8.5253834402049993</v>
      </c>
      <c r="E21">
        <v>0.39156057592003601</v>
      </c>
      <c r="F21">
        <v>17.3616859611518</v>
      </c>
      <c r="G21">
        <v>2.0718843158095201</v>
      </c>
      <c r="H21">
        <v>24476463653.139999</v>
      </c>
      <c r="I21">
        <v>24476463653.139999</v>
      </c>
      <c r="J21">
        <v>3.448</v>
      </c>
      <c r="K21">
        <v>5.66293401373997</v>
      </c>
      <c r="L21">
        <v>221.49</v>
      </c>
      <c r="N21">
        <v>24476463653.139999</v>
      </c>
    </row>
    <row r="22" spans="1:14" x14ac:dyDescent="0.25">
      <c r="A22" s="1">
        <v>42491</v>
      </c>
      <c r="B22">
        <v>5.75</v>
      </c>
      <c r="C22">
        <v>5.6514986361913504</v>
      </c>
      <c r="D22">
        <v>8.9461067614726506</v>
      </c>
      <c r="E22">
        <v>0.288429948926957</v>
      </c>
      <c r="F22">
        <v>21.248891310372301</v>
      </c>
      <c r="G22">
        <v>2.1974531760408902</v>
      </c>
      <c r="H22">
        <v>20216655464.23</v>
      </c>
      <c r="I22">
        <v>20216655464.23</v>
      </c>
      <c r="J22">
        <v>3.448</v>
      </c>
      <c r="K22">
        <v>5.7834545398495196</v>
      </c>
      <c r="L22">
        <v>233.54</v>
      </c>
      <c r="N22">
        <v>20216655464.23</v>
      </c>
    </row>
    <row r="23" spans="1:14" x14ac:dyDescent="0.25">
      <c r="A23" s="1">
        <v>42491</v>
      </c>
      <c r="B23">
        <v>5.875</v>
      </c>
      <c r="C23">
        <v>5.8009534371541598</v>
      </c>
      <c r="D23">
        <v>5.9535138889681498</v>
      </c>
      <c r="E23">
        <v>0.114956144203614</v>
      </c>
      <c r="F23">
        <v>18.177202978837201</v>
      </c>
      <c r="G23">
        <v>2.3263960071547198</v>
      </c>
      <c r="H23">
        <v>24284179450.889999</v>
      </c>
      <c r="I23">
        <v>24284179450.889999</v>
      </c>
      <c r="J23">
        <v>3.448</v>
      </c>
      <c r="K23">
        <v>5.8879425700005497</v>
      </c>
      <c r="L23">
        <v>243.99</v>
      </c>
      <c r="N23">
        <v>24284179450.889999</v>
      </c>
    </row>
    <row r="24" spans="1:14" x14ac:dyDescent="0.25">
      <c r="A24" s="1">
        <v>42491</v>
      </c>
      <c r="B24">
        <v>6</v>
      </c>
      <c r="C24">
        <v>5.9064263251603304</v>
      </c>
      <c r="D24">
        <v>6.4230803554189704</v>
      </c>
      <c r="E24">
        <v>2.6378481143119799E-2</v>
      </c>
      <c r="F24">
        <v>14.411857697424001</v>
      </c>
      <c r="G24">
        <v>2.4468636996595601</v>
      </c>
      <c r="H24">
        <v>31096443796.290001</v>
      </c>
      <c r="I24">
        <v>31096443796.290001</v>
      </c>
      <c r="J24">
        <v>3.448</v>
      </c>
      <c r="K24">
        <v>6.0279373744991904</v>
      </c>
      <c r="L24">
        <v>257.99</v>
      </c>
      <c r="N24">
        <v>31096443796.290001</v>
      </c>
    </row>
    <row r="25" spans="1:14" x14ac:dyDescent="0.25">
      <c r="A25" s="1">
        <v>42491</v>
      </c>
      <c r="B25">
        <v>6.125</v>
      </c>
      <c r="C25">
        <v>5.9895739095834397</v>
      </c>
      <c r="D25">
        <v>11.2145359315322</v>
      </c>
      <c r="E25">
        <v>1.9181833644947601E-2</v>
      </c>
      <c r="F25">
        <v>17.223494568492601</v>
      </c>
      <c r="G25">
        <v>2.57096871414109</v>
      </c>
      <c r="H25">
        <v>24137512189.759998</v>
      </c>
      <c r="I25">
        <v>24137512189.759998</v>
      </c>
      <c r="J25">
        <v>3.448</v>
      </c>
      <c r="K25">
        <v>6.1938948045576403</v>
      </c>
      <c r="L25">
        <v>274.58</v>
      </c>
      <c r="N25">
        <v>24137512189.759998</v>
      </c>
    </row>
    <row r="26" spans="1:14" x14ac:dyDescent="0.25">
      <c r="A26" s="1">
        <v>42491</v>
      </c>
      <c r="B26">
        <v>6.25</v>
      </c>
      <c r="C26">
        <v>6.1087235965466</v>
      </c>
      <c r="D26">
        <v>13.1221491152435</v>
      </c>
      <c r="E26">
        <v>5.4304921172803099E-3</v>
      </c>
      <c r="F26">
        <v>22.453844149456899</v>
      </c>
      <c r="G26">
        <v>2.69625617240423</v>
      </c>
      <c r="H26">
        <v>16000681568.700001</v>
      </c>
      <c r="I26">
        <v>16000681568.700001</v>
      </c>
      <c r="J26">
        <v>3.448</v>
      </c>
      <c r="K26">
        <v>6.3250325758576196</v>
      </c>
      <c r="L26">
        <v>287.7</v>
      </c>
      <c r="N26">
        <v>16000681568.700001</v>
      </c>
    </row>
    <row r="27" spans="1:14" x14ac:dyDescent="0.25">
      <c r="A27" s="1">
        <v>42491</v>
      </c>
      <c r="B27">
        <v>6.375</v>
      </c>
      <c r="C27">
        <v>6.25298551298141</v>
      </c>
      <c r="D27">
        <v>11.514368898416899</v>
      </c>
      <c r="E27">
        <v>4.3642441886938702E-3</v>
      </c>
      <c r="F27">
        <v>23.650045351134999</v>
      </c>
      <c r="G27">
        <v>2.8214604461458799</v>
      </c>
      <c r="H27">
        <v>15901916639.6</v>
      </c>
      <c r="I27">
        <v>15901916639.6</v>
      </c>
      <c r="J27">
        <v>3.448</v>
      </c>
      <c r="K27">
        <v>6.4309749331644399</v>
      </c>
      <c r="L27">
        <v>298.29000000000002</v>
      </c>
      <c r="N27">
        <v>15901916639.6</v>
      </c>
    </row>
    <row r="28" spans="1:14" x14ac:dyDescent="0.25">
      <c r="A28" s="1">
        <v>42491</v>
      </c>
      <c r="B28">
        <v>6.5</v>
      </c>
      <c r="C28">
        <v>6.37083587129887</v>
      </c>
      <c r="D28">
        <v>13.0124700844654</v>
      </c>
      <c r="E28">
        <v>4.0823054587325299E-3</v>
      </c>
      <c r="F28">
        <v>25.1194176234027</v>
      </c>
      <c r="G28">
        <v>2.9506212050304299</v>
      </c>
      <c r="H28">
        <v>15258067122.129999</v>
      </c>
      <c r="I28">
        <v>15258067122.129999</v>
      </c>
      <c r="J28">
        <v>3.448</v>
      </c>
      <c r="K28">
        <v>6.5672853337315598</v>
      </c>
      <c r="L28">
        <v>311.92</v>
      </c>
      <c r="N28">
        <v>15258067122.129999</v>
      </c>
    </row>
    <row r="29" spans="1:14" x14ac:dyDescent="0.25">
      <c r="A29" s="1">
        <v>42491</v>
      </c>
      <c r="B29">
        <v>6.625</v>
      </c>
      <c r="C29">
        <v>6.4735297274488497</v>
      </c>
      <c r="D29">
        <v>14.737647836823299</v>
      </c>
      <c r="E29">
        <v>2.6724333392987901E-3</v>
      </c>
      <c r="F29">
        <v>24.5326115875481</v>
      </c>
      <c r="G29">
        <v>3.0720479525148199</v>
      </c>
      <c r="H29">
        <v>16200863654.719999</v>
      </c>
      <c r="I29">
        <v>16200863654.719999</v>
      </c>
      <c r="J29">
        <v>3.448</v>
      </c>
      <c r="K29">
        <v>6.7110182250659696</v>
      </c>
      <c r="L29">
        <v>326.3</v>
      </c>
      <c r="N29">
        <v>16200863654.719999</v>
      </c>
    </row>
    <row r="30" spans="1:14" x14ac:dyDescent="0.25">
      <c r="A30" s="1">
        <v>42491</v>
      </c>
      <c r="B30">
        <v>6.75</v>
      </c>
      <c r="C30">
        <v>6.5640990581952297</v>
      </c>
      <c r="D30">
        <v>18.373188063312298</v>
      </c>
      <c r="E30">
        <v>0</v>
      </c>
      <c r="F30">
        <v>25.418097442920299</v>
      </c>
      <c r="G30">
        <v>3.1967856952210698</v>
      </c>
      <c r="H30">
        <v>13057658663.540001</v>
      </c>
      <c r="I30">
        <v>13057658663.540001</v>
      </c>
      <c r="J30">
        <v>3.448</v>
      </c>
      <c r="K30">
        <v>6.87018663702582</v>
      </c>
      <c r="L30">
        <v>342.21</v>
      </c>
      <c r="N30">
        <v>13057658663.540001</v>
      </c>
    </row>
    <row r="31" spans="1:14" x14ac:dyDescent="0.25">
      <c r="A31" s="1">
        <v>42491</v>
      </c>
      <c r="B31">
        <v>6.875</v>
      </c>
      <c r="C31">
        <v>6.6574385872843402</v>
      </c>
      <c r="D31">
        <v>21.515379957672899</v>
      </c>
      <c r="E31">
        <v>0</v>
      </c>
      <c r="F31">
        <v>25.7220341405129</v>
      </c>
      <c r="G31">
        <v>3.3207873015098199</v>
      </c>
      <c r="H31">
        <v>11968001326.01</v>
      </c>
      <c r="I31">
        <v>11968001326.01</v>
      </c>
      <c r="J31">
        <v>3.448</v>
      </c>
      <c r="K31">
        <v>7.0258487142254404</v>
      </c>
      <c r="L31">
        <v>357.78</v>
      </c>
      <c r="N31">
        <v>11968001326.01</v>
      </c>
    </row>
    <row r="32" spans="1:14" x14ac:dyDescent="0.25">
      <c r="A32" s="1">
        <v>42491</v>
      </c>
      <c r="B32">
        <v>7</v>
      </c>
      <c r="C32">
        <v>6.7992141009019296</v>
      </c>
      <c r="D32">
        <v>19.501417875907102</v>
      </c>
      <c r="E32">
        <v>8.0164182962907202E-3</v>
      </c>
      <c r="F32">
        <v>25.5661087918985</v>
      </c>
      <c r="G32">
        <v>3.4427328434983102</v>
      </c>
      <c r="H32">
        <v>9851083167.7900009</v>
      </c>
      <c r="I32">
        <v>9851083167.7900009</v>
      </c>
      <c r="J32">
        <v>3.448</v>
      </c>
      <c r="K32">
        <v>7.1310187425963596</v>
      </c>
      <c r="L32">
        <v>368.3</v>
      </c>
      <c r="N32">
        <v>9851083167.7900009</v>
      </c>
    </row>
    <row r="33" spans="1:14" x14ac:dyDescent="0.25">
      <c r="A33" s="1">
        <v>42491</v>
      </c>
      <c r="B33">
        <v>7.125</v>
      </c>
      <c r="C33">
        <v>6.8847298299723203</v>
      </c>
      <c r="D33">
        <v>23.952942650286701</v>
      </c>
      <c r="E33">
        <v>0</v>
      </c>
      <c r="F33">
        <v>27.4987459345049</v>
      </c>
      <c r="G33">
        <v>3.5680123916389599</v>
      </c>
      <c r="H33">
        <v>6345506206.6800003</v>
      </c>
      <c r="I33">
        <v>6345506206.6800003</v>
      </c>
      <c r="J33">
        <v>3.448</v>
      </c>
      <c r="K33">
        <v>7.2957825616666003</v>
      </c>
      <c r="L33">
        <v>384.77</v>
      </c>
      <c r="N33">
        <v>6345506206.6800003</v>
      </c>
    </row>
    <row r="34" spans="1:14" x14ac:dyDescent="0.25">
      <c r="A34" s="1">
        <v>42491</v>
      </c>
      <c r="B34">
        <v>7.25</v>
      </c>
      <c r="C34">
        <v>6.9596642958754797</v>
      </c>
      <c r="D34">
        <v>29.934601620672801</v>
      </c>
      <c r="E34">
        <v>0</v>
      </c>
      <c r="F34">
        <v>29.796772401607399</v>
      </c>
      <c r="G34">
        <v>3.69701838107824</v>
      </c>
      <c r="H34">
        <v>5108879502.3299999</v>
      </c>
      <c r="I34">
        <v>5108879502.3299999</v>
      </c>
      <c r="J34">
        <v>3.448</v>
      </c>
      <c r="K34">
        <v>7.4748540852026997</v>
      </c>
      <c r="L34">
        <v>402.68</v>
      </c>
      <c r="N34">
        <v>5108879502.3299999</v>
      </c>
    </row>
    <row r="35" spans="1:14" x14ac:dyDescent="0.25">
      <c r="A35" s="1">
        <v>42491</v>
      </c>
      <c r="B35">
        <v>7.375</v>
      </c>
      <c r="C35">
        <v>7.0671804771263398</v>
      </c>
      <c r="D35">
        <v>32.049407744786997</v>
      </c>
      <c r="E35">
        <v>0</v>
      </c>
      <c r="F35">
        <v>31.410629519442999</v>
      </c>
      <c r="G35">
        <v>3.82164798077565</v>
      </c>
      <c r="H35">
        <v>4333167981.6899996</v>
      </c>
      <c r="I35">
        <v>4333167981.6899996</v>
      </c>
      <c r="J35">
        <v>3.448</v>
      </c>
      <c r="K35">
        <v>7.6169675036492599</v>
      </c>
      <c r="L35">
        <v>416.89</v>
      </c>
      <c r="N35">
        <v>4333167981.6899996</v>
      </c>
    </row>
    <row r="36" spans="1:14" x14ac:dyDescent="0.25">
      <c r="A36" s="1">
        <v>42491</v>
      </c>
      <c r="B36">
        <v>7.5</v>
      </c>
      <c r="C36">
        <v>7.1566077423058099</v>
      </c>
      <c r="D36">
        <v>34.0923021572412</v>
      </c>
      <c r="E36">
        <v>0</v>
      </c>
      <c r="F36">
        <v>26.960576176907399</v>
      </c>
      <c r="G36">
        <v>3.9426293234360501</v>
      </c>
      <c r="H36">
        <v>3530503112.5100002</v>
      </c>
      <c r="I36">
        <v>3530503112.5100002</v>
      </c>
      <c r="J36">
        <v>3.448</v>
      </c>
      <c r="K36">
        <v>7.7735215811301401</v>
      </c>
      <c r="L36">
        <v>432.55</v>
      </c>
      <c r="N36">
        <v>3530503112.5100002</v>
      </c>
    </row>
    <row r="37" spans="1:14" x14ac:dyDescent="0.25">
      <c r="A37" s="1">
        <v>42491</v>
      </c>
      <c r="B37">
        <v>7.625</v>
      </c>
      <c r="C37">
        <v>7.2478848349974498</v>
      </c>
      <c r="D37">
        <v>37.691374579960303</v>
      </c>
      <c r="E37">
        <v>0</v>
      </c>
      <c r="F37">
        <v>27.149702500720402</v>
      </c>
      <c r="G37">
        <v>4.0694243245453299</v>
      </c>
      <c r="H37">
        <v>2549318647.96</v>
      </c>
      <c r="I37">
        <v>2549318647.96</v>
      </c>
      <c r="J37">
        <v>3.448</v>
      </c>
      <c r="K37">
        <v>7.9340394895477999</v>
      </c>
      <c r="L37">
        <v>448.6</v>
      </c>
      <c r="N37">
        <v>2549318647.96</v>
      </c>
    </row>
    <row r="38" spans="1:14" x14ac:dyDescent="0.25">
      <c r="A38" s="1">
        <v>42491</v>
      </c>
      <c r="B38">
        <v>7.75</v>
      </c>
      <c r="C38">
        <v>7.3718135079011997</v>
      </c>
      <c r="D38">
        <v>38.3827477306343</v>
      </c>
      <c r="E38">
        <v>0</v>
      </c>
      <c r="F38">
        <v>28.764236093617001</v>
      </c>
      <c r="G38">
        <v>4.1962303949736501</v>
      </c>
      <c r="H38">
        <v>1916115158.45</v>
      </c>
      <c r="I38">
        <v>1916115158.45</v>
      </c>
      <c r="J38">
        <v>3.448</v>
      </c>
      <c r="K38">
        <v>8.0619168870723001</v>
      </c>
      <c r="L38">
        <v>461.39</v>
      </c>
      <c r="N38">
        <v>1916115158.45</v>
      </c>
    </row>
    <row r="39" spans="1:14" x14ac:dyDescent="0.25">
      <c r="A39" s="1">
        <v>42491</v>
      </c>
      <c r="B39">
        <v>7.875</v>
      </c>
      <c r="C39">
        <v>7.9209746748484999</v>
      </c>
      <c r="D39">
        <v>38.654217888225503</v>
      </c>
      <c r="E39">
        <v>0</v>
      </c>
      <c r="F39">
        <v>23.243638566880598</v>
      </c>
      <c r="G39">
        <v>4.7619077573137396</v>
      </c>
      <c r="H39">
        <v>8493707602.3699999</v>
      </c>
      <c r="I39">
        <v>8493707602.3699999</v>
      </c>
      <c r="J39">
        <v>3.448</v>
      </c>
      <c r="K39">
        <v>8.2034330824650503</v>
      </c>
      <c r="L39">
        <v>475.54</v>
      </c>
      <c r="N39">
        <v>8493707602.3699999</v>
      </c>
    </row>
    <row r="41" spans="1:14" x14ac:dyDescent="0.25">
      <c r="H41" s="3">
        <f>SUM(H2:H39)</f>
        <v>2838841249679.2202</v>
      </c>
      <c r="I41" s="3">
        <f>SUM(I2:I39)</f>
        <v>1898142249153.3201</v>
      </c>
      <c r="J41" s="2"/>
      <c r="K41" s="2"/>
      <c r="L41" s="2"/>
      <c r="M41" s="2"/>
      <c r="N41" s="3">
        <f>SUM(N2:N39)</f>
        <v>2080293669447.325</v>
      </c>
    </row>
    <row r="42" spans="1:14" x14ac:dyDescent="0.25">
      <c r="H42" s="3"/>
      <c r="I42" s="3"/>
      <c r="J42" s="2"/>
      <c r="K42" s="2"/>
      <c r="L42" s="2"/>
      <c r="M42" s="2"/>
      <c r="N42" s="3"/>
    </row>
    <row r="43" spans="1:14" x14ac:dyDescent="0.25">
      <c r="H43" s="3" t="s">
        <v>21</v>
      </c>
      <c r="I43" s="7">
        <f>I41/H41*100</f>
        <v>66.863275618804124</v>
      </c>
      <c r="J43" s="2"/>
      <c r="K43" s="2"/>
      <c r="L43" s="2"/>
      <c r="M43" s="2" t="s">
        <v>22</v>
      </c>
      <c r="N43" s="2">
        <f>N41/H41*100</f>
        <v>73.279675983374958</v>
      </c>
    </row>
    <row r="44" spans="1:14" x14ac:dyDescent="0.25">
      <c r="H44" s="3" t="s">
        <v>20</v>
      </c>
      <c r="I44" s="2">
        <f>I43-'db check'!I18</f>
        <v>-7.031465770523937E-6</v>
      </c>
      <c r="J44" s="2"/>
      <c r="K44" s="2"/>
      <c r="L44" s="2"/>
      <c r="M44" s="2" t="s">
        <v>23</v>
      </c>
      <c r="N44" s="2">
        <f>N43-'db check'!I18</f>
        <v>6.4163933331050629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db check</vt:lpstr>
      <vt:lpstr>From Calculation</vt:lpstr>
      <vt:lpstr>Anlysis</vt:lpstr>
      <vt:lpstr>Sheet4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2017-10-13T19:22:47Z</dcterms:created>
  <dcterms:modified xsi:type="dcterms:W3CDTF">2017-10-13T22:13:04Z</dcterms:modified>
</cp:coreProperties>
</file>