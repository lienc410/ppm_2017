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4275" windowHeight="19440" activeTab="5"/>
  </bookViews>
  <sheets>
    <sheet name="no cost" sheetId="2" r:id="rId1"/>
    <sheet name="with cost" sheetId="1" r:id="rId2"/>
    <sheet name="with cost_detial" sheetId="3" r:id="rId3"/>
    <sheet name="with cost_1508" sheetId="4" r:id="rId4"/>
    <sheet name="no cost_1508" sheetId="5" r:id="rId5"/>
    <sheet name="cost compare by asof" sheetId="6" r:id="rId6"/>
  </sheets>
  <calcPr calcId="0"/>
</workbook>
</file>

<file path=xl/calcChain.xml><?xml version="1.0" encoding="utf-8"?>
<calcChain xmlns="http://schemas.openxmlformats.org/spreadsheetml/2006/main">
  <c r="AC3" i="6" l="1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2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2" i="6"/>
  <c r="AH3" i="3"/>
  <c r="AI3" i="3"/>
  <c r="AH4" i="3"/>
  <c r="AI4" i="3"/>
  <c r="AH5" i="3"/>
  <c r="AI5" i="3"/>
  <c r="AH6" i="3"/>
  <c r="AI6" i="3"/>
  <c r="AH7" i="3"/>
  <c r="AI7" i="3"/>
  <c r="AH8" i="3"/>
  <c r="AI8" i="3"/>
  <c r="AH9" i="3"/>
  <c r="AI9" i="3"/>
  <c r="AH10" i="3"/>
  <c r="AI10" i="3"/>
  <c r="AH11" i="3"/>
  <c r="AI11" i="3"/>
  <c r="AH12" i="3"/>
  <c r="AI12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H22" i="3"/>
  <c r="AI22" i="3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H31" i="3"/>
  <c r="AI31" i="3"/>
  <c r="AH32" i="3"/>
  <c r="AI32" i="3"/>
  <c r="AH33" i="3"/>
  <c r="AI33" i="3"/>
  <c r="AH34" i="3"/>
  <c r="AI34" i="3"/>
  <c r="AH35" i="3"/>
  <c r="AI35" i="3"/>
  <c r="AH36" i="3"/>
  <c r="AI36" i="3"/>
  <c r="AH37" i="3"/>
  <c r="AI37" i="3"/>
  <c r="AH38" i="3"/>
  <c r="AI38" i="3"/>
  <c r="AH39" i="3"/>
  <c r="AI39" i="3"/>
  <c r="AH40" i="3"/>
  <c r="AI40" i="3"/>
  <c r="AI2" i="3"/>
  <c r="AH2" i="3"/>
  <c r="I3" i="3"/>
  <c r="I4" i="3"/>
  <c r="I5" i="3"/>
  <c r="I6" i="3"/>
  <c r="I7" i="3"/>
  <c r="M7" i="3" s="1"/>
  <c r="I8" i="3"/>
  <c r="M8" i="3" s="1"/>
  <c r="I9" i="3"/>
  <c r="X9" i="3" s="1"/>
  <c r="I10" i="3"/>
  <c r="M10" i="3" s="1"/>
  <c r="I11" i="3"/>
  <c r="I12" i="3"/>
  <c r="I13" i="3"/>
  <c r="X13" i="3" s="1"/>
  <c r="I14" i="3"/>
  <c r="X14" i="3" s="1"/>
  <c r="I15" i="3"/>
  <c r="X15" i="3" s="1"/>
  <c r="I16" i="3"/>
  <c r="M16" i="3" s="1"/>
  <c r="I17" i="3"/>
  <c r="X17" i="3" s="1"/>
  <c r="I18" i="3"/>
  <c r="M18" i="3" s="1"/>
  <c r="I19" i="3"/>
  <c r="I20" i="3"/>
  <c r="I21" i="3"/>
  <c r="I22" i="3"/>
  <c r="I23" i="3"/>
  <c r="I24" i="3"/>
  <c r="X24" i="3" s="1"/>
  <c r="I25" i="3"/>
  <c r="M25" i="3" s="1"/>
  <c r="I26" i="3"/>
  <c r="I27" i="3"/>
  <c r="I28" i="3"/>
  <c r="I29" i="3"/>
  <c r="I30" i="3"/>
  <c r="X30" i="3" s="1"/>
  <c r="I31" i="3"/>
  <c r="M31" i="3" s="1"/>
  <c r="I32" i="3"/>
  <c r="M32" i="3" s="1"/>
  <c r="I33" i="3"/>
  <c r="X33" i="3" s="1"/>
  <c r="I34" i="3"/>
  <c r="M34" i="3" s="1"/>
  <c r="I35" i="3"/>
  <c r="I36" i="3"/>
  <c r="I37" i="3"/>
  <c r="X37" i="3" s="1"/>
  <c r="I38" i="3"/>
  <c r="M38" i="3" s="1"/>
  <c r="I39" i="3"/>
  <c r="M39" i="3" s="1"/>
  <c r="I40" i="3"/>
  <c r="M40" i="3" s="1"/>
  <c r="I2" i="3"/>
  <c r="H3" i="3"/>
  <c r="H4" i="3"/>
  <c r="H5" i="3"/>
  <c r="L5" i="3" s="1"/>
  <c r="H6" i="3"/>
  <c r="H7" i="3"/>
  <c r="H8" i="3"/>
  <c r="H9" i="3"/>
  <c r="L9" i="3" s="1"/>
  <c r="H10" i="3"/>
  <c r="W10" i="3" s="1"/>
  <c r="H11" i="3"/>
  <c r="H12" i="3"/>
  <c r="H13" i="3"/>
  <c r="H14" i="3"/>
  <c r="L14" i="3" s="1"/>
  <c r="H15" i="3"/>
  <c r="H16" i="3"/>
  <c r="H17" i="3"/>
  <c r="W17" i="3" s="1"/>
  <c r="H18" i="3"/>
  <c r="W18" i="3" s="1"/>
  <c r="H19" i="3"/>
  <c r="H20" i="3"/>
  <c r="H21" i="3"/>
  <c r="L21" i="3" s="1"/>
  <c r="H22" i="3"/>
  <c r="L22" i="3" s="1"/>
  <c r="H23" i="3"/>
  <c r="H24" i="3"/>
  <c r="H25" i="3"/>
  <c r="L25" i="3" s="1"/>
  <c r="H26" i="3"/>
  <c r="W26" i="3" s="1"/>
  <c r="H27" i="3"/>
  <c r="H28" i="3"/>
  <c r="H29" i="3"/>
  <c r="H30" i="3"/>
  <c r="L30" i="3" s="1"/>
  <c r="H31" i="3"/>
  <c r="H32" i="3"/>
  <c r="H33" i="3"/>
  <c r="H34" i="3"/>
  <c r="H35" i="3"/>
  <c r="H36" i="3"/>
  <c r="H37" i="3"/>
  <c r="H38" i="3"/>
  <c r="H39" i="3"/>
  <c r="H40" i="3"/>
  <c r="H2" i="3"/>
  <c r="M4" i="3"/>
  <c r="X6" i="3"/>
  <c r="W7" i="3"/>
  <c r="L10" i="3"/>
  <c r="M11" i="3"/>
  <c r="L12" i="3"/>
  <c r="M13" i="3"/>
  <c r="M20" i="3"/>
  <c r="X22" i="3"/>
  <c r="M24" i="3"/>
  <c r="X25" i="3"/>
  <c r="X26" i="3"/>
  <c r="L31" i="3"/>
  <c r="M36" i="3"/>
  <c r="X38" i="3"/>
  <c r="L39" i="3"/>
  <c r="L2" i="3"/>
  <c r="X3" i="3"/>
  <c r="X4" i="3"/>
  <c r="X5" i="3"/>
  <c r="X7" i="3"/>
  <c r="X8" i="3"/>
  <c r="X11" i="3"/>
  <c r="X12" i="3"/>
  <c r="X19" i="3"/>
  <c r="X20" i="3"/>
  <c r="X21" i="3"/>
  <c r="X23" i="3"/>
  <c r="X27" i="3"/>
  <c r="X28" i="3"/>
  <c r="X29" i="3"/>
  <c r="X31" i="3"/>
  <c r="X32" i="3"/>
  <c r="X35" i="3"/>
  <c r="X36" i="3"/>
  <c r="X2" i="3"/>
  <c r="M5" i="3"/>
  <c r="M6" i="3"/>
  <c r="M9" i="3"/>
  <c r="M12" i="3"/>
  <c r="M21" i="3"/>
  <c r="M28" i="3"/>
  <c r="M29" i="3"/>
  <c r="M33" i="3"/>
  <c r="M37" i="3"/>
  <c r="M2" i="3"/>
  <c r="M3" i="3"/>
  <c r="M15" i="3"/>
  <c r="M19" i="3"/>
  <c r="M23" i="3"/>
  <c r="M27" i="3"/>
  <c r="M35" i="3"/>
  <c r="W9" i="3"/>
  <c r="W25" i="3"/>
  <c r="W39" i="3"/>
  <c r="L11" i="3"/>
  <c r="L17" i="3"/>
  <c r="L29" i="3"/>
  <c r="L37" i="3"/>
  <c r="W3" i="3"/>
  <c r="L4" i="3"/>
  <c r="W5" i="3"/>
  <c r="L6" i="3"/>
  <c r="L7" i="3"/>
  <c r="W8" i="3"/>
  <c r="W11" i="3"/>
  <c r="W13" i="3"/>
  <c r="L15" i="3"/>
  <c r="W16" i="3"/>
  <c r="W19" i="3"/>
  <c r="L20" i="3"/>
  <c r="L23" i="3"/>
  <c r="W24" i="3"/>
  <c r="W27" i="3"/>
  <c r="L28" i="3"/>
  <c r="W29" i="3"/>
  <c r="W32" i="3"/>
  <c r="W33" i="3"/>
  <c r="L34" i="3"/>
  <c r="W35" i="3"/>
  <c r="L36" i="3"/>
  <c r="W37" i="3"/>
  <c r="L38" i="3"/>
  <c r="W40" i="3"/>
  <c r="X16" i="3" l="1"/>
  <c r="X40" i="3"/>
  <c r="M17" i="3"/>
  <c r="X39" i="3"/>
  <c r="W21" i="3"/>
  <c r="M26" i="3"/>
  <c r="M14" i="3"/>
  <c r="X34" i="3"/>
  <c r="X18" i="3"/>
  <c r="X10" i="3"/>
  <c r="M22" i="3"/>
  <c r="M30" i="3"/>
  <c r="L18" i="3"/>
  <c r="W2" i="3"/>
  <c r="L32" i="3"/>
  <c r="L3" i="3"/>
  <c r="W31" i="3"/>
  <c r="W4" i="3"/>
  <c r="L27" i="3"/>
  <c r="L16" i="3"/>
  <c r="W28" i="3"/>
  <c r="L40" i="3"/>
  <c r="L26" i="3"/>
  <c r="L13" i="3"/>
  <c r="W15" i="3"/>
  <c r="W12" i="3"/>
  <c r="L24" i="3"/>
  <c r="W34" i="3"/>
  <c r="L35" i="3"/>
  <c r="W36" i="3"/>
  <c r="W23" i="3"/>
  <c r="L33" i="3"/>
  <c r="L19" i="3"/>
  <c r="L8" i="3"/>
  <c r="W20" i="3"/>
  <c r="W38" i="3"/>
  <c r="W30" i="3"/>
  <c r="W22" i="3"/>
  <c r="W14" i="3"/>
  <c r="W6" i="3"/>
  <c r="F3" i="3"/>
  <c r="F4" i="3"/>
  <c r="F5" i="3"/>
  <c r="F6" i="3"/>
  <c r="G6" i="3" s="1"/>
  <c r="F7" i="3"/>
  <c r="F8" i="3"/>
  <c r="G8" i="3" s="1"/>
  <c r="F9" i="3"/>
  <c r="F10" i="3"/>
  <c r="F11" i="3"/>
  <c r="F12" i="3"/>
  <c r="F13" i="3"/>
  <c r="G13" i="3" s="1"/>
  <c r="F14" i="3"/>
  <c r="G14" i="3" s="1"/>
  <c r="F15" i="3"/>
  <c r="F16" i="3"/>
  <c r="F17" i="3"/>
  <c r="G17" i="3" s="1"/>
  <c r="F18" i="3"/>
  <c r="G18" i="3" s="1"/>
  <c r="F19" i="3"/>
  <c r="F20" i="3"/>
  <c r="G20" i="3" s="1"/>
  <c r="F21" i="3"/>
  <c r="F22" i="3"/>
  <c r="G22" i="3" s="1"/>
  <c r="F23" i="3"/>
  <c r="F24" i="3"/>
  <c r="G24" i="3" s="1"/>
  <c r="F25" i="3"/>
  <c r="F26" i="3"/>
  <c r="F27" i="3"/>
  <c r="F28" i="3"/>
  <c r="F29" i="3"/>
  <c r="G29" i="3" s="1"/>
  <c r="F30" i="3"/>
  <c r="G30" i="3" s="1"/>
  <c r="F31" i="3"/>
  <c r="F32" i="3"/>
  <c r="F33" i="3"/>
  <c r="G33" i="3" s="1"/>
  <c r="F34" i="3"/>
  <c r="G34" i="3" s="1"/>
  <c r="F35" i="3"/>
  <c r="F36" i="3"/>
  <c r="G36" i="3" s="1"/>
  <c r="F37" i="3"/>
  <c r="F38" i="3"/>
  <c r="G38" i="3" s="1"/>
  <c r="F39" i="3"/>
  <c r="F40" i="3"/>
  <c r="G40" i="3" s="1"/>
  <c r="F2" i="3"/>
  <c r="Y3" i="3"/>
  <c r="Z3" i="3"/>
  <c r="AA3" i="3"/>
  <c r="AB3" i="3"/>
  <c r="AC3" i="3"/>
  <c r="AD3" i="3"/>
  <c r="AE3" i="3"/>
  <c r="Y4" i="3"/>
  <c r="Z4" i="3"/>
  <c r="AA4" i="3"/>
  <c r="AB4" i="3"/>
  <c r="AC4" i="3"/>
  <c r="AD4" i="3"/>
  <c r="AE4" i="3"/>
  <c r="Y5" i="3"/>
  <c r="Z5" i="3"/>
  <c r="AA5" i="3"/>
  <c r="AB5" i="3"/>
  <c r="AC5" i="3"/>
  <c r="AD5" i="3"/>
  <c r="AE5" i="3"/>
  <c r="Y6" i="3"/>
  <c r="Z6" i="3"/>
  <c r="AA6" i="3"/>
  <c r="AB6" i="3"/>
  <c r="AC6" i="3"/>
  <c r="AD6" i="3"/>
  <c r="AE6" i="3"/>
  <c r="Y7" i="3"/>
  <c r="Z7" i="3"/>
  <c r="AA7" i="3"/>
  <c r="AB7" i="3"/>
  <c r="AC7" i="3"/>
  <c r="AD7" i="3"/>
  <c r="AE7" i="3"/>
  <c r="Y8" i="3"/>
  <c r="Z8" i="3"/>
  <c r="AA8" i="3"/>
  <c r="AB8" i="3"/>
  <c r="AC8" i="3"/>
  <c r="AD8" i="3"/>
  <c r="AE8" i="3"/>
  <c r="Y9" i="3"/>
  <c r="Z9" i="3"/>
  <c r="AA9" i="3"/>
  <c r="AB9" i="3"/>
  <c r="AC9" i="3"/>
  <c r="AD9" i="3"/>
  <c r="AE9" i="3"/>
  <c r="Y10" i="3"/>
  <c r="Z10" i="3"/>
  <c r="AA10" i="3"/>
  <c r="AB10" i="3"/>
  <c r="AC10" i="3"/>
  <c r="AD10" i="3"/>
  <c r="AE10" i="3"/>
  <c r="Y11" i="3"/>
  <c r="Z11" i="3"/>
  <c r="AA11" i="3"/>
  <c r="AB11" i="3"/>
  <c r="AC11" i="3"/>
  <c r="AD11" i="3"/>
  <c r="AE11" i="3"/>
  <c r="Y12" i="3"/>
  <c r="Z12" i="3"/>
  <c r="AA12" i="3"/>
  <c r="AB12" i="3"/>
  <c r="AC12" i="3"/>
  <c r="AD12" i="3"/>
  <c r="AE12" i="3"/>
  <c r="Y13" i="3"/>
  <c r="Z13" i="3"/>
  <c r="AA13" i="3"/>
  <c r="AB13" i="3"/>
  <c r="AC13" i="3"/>
  <c r="AD13" i="3"/>
  <c r="AE13" i="3"/>
  <c r="Y14" i="3"/>
  <c r="Z14" i="3"/>
  <c r="AA14" i="3"/>
  <c r="AB14" i="3"/>
  <c r="AC14" i="3"/>
  <c r="AD14" i="3"/>
  <c r="AE14" i="3"/>
  <c r="Y15" i="3"/>
  <c r="Z15" i="3"/>
  <c r="AA15" i="3"/>
  <c r="AB15" i="3"/>
  <c r="AC15" i="3"/>
  <c r="AD15" i="3"/>
  <c r="AE15" i="3"/>
  <c r="Y16" i="3"/>
  <c r="Z16" i="3"/>
  <c r="AA16" i="3"/>
  <c r="AB16" i="3"/>
  <c r="AC16" i="3"/>
  <c r="AD16" i="3"/>
  <c r="AE16" i="3"/>
  <c r="Y17" i="3"/>
  <c r="Z17" i="3"/>
  <c r="AA17" i="3"/>
  <c r="AB17" i="3"/>
  <c r="AC17" i="3"/>
  <c r="AD17" i="3"/>
  <c r="AE17" i="3"/>
  <c r="Y18" i="3"/>
  <c r="Z18" i="3"/>
  <c r="AA18" i="3"/>
  <c r="AB18" i="3"/>
  <c r="AC18" i="3"/>
  <c r="AD18" i="3"/>
  <c r="AE18" i="3"/>
  <c r="Y19" i="3"/>
  <c r="Z19" i="3"/>
  <c r="AA19" i="3"/>
  <c r="AB19" i="3"/>
  <c r="AC19" i="3"/>
  <c r="AD19" i="3"/>
  <c r="AE19" i="3"/>
  <c r="Y20" i="3"/>
  <c r="Z20" i="3"/>
  <c r="AA20" i="3"/>
  <c r="AB20" i="3"/>
  <c r="AC20" i="3"/>
  <c r="AD20" i="3"/>
  <c r="AE20" i="3"/>
  <c r="Y21" i="3"/>
  <c r="Z21" i="3"/>
  <c r="AA21" i="3"/>
  <c r="AB21" i="3"/>
  <c r="AC21" i="3"/>
  <c r="AD21" i="3"/>
  <c r="AE21" i="3"/>
  <c r="Y22" i="3"/>
  <c r="Z22" i="3"/>
  <c r="AA22" i="3"/>
  <c r="AB22" i="3"/>
  <c r="AC22" i="3"/>
  <c r="AD22" i="3"/>
  <c r="AE22" i="3"/>
  <c r="Y23" i="3"/>
  <c r="Z23" i="3"/>
  <c r="AA23" i="3"/>
  <c r="AB23" i="3"/>
  <c r="AC23" i="3"/>
  <c r="AD23" i="3"/>
  <c r="AE23" i="3"/>
  <c r="Y24" i="3"/>
  <c r="Z24" i="3"/>
  <c r="AA24" i="3"/>
  <c r="AB24" i="3"/>
  <c r="AC24" i="3"/>
  <c r="AD24" i="3"/>
  <c r="AE24" i="3"/>
  <c r="Y25" i="3"/>
  <c r="Z25" i="3"/>
  <c r="AA25" i="3"/>
  <c r="AB25" i="3"/>
  <c r="AC25" i="3"/>
  <c r="AD25" i="3"/>
  <c r="AE25" i="3"/>
  <c r="Y26" i="3"/>
  <c r="Z26" i="3"/>
  <c r="AA26" i="3"/>
  <c r="AB26" i="3"/>
  <c r="AC26" i="3"/>
  <c r="AD26" i="3"/>
  <c r="AE26" i="3"/>
  <c r="Y27" i="3"/>
  <c r="Z27" i="3"/>
  <c r="AA27" i="3"/>
  <c r="AB27" i="3"/>
  <c r="AC27" i="3"/>
  <c r="AD27" i="3"/>
  <c r="AE27" i="3"/>
  <c r="Y28" i="3"/>
  <c r="Z28" i="3"/>
  <c r="AA28" i="3"/>
  <c r="AB28" i="3"/>
  <c r="AC28" i="3"/>
  <c r="AD28" i="3"/>
  <c r="AE28" i="3"/>
  <c r="Y29" i="3"/>
  <c r="Z29" i="3"/>
  <c r="AA29" i="3"/>
  <c r="AB29" i="3"/>
  <c r="AC29" i="3"/>
  <c r="AD29" i="3"/>
  <c r="AE29" i="3"/>
  <c r="Y30" i="3"/>
  <c r="Z30" i="3"/>
  <c r="AA30" i="3"/>
  <c r="AB30" i="3"/>
  <c r="AC30" i="3"/>
  <c r="AD30" i="3"/>
  <c r="AE30" i="3"/>
  <c r="Y31" i="3"/>
  <c r="Z31" i="3"/>
  <c r="AA31" i="3"/>
  <c r="AB31" i="3"/>
  <c r="AC31" i="3"/>
  <c r="AD31" i="3"/>
  <c r="AE31" i="3"/>
  <c r="Y32" i="3"/>
  <c r="Z32" i="3"/>
  <c r="AA32" i="3"/>
  <c r="AB32" i="3"/>
  <c r="AC32" i="3"/>
  <c r="AD32" i="3"/>
  <c r="AE32" i="3"/>
  <c r="Y33" i="3"/>
  <c r="Z33" i="3"/>
  <c r="AA33" i="3"/>
  <c r="AB33" i="3"/>
  <c r="AC33" i="3"/>
  <c r="AD33" i="3"/>
  <c r="AE33" i="3"/>
  <c r="Y34" i="3"/>
  <c r="Z34" i="3"/>
  <c r="AA34" i="3"/>
  <c r="AB34" i="3"/>
  <c r="AC34" i="3"/>
  <c r="AD34" i="3"/>
  <c r="AE34" i="3"/>
  <c r="Y35" i="3"/>
  <c r="Z35" i="3"/>
  <c r="AA35" i="3"/>
  <c r="AB35" i="3"/>
  <c r="AC35" i="3"/>
  <c r="AD35" i="3"/>
  <c r="AE35" i="3"/>
  <c r="Y36" i="3"/>
  <c r="Z36" i="3"/>
  <c r="AA36" i="3"/>
  <c r="AB36" i="3"/>
  <c r="AC36" i="3"/>
  <c r="AD36" i="3"/>
  <c r="AE36" i="3"/>
  <c r="Y37" i="3"/>
  <c r="Z37" i="3"/>
  <c r="AA37" i="3"/>
  <c r="AB37" i="3"/>
  <c r="AC37" i="3"/>
  <c r="AD37" i="3"/>
  <c r="AE37" i="3"/>
  <c r="Y38" i="3"/>
  <c r="Z38" i="3"/>
  <c r="AA38" i="3"/>
  <c r="AB38" i="3"/>
  <c r="AC38" i="3"/>
  <c r="AD38" i="3"/>
  <c r="AE38" i="3"/>
  <c r="Y39" i="3"/>
  <c r="Z39" i="3"/>
  <c r="AA39" i="3"/>
  <c r="AB39" i="3"/>
  <c r="AC39" i="3"/>
  <c r="AD39" i="3"/>
  <c r="AE39" i="3"/>
  <c r="Y40" i="3"/>
  <c r="Z40" i="3"/>
  <c r="AA40" i="3"/>
  <c r="AB40" i="3"/>
  <c r="AC40" i="3"/>
  <c r="AD40" i="3"/>
  <c r="AE40" i="3"/>
  <c r="Z2" i="3"/>
  <c r="AA2" i="3"/>
  <c r="AB2" i="3"/>
  <c r="AC2" i="3"/>
  <c r="AD2" i="3"/>
  <c r="AE2" i="3"/>
  <c r="Y2" i="3"/>
  <c r="O42" i="3"/>
  <c r="P42" i="3"/>
  <c r="Q42" i="3"/>
  <c r="R42" i="3"/>
  <c r="S42" i="3"/>
  <c r="T42" i="3"/>
  <c r="N42" i="3"/>
  <c r="G3" i="3"/>
  <c r="G5" i="3"/>
  <c r="G7" i="3"/>
  <c r="G11" i="3"/>
  <c r="G15" i="3"/>
  <c r="G16" i="3"/>
  <c r="G19" i="3"/>
  <c r="G21" i="3"/>
  <c r="G23" i="3"/>
  <c r="G27" i="3"/>
  <c r="G31" i="3"/>
  <c r="G32" i="3"/>
  <c r="G35" i="3"/>
  <c r="G37" i="3"/>
  <c r="G39" i="3"/>
  <c r="G2" i="3"/>
  <c r="G4" i="3"/>
  <c r="G9" i="3"/>
  <c r="G10" i="3"/>
  <c r="G12" i="3"/>
  <c r="G25" i="3"/>
  <c r="G26" i="3"/>
  <c r="G28" i="3"/>
</calcChain>
</file>

<file path=xl/sharedStrings.xml><?xml version="1.0" encoding="utf-8"?>
<sst xmlns="http://schemas.openxmlformats.org/spreadsheetml/2006/main" count="51" uniqueCount="22">
  <si>
    <t>DateMonth</t>
  </si>
  <si>
    <t>MR30YR</t>
  </si>
  <si>
    <t>MEDIA_EFFECT</t>
  </si>
  <si>
    <t>MEDIA_ACTUAL</t>
  </si>
  <si>
    <t>MEDIA_EFFECT_old</t>
  </si>
  <si>
    <t>LLPA</t>
  </si>
  <si>
    <t>balance</t>
  </si>
  <si>
    <t>asof</t>
  </si>
  <si>
    <t>wacBucket</t>
  </si>
  <si>
    <t>wac_</t>
  </si>
  <si>
    <t>origPMI</t>
  </si>
  <si>
    <t>currentPMI</t>
  </si>
  <si>
    <t>currentLLPA</t>
  </si>
  <si>
    <t>balance scale</t>
  </si>
  <si>
    <t>PMI</t>
  </si>
  <si>
    <t>wac</t>
  </si>
  <si>
    <t>Diff</t>
  </si>
  <si>
    <t>%balance</t>
  </si>
  <si>
    <t>cost</t>
  </si>
  <si>
    <t>Refi triger</t>
  </si>
  <si>
    <t>Refi triger_old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</si>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</sst>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"/>
    <numFmt numFmtId="168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3" borderId="0" xfId="0" applyFill="1"/>
    <xf numFmtId="9" fontId="0" fillId="0" borderId="0" xfId="1" applyFont="1"/>
    <xf numFmtId="168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cost'!$C$1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'no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'no cost'!$C$2:$C$43</c:f>
              <c:numCache>
                <c:formatCode>General</c:formatCode>
                <c:ptCount val="42"/>
                <c:pt idx="0">
                  <c:v>29.27355</c:v>
                </c:pt>
                <c:pt idx="1">
                  <c:v>28.023931999999999</c:v>
                </c:pt>
                <c:pt idx="2">
                  <c:v>23.54242</c:v>
                </c:pt>
                <c:pt idx="3">
                  <c:v>24.797377000000001</c:v>
                </c:pt>
                <c:pt idx="4">
                  <c:v>25.55274</c:v>
                </c:pt>
                <c:pt idx="5">
                  <c:v>23.385870000000001</c:v>
                </c:pt>
                <c:pt idx="6">
                  <c:v>34.200972</c:v>
                </c:pt>
                <c:pt idx="7">
                  <c:v>56.994545000000002</c:v>
                </c:pt>
                <c:pt idx="8">
                  <c:v>58.821677000000001</c:v>
                </c:pt>
                <c:pt idx="9">
                  <c:v>61.868813000000003</c:v>
                </c:pt>
                <c:pt idx="10">
                  <c:v>63.616419999999998</c:v>
                </c:pt>
                <c:pt idx="11">
                  <c:v>54.371599000000003</c:v>
                </c:pt>
                <c:pt idx="12">
                  <c:v>51.855105999999999</c:v>
                </c:pt>
                <c:pt idx="13">
                  <c:v>52.380780000000001</c:v>
                </c:pt>
                <c:pt idx="14">
                  <c:v>47.333184000000003</c:v>
                </c:pt>
                <c:pt idx="15">
                  <c:v>49.876694999999998</c:v>
                </c:pt>
                <c:pt idx="16">
                  <c:v>40.213853999999998</c:v>
                </c:pt>
                <c:pt idx="17">
                  <c:v>39.068880999999998</c:v>
                </c:pt>
                <c:pt idx="18">
                  <c:v>39.940215000000002</c:v>
                </c:pt>
                <c:pt idx="19">
                  <c:v>44.609796000000003</c:v>
                </c:pt>
                <c:pt idx="20">
                  <c:v>42.449964999999999</c:v>
                </c:pt>
                <c:pt idx="21">
                  <c:v>42.806927000000002</c:v>
                </c:pt>
                <c:pt idx="22">
                  <c:v>38.723607999999999</c:v>
                </c:pt>
                <c:pt idx="23">
                  <c:v>41.893318000000001</c:v>
                </c:pt>
                <c:pt idx="24">
                  <c:v>46.305846000000003</c:v>
                </c:pt>
                <c:pt idx="25">
                  <c:v>55.521968000000001</c:v>
                </c:pt>
                <c:pt idx="26">
                  <c:v>50.880218999999997</c:v>
                </c:pt>
                <c:pt idx="27">
                  <c:v>54.315795000000001</c:v>
                </c:pt>
                <c:pt idx="28">
                  <c:v>58.874910999999997</c:v>
                </c:pt>
                <c:pt idx="29">
                  <c:v>50.830959999999997</c:v>
                </c:pt>
                <c:pt idx="30">
                  <c:v>49.086666000000001</c:v>
                </c:pt>
                <c:pt idx="31">
                  <c:v>48.077342000000002</c:v>
                </c:pt>
                <c:pt idx="32">
                  <c:v>41.730756</c:v>
                </c:pt>
                <c:pt idx="33">
                  <c:v>43.758394000000003</c:v>
                </c:pt>
                <c:pt idx="34">
                  <c:v>43.477719999999998</c:v>
                </c:pt>
                <c:pt idx="35">
                  <c:v>43.229649000000002</c:v>
                </c:pt>
                <c:pt idx="36">
                  <c:v>43.091033000000003</c:v>
                </c:pt>
                <c:pt idx="37">
                  <c:v>38.207763</c:v>
                </c:pt>
                <c:pt idx="38">
                  <c:v>38.745024000000001</c:v>
                </c:pt>
                <c:pt idx="39">
                  <c:v>39.802689999999998</c:v>
                </c:pt>
                <c:pt idx="40">
                  <c:v>36.572761999999997</c:v>
                </c:pt>
                <c:pt idx="41">
                  <c:v>31.786362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'no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'no cost'!$D$2:$D$43</c:f>
              <c:numCache>
                <c:formatCode>General</c:formatCode>
                <c:ptCount val="42"/>
                <c:pt idx="0">
                  <c:v>29.65</c:v>
                </c:pt>
                <c:pt idx="1">
                  <c:v>28.57</c:v>
                </c:pt>
                <c:pt idx="2">
                  <c:v>22.67</c:v>
                </c:pt>
                <c:pt idx="3">
                  <c:v>25.51</c:v>
                </c:pt>
                <c:pt idx="4">
                  <c:v>27.36</c:v>
                </c:pt>
                <c:pt idx="5">
                  <c:v>20.46</c:v>
                </c:pt>
                <c:pt idx="6">
                  <c:v>38.380000000000003</c:v>
                </c:pt>
                <c:pt idx="7">
                  <c:v>70.73</c:v>
                </c:pt>
                <c:pt idx="8">
                  <c:v>73.040000000000006</c:v>
                </c:pt>
                <c:pt idx="9">
                  <c:v>75.78</c:v>
                </c:pt>
                <c:pt idx="10">
                  <c:v>76.819999999999993</c:v>
                </c:pt>
                <c:pt idx="11">
                  <c:v>67.739999999999995</c:v>
                </c:pt>
                <c:pt idx="12">
                  <c:v>63.98</c:v>
                </c:pt>
                <c:pt idx="13">
                  <c:v>60.86</c:v>
                </c:pt>
                <c:pt idx="14">
                  <c:v>54.22</c:v>
                </c:pt>
                <c:pt idx="15">
                  <c:v>56.48</c:v>
                </c:pt>
                <c:pt idx="16">
                  <c:v>45.76</c:v>
                </c:pt>
                <c:pt idx="17">
                  <c:v>42.56</c:v>
                </c:pt>
                <c:pt idx="18">
                  <c:v>44.06</c:v>
                </c:pt>
                <c:pt idx="19">
                  <c:v>51.65</c:v>
                </c:pt>
                <c:pt idx="20">
                  <c:v>48.14</c:v>
                </c:pt>
                <c:pt idx="21">
                  <c:v>48.77</c:v>
                </c:pt>
                <c:pt idx="22">
                  <c:v>41.79</c:v>
                </c:pt>
                <c:pt idx="23">
                  <c:v>45.34</c:v>
                </c:pt>
                <c:pt idx="24">
                  <c:v>53.9</c:v>
                </c:pt>
                <c:pt idx="25">
                  <c:v>61.49</c:v>
                </c:pt>
                <c:pt idx="26">
                  <c:v>58.42</c:v>
                </c:pt>
                <c:pt idx="27">
                  <c:v>61.22</c:v>
                </c:pt>
                <c:pt idx="28">
                  <c:v>61.42</c:v>
                </c:pt>
                <c:pt idx="29">
                  <c:v>55.3</c:v>
                </c:pt>
                <c:pt idx="30">
                  <c:v>49.67</c:v>
                </c:pt>
                <c:pt idx="31">
                  <c:v>48.29</c:v>
                </c:pt>
                <c:pt idx="32">
                  <c:v>41.33</c:v>
                </c:pt>
                <c:pt idx="33">
                  <c:v>43.31</c:v>
                </c:pt>
                <c:pt idx="34">
                  <c:v>42.58</c:v>
                </c:pt>
                <c:pt idx="35">
                  <c:v>41.87</c:v>
                </c:pt>
                <c:pt idx="36">
                  <c:v>40.26</c:v>
                </c:pt>
                <c:pt idx="37">
                  <c:v>35.049999999999997</c:v>
                </c:pt>
                <c:pt idx="38">
                  <c:v>36.049999999999997</c:v>
                </c:pt>
                <c:pt idx="39">
                  <c:v>37.340000000000003</c:v>
                </c:pt>
                <c:pt idx="40">
                  <c:v>31.82</c:v>
                </c:pt>
                <c:pt idx="41">
                  <c:v>32.67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037440"/>
        <c:axId val="389039232"/>
      </c:lineChart>
      <c:dateAx>
        <c:axId val="389037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9039232"/>
        <c:crosses val="autoZero"/>
        <c:auto val="1"/>
        <c:lblOffset val="100"/>
        <c:baseTimeUnit val="months"/>
      </c:dateAx>
      <c:valAx>
        <c:axId val="38903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9037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'with cost'!$C$1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'with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cost'!$C$2:$C$43</c:f>
              <c:numCache>
                <c:formatCode>General</c:formatCode>
                <c:ptCount val="42"/>
                <c:pt idx="0">
                  <c:v>26.438400000000001</c:v>
                </c:pt>
                <c:pt idx="1">
                  <c:v>23.724270000000001</c:v>
                </c:pt>
                <c:pt idx="2">
                  <c:v>20.841170000000002</c:v>
                </c:pt>
                <c:pt idx="3">
                  <c:v>21.488983000000001</c:v>
                </c:pt>
                <c:pt idx="4">
                  <c:v>21.921814000000001</c:v>
                </c:pt>
                <c:pt idx="5">
                  <c:v>21.300692999999999</c:v>
                </c:pt>
                <c:pt idx="6">
                  <c:v>31.625534999999999</c:v>
                </c:pt>
                <c:pt idx="7">
                  <c:v>50.076002000000003</c:v>
                </c:pt>
                <c:pt idx="8">
                  <c:v>51.998066000000001</c:v>
                </c:pt>
                <c:pt idx="9">
                  <c:v>55.532184999999998</c:v>
                </c:pt>
                <c:pt idx="10">
                  <c:v>57.276646999999997</c:v>
                </c:pt>
                <c:pt idx="11">
                  <c:v>41.546638000000002</c:v>
                </c:pt>
                <c:pt idx="12">
                  <c:v>38.588726999999999</c:v>
                </c:pt>
                <c:pt idx="13">
                  <c:v>39.217514000000001</c:v>
                </c:pt>
                <c:pt idx="14">
                  <c:v>39.262310999999997</c:v>
                </c:pt>
                <c:pt idx="15">
                  <c:v>40.034244999999999</c:v>
                </c:pt>
                <c:pt idx="16">
                  <c:v>38.382657999999999</c:v>
                </c:pt>
                <c:pt idx="17">
                  <c:v>35.798209</c:v>
                </c:pt>
                <c:pt idx="18">
                  <c:v>37.150489</c:v>
                </c:pt>
                <c:pt idx="19">
                  <c:v>41.053139999999999</c:v>
                </c:pt>
                <c:pt idx="20">
                  <c:v>40.801822000000001</c:v>
                </c:pt>
                <c:pt idx="21">
                  <c:v>41.153767000000002</c:v>
                </c:pt>
                <c:pt idx="22">
                  <c:v>32.772069000000002</c:v>
                </c:pt>
                <c:pt idx="23">
                  <c:v>36.775022999999997</c:v>
                </c:pt>
                <c:pt idx="24">
                  <c:v>43.709355000000002</c:v>
                </c:pt>
                <c:pt idx="25">
                  <c:v>47.168703999999998</c:v>
                </c:pt>
                <c:pt idx="26">
                  <c:v>46.817576000000003</c:v>
                </c:pt>
                <c:pt idx="27">
                  <c:v>48.963306000000003</c:v>
                </c:pt>
                <c:pt idx="28">
                  <c:v>50.124434000000001</c:v>
                </c:pt>
                <c:pt idx="29">
                  <c:v>48.238691000000003</c:v>
                </c:pt>
                <c:pt idx="30">
                  <c:v>44.409213999999999</c:v>
                </c:pt>
                <c:pt idx="31">
                  <c:v>41.715558000000001</c:v>
                </c:pt>
                <c:pt idx="32">
                  <c:v>36.173017000000002</c:v>
                </c:pt>
                <c:pt idx="33">
                  <c:v>37.365243999999997</c:v>
                </c:pt>
                <c:pt idx="34">
                  <c:v>37.578471999999998</c:v>
                </c:pt>
                <c:pt idx="35">
                  <c:v>37.803035000000001</c:v>
                </c:pt>
                <c:pt idx="36">
                  <c:v>38.080710000000003</c:v>
                </c:pt>
                <c:pt idx="37">
                  <c:v>35.446359999999999</c:v>
                </c:pt>
                <c:pt idx="38">
                  <c:v>35.948565000000002</c:v>
                </c:pt>
                <c:pt idx="39">
                  <c:v>37.102758000000001</c:v>
                </c:pt>
                <c:pt idx="40">
                  <c:v>32.154421999999997</c:v>
                </c:pt>
                <c:pt idx="41">
                  <c:v>31.786362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'with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cost'!$D$2:$D$43</c:f>
              <c:numCache>
                <c:formatCode>General</c:formatCode>
                <c:ptCount val="42"/>
                <c:pt idx="0">
                  <c:v>29.65</c:v>
                </c:pt>
                <c:pt idx="1">
                  <c:v>28.57</c:v>
                </c:pt>
                <c:pt idx="2">
                  <c:v>22.67</c:v>
                </c:pt>
                <c:pt idx="3">
                  <c:v>25.51</c:v>
                </c:pt>
                <c:pt idx="4">
                  <c:v>27.36</c:v>
                </c:pt>
                <c:pt idx="5">
                  <c:v>20.46</c:v>
                </c:pt>
                <c:pt idx="6">
                  <c:v>38.380000000000003</c:v>
                </c:pt>
                <c:pt idx="7">
                  <c:v>70.73</c:v>
                </c:pt>
                <c:pt idx="8">
                  <c:v>73.040000000000006</c:v>
                </c:pt>
                <c:pt idx="9">
                  <c:v>75.78</c:v>
                </c:pt>
                <c:pt idx="10">
                  <c:v>76.819999999999993</c:v>
                </c:pt>
                <c:pt idx="11">
                  <c:v>67.739999999999995</c:v>
                </c:pt>
                <c:pt idx="12">
                  <c:v>63.98</c:v>
                </c:pt>
                <c:pt idx="13">
                  <c:v>60.86</c:v>
                </c:pt>
                <c:pt idx="14">
                  <c:v>54.22</c:v>
                </c:pt>
                <c:pt idx="15">
                  <c:v>56.48</c:v>
                </c:pt>
                <c:pt idx="16">
                  <c:v>45.76</c:v>
                </c:pt>
                <c:pt idx="17">
                  <c:v>42.56</c:v>
                </c:pt>
                <c:pt idx="18">
                  <c:v>44.06</c:v>
                </c:pt>
                <c:pt idx="19">
                  <c:v>51.65</c:v>
                </c:pt>
                <c:pt idx="20">
                  <c:v>48.14</c:v>
                </c:pt>
                <c:pt idx="21">
                  <c:v>48.77</c:v>
                </c:pt>
                <c:pt idx="22">
                  <c:v>41.79</c:v>
                </c:pt>
                <c:pt idx="23">
                  <c:v>45.34</c:v>
                </c:pt>
                <c:pt idx="24">
                  <c:v>53.9</c:v>
                </c:pt>
                <c:pt idx="25">
                  <c:v>61.49</c:v>
                </c:pt>
                <c:pt idx="26">
                  <c:v>58.42</c:v>
                </c:pt>
                <c:pt idx="27">
                  <c:v>61.22</c:v>
                </c:pt>
                <c:pt idx="28">
                  <c:v>61.42</c:v>
                </c:pt>
                <c:pt idx="29">
                  <c:v>55.3</c:v>
                </c:pt>
                <c:pt idx="30">
                  <c:v>49.67</c:v>
                </c:pt>
                <c:pt idx="31">
                  <c:v>48.29</c:v>
                </c:pt>
                <c:pt idx="32">
                  <c:v>41.33</c:v>
                </c:pt>
                <c:pt idx="33">
                  <c:v>43.31</c:v>
                </c:pt>
                <c:pt idx="34">
                  <c:v>42.58</c:v>
                </c:pt>
                <c:pt idx="35">
                  <c:v>41.87</c:v>
                </c:pt>
                <c:pt idx="36">
                  <c:v>40.26</c:v>
                </c:pt>
                <c:pt idx="37">
                  <c:v>35.049999999999997</c:v>
                </c:pt>
                <c:pt idx="38">
                  <c:v>36.049999999999997</c:v>
                </c:pt>
                <c:pt idx="39">
                  <c:v>37.340000000000003</c:v>
                </c:pt>
                <c:pt idx="40">
                  <c:v>31.82</c:v>
                </c:pt>
                <c:pt idx="41">
                  <c:v>32.67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'with cost'!$E$1</c:f>
              <c:strCache>
                <c:ptCount val="1"/>
                <c:pt idx="0">
                  <c:v>MEDIA_EFFECT_old</c:v>
                </c:pt>
              </c:strCache>
            </c:strRef>
          </c:tx>
          <c:marker>
            <c:symbol val="none"/>
          </c:marker>
          <c:cat>
            <c:numRef>
              <c:f>'with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cost'!$E$2:$E$43</c:f>
              <c:numCache>
                <c:formatCode>General</c:formatCode>
                <c:ptCount val="42"/>
                <c:pt idx="0">
                  <c:v>29.27355</c:v>
                </c:pt>
                <c:pt idx="1">
                  <c:v>28.023931999999999</c:v>
                </c:pt>
                <c:pt idx="2">
                  <c:v>23.54242</c:v>
                </c:pt>
                <c:pt idx="3">
                  <c:v>24.797377000000001</c:v>
                </c:pt>
                <c:pt idx="4">
                  <c:v>25.55274</c:v>
                </c:pt>
                <c:pt idx="5">
                  <c:v>23.385870000000001</c:v>
                </c:pt>
                <c:pt idx="6">
                  <c:v>34.200972</c:v>
                </c:pt>
                <c:pt idx="7">
                  <c:v>56.994545000000002</c:v>
                </c:pt>
                <c:pt idx="8">
                  <c:v>58.821677000000001</c:v>
                </c:pt>
                <c:pt idx="9">
                  <c:v>61.868813000000003</c:v>
                </c:pt>
                <c:pt idx="10">
                  <c:v>63.616419999999998</c:v>
                </c:pt>
                <c:pt idx="11">
                  <c:v>54.371599000000003</c:v>
                </c:pt>
                <c:pt idx="12">
                  <c:v>51.855105999999999</c:v>
                </c:pt>
                <c:pt idx="13">
                  <c:v>52.380780000000001</c:v>
                </c:pt>
                <c:pt idx="14">
                  <c:v>47.333184000000003</c:v>
                </c:pt>
                <c:pt idx="15">
                  <c:v>49.876694999999998</c:v>
                </c:pt>
                <c:pt idx="16">
                  <c:v>40.213853999999998</c:v>
                </c:pt>
                <c:pt idx="17">
                  <c:v>39.068880999999998</c:v>
                </c:pt>
                <c:pt idx="18">
                  <c:v>39.940215000000002</c:v>
                </c:pt>
                <c:pt idx="19">
                  <c:v>44.609796000000003</c:v>
                </c:pt>
                <c:pt idx="20">
                  <c:v>42.449964999999999</c:v>
                </c:pt>
                <c:pt idx="21">
                  <c:v>42.806927000000002</c:v>
                </c:pt>
                <c:pt idx="22">
                  <c:v>38.723607999999999</c:v>
                </c:pt>
                <c:pt idx="23">
                  <c:v>41.893318000000001</c:v>
                </c:pt>
                <c:pt idx="24">
                  <c:v>46.305846000000003</c:v>
                </c:pt>
                <c:pt idx="25">
                  <c:v>55.521968000000001</c:v>
                </c:pt>
                <c:pt idx="26">
                  <c:v>50.880218999999997</c:v>
                </c:pt>
                <c:pt idx="27">
                  <c:v>54.315795000000001</c:v>
                </c:pt>
                <c:pt idx="28">
                  <c:v>58.874910999999997</c:v>
                </c:pt>
                <c:pt idx="29">
                  <c:v>50.830959999999997</c:v>
                </c:pt>
                <c:pt idx="30">
                  <c:v>49.086666000000001</c:v>
                </c:pt>
                <c:pt idx="31">
                  <c:v>48.077342000000002</c:v>
                </c:pt>
                <c:pt idx="32">
                  <c:v>41.730756</c:v>
                </c:pt>
                <c:pt idx="33">
                  <c:v>43.758394000000003</c:v>
                </c:pt>
                <c:pt idx="34">
                  <c:v>43.477719999999998</c:v>
                </c:pt>
                <c:pt idx="35">
                  <c:v>43.229649000000002</c:v>
                </c:pt>
                <c:pt idx="36">
                  <c:v>43.091033000000003</c:v>
                </c:pt>
                <c:pt idx="37">
                  <c:v>38.207763</c:v>
                </c:pt>
                <c:pt idx="38">
                  <c:v>38.745024000000001</c:v>
                </c:pt>
                <c:pt idx="39">
                  <c:v>39.802689999999998</c:v>
                </c:pt>
                <c:pt idx="40">
                  <c:v>36.572761999999997</c:v>
                </c:pt>
                <c:pt idx="41">
                  <c:v>31.786362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070016"/>
        <c:axId val="386071552"/>
      </c:lineChart>
      <c:lineChart>
        <c:grouping val="standard"/>
        <c:varyColors val="0"/>
        <c:ser>
          <c:idx val="0"/>
          <c:order val="0"/>
          <c:tx>
            <c:strRef>
              <c:f>'with cost'!$B$1</c:f>
              <c:strCache>
                <c:ptCount val="1"/>
                <c:pt idx="0">
                  <c:v>MR30YR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'with cost'!$A$2:$A$43</c:f>
              <c:numCache>
                <c:formatCode>m/d/yyyy</c:formatCode>
                <c:ptCount val="42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cost'!$B$2:$B$43</c:f>
              <c:numCache>
                <c:formatCode>General</c:formatCode>
                <c:ptCount val="42"/>
                <c:pt idx="0">
                  <c:v>3.871</c:v>
                </c:pt>
                <c:pt idx="1">
                  <c:v>3.92</c:v>
                </c:pt>
                <c:pt idx="2">
                  <c:v>4.0709999999999997</c:v>
                </c:pt>
                <c:pt idx="3">
                  <c:v>4.0362499999999999</c:v>
                </c:pt>
                <c:pt idx="4">
                  <c:v>4.0187499999999998</c:v>
                </c:pt>
                <c:pt idx="5">
                  <c:v>4.1025</c:v>
                </c:pt>
                <c:pt idx="6">
                  <c:v>3.7069999999999999</c:v>
                </c:pt>
                <c:pt idx="7">
                  <c:v>3.3574999999999999</c:v>
                </c:pt>
                <c:pt idx="8">
                  <c:v>3.3475000000000001</c:v>
                </c:pt>
                <c:pt idx="9">
                  <c:v>3.32</c:v>
                </c:pt>
                <c:pt idx="10">
                  <c:v>3.3149999999999999</c:v>
                </c:pt>
                <c:pt idx="11">
                  <c:v>3.448</c:v>
                </c:pt>
                <c:pt idx="12">
                  <c:v>3.4874999999999998</c:v>
                </c:pt>
                <c:pt idx="13">
                  <c:v>3.4925000000000002</c:v>
                </c:pt>
                <c:pt idx="14">
                  <c:v>3.569</c:v>
                </c:pt>
                <c:pt idx="15">
                  <c:v>3.5474999999999999</c:v>
                </c:pt>
                <c:pt idx="16">
                  <c:v>3.7725</c:v>
                </c:pt>
                <c:pt idx="17">
                  <c:v>3.8639999999999999</c:v>
                </c:pt>
                <c:pt idx="18">
                  <c:v>3.8487499999999999</c:v>
                </c:pt>
                <c:pt idx="19">
                  <c:v>3.6825000000000001</c:v>
                </c:pt>
                <c:pt idx="20">
                  <c:v>3.7869999999999999</c:v>
                </c:pt>
                <c:pt idx="21">
                  <c:v>3.8050000000000002</c:v>
                </c:pt>
                <c:pt idx="22">
                  <c:v>3.9460000000000002</c:v>
                </c:pt>
                <c:pt idx="23">
                  <c:v>3.895</c:v>
                </c:pt>
                <c:pt idx="24">
                  <c:v>3.7462499999999999</c:v>
                </c:pt>
                <c:pt idx="25">
                  <c:v>3.577</c:v>
                </c:pt>
                <c:pt idx="26">
                  <c:v>3.67</c:v>
                </c:pt>
                <c:pt idx="27">
                  <c:v>3.61625</c:v>
                </c:pt>
                <c:pt idx="28">
                  <c:v>3.5762499999999999</c:v>
                </c:pt>
                <c:pt idx="29">
                  <c:v>3.754</c:v>
                </c:pt>
                <c:pt idx="30">
                  <c:v>3.8725000000000001</c:v>
                </c:pt>
                <c:pt idx="31">
                  <c:v>3.9060000000000001</c:v>
                </c:pt>
                <c:pt idx="32">
                  <c:v>4.0374999999999996</c:v>
                </c:pt>
                <c:pt idx="33">
                  <c:v>4.00875</c:v>
                </c:pt>
                <c:pt idx="34">
                  <c:v>4.03</c:v>
                </c:pt>
                <c:pt idx="35">
                  <c:v>4.05</c:v>
                </c:pt>
                <c:pt idx="36">
                  <c:v>4.0674999999999999</c:v>
                </c:pt>
                <c:pt idx="37">
                  <c:v>4.2480000000000002</c:v>
                </c:pt>
                <c:pt idx="38">
                  <c:v>4.2487500000000002</c:v>
                </c:pt>
                <c:pt idx="39">
                  <c:v>4.2275</c:v>
                </c:pt>
                <c:pt idx="40">
                  <c:v>4.3620000000000001</c:v>
                </c:pt>
                <c:pt idx="41">
                  <c:v>4.37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91264"/>
        <c:axId val="466163968"/>
      </c:lineChart>
      <c:dateAx>
        <c:axId val="386070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6071552"/>
        <c:crosses val="autoZero"/>
        <c:auto val="1"/>
        <c:lblOffset val="100"/>
        <c:baseTimeUnit val="months"/>
      </c:dateAx>
      <c:valAx>
        <c:axId val="38607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070016"/>
        <c:crosses val="autoZero"/>
        <c:crossBetween val="between"/>
      </c:valAx>
      <c:valAx>
        <c:axId val="466163968"/>
        <c:scaling>
          <c:orientation val="minMax"/>
          <c:min val="3"/>
        </c:scaling>
        <c:delete val="0"/>
        <c:axPos val="r"/>
        <c:numFmt formatCode="General" sourceLinked="1"/>
        <c:majorTickMark val="out"/>
        <c:minorTickMark val="none"/>
        <c:tickLblPos val="nextTo"/>
        <c:crossAx val="455691264"/>
        <c:crosses val="max"/>
        <c:crossBetween val="between"/>
      </c:valAx>
      <c:dateAx>
        <c:axId val="4556912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66163968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'with cost'!$C$1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'with cost'!$A$2:$A$49</c:f>
              <c:numCache>
                <c:formatCode>m/d/yyyy</c:formatCode>
                <c:ptCount val="48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cost'!$C$2:$C$49</c:f>
              <c:numCache>
                <c:formatCode>General</c:formatCode>
                <c:ptCount val="48"/>
                <c:pt idx="0">
                  <c:v>26.438400000000001</c:v>
                </c:pt>
                <c:pt idx="1">
                  <c:v>23.724270000000001</c:v>
                </c:pt>
                <c:pt idx="2">
                  <c:v>20.841170000000002</c:v>
                </c:pt>
                <c:pt idx="3">
                  <c:v>21.488983000000001</c:v>
                </c:pt>
                <c:pt idx="4">
                  <c:v>21.921814000000001</c:v>
                </c:pt>
                <c:pt idx="5">
                  <c:v>21.300692999999999</c:v>
                </c:pt>
                <c:pt idx="6">
                  <c:v>31.625534999999999</c:v>
                </c:pt>
                <c:pt idx="7">
                  <c:v>50.076002000000003</c:v>
                </c:pt>
                <c:pt idx="8">
                  <c:v>51.998066000000001</c:v>
                </c:pt>
                <c:pt idx="9">
                  <c:v>55.532184999999998</c:v>
                </c:pt>
                <c:pt idx="10">
                  <c:v>57.276646999999997</c:v>
                </c:pt>
                <c:pt idx="11">
                  <c:v>41.546638000000002</c:v>
                </c:pt>
                <c:pt idx="12">
                  <c:v>38.588726999999999</c:v>
                </c:pt>
                <c:pt idx="13">
                  <c:v>39.217514000000001</c:v>
                </c:pt>
                <c:pt idx="14">
                  <c:v>39.262310999999997</c:v>
                </c:pt>
                <c:pt idx="15">
                  <c:v>40.034244999999999</c:v>
                </c:pt>
                <c:pt idx="16">
                  <c:v>38.382657999999999</c:v>
                </c:pt>
                <c:pt idx="17">
                  <c:v>35.798209</c:v>
                </c:pt>
                <c:pt idx="18">
                  <c:v>37.150489</c:v>
                </c:pt>
                <c:pt idx="19">
                  <c:v>41.053139999999999</c:v>
                </c:pt>
                <c:pt idx="20">
                  <c:v>40.801822000000001</c:v>
                </c:pt>
                <c:pt idx="21">
                  <c:v>41.153767000000002</c:v>
                </c:pt>
                <c:pt idx="22">
                  <c:v>32.772069000000002</c:v>
                </c:pt>
                <c:pt idx="23">
                  <c:v>36.775022999999997</c:v>
                </c:pt>
                <c:pt idx="24">
                  <c:v>43.709355000000002</c:v>
                </c:pt>
                <c:pt idx="25">
                  <c:v>47.168703999999998</c:v>
                </c:pt>
                <c:pt idx="26">
                  <c:v>46.817576000000003</c:v>
                </c:pt>
                <c:pt idx="27">
                  <c:v>48.963306000000003</c:v>
                </c:pt>
                <c:pt idx="28">
                  <c:v>50.124434000000001</c:v>
                </c:pt>
                <c:pt idx="29">
                  <c:v>48.238691000000003</c:v>
                </c:pt>
                <c:pt idx="30">
                  <c:v>44.409213999999999</c:v>
                </c:pt>
                <c:pt idx="31">
                  <c:v>41.715558000000001</c:v>
                </c:pt>
                <c:pt idx="32">
                  <c:v>36.173017000000002</c:v>
                </c:pt>
                <c:pt idx="33">
                  <c:v>37.365243999999997</c:v>
                </c:pt>
                <c:pt idx="34">
                  <c:v>37.578471999999998</c:v>
                </c:pt>
                <c:pt idx="35">
                  <c:v>37.803035000000001</c:v>
                </c:pt>
                <c:pt idx="36">
                  <c:v>38.080710000000003</c:v>
                </c:pt>
                <c:pt idx="37">
                  <c:v>35.446359999999999</c:v>
                </c:pt>
                <c:pt idx="38">
                  <c:v>35.948565000000002</c:v>
                </c:pt>
                <c:pt idx="39">
                  <c:v>37.102758000000001</c:v>
                </c:pt>
                <c:pt idx="40">
                  <c:v>32.154421999999997</c:v>
                </c:pt>
                <c:pt idx="41">
                  <c:v>31.786362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'with cost'!$A$2:$A$49</c:f>
              <c:numCache>
                <c:formatCode>m/d/yyyy</c:formatCode>
                <c:ptCount val="48"/>
                <c:pt idx="0">
                  <c:v>42887</c:v>
                </c:pt>
                <c:pt idx="1">
                  <c:v>42856</c:v>
                </c:pt>
                <c:pt idx="2">
                  <c:v>42826</c:v>
                </c:pt>
                <c:pt idx="3">
                  <c:v>42795</c:v>
                </c:pt>
                <c:pt idx="4">
                  <c:v>42767</c:v>
                </c:pt>
                <c:pt idx="5">
                  <c:v>42736</c:v>
                </c:pt>
                <c:pt idx="6">
                  <c:v>42705</c:v>
                </c:pt>
                <c:pt idx="7">
                  <c:v>42675</c:v>
                </c:pt>
                <c:pt idx="8">
                  <c:v>42644</c:v>
                </c:pt>
                <c:pt idx="9">
                  <c:v>42614</c:v>
                </c:pt>
                <c:pt idx="10">
                  <c:v>42583</c:v>
                </c:pt>
                <c:pt idx="11">
                  <c:v>42552</c:v>
                </c:pt>
                <c:pt idx="12">
                  <c:v>42522</c:v>
                </c:pt>
                <c:pt idx="13">
                  <c:v>42491</c:v>
                </c:pt>
                <c:pt idx="14">
                  <c:v>42461</c:v>
                </c:pt>
                <c:pt idx="15">
                  <c:v>42430</c:v>
                </c:pt>
                <c:pt idx="16">
                  <c:v>42401</c:v>
                </c:pt>
                <c:pt idx="17">
                  <c:v>42370</c:v>
                </c:pt>
                <c:pt idx="18">
                  <c:v>42339</c:v>
                </c:pt>
                <c:pt idx="19">
                  <c:v>42309</c:v>
                </c:pt>
                <c:pt idx="20">
                  <c:v>42278</c:v>
                </c:pt>
                <c:pt idx="21">
                  <c:v>42248</c:v>
                </c:pt>
                <c:pt idx="22">
                  <c:v>42217</c:v>
                </c:pt>
                <c:pt idx="23">
                  <c:v>42186</c:v>
                </c:pt>
                <c:pt idx="24">
                  <c:v>42156</c:v>
                </c:pt>
                <c:pt idx="25">
                  <c:v>42125</c:v>
                </c:pt>
                <c:pt idx="26">
                  <c:v>42095</c:v>
                </c:pt>
                <c:pt idx="27">
                  <c:v>42064</c:v>
                </c:pt>
                <c:pt idx="28">
                  <c:v>42036</c:v>
                </c:pt>
                <c:pt idx="29">
                  <c:v>42005</c:v>
                </c:pt>
                <c:pt idx="30">
                  <c:v>41974</c:v>
                </c:pt>
                <c:pt idx="31">
                  <c:v>41944</c:v>
                </c:pt>
                <c:pt idx="32">
                  <c:v>41913</c:v>
                </c:pt>
                <c:pt idx="33">
                  <c:v>41883</c:v>
                </c:pt>
                <c:pt idx="34">
                  <c:v>41852</c:v>
                </c:pt>
                <c:pt idx="35">
                  <c:v>41821</c:v>
                </c:pt>
                <c:pt idx="36">
                  <c:v>41791</c:v>
                </c:pt>
                <c:pt idx="37">
                  <c:v>41760</c:v>
                </c:pt>
                <c:pt idx="38">
                  <c:v>41730</c:v>
                </c:pt>
                <c:pt idx="39">
                  <c:v>41699</c:v>
                </c:pt>
                <c:pt idx="40">
                  <c:v>41671</c:v>
                </c:pt>
                <c:pt idx="41">
                  <c:v>41640</c:v>
                </c:pt>
              </c:numCache>
            </c:numRef>
          </c:cat>
          <c:val>
            <c:numRef>
              <c:f>'with cost'!$D$2:$D$49</c:f>
              <c:numCache>
                <c:formatCode>General</c:formatCode>
                <c:ptCount val="48"/>
                <c:pt idx="0">
                  <c:v>29.65</c:v>
                </c:pt>
                <c:pt idx="1">
                  <c:v>28.57</c:v>
                </c:pt>
                <c:pt idx="2">
                  <c:v>22.67</c:v>
                </c:pt>
                <c:pt idx="3">
                  <c:v>25.51</c:v>
                </c:pt>
                <c:pt idx="4">
                  <c:v>27.36</c:v>
                </c:pt>
                <c:pt idx="5">
                  <c:v>20.46</c:v>
                </c:pt>
                <c:pt idx="6">
                  <c:v>38.380000000000003</c:v>
                </c:pt>
                <c:pt idx="7">
                  <c:v>70.73</c:v>
                </c:pt>
                <c:pt idx="8">
                  <c:v>73.040000000000006</c:v>
                </c:pt>
                <c:pt idx="9">
                  <c:v>75.78</c:v>
                </c:pt>
                <c:pt idx="10">
                  <c:v>76.819999999999993</c:v>
                </c:pt>
                <c:pt idx="11">
                  <c:v>67.739999999999995</c:v>
                </c:pt>
                <c:pt idx="12">
                  <c:v>63.98</c:v>
                </c:pt>
                <c:pt idx="13">
                  <c:v>60.86</c:v>
                </c:pt>
                <c:pt idx="14">
                  <c:v>54.22</c:v>
                </c:pt>
                <c:pt idx="15">
                  <c:v>56.48</c:v>
                </c:pt>
                <c:pt idx="16">
                  <c:v>45.76</c:v>
                </c:pt>
                <c:pt idx="17">
                  <c:v>42.56</c:v>
                </c:pt>
                <c:pt idx="18">
                  <c:v>44.06</c:v>
                </c:pt>
                <c:pt idx="19">
                  <c:v>51.65</c:v>
                </c:pt>
                <c:pt idx="20">
                  <c:v>48.14</c:v>
                </c:pt>
                <c:pt idx="21">
                  <c:v>48.77</c:v>
                </c:pt>
                <c:pt idx="22">
                  <c:v>41.79</c:v>
                </c:pt>
                <c:pt idx="23">
                  <c:v>45.34</c:v>
                </c:pt>
                <c:pt idx="24">
                  <c:v>53.9</c:v>
                </c:pt>
                <c:pt idx="25">
                  <c:v>61.49</c:v>
                </c:pt>
                <c:pt idx="26">
                  <c:v>58.42</c:v>
                </c:pt>
                <c:pt idx="27">
                  <c:v>61.22</c:v>
                </c:pt>
                <c:pt idx="28">
                  <c:v>61.42</c:v>
                </c:pt>
                <c:pt idx="29">
                  <c:v>55.3</c:v>
                </c:pt>
                <c:pt idx="30">
                  <c:v>49.67</c:v>
                </c:pt>
                <c:pt idx="31">
                  <c:v>48.29</c:v>
                </c:pt>
                <c:pt idx="32">
                  <c:v>41.33</c:v>
                </c:pt>
                <c:pt idx="33">
                  <c:v>43.31</c:v>
                </c:pt>
                <c:pt idx="34">
                  <c:v>42.58</c:v>
                </c:pt>
                <c:pt idx="35">
                  <c:v>41.87</c:v>
                </c:pt>
                <c:pt idx="36">
                  <c:v>40.26</c:v>
                </c:pt>
                <c:pt idx="37">
                  <c:v>35.049999999999997</c:v>
                </c:pt>
                <c:pt idx="38">
                  <c:v>36.049999999999997</c:v>
                </c:pt>
                <c:pt idx="39">
                  <c:v>37.340000000000003</c:v>
                </c:pt>
                <c:pt idx="40">
                  <c:v>31.82</c:v>
                </c:pt>
                <c:pt idx="41">
                  <c:v>32.67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237184"/>
        <c:axId val="391666304"/>
      </c:lineChart>
      <c:dateAx>
        <c:axId val="3902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1666304"/>
        <c:crosses val="autoZero"/>
        <c:auto val="1"/>
        <c:lblOffset val="100"/>
        <c:baseTimeUnit val="months"/>
      </c:dateAx>
      <c:valAx>
        <c:axId val="39166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2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'with cost_1508'!$C$1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'with cost_1508'!$A$2:$A$24</c:f>
              <c:numCache>
                <c:formatCode>m/d/yyyy</c:formatCode>
                <c:ptCount val="2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</c:numCache>
            </c:numRef>
          </c:cat>
          <c:val>
            <c:numRef>
              <c:f>'with cost_1508'!$C$2:$C$24</c:f>
              <c:numCache>
                <c:formatCode>General</c:formatCode>
                <c:ptCount val="23"/>
                <c:pt idx="0">
                  <c:v>41.166068000000003</c:v>
                </c:pt>
                <c:pt idx="1">
                  <c:v>48.800016999999997</c:v>
                </c:pt>
                <c:pt idx="2">
                  <c:v>48.612659999999998</c:v>
                </c:pt>
                <c:pt idx="3">
                  <c:v>50.687615999999998</c:v>
                </c:pt>
                <c:pt idx="4">
                  <c:v>45.878</c:v>
                </c:pt>
                <c:pt idx="5">
                  <c:v>44.402369</c:v>
                </c:pt>
                <c:pt idx="6">
                  <c:v>46.226785</c:v>
                </c:pt>
                <c:pt idx="7">
                  <c:v>53.064982999999998</c:v>
                </c:pt>
                <c:pt idx="8">
                  <c:v>51.004809999999999</c:v>
                </c:pt>
                <c:pt idx="9">
                  <c:v>55.314515</c:v>
                </c:pt>
                <c:pt idx="10">
                  <c:v>54.892477</c:v>
                </c:pt>
                <c:pt idx="11">
                  <c:v>58.991019999999999</c:v>
                </c:pt>
                <c:pt idx="12">
                  <c:v>66.719003000000001</c:v>
                </c:pt>
                <c:pt idx="13">
                  <c:v>64.788124999999994</c:v>
                </c:pt>
                <c:pt idx="14">
                  <c:v>61.948962000000002</c:v>
                </c:pt>
                <c:pt idx="15">
                  <c:v>60.565534999999997</c:v>
                </c:pt>
                <c:pt idx="16">
                  <c:v>39.052836999999997</c:v>
                </c:pt>
                <c:pt idx="17">
                  <c:v>20.785995</c:v>
                </c:pt>
                <c:pt idx="18">
                  <c:v>24.023979000000001</c:v>
                </c:pt>
                <c:pt idx="19">
                  <c:v>22.487072999999999</c:v>
                </c:pt>
                <c:pt idx="20">
                  <c:v>20.987985999999999</c:v>
                </c:pt>
                <c:pt idx="21">
                  <c:v>31.077159999999999</c:v>
                </c:pt>
                <c:pt idx="22">
                  <c:v>32.916801999999997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'with cost_1508'!$D$1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'with cost_1508'!$A$2:$A$24</c:f>
              <c:numCache>
                <c:formatCode>m/d/yyyy</c:formatCode>
                <c:ptCount val="2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</c:numCache>
            </c:numRef>
          </c:cat>
          <c:val>
            <c:numRef>
              <c:f>'with cost_1508'!$D$2:$D$24</c:f>
              <c:numCache>
                <c:formatCode>General</c:formatCode>
                <c:ptCount val="23"/>
                <c:pt idx="0">
                  <c:v>41.79</c:v>
                </c:pt>
                <c:pt idx="1">
                  <c:v>48.77</c:v>
                </c:pt>
                <c:pt idx="2">
                  <c:v>48.14</c:v>
                </c:pt>
                <c:pt idx="3">
                  <c:v>51.65</c:v>
                </c:pt>
                <c:pt idx="4">
                  <c:v>44.06</c:v>
                </c:pt>
                <c:pt idx="5">
                  <c:v>42.56</c:v>
                </c:pt>
                <c:pt idx="6">
                  <c:v>45.76</c:v>
                </c:pt>
                <c:pt idx="7">
                  <c:v>56.48</c:v>
                </c:pt>
                <c:pt idx="8">
                  <c:v>54.22</c:v>
                </c:pt>
                <c:pt idx="9">
                  <c:v>60.86</c:v>
                </c:pt>
                <c:pt idx="10">
                  <c:v>63.98</c:v>
                </c:pt>
                <c:pt idx="11">
                  <c:v>67.739999999999995</c:v>
                </c:pt>
                <c:pt idx="12">
                  <c:v>76.819999999999993</c:v>
                </c:pt>
                <c:pt idx="13">
                  <c:v>75.78</c:v>
                </c:pt>
                <c:pt idx="14">
                  <c:v>73.040000000000006</c:v>
                </c:pt>
                <c:pt idx="15">
                  <c:v>70.73</c:v>
                </c:pt>
                <c:pt idx="16">
                  <c:v>38.380000000000003</c:v>
                </c:pt>
                <c:pt idx="17">
                  <c:v>20.46</c:v>
                </c:pt>
                <c:pt idx="18">
                  <c:v>27.36</c:v>
                </c:pt>
                <c:pt idx="19">
                  <c:v>25.51</c:v>
                </c:pt>
                <c:pt idx="20">
                  <c:v>22.67</c:v>
                </c:pt>
                <c:pt idx="21">
                  <c:v>28.57</c:v>
                </c:pt>
                <c:pt idx="22">
                  <c:v>29.65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84160"/>
        <c:axId val="386290048"/>
      </c:lineChart>
      <c:dateAx>
        <c:axId val="386284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6290048"/>
        <c:crosses val="autoZero"/>
        <c:auto val="1"/>
        <c:lblOffset val="100"/>
        <c:baseTimeUnit val="months"/>
      </c:dateAx>
      <c:valAx>
        <c:axId val="38629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284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cost_1508'!$C$1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'no cost_1508'!$A$2:$A$24</c:f>
              <c:numCache>
                <c:formatCode>m/d/yyyy</c:formatCode>
                <c:ptCount val="2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</c:numCache>
            </c:numRef>
          </c:cat>
          <c:val>
            <c:numRef>
              <c:f>'no cost_1508'!$C$2:$C$24</c:f>
              <c:numCache>
                <c:formatCode>General</c:formatCode>
                <c:ptCount val="23"/>
                <c:pt idx="0">
                  <c:v>41.166068000000003</c:v>
                </c:pt>
                <c:pt idx="1">
                  <c:v>50.505163000000003</c:v>
                </c:pt>
                <c:pt idx="2">
                  <c:v>50.296165999999999</c:v>
                </c:pt>
                <c:pt idx="3">
                  <c:v>54.111026000000003</c:v>
                </c:pt>
                <c:pt idx="4">
                  <c:v>46.710602000000002</c:v>
                </c:pt>
                <c:pt idx="5">
                  <c:v>45.547606999999999</c:v>
                </c:pt>
                <c:pt idx="6">
                  <c:v>47.830381000000003</c:v>
                </c:pt>
                <c:pt idx="7">
                  <c:v>58.782820000000001</c:v>
                </c:pt>
                <c:pt idx="8">
                  <c:v>56.345376000000002</c:v>
                </c:pt>
                <c:pt idx="9">
                  <c:v>60.110836999999997</c:v>
                </c:pt>
                <c:pt idx="10">
                  <c:v>59.315874999999998</c:v>
                </c:pt>
                <c:pt idx="11">
                  <c:v>61.011578</c:v>
                </c:pt>
                <c:pt idx="12">
                  <c:v>68.848952999999995</c:v>
                </c:pt>
                <c:pt idx="13">
                  <c:v>66.876794000000004</c:v>
                </c:pt>
                <c:pt idx="14">
                  <c:v>63.647281</c:v>
                </c:pt>
                <c:pt idx="15">
                  <c:v>61.627564</c:v>
                </c:pt>
                <c:pt idx="16">
                  <c:v>41.001821</c:v>
                </c:pt>
                <c:pt idx="17">
                  <c:v>25.053314</c:v>
                </c:pt>
                <c:pt idx="18">
                  <c:v>28.792857000000001</c:v>
                </c:pt>
                <c:pt idx="19">
                  <c:v>27.685518999999999</c:v>
                </c:pt>
                <c:pt idx="20">
                  <c:v>25.764102000000001</c:v>
                </c:pt>
                <c:pt idx="21">
                  <c:v>32.270677999999997</c:v>
                </c:pt>
                <c:pt idx="22">
                  <c:v>33.924089000000002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 cost_1508'!$D$1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'no cost_1508'!$A$2:$A$24</c:f>
              <c:numCache>
                <c:formatCode>m/d/yyyy</c:formatCode>
                <c:ptCount val="2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</c:numCache>
            </c:numRef>
          </c:cat>
          <c:val>
            <c:numRef>
              <c:f>'no cost_1508'!$D$2:$D$24</c:f>
              <c:numCache>
                <c:formatCode>General</c:formatCode>
                <c:ptCount val="23"/>
                <c:pt idx="0">
                  <c:v>41.79</c:v>
                </c:pt>
                <c:pt idx="1">
                  <c:v>48.77</c:v>
                </c:pt>
                <c:pt idx="2">
                  <c:v>48.14</c:v>
                </c:pt>
                <c:pt idx="3">
                  <c:v>51.65</c:v>
                </c:pt>
                <c:pt idx="4">
                  <c:v>44.06</c:v>
                </c:pt>
                <c:pt idx="5">
                  <c:v>42.56</c:v>
                </c:pt>
                <c:pt idx="6">
                  <c:v>45.76</c:v>
                </c:pt>
                <c:pt idx="7">
                  <c:v>56.48</c:v>
                </c:pt>
                <c:pt idx="8">
                  <c:v>54.22</c:v>
                </c:pt>
                <c:pt idx="9">
                  <c:v>60.86</c:v>
                </c:pt>
                <c:pt idx="10">
                  <c:v>63.98</c:v>
                </c:pt>
                <c:pt idx="11">
                  <c:v>67.739999999999995</c:v>
                </c:pt>
                <c:pt idx="12">
                  <c:v>76.819999999999993</c:v>
                </c:pt>
                <c:pt idx="13">
                  <c:v>75.78</c:v>
                </c:pt>
                <c:pt idx="14">
                  <c:v>73.040000000000006</c:v>
                </c:pt>
                <c:pt idx="15">
                  <c:v>70.73</c:v>
                </c:pt>
                <c:pt idx="16">
                  <c:v>38.380000000000003</c:v>
                </c:pt>
                <c:pt idx="17">
                  <c:v>20.46</c:v>
                </c:pt>
                <c:pt idx="18">
                  <c:v>27.36</c:v>
                </c:pt>
                <c:pt idx="19">
                  <c:v>25.51</c:v>
                </c:pt>
                <c:pt idx="20">
                  <c:v>22.67</c:v>
                </c:pt>
                <c:pt idx="21">
                  <c:v>28.57</c:v>
                </c:pt>
                <c:pt idx="22">
                  <c:v>29.65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515584"/>
        <c:axId val="392517120"/>
      </c:lineChart>
      <c:dateAx>
        <c:axId val="392515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2517120"/>
        <c:crosses val="autoZero"/>
        <c:auto val="1"/>
        <c:lblOffset val="100"/>
        <c:baseTimeUnit val="months"/>
      </c:dateAx>
      <c:valAx>
        <c:axId val="39251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515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'cost compare by asof'!$AC$1</c:f>
              <c:strCache>
                <c:ptCount val="1"/>
                <c:pt idx="0">
                  <c:v>cost</c:v>
                </c:pt>
              </c:strCache>
            </c:strRef>
          </c:tx>
          <c:marker>
            <c:symbol val="none"/>
          </c:marker>
          <c:cat>
            <c:numRef>
              <c:f>'cost compare by asof'!$V$2:$V$190</c:f>
              <c:numCache>
                <c:formatCode>m/d/yyyy</c:formatCode>
                <c:ptCount val="189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</c:numCache>
            </c:numRef>
          </c:cat>
          <c:val>
            <c:numRef>
              <c:f>'cost compare by asof'!$AC$2:$AC$190</c:f>
              <c:numCache>
                <c:formatCode>0.00</c:formatCode>
                <c:ptCount val="189"/>
                <c:pt idx="0">
                  <c:v>0.24750000000000005</c:v>
                </c:pt>
                <c:pt idx="1">
                  <c:v>0.24750000000000005</c:v>
                </c:pt>
                <c:pt idx="2">
                  <c:v>0.24750000000000005</c:v>
                </c:pt>
                <c:pt idx="3">
                  <c:v>0.1725000000000001</c:v>
                </c:pt>
                <c:pt idx="4">
                  <c:v>0.1725000000000001</c:v>
                </c:pt>
                <c:pt idx="5">
                  <c:v>0.1725000000000001</c:v>
                </c:pt>
                <c:pt idx="6">
                  <c:v>0.1725000000000001</c:v>
                </c:pt>
                <c:pt idx="7">
                  <c:v>0.1725000000000001</c:v>
                </c:pt>
                <c:pt idx="8">
                  <c:v>0.1725000000000001</c:v>
                </c:pt>
                <c:pt idx="9">
                  <c:v>0.1725000000000001</c:v>
                </c:pt>
                <c:pt idx="10">
                  <c:v>-0.20999999999999996</c:v>
                </c:pt>
                <c:pt idx="11">
                  <c:v>-0.20999999999999996</c:v>
                </c:pt>
                <c:pt idx="12">
                  <c:v>-0.20999999999999996</c:v>
                </c:pt>
                <c:pt idx="13">
                  <c:v>-0.20999999999999996</c:v>
                </c:pt>
                <c:pt idx="14">
                  <c:v>-0.20999999999999996</c:v>
                </c:pt>
                <c:pt idx="15">
                  <c:v>-0.20999999999999996</c:v>
                </c:pt>
                <c:pt idx="16">
                  <c:v>-0.20999999999999996</c:v>
                </c:pt>
                <c:pt idx="17">
                  <c:v>-0.21000000000000152</c:v>
                </c:pt>
                <c:pt idx="18">
                  <c:v>0.20309819018500996</c:v>
                </c:pt>
                <c:pt idx="19">
                  <c:v>0.12571830990687205</c:v>
                </c:pt>
                <c:pt idx="20">
                  <c:v>0.10529878573111454</c:v>
                </c:pt>
                <c:pt idx="21">
                  <c:v>0.13340564428932195</c:v>
                </c:pt>
                <c:pt idx="22">
                  <c:v>-2.0306130454340737E-2</c:v>
                </c:pt>
                <c:pt idx="23">
                  <c:v>-1.119053228836174E-2</c:v>
                </c:pt>
                <c:pt idx="24">
                  <c:v>2.4363321006079242E-3</c:v>
                </c:pt>
                <c:pt idx="25">
                  <c:v>1.5233286362771506E-2</c:v>
                </c:pt>
                <c:pt idx="26">
                  <c:v>2.6261886121037581E-3</c:v>
                </c:pt>
                <c:pt idx="27">
                  <c:v>-2.5850678967533645E-2</c:v>
                </c:pt>
                <c:pt idx="28">
                  <c:v>-5.4624237477627902E-2</c:v>
                </c:pt>
                <c:pt idx="29">
                  <c:v>-4.7152470244562733E-2</c:v>
                </c:pt>
                <c:pt idx="30">
                  <c:v>-6.5228103269171583E-2</c:v>
                </c:pt>
                <c:pt idx="31">
                  <c:v>-6.8172501707945199E-2</c:v>
                </c:pt>
                <c:pt idx="32">
                  <c:v>-8.0607983312098411E-2</c:v>
                </c:pt>
                <c:pt idx="33">
                  <c:v>-8.1012051516175354E-2</c:v>
                </c:pt>
                <c:pt idx="34">
                  <c:v>-0.10430059856513776</c:v>
                </c:pt>
                <c:pt idx="35">
                  <c:v>-0.11626079714258181</c:v>
                </c:pt>
                <c:pt idx="36">
                  <c:v>-0.12078151810792334</c:v>
                </c:pt>
                <c:pt idx="37">
                  <c:v>-0.12228257086489749</c:v>
                </c:pt>
                <c:pt idx="38">
                  <c:v>-0.12237690483101185</c:v>
                </c:pt>
                <c:pt idx="39">
                  <c:v>-0.11529561289352017</c:v>
                </c:pt>
                <c:pt idx="40">
                  <c:v>-0.137954789808896</c:v>
                </c:pt>
                <c:pt idx="41">
                  <c:v>-0.13764405888363201</c:v>
                </c:pt>
                <c:pt idx="42">
                  <c:v>-0.14736368942437952</c:v>
                </c:pt>
                <c:pt idx="43">
                  <c:v>-0.15099991388990069</c:v>
                </c:pt>
                <c:pt idx="44">
                  <c:v>-0.17101986249243745</c:v>
                </c:pt>
                <c:pt idx="45">
                  <c:v>-0.18812275536715156</c:v>
                </c:pt>
                <c:pt idx="46">
                  <c:v>-0.15322752795405181</c:v>
                </c:pt>
                <c:pt idx="47">
                  <c:v>-0.15384558932796158</c:v>
                </c:pt>
                <c:pt idx="48">
                  <c:v>-0.10850169286605205</c:v>
                </c:pt>
                <c:pt idx="49">
                  <c:v>-0.10786491583770486</c:v>
                </c:pt>
                <c:pt idx="50">
                  <c:v>-0.10822401510001492</c:v>
                </c:pt>
                <c:pt idx="51">
                  <c:v>-0.12364844683147951</c:v>
                </c:pt>
                <c:pt idx="52">
                  <c:v>-0.12626951665655373</c:v>
                </c:pt>
                <c:pt idx="53">
                  <c:v>-0.12141577848137602</c:v>
                </c:pt>
                <c:pt idx="54">
                  <c:v>-0.13765816196195352</c:v>
                </c:pt>
                <c:pt idx="55">
                  <c:v>-0.13759398299693421</c:v>
                </c:pt>
                <c:pt idx="56">
                  <c:v>-0.14771183653340714</c:v>
                </c:pt>
                <c:pt idx="57">
                  <c:v>-0.1461408882521989</c:v>
                </c:pt>
                <c:pt idx="58">
                  <c:v>-0.14639272576360909</c:v>
                </c:pt>
                <c:pt idx="59">
                  <c:v>-0.14622350765444186</c:v>
                </c:pt>
                <c:pt idx="60">
                  <c:v>-0.13293379867071248</c:v>
                </c:pt>
                <c:pt idx="61">
                  <c:v>-0.13711348032299581</c:v>
                </c:pt>
                <c:pt idx="62">
                  <c:v>-0.138326502988628</c:v>
                </c:pt>
                <c:pt idx="63">
                  <c:v>-0.14694658117834372</c:v>
                </c:pt>
                <c:pt idx="64">
                  <c:v>-0.14669830942000595</c:v>
                </c:pt>
                <c:pt idx="65">
                  <c:v>-0.15026742343379021</c:v>
                </c:pt>
                <c:pt idx="66">
                  <c:v>-0.15125356108826932</c:v>
                </c:pt>
                <c:pt idx="67">
                  <c:v>-0.15006169268936828</c:v>
                </c:pt>
                <c:pt idx="68">
                  <c:v>-0.15085889544450434</c:v>
                </c:pt>
                <c:pt idx="69">
                  <c:v>-0.14950255862466033</c:v>
                </c:pt>
                <c:pt idx="70">
                  <c:v>-0.14666465147117763</c:v>
                </c:pt>
                <c:pt idx="71">
                  <c:v>-0.14111088131932709</c:v>
                </c:pt>
                <c:pt idx="72">
                  <c:v>-0.13892596749738095</c:v>
                </c:pt>
                <c:pt idx="73">
                  <c:v>-0.14163359057258421</c:v>
                </c:pt>
                <c:pt idx="74">
                  <c:v>-0.13782142979749731</c:v>
                </c:pt>
                <c:pt idx="75">
                  <c:v>-5.9215528153289038E-2</c:v>
                </c:pt>
                <c:pt idx="76">
                  <c:v>-6.2659759246736613E-2</c:v>
                </c:pt>
                <c:pt idx="77">
                  <c:v>-5.4653246757396204E-2</c:v>
                </c:pt>
                <c:pt idx="78">
                  <c:v>-4.6020826678832109E-2</c:v>
                </c:pt>
                <c:pt idx="79">
                  <c:v>8.3236599196805386E-2</c:v>
                </c:pt>
                <c:pt idx="80">
                  <c:v>0.13617454817460983</c:v>
                </c:pt>
                <c:pt idx="81">
                  <c:v>0.14703113423206052</c:v>
                </c:pt>
                <c:pt idx="82">
                  <c:v>0.1554702445988371</c:v>
                </c:pt>
                <c:pt idx="83">
                  <c:v>0.16621880524798321</c:v>
                </c:pt>
                <c:pt idx="84">
                  <c:v>0.17171683467287574</c:v>
                </c:pt>
                <c:pt idx="85">
                  <c:v>0.17428923119367074</c:v>
                </c:pt>
                <c:pt idx="86">
                  <c:v>0.17232705080959637</c:v>
                </c:pt>
                <c:pt idx="87">
                  <c:v>0.12917815020922097</c:v>
                </c:pt>
                <c:pt idx="88">
                  <c:v>0.1161842339747477</c:v>
                </c:pt>
                <c:pt idx="89">
                  <c:v>9.8454712835912145E-2</c:v>
                </c:pt>
                <c:pt idx="90">
                  <c:v>4.7488453008354359E-2</c:v>
                </c:pt>
                <c:pt idx="91">
                  <c:v>5.0718938785365528E-2</c:v>
                </c:pt>
                <c:pt idx="92">
                  <c:v>6.8014166992233546E-2</c:v>
                </c:pt>
                <c:pt idx="93">
                  <c:v>6.505608888466155E-2</c:v>
                </c:pt>
                <c:pt idx="94">
                  <c:v>6.5420610227684556E-2</c:v>
                </c:pt>
                <c:pt idx="95">
                  <c:v>6.6431173629532395E-2</c:v>
                </c:pt>
                <c:pt idx="96">
                  <c:v>6.7816799213593001E-2</c:v>
                </c:pt>
                <c:pt idx="97">
                  <c:v>7.1080916076472905E-2</c:v>
                </c:pt>
                <c:pt idx="98">
                  <c:v>7.3045094005801406E-2</c:v>
                </c:pt>
                <c:pt idx="99">
                  <c:v>7.5558193582327252E-2</c:v>
                </c:pt>
                <c:pt idx="100">
                  <c:v>7.2604379738599248E-2</c:v>
                </c:pt>
                <c:pt idx="101">
                  <c:v>7.1425647695678107E-2</c:v>
                </c:pt>
                <c:pt idx="102">
                  <c:v>6.9215138900000098E-2</c:v>
                </c:pt>
                <c:pt idx="103">
                  <c:v>7.1056598801206253E-2</c:v>
                </c:pt>
                <c:pt idx="104">
                  <c:v>7.451016907643529E-2</c:v>
                </c:pt>
                <c:pt idx="105">
                  <c:v>7.759026311580744E-2</c:v>
                </c:pt>
                <c:pt idx="106">
                  <c:v>8.368157211666985E-2</c:v>
                </c:pt>
                <c:pt idx="107">
                  <c:v>0.1009299954834989</c:v>
                </c:pt>
                <c:pt idx="108">
                  <c:v>0.1167913014159338</c:v>
                </c:pt>
                <c:pt idx="109">
                  <c:v>0.14180078369600446</c:v>
                </c:pt>
                <c:pt idx="110">
                  <c:v>0.16426624742463092</c:v>
                </c:pt>
                <c:pt idx="111">
                  <c:v>0.17749354265425077</c:v>
                </c:pt>
                <c:pt idx="112">
                  <c:v>0.16672069092160963</c:v>
                </c:pt>
                <c:pt idx="113">
                  <c:v>0.15510858556843532</c:v>
                </c:pt>
                <c:pt idx="114">
                  <c:v>0.14638136209526811</c:v>
                </c:pt>
                <c:pt idx="115">
                  <c:v>0.13908130543672986</c:v>
                </c:pt>
                <c:pt idx="116">
                  <c:v>0.13236537199405135</c:v>
                </c:pt>
                <c:pt idx="117">
                  <c:v>0.12867311619669219</c:v>
                </c:pt>
                <c:pt idx="118">
                  <c:v>0.13303453853308814</c:v>
                </c:pt>
                <c:pt idx="119">
                  <c:v>0.13982038494826318</c:v>
                </c:pt>
                <c:pt idx="120">
                  <c:v>0.15002236370082719</c:v>
                </c:pt>
                <c:pt idx="121">
                  <c:v>0.15533078448327498</c:v>
                </c:pt>
                <c:pt idx="122">
                  <c:v>0.16540445085305894</c:v>
                </c:pt>
                <c:pt idx="123">
                  <c:v>0.16695279275204433</c:v>
                </c:pt>
                <c:pt idx="124">
                  <c:v>0.15063193853699525</c:v>
                </c:pt>
                <c:pt idx="125">
                  <c:v>0.13694805235395335</c:v>
                </c:pt>
                <c:pt idx="126">
                  <c:v>0.13008644387636545</c:v>
                </c:pt>
                <c:pt idx="127">
                  <c:v>0.13124535258622705</c:v>
                </c:pt>
                <c:pt idx="128">
                  <c:v>0.12815551742582121</c:v>
                </c:pt>
                <c:pt idx="129">
                  <c:v>0.12991484216803831</c:v>
                </c:pt>
                <c:pt idx="130">
                  <c:v>0.13242510239665717</c:v>
                </c:pt>
                <c:pt idx="131">
                  <c:v>0.13350091524234925</c:v>
                </c:pt>
                <c:pt idx="132">
                  <c:v>0.13621931843355023</c:v>
                </c:pt>
                <c:pt idx="133">
                  <c:v>0.13078576824712199</c:v>
                </c:pt>
                <c:pt idx="134">
                  <c:v>0.1251403962207977</c:v>
                </c:pt>
                <c:pt idx="135">
                  <c:v>0.12083793903564972</c:v>
                </c:pt>
                <c:pt idx="136">
                  <c:v>0.10132506260678616</c:v>
                </c:pt>
                <c:pt idx="137">
                  <c:v>8.6122381795954453E-2</c:v>
                </c:pt>
                <c:pt idx="138">
                  <c:v>6.9679651888302802E-2</c:v>
                </c:pt>
                <c:pt idx="139">
                  <c:v>6.6801858305618397E-2</c:v>
                </c:pt>
                <c:pt idx="140">
                  <c:v>6.6263693752149938E-2</c:v>
                </c:pt>
                <c:pt idx="141">
                  <c:v>6.4394367748947773E-2</c:v>
                </c:pt>
                <c:pt idx="142">
                  <c:v>6.5354354066333054E-2</c:v>
                </c:pt>
                <c:pt idx="143">
                  <c:v>6.5687412987875823E-2</c:v>
                </c:pt>
                <c:pt idx="144">
                  <c:v>8.7544743625525709E-2</c:v>
                </c:pt>
                <c:pt idx="145">
                  <c:v>7.665333586415668E-2</c:v>
                </c:pt>
                <c:pt idx="146">
                  <c:v>7.9363406084251353E-2</c:v>
                </c:pt>
                <c:pt idx="147">
                  <c:v>7.7830979818916027E-2</c:v>
                </c:pt>
                <c:pt idx="148">
                  <c:v>6.257034013683066E-2</c:v>
                </c:pt>
                <c:pt idx="149">
                  <c:v>5.5976697428122391E-2</c:v>
                </c:pt>
                <c:pt idx="150">
                  <c:v>4.9724984878230113E-2</c:v>
                </c:pt>
                <c:pt idx="151">
                  <c:v>4.7473191210554294E-2</c:v>
                </c:pt>
                <c:pt idx="152">
                  <c:v>4.6209856099829194E-2</c:v>
                </c:pt>
                <c:pt idx="153">
                  <c:v>4.6251228833476959E-2</c:v>
                </c:pt>
                <c:pt idx="154">
                  <c:v>4.7441201406905192E-2</c:v>
                </c:pt>
                <c:pt idx="155">
                  <c:v>4.7749099898162339E-2</c:v>
                </c:pt>
                <c:pt idx="156">
                  <c:v>4.9010423014974103E-2</c:v>
                </c:pt>
                <c:pt idx="157">
                  <c:v>2.9347352740310528E-2</c:v>
                </c:pt>
                <c:pt idx="158">
                  <c:v>2.9116579206201587E-2</c:v>
                </c:pt>
                <c:pt idx="159">
                  <c:v>2.9171655743950392E-2</c:v>
                </c:pt>
                <c:pt idx="160">
                  <c:v>2.512613469925945E-2</c:v>
                </c:pt>
                <c:pt idx="161">
                  <c:v>2.2020555133148045E-2</c:v>
                </c:pt>
                <c:pt idx="162">
                  <c:v>2.0436488003288192E-2</c:v>
                </c:pt>
                <c:pt idx="163">
                  <c:v>2.2881184225757953E-2</c:v>
                </c:pt>
                <c:pt idx="164">
                  <c:v>2.4398107598264107E-2</c:v>
                </c:pt>
                <c:pt idx="165">
                  <c:v>2.1771032955545055E-2</c:v>
                </c:pt>
                <c:pt idx="166">
                  <c:v>2.50825162510942E-2</c:v>
                </c:pt>
                <c:pt idx="167">
                  <c:v>2.6547300138960853E-2</c:v>
                </c:pt>
                <c:pt idx="168">
                  <c:v>3.19953024957393E-2</c:v>
                </c:pt>
                <c:pt idx="169">
                  <c:v>3.3878875693303501E-2</c:v>
                </c:pt>
                <c:pt idx="170">
                  <c:v>3.4458236534873496E-2</c:v>
                </c:pt>
                <c:pt idx="171">
                  <c:v>3.578279267598429E-2</c:v>
                </c:pt>
                <c:pt idx="172">
                  <c:v>2.6747539986841012E-2</c:v>
                </c:pt>
                <c:pt idx="173">
                  <c:v>2.9261094857594844E-2</c:v>
                </c:pt>
                <c:pt idx="174">
                  <c:v>3.0393589110230795E-2</c:v>
                </c:pt>
                <c:pt idx="175">
                  <c:v>3.6664537311120293E-2</c:v>
                </c:pt>
                <c:pt idx="176">
                  <c:v>3.9980928824939754E-2</c:v>
                </c:pt>
                <c:pt idx="177">
                  <c:v>4.5330087350320403E-2</c:v>
                </c:pt>
                <c:pt idx="178">
                  <c:v>5.2446044333078659E-2</c:v>
                </c:pt>
                <c:pt idx="179">
                  <c:v>5.8910758921002698E-2</c:v>
                </c:pt>
                <c:pt idx="180">
                  <c:v>6.2644371921950062E-2</c:v>
                </c:pt>
                <c:pt idx="181">
                  <c:v>7.1285168854488018E-2</c:v>
                </c:pt>
                <c:pt idx="182">
                  <c:v>7.3031359315816766E-2</c:v>
                </c:pt>
                <c:pt idx="183">
                  <c:v>7.8841432588117558E-2</c:v>
                </c:pt>
                <c:pt idx="184">
                  <c:v>8.2199235902767898E-2</c:v>
                </c:pt>
                <c:pt idx="185">
                  <c:v>8.8363374129303729E-2</c:v>
                </c:pt>
                <c:pt idx="186">
                  <c:v>9.405352453810216E-2</c:v>
                </c:pt>
                <c:pt idx="187">
                  <c:v>0.10165711772359132</c:v>
                </c:pt>
                <c:pt idx="188">
                  <c:v>0.10784518291589275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08864"/>
        <c:axId val="444043648"/>
      </c:lineChart>
      <c:dateAx>
        <c:axId val="409108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4043648"/>
        <c:crosses val="autoZero"/>
        <c:auto val="1"/>
        <c:lblOffset val="100"/>
        <c:baseTimeUnit val="months"/>
      </c:dateAx>
      <c:valAx>
        <c:axId val="4440436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0910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6</xdr:row>
      <xdr:rowOff>61912</xdr:rowOff>
    </xdr:from>
    <xdr:to>
      <xdr:col>19</xdr:col>
      <xdr:colOff>0</xdr:colOff>
      <xdr:row>20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190499</xdr:colOff>
      <xdr:row>26</xdr:row>
      <xdr:rowOff>157162</xdr:rowOff>
    </xdr:from>
    <xdr:to>
      <xdr:col>25</xdr:col>
      <xdr:colOff>104774</xdr:colOff>
      <xdr:row>55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6</xdr:row>
      <xdr:rowOff>80962</xdr:rowOff>
    </xdr:from>
    <xdr:to>
      <xdr:col>18</xdr:col>
      <xdr:colOff>571500</xdr:colOff>
      <xdr:row>20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6</xdr:row>
      <xdr:rowOff>138112</xdr:rowOff>
    </xdr:from>
    <xdr:to>
      <xdr:col>17</xdr:col>
      <xdr:colOff>342900</xdr:colOff>
      <xdr:row>21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6</xdr:row>
      <xdr:rowOff>138112</xdr:rowOff>
    </xdr:from>
    <xdr:to>
      <xdr:col>17</xdr:col>
      <xdr:colOff>342900</xdr:colOff>
      <xdr:row>21</xdr:row>
      <xdr:rowOff>23812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45</xdr:row>
      <xdr:rowOff>28574</xdr:rowOff>
    </xdr:from>
    <xdr:to>
      <xdr:col>19</xdr:col>
      <xdr:colOff>104775</xdr:colOff>
      <xdr:row>61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L7" sqref="L7"/>
    </sheetView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</row>
    <row r="2" spans="1:6" x14ac:dyDescent="0.25">
      <c r="A2" s="1">
        <v>42887</v>
      </c>
      <c r="B2">
        <v>3.871</v>
      </c>
      <c r="C2">
        <v>29.27355</v>
      </c>
      <c r="D2">
        <v>29.65</v>
      </c>
      <c r="F2" s="1"/>
    </row>
    <row r="3" spans="1:6" x14ac:dyDescent="0.25">
      <c r="A3" s="1">
        <v>42856</v>
      </c>
      <c r="B3">
        <v>3.92</v>
      </c>
      <c r="C3">
        <v>28.023931999999999</v>
      </c>
      <c r="D3">
        <v>28.57</v>
      </c>
      <c r="F3" s="1"/>
    </row>
    <row r="4" spans="1:6" x14ac:dyDescent="0.25">
      <c r="A4" s="1">
        <v>42826</v>
      </c>
      <c r="B4">
        <v>4.0709999999999997</v>
      </c>
      <c r="C4">
        <v>23.54242</v>
      </c>
      <c r="D4">
        <v>22.67</v>
      </c>
      <c r="F4" s="1"/>
    </row>
    <row r="5" spans="1:6" x14ac:dyDescent="0.25">
      <c r="A5" s="1">
        <v>42795</v>
      </c>
      <c r="B5">
        <v>4.0362499999999999</v>
      </c>
      <c r="C5">
        <v>24.797377000000001</v>
      </c>
      <c r="D5">
        <v>25.51</v>
      </c>
      <c r="F5" s="1"/>
    </row>
    <row r="6" spans="1:6" x14ac:dyDescent="0.25">
      <c r="A6" s="1">
        <v>42767</v>
      </c>
      <c r="B6">
        <v>4.0187499999999998</v>
      </c>
      <c r="C6">
        <v>25.55274</v>
      </c>
      <c r="D6">
        <v>27.36</v>
      </c>
      <c r="F6" s="1"/>
    </row>
    <row r="7" spans="1:6" x14ac:dyDescent="0.25">
      <c r="A7" s="1">
        <v>42736</v>
      </c>
      <c r="B7">
        <v>4.1025</v>
      </c>
      <c r="C7">
        <v>23.385870000000001</v>
      </c>
      <c r="D7">
        <v>20.46</v>
      </c>
      <c r="F7" s="1"/>
    </row>
    <row r="8" spans="1:6" x14ac:dyDescent="0.25">
      <c r="A8" s="1">
        <v>42705</v>
      </c>
      <c r="B8">
        <v>3.7069999999999999</v>
      </c>
      <c r="C8">
        <v>34.200972</v>
      </c>
      <c r="D8">
        <v>38.380000000000003</v>
      </c>
      <c r="F8" s="1"/>
    </row>
    <row r="9" spans="1:6" x14ac:dyDescent="0.25">
      <c r="A9" s="1">
        <v>42675</v>
      </c>
      <c r="B9">
        <v>3.3574999999999999</v>
      </c>
      <c r="C9">
        <v>56.994545000000002</v>
      </c>
      <c r="D9">
        <v>70.73</v>
      </c>
      <c r="F9" s="1"/>
    </row>
    <row r="10" spans="1:6" x14ac:dyDescent="0.25">
      <c r="A10" s="1">
        <v>42644</v>
      </c>
      <c r="B10">
        <v>3.3475000000000001</v>
      </c>
      <c r="C10">
        <v>58.821677000000001</v>
      </c>
      <c r="D10">
        <v>73.040000000000006</v>
      </c>
      <c r="F10" s="1"/>
    </row>
    <row r="11" spans="1:6" x14ac:dyDescent="0.25">
      <c r="A11" s="1">
        <v>42614</v>
      </c>
      <c r="B11">
        <v>3.32</v>
      </c>
      <c r="C11">
        <v>61.868813000000003</v>
      </c>
      <c r="D11">
        <v>75.78</v>
      </c>
      <c r="F11" s="1"/>
    </row>
    <row r="12" spans="1:6" x14ac:dyDescent="0.25">
      <c r="A12" s="1">
        <v>42583</v>
      </c>
      <c r="B12">
        <v>3.3149999999999999</v>
      </c>
      <c r="C12">
        <v>63.616419999999998</v>
      </c>
      <c r="D12">
        <v>76.819999999999993</v>
      </c>
      <c r="F12" s="1"/>
    </row>
    <row r="13" spans="1:6" x14ac:dyDescent="0.25">
      <c r="A13" s="1">
        <v>42552</v>
      </c>
      <c r="B13">
        <v>3.448</v>
      </c>
      <c r="C13">
        <v>54.371599000000003</v>
      </c>
      <c r="D13">
        <v>67.739999999999995</v>
      </c>
      <c r="F13" s="1"/>
    </row>
    <row r="14" spans="1:6" x14ac:dyDescent="0.25">
      <c r="A14" s="1">
        <v>42522</v>
      </c>
      <c r="B14">
        <v>3.4874999999999998</v>
      </c>
      <c r="C14">
        <v>51.855105999999999</v>
      </c>
      <c r="D14">
        <v>63.98</v>
      </c>
      <c r="F14" s="1"/>
    </row>
    <row r="15" spans="1:6" x14ac:dyDescent="0.25">
      <c r="A15" s="1">
        <v>42491</v>
      </c>
      <c r="B15">
        <v>3.4925000000000002</v>
      </c>
      <c r="C15">
        <v>52.380780000000001</v>
      </c>
      <c r="D15">
        <v>60.86</v>
      </c>
      <c r="F15" s="1"/>
    </row>
    <row r="16" spans="1:6" x14ac:dyDescent="0.25">
      <c r="A16" s="1">
        <v>42461</v>
      </c>
      <c r="B16">
        <v>3.569</v>
      </c>
      <c r="C16">
        <v>47.333184000000003</v>
      </c>
      <c r="D16">
        <v>54.22</v>
      </c>
      <c r="F16" s="1"/>
    </row>
    <row r="17" spans="1:6" x14ac:dyDescent="0.25">
      <c r="A17" s="1">
        <v>42430</v>
      </c>
      <c r="B17">
        <v>3.5474999999999999</v>
      </c>
      <c r="C17">
        <v>49.876694999999998</v>
      </c>
      <c r="D17">
        <v>56.48</v>
      </c>
      <c r="F17" s="1"/>
    </row>
    <row r="18" spans="1:6" x14ac:dyDescent="0.25">
      <c r="A18" s="1">
        <v>42401</v>
      </c>
      <c r="B18">
        <v>3.7725</v>
      </c>
      <c r="C18">
        <v>40.213853999999998</v>
      </c>
      <c r="D18">
        <v>45.76</v>
      </c>
      <c r="F18" s="1"/>
    </row>
    <row r="19" spans="1:6" x14ac:dyDescent="0.25">
      <c r="A19" s="1">
        <v>42370</v>
      </c>
      <c r="B19">
        <v>3.8639999999999999</v>
      </c>
      <c r="C19">
        <v>39.068880999999998</v>
      </c>
      <c r="D19">
        <v>42.56</v>
      </c>
      <c r="F19" s="1"/>
    </row>
    <row r="20" spans="1:6" x14ac:dyDescent="0.25">
      <c r="A20" s="1">
        <v>42339</v>
      </c>
      <c r="B20">
        <v>3.8487499999999999</v>
      </c>
      <c r="C20">
        <v>39.940215000000002</v>
      </c>
      <c r="D20">
        <v>44.06</v>
      </c>
      <c r="F20" s="1"/>
    </row>
    <row r="21" spans="1:6" x14ac:dyDescent="0.25">
      <c r="A21" s="1">
        <v>42309</v>
      </c>
      <c r="B21">
        <v>3.6825000000000001</v>
      </c>
      <c r="C21">
        <v>44.609796000000003</v>
      </c>
      <c r="D21">
        <v>51.65</v>
      </c>
      <c r="F21" s="1"/>
    </row>
    <row r="22" spans="1:6" x14ac:dyDescent="0.25">
      <c r="A22" s="1">
        <v>42278</v>
      </c>
      <c r="B22">
        <v>3.7869999999999999</v>
      </c>
      <c r="C22">
        <v>42.449964999999999</v>
      </c>
      <c r="D22">
        <v>48.14</v>
      </c>
      <c r="F22" s="1"/>
    </row>
    <row r="23" spans="1:6" x14ac:dyDescent="0.25">
      <c r="A23" s="1">
        <v>42248</v>
      </c>
      <c r="B23">
        <v>3.8050000000000002</v>
      </c>
      <c r="C23">
        <v>42.806927000000002</v>
      </c>
      <c r="D23">
        <v>48.77</v>
      </c>
      <c r="F23" s="1"/>
    </row>
    <row r="24" spans="1:6" x14ac:dyDescent="0.25">
      <c r="A24" s="1">
        <v>42217</v>
      </c>
      <c r="B24">
        <v>3.9460000000000002</v>
      </c>
      <c r="C24">
        <v>38.723607999999999</v>
      </c>
      <c r="D24">
        <v>41.79</v>
      </c>
      <c r="F24" s="1"/>
    </row>
    <row r="25" spans="1:6" x14ac:dyDescent="0.25">
      <c r="A25" s="1">
        <v>42186</v>
      </c>
      <c r="B25">
        <v>3.895</v>
      </c>
      <c r="C25">
        <v>41.893318000000001</v>
      </c>
      <c r="D25">
        <v>45.34</v>
      </c>
      <c r="F25" s="1"/>
    </row>
    <row r="26" spans="1:6" x14ac:dyDescent="0.25">
      <c r="A26" s="1">
        <v>42156</v>
      </c>
      <c r="B26">
        <v>3.7462499999999999</v>
      </c>
      <c r="C26">
        <v>46.305846000000003</v>
      </c>
      <c r="D26">
        <v>53.9</v>
      </c>
      <c r="F26" s="1"/>
    </row>
    <row r="27" spans="1:6" x14ac:dyDescent="0.25">
      <c r="A27" s="1">
        <v>42125</v>
      </c>
      <c r="B27">
        <v>3.577</v>
      </c>
      <c r="C27">
        <v>55.521968000000001</v>
      </c>
      <c r="D27">
        <v>61.49</v>
      </c>
      <c r="F27" s="1"/>
    </row>
    <row r="28" spans="1:6" x14ac:dyDescent="0.25">
      <c r="A28" s="1">
        <v>42095</v>
      </c>
      <c r="B28">
        <v>3.67</v>
      </c>
      <c r="C28">
        <v>50.880218999999997</v>
      </c>
      <c r="D28">
        <v>58.42</v>
      </c>
      <c r="F28" s="1"/>
    </row>
    <row r="29" spans="1:6" x14ac:dyDescent="0.25">
      <c r="A29" s="1">
        <v>42064</v>
      </c>
      <c r="B29">
        <v>3.61625</v>
      </c>
      <c r="C29">
        <v>54.315795000000001</v>
      </c>
      <c r="D29">
        <v>61.22</v>
      </c>
      <c r="F29" s="1"/>
    </row>
    <row r="30" spans="1:6" x14ac:dyDescent="0.25">
      <c r="A30" s="1">
        <v>42036</v>
      </c>
      <c r="B30">
        <v>3.5762499999999999</v>
      </c>
      <c r="C30">
        <v>58.874910999999997</v>
      </c>
      <c r="D30">
        <v>61.42</v>
      </c>
      <c r="F30" s="1"/>
    </row>
    <row r="31" spans="1:6" x14ac:dyDescent="0.25">
      <c r="A31" s="1">
        <v>42005</v>
      </c>
      <c r="B31">
        <v>3.754</v>
      </c>
      <c r="C31">
        <v>50.830959999999997</v>
      </c>
      <c r="D31">
        <v>55.3</v>
      </c>
      <c r="F31" s="1"/>
    </row>
    <row r="32" spans="1:6" x14ac:dyDescent="0.25">
      <c r="A32" s="1">
        <v>41974</v>
      </c>
      <c r="B32">
        <v>3.8725000000000001</v>
      </c>
      <c r="C32">
        <v>49.086666000000001</v>
      </c>
      <c r="D32">
        <v>49.67</v>
      </c>
      <c r="F32" s="1"/>
    </row>
    <row r="33" spans="1:6" x14ac:dyDescent="0.25">
      <c r="A33" s="1">
        <v>41944</v>
      </c>
      <c r="B33">
        <v>3.9060000000000001</v>
      </c>
      <c r="C33">
        <v>48.077342000000002</v>
      </c>
      <c r="D33">
        <v>48.29</v>
      </c>
      <c r="F33" s="1"/>
    </row>
    <row r="34" spans="1:6" x14ac:dyDescent="0.25">
      <c r="A34" s="1">
        <v>41913</v>
      </c>
      <c r="B34">
        <v>4.0374999999999996</v>
      </c>
      <c r="C34">
        <v>41.730756</v>
      </c>
      <c r="D34">
        <v>41.33</v>
      </c>
      <c r="F34" s="1"/>
    </row>
    <row r="35" spans="1:6" x14ac:dyDescent="0.25">
      <c r="A35" s="1">
        <v>41883</v>
      </c>
      <c r="B35">
        <v>4.00875</v>
      </c>
      <c r="C35">
        <v>43.758394000000003</v>
      </c>
      <c r="D35">
        <v>43.31</v>
      </c>
      <c r="F35" s="1"/>
    </row>
    <row r="36" spans="1:6" x14ac:dyDescent="0.25">
      <c r="A36" s="1">
        <v>41852</v>
      </c>
      <c r="B36">
        <v>4.03</v>
      </c>
      <c r="C36">
        <v>43.477719999999998</v>
      </c>
      <c r="D36">
        <v>42.58</v>
      </c>
      <c r="F36" s="1"/>
    </row>
    <row r="37" spans="1:6" x14ac:dyDescent="0.25">
      <c r="A37" s="1">
        <v>41821</v>
      </c>
      <c r="B37">
        <v>4.05</v>
      </c>
      <c r="C37">
        <v>43.229649000000002</v>
      </c>
      <c r="D37">
        <v>41.87</v>
      </c>
      <c r="F37" s="1"/>
    </row>
    <row r="38" spans="1:6" x14ac:dyDescent="0.25">
      <c r="A38" s="1">
        <v>41791</v>
      </c>
      <c r="B38">
        <v>4.0674999999999999</v>
      </c>
      <c r="C38">
        <v>43.091033000000003</v>
      </c>
      <c r="D38">
        <v>40.26</v>
      </c>
      <c r="F38" s="1"/>
    </row>
    <row r="39" spans="1:6" x14ac:dyDescent="0.25">
      <c r="A39" s="1">
        <v>41760</v>
      </c>
      <c r="B39">
        <v>4.2480000000000002</v>
      </c>
      <c r="C39">
        <v>38.207763</v>
      </c>
      <c r="D39">
        <v>35.049999999999997</v>
      </c>
      <c r="F39" s="1"/>
    </row>
    <row r="40" spans="1:6" x14ac:dyDescent="0.25">
      <c r="A40" s="1">
        <v>41730</v>
      </c>
      <c r="B40">
        <v>4.2487500000000002</v>
      </c>
      <c r="C40">
        <v>38.745024000000001</v>
      </c>
      <c r="D40">
        <v>36.049999999999997</v>
      </c>
      <c r="F40" s="1"/>
    </row>
    <row r="41" spans="1:6" x14ac:dyDescent="0.25">
      <c r="A41" s="1">
        <v>41699</v>
      </c>
      <c r="B41">
        <v>4.2275</v>
      </c>
      <c r="C41">
        <v>39.802689999999998</v>
      </c>
      <c r="D41">
        <v>37.340000000000003</v>
      </c>
      <c r="F41" s="1"/>
    </row>
    <row r="42" spans="1:6" x14ac:dyDescent="0.25">
      <c r="A42" s="1">
        <v>41671</v>
      </c>
      <c r="B42">
        <v>4.3620000000000001</v>
      </c>
      <c r="C42">
        <v>36.572761999999997</v>
      </c>
      <c r="D42">
        <v>31.82</v>
      </c>
      <c r="F42" s="1"/>
    </row>
    <row r="43" spans="1:6" x14ac:dyDescent="0.25">
      <c r="A43" s="1">
        <v>41640</v>
      </c>
      <c r="B43">
        <v>4.37</v>
      </c>
      <c r="C43">
        <v>31.786362</v>
      </c>
      <c r="D43">
        <v>32.67</v>
      </c>
      <c r="F4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B42" sqref="B37:B42"/>
    </sheetView>
  </sheetViews>
  <sheetFormatPr defaultRowHeight="15" x14ac:dyDescent="0.25"/>
  <cols>
    <col min="1" max="1" width="9.7109375" style="1" bestFit="1" customWidth="1"/>
  </cols>
  <sheetData>
    <row r="1" spans="1:6" x14ac:dyDescent="0.25"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1">
        <v>42887</v>
      </c>
      <c r="B2">
        <v>3.871</v>
      </c>
      <c r="C2">
        <v>26.438400000000001</v>
      </c>
      <c r="D2">
        <v>29.65</v>
      </c>
      <c r="E2">
        <v>29.27355</v>
      </c>
      <c r="F2" s="1"/>
    </row>
    <row r="3" spans="1:6" x14ac:dyDescent="0.25">
      <c r="A3" s="1">
        <v>42856</v>
      </c>
      <c r="B3">
        <v>3.92</v>
      </c>
      <c r="C3">
        <v>23.724270000000001</v>
      </c>
      <c r="D3">
        <v>28.57</v>
      </c>
      <c r="E3">
        <v>28.023931999999999</v>
      </c>
      <c r="F3" s="1"/>
    </row>
    <row r="4" spans="1:6" x14ac:dyDescent="0.25">
      <c r="A4" s="1">
        <v>42826</v>
      </c>
      <c r="B4">
        <v>4.0709999999999997</v>
      </c>
      <c r="C4">
        <v>20.841170000000002</v>
      </c>
      <c r="D4">
        <v>22.67</v>
      </c>
      <c r="E4">
        <v>23.54242</v>
      </c>
      <c r="F4" s="1"/>
    </row>
    <row r="5" spans="1:6" x14ac:dyDescent="0.25">
      <c r="A5" s="1">
        <v>42795</v>
      </c>
      <c r="B5">
        <v>4.0362499999999999</v>
      </c>
      <c r="C5">
        <v>21.488983000000001</v>
      </c>
      <c r="D5">
        <v>25.51</v>
      </c>
      <c r="E5">
        <v>24.797377000000001</v>
      </c>
      <c r="F5" s="1"/>
    </row>
    <row r="6" spans="1:6" x14ac:dyDescent="0.25">
      <c r="A6" s="1">
        <v>42767</v>
      </c>
      <c r="B6">
        <v>4.0187499999999998</v>
      </c>
      <c r="C6">
        <v>21.921814000000001</v>
      </c>
      <c r="D6">
        <v>27.36</v>
      </c>
      <c r="E6">
        <v>25.55274</v>
      </c>
      <c r="F6" s="1"/>
    </row>
    <row r="7" spans="1:6" x14ac:dyDescent="0.25">
      <c r="A7" s="1">
        <v>42736</v>
      </c>
      <c r="B7">
        <v>4.1025</v>
      </c>
      <c r="C7">
        <v>21.300692999999999</v>
      </c>
      <c r="D7">
        <v>20.46</v>
      </c>
      <c r="E7">
        <v>23.385870000000001</v>
      </c>
      <c r="F7" s="1"/>
    </row>
    <row r="8" spans="1:6" x14ac:dyDescent="0.25">
      <c r="A8" s="1">
        <v>42705</v>
      </c>
      <c r="B8">
        <v>3.7069999999999999</v>
      </c>
      <c r="C8" s="5">
        <v>31.625534999999999</v>
      </c>
      <c r="D8" s="5">
        <v>38.380000000000003</v>
      </c>
      <c r="E8" s="5">
        <v>34.200972</v>
      </c>
      <c r="F8" s="1"/>
    </row>
    <row r="9" spans="1:6" x14ac:dyDescent="0.25">
      <c r="A9" s="1">
        <v>42675</v>
      </c>
      <c r="B9">
        <v>3.3574999999999999</v>
      </c>
      <c r="C9">
        <v>50.076002000000003</v>
      </c>
      <c r="D9">
        <v>70.73</v>
      </c>
      <c r="E9">
        <v>56.994545000000002</v>
      </c>
      <c r="F9" s="1"/>
    </row>
    <row r="10" spans="1:6" x14ac:dyDescent="0.25">
      <c r="A10" s="1">
        <v>42644</v>
      </c>
      <c r="B10">
        <v>3.3475000000000001</v>
      </c>
      <c r="C10">
        <v>51.998066000000001</v>
      </c>
      <c r="D10">
        <v>73.040000000000006</v>
      </c>
      <c r="E10">
        <v>58.821677000000001</v>
      </c>
      <c r="F10" s="1"/>
    </row>
    <row r="11" spans="1:6" x14ac:dyDescent="0.25">
      <c r="A11" s="1">
        <v>42614</v>
      </c>
      <c r="B11">
        <v>3.32</v>
      </c>
      <c r="C11">
        <v>55.532184999999998</v>
      </c>
      <c r="D11">
        <v>75.78</v>
      </c>
      <c r="E11">
        <v>61.868813000000003</v>
      </c>
      <c r="F11" s="1"/>
    </row>
    <row r="12" spans="1:6" x14ac:dyDescent="0.25">
      <c r="A12" s="1">
        <v>42583</v>
      </c>
      <c r="B12">
        <v>3.3149999999999999</v>
      </c>
      <c r="C12">
        <v>57.276646999999997</v>
      </c>
      <c r="D12">
        <v>76.819999999999993</v>
      </c>
      <c r="E12">
        <v>63.616419999999998</v>
      </c>
      <c r="F12" s="1"/>
    </row>
    <row r="13" spans="1:6" x14ac:dyDescent="0.25">
      <c r="A13" s="1">
        <v>42552</v>
      </c>
      <c r="B13">
        <v>3.448</v>
      </c>
      <c r="C13">
        <v>41.546638000000002</v>
      </c>
      <c r="D13">
        <v>67.739999999999995</v>
      </c>
      <c r="E13">
        <v>54.371599000000003</v>
      </c>
      <c r="F13" s="1"/>
    </row>
    <row r="14" spans="1:6" x14ac:dyDescent="0.25">
      <c r="A14" s="1">
        <v>42522</v>
      </c>
      <c r="B14">
        <v>3.4874999999999998</v>
      </c>
      <c r="C14">
        <v>38.588726999999999</v>
      </c>
      <c r="D14">
        <v>63.98</v>
      </c>
      <c r="E14">
        <v>51.855105999999999</v>
      </c>
      <c r="F14" s="1"/>
    </row>
    <row r="15" spans="1:6" x14ac:dyDescent="0.25">
      <c r="A15" s="1">
        <v>42491</v>
      </c>
      <c r="B15">
        <v>3.4925000000000002</v>
      </c>
      <c r="C15">
        <v>39.217514000000001</v>
      </c>
      <c r="D15">
        <v>60.86</v>
      </c>
      <c r="E15">
        <v>52.380780000000001</v>
      </c>
      <c r="F15" s="1"/>
    </row>
    <row r="16" spans="1:6" x14ac:dyDescent="0.25">
      <c r="A16" s="1">
        <v>42461</v>
      </c>
      <c r="B16">
        <v>3.569</v>
      </c>
      <c r="C16">
        <v>39.262310999999997</v>
      </c>
      <c r="D16">
        <v>54.22</v>
      </c>
      <c r="E16">
        <v>47.333184000000003</v>
      </c>
      <c r="F16" s="1"/>
    </row>
    <row r="17" spans="1:6" x14ac:dyDescent="0.25">
      <c r="A17" s="1">
        <v>42430</v>
      </c>
      <c r="B17">
        <v>3.5474999999999999</v>
      </c>
      <c r="C17">
        <v>40.034244999999999</v>
      </c>
      <c r="D17">
        <v>56.48</v>
      </c>
      <c r="E17">
        <v>49.876694999999998</v>
      </c>
      <c r="F17" s="1"/>
    </row>
    <row r="18" spans="1:6" x14ac:dyDescent="0.25">
      <c r="A18" s="1">
        <v>42401</v>
      </c>
      <c r="B18">
        <v>3.7725</v>
      </c>
      <c r="C18">
        <v>38.382657999999999</v>
      </c>
      <c r="D18">
        <v>45.76</v>
      </c>
      <c r="E18">
        <v>40.213853999999998</v>
      </c>
      <c r="F18" s="1"/>
    </row>
    <row r="19" spans="1:6" x14ac:dyDescent="0.25">
      <c r="A19" s="1">
        <v>42370</v>
      </c>
      <c r="B19">
        <v>3.8639999999999999</v>
      </c>
      <c r="C19">
        <v>35.798209</v>
      </c>
      <c r="D19">
        <v>42.56</v>
      </c>
      <c r="E19">
        <v>39.068880999999998</v>
      </c>
      <c r="F19" s="1"/>
    </row>
    <row r="20" spans="1:6" x14ac:dyDescent="0.25">
      <c r="A20" s="1">
        <v>42339</v>
      </c>
      <c r="B20">
        <v>3.8487499999999999</v>
      </c>
      <c r="C20">
        <v>37.150489</v>
      </c>
      <c r="D20">
        <v>44.06</v>
      </c>
      <c r="E20">
        <v>39.940215000000002</v>
      </c>
      <c r="F20" s="1"/>
    </row>
    <row r="21" spans="1:6" x14ac:dyDescent="0.25">
      <c r="A21" s="1">
        <v>42309</v>
      </c>
      <c r="B21">
        <v>3.6825000000000001</v>
      </c>
      <c r="C21">
        <v>41.053139999999999</v>
      </c>
      <c r="D21">
        <v>51.65</v>
      </c>
      <c r="E21">
        <v>44.609796000000003</v>
      </c>
      <c r="F21" s="1"/>
    </row>
    <row r="22" spans="1:6" x14ac:dyDescent="0.25">
      <c r="A22" s="1">
        <v>42278</v>
      </c>
      <c r="B22">
        <v>3.7869999999999999</v>
      </c>
      <c r="C22">
        <v>40.801822000000001</v>
      </c>
      <c r="D22">
        <v>48.14</v>
      </c>
      <c r="E22">
        <v>42.449964999999999</v>
      </c>
      <c r="F22" s="1"/>
    </row>
    <row r="23" spans="1:6" x14ac:dyDescent="0.25">
      <c r="A23" s="1">
        <v>42248</v>
      </c>
      <c r="B23">
        <v>3.8050000000000002</v>
      </c>
      <c r="C23">
        <v>41.153767000000002</v>
      </c>
      <c r="D23">
        <v>48.77</v>
      </c>
      <c r="E23">
        <v>42.806927000000002</v>
      </c>
      <c r="F23" s="1"/>
    </row>
    <row r="24" spans="1:6" x14ac:dyDescent="0.25">
      <c r="A24" s="1">
        <v>42217</v>
      </c>
      <c r="B24">
        <v>3.9460000000000002</v>
      </c>
      <c r="C24">
        <v>32.772069000000002</v>
      </c>
      <c r="D24">
        <v>41.79</v>
      </c>
      <c r="E24">
        <v>38.723607999999999</v>
      </c>
      <c r="F24" s="1"/>
    </row>
    <row r="25" spans="1:6" x14ac:dyDescent="0.25">
      <c r="A25" s="1">
        <v>42186</v>
      </c>
      <c r="B25">
        <v>3.895</v>
      </c>
      <c r="C25">
        <v>36.775022999999997</v>
      </c>
      <c r="D25">
        <v>45.34</v>
      </c>
      <c r="E25">
        <v>41.893318000000001</v>
      </c>
      <c r="F25" s="1"/>
    </row>
    <row r="26" spans="1:6" x14ac:dyDescent="0.25">
      <c r="A26" s="1">
        <v>42156</v>
      </c>
      <c r="B26">
        <v>3.7462499999999999</v>
      </c>
      <c r="C26">
        <v>43.709355000000002</v>
      </c>
      <c r="D26">
        <v>53.9</v>
      </c>
      <c r="E26">
        <v>46.305846000000003</v>
      </c>
      <c r="F26" s="1"/>
    </row>
    <row r="27" spans="1:6" x14ac:dyDescent="0.25">
      <c r="A27" s="1">
        <v>42125</v>
      </c>
      <c r="B27">
        <v>3.577</v>
      </c>
      <c r="C27">
        <v>47.168703999999998</v>
      </c>
      <c r="D27">
        <v>61.49</v>
      </c>
      <c r="E27">
        <v>55.521968000000001</v>
      </c>
      <c r="F27" s="1"/>
    </row>
    <row r="28" spans="1:6" x14ac:dyDescent="0.25">
      <c r="A28" s="1">
        <v>42095</v>
      </c>
      <c r="B28">
        <v>3.67</v>
      </c>
      <c r="C28">
        <v>46.817576000000003</v>
      </c>
      <c r="D28">
        <v>58.42</v>
      </c>
      <c r="E28">
        <v>50.880218999999997</v>
      </c>
      <c r="F28" s="1"/>
    </row>
    <row r="29" spans="1:6" x14ac:dyDescent="0.25">
      <c r="A29" s="1">
        <v>42064</v>
      </c>
      <c r="B29">
        <v>3.61625</v>
      </c>
      <c r="C29">
        <v>48.963306000000003</v>
      </c>
      <c r="D29">
        <v>61.22</v>
      </c>
      <c r="E29">
        <v>54.315795000000001</v>
      </c>
      <c r="F29" s="1"/>
    </row>
    <row r="30" spans="1:6" x14ac:dyDescent="0.25">
      <c r="A30" s="1">
        <v>42036</v>
      </c>
      <c r="B30">
        <v>3.5762499999999999</v>
      </c>
      <c r="C30">
        <v>50.124434000000001</v>
      </c>
      <c r="D30">
        <v>61.42</v>
      </c>
      <c r="E30">
        <v>58.874910999999997</v>
      </c>
      <c r="F30" s="1"/>
    </row>
    <row r="31" spans="1:6" x14ac:dyDescent="0.25">
      <c r="A31" s="1">
        <v>42005</v>
      </c>
      <c r="B31">
        <v>3.754</v>
      </c>
      <c r="C31">
        <v>48.238691000000003</v>
      </c>
      <c r="D31">
        <v>55.3</v>
      </c>
      <c r="E31">
        <v>50.830959999999997</v>
      </c>
      <c r="F31" s="1"/>
    </row>
    <row r="32" spans="1:6" x14ac:dyDescent="0.25">
      <c r="A32" s="1">
        <v>41974</v>
      </c>
      <c r="B32">
        <v>3.8725000000000001</v>
      </c>
      <c r="C32">
        <v>44.409213999999999</v>
      </c>
      <c r="D32">
        <v>49.67</v>
      </c>
      <c r="E32">
        <v>49.086666000000001</v>
      </c>
      <c r="F32" s="1"/>
    </row>
    <row r="33" spans="1:6" x14ac:dyDescent="0.25">
      <c r="A33" s="1">
        <v>41944</v>
      </c>
      <c r="B33">
        <v>3.9060000000000001</v>
      </c>
      <c r="C33">
        <v>41.715558000000001</v>
      </c>
      <c r="D33">
        <v>48.29</v>
      </c>
      <c r="E33">
        <v>48.077342000000002</v>
      </c>
      <c r="F33" s="1"/>
    </row>
    <row r="34" spans="1:6" x14ac:dyDescent="0.25">
      <c r="A34" s="1">
        <v>41913</v>
      </c>
      <c r="B34">
        <v>4.0374999999999996</v>
      </c>
      <c r="C34">
        <v>36.173017000000002</v>
      </c>
      <c r="D34">
        <v>41.33</v>
      </c>
      <c r="E34">
        <v>41.730756</v>
      </c>
      <c r="F34" s="1"/>
    </row>
    <row r="35" spans="1:6" x14ac:dyDescent="0.25">
      <c r="A35" s="1">
        <v>41883</v>
      </c>
      <c r="B35">
        <v>4.00875</v>
      </c>
      <c r="C35">
        <v>37.365243999999997</v>
      </c>
      <c r="D35">
        <v>43.31</v>
      </c>
      <c r="E35">
        <v>43.758394000000003</v>
      </c>
      <c r="F35" s="1"/>
    </row>
    <row r="36" spans="1:6" x14ac:dyDescent="0.25">
      <c r="A36" s="1">
        <v>41852</v>
      </c>
      <c r="B36">
        <v>4.03</v>
      </c>
      <c r="C36">
        <v>37.578471999999998</v>
      </c>
      <c r="D36">
        <v>42.58</v>
      </c>
      <c r="E36">
        <v>43.477719999999998</v>
      </c>
      <c r="F36" s="1"/>
    </row>
    <row r="37" spans="1:6" x14ac:dyDescent="0.25">
      <c r="A37" s="1">
        <v>41821</v>
      </c>
      <c r="B37">
        <v>4.05</v>
      </c>
      <c r="C37" s="5">
        <v>37.803035000000001</v>
      </c>
      <c r="D37" s="5">
        <v>41.87</v>
      </c>
      <c r="E37" s="5">
        <v>43.229649000000002</v>
      </c>
      <c r="F37" s="1"/>
    </row>
    <row r="38" spans="1:6" x14ac:dyDescent="0.25">
      <c r="A38" s="1">
        <v>41791</v>
      </c>
      <c r="B38">
        <v>4.0674999999999999</v>
      </c>
      <c r="C38">
        <v>38.080710000000003</v>
      </c>
      <c r="D38">
        <v>40.26</v>
      </c>
      <c r="E38">
        <v>43.091033000000003</v>
      </c>
      <c r="F38" s="1"/>
    </row>
    <row r="39" spans="1:6" x14ac:dyDescent="0.25">
      <c r="A39" s="1">
        <v>41760</v>
      </c>
      <c r="B39">
        <v>4.2480000000000002</v>
      </c>
      <c r="C39">
        <v>35.446359999999999</v>
      </c>
      <c r="D39">
        <v>35.049999999999997</v>
      </c>
      <c r="E39">
        <v>38.207763</v>
      </c>
      <c r="F39" s="1"/>
    </row>
    <row r="40" spans="1:6" x14ac:dyDescent="0.25">
      <c r="A40" s="1">
        <v>41730</v>
      </c>
      <c r="B40">
        <v>4.2487500000000002</v>
      </c>
      <c r="C40">
        <v>35.948565000000002</v>
      </c>
      <c r="D40">
        <v>36.049999999999997</v>
      </c>
      <c r="E40">
        <v>38.745024000000001</v>
      </c>
      <c r="F40" s="1"/>
    </row>
    <row r="41" spans="1:6" x14ac:dyDescent="0.25">
      <c r="A41" s="1">
        <v>41699</v>
      </c>
      <c r="B41">
        <v>4.2275</v>
      </c>
      <c r="C41">
        <v>37.102758000000001</v>
      </c>
      <c r="D41">
        <v>37.340000000000003</v>
      </c>
      <c r="E41">
        <v>39.802689999999998</v>
      </c>
      <c r="F41" s="1"/>
    </row>
    <row r="42" spans="1:6" x14ac:dyDescent="0.25">
      <c r="A42" s="1">
        <v>41671</v>
      </c>
      <c r="B42">
        <v>4.3620000000000001</v>
      </c>
      <c r="C42">
        <v>32.154421999999997</v>
      </c>
      <c r="D42">
        <v>31.82</v>
      </c>
      <c r="E42">
        <v>36.572761999999997</v>
      </c>
      <c r="F42" s="1"/>
    </row>
    <row r="43" spans="1:6" x14ac:dyDescent="0.25">
      <c r="A43" s="1">
        <v>41640</v>
      </c>
      <c r="B43">
        <v>4.37</v>
      </c>
      <c r="C43">
        <v>31.786362</v>
      </c>
      <c r="D43">
        <v>32.67</v>
      </c>
      <c r="E43">
        <v>31.786362</v>
      </c>
      <c r="F43" s="1"/>
    </row>
  </sheetData>
  <sortState ref="A2:D43">
    <sortCondition descending="1" ref="A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selection activeCell="AS2" sqref="AS2"/>
    </sheetView>
  </sheetViews>
  <sheetFormatPr defaultRowHeight="15" x14ac:dyDescent="0.25"/>
  <cols>
    <col min="6" max="6" width="12.85546875" style="4" bestFit="1" customWidth="1"/>
    <col min="8" max="8" width="9.140625" style="3"/>
    <col min="11" max="13" width="0" hidden="1" customWidth="1"/>
    <col min="14" max="14" width="11" hidden="1" customWidth="1"/>
    <col min="15" max="21" width="0" hidden="1" customWidth="1"/>
  </cols>
  <sheetData>
    <row r="1" spans="1:42" x14ac:dyDescent="0.25">
      <c r="B1" t="s">
        <v>15</v>
      </c>
      <c r="C1" t="s">
        <v>5</v>
      </c>
      <c r="D1" t="s">
        <v>14</v>
      </c>
      <c r="E1" t="s">
        <v>10</v>
      </c>
      <c r="F1" s="4" t="s">
        <v>18</v>
      </c>
      <c r="G1" t="s">
        <v>16</v>
      </c>
      <c r="H1" s="3" t="s">
        <v>19</v>
      </c>
      <c r="I1" t="s">
        <v>20</v>
      </c>
      <c r="K1" t="s">
        <v>13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V1" t="s">
        <v>17</v>
      </c>
      <c r="Y1" s="1">
        <v>41640</v>
      </c>
      <c r="Z1" s="1">
        <v>41671</v>
      </c>
      <c r="AA1" s="1">
        <v>41699</v>
      </c>
      <c r="AB1" s="1">
        <v>41730</v>
      </c>
      <c r="AC1" s="1">
        <v>41760</v>
      </c>
      <c r="AD1" s="1">
        <v>41791</v>
      </c>
      <c r="AE1" s="1">
        <v>41821</v>
      </c>
      <c r="AJ1" s="1">
        <v>41640</v>
      </c>
      <c r="AK1" s="1">
        <v>41671</v>
      </c>
      <c r="AL1" s="1">
        <v>41699</v>
      </c>
      <c r="AM1" s="1">
        <v>41730</v>
      </c>
      <c r="AN1" s="1">
        <v>41760</v>
      </c>
      <c r="AO1" s="1">
        <v>41791</v>
      </c>
      <c r="AP1" s="1">
        <v>41821</v>
      </c>
    </row>
    <row r="2" spans="1:42" x14ac:dyDescent="0.25">
      <c r="A2">
        <v>0</v>
      </c>
      <c r="B2">
        <v>3.1299999999999901</v>
      </c>
      <c r="C2">
        <v>21.8599999999999</v>
      </c>
      <c r="D2">
        <v>1.97</v>
      </c>
      <c r="E2">
        <v>7.5</v>
      </c>
      <c r="F2" s="4">
        <f>E2/100-C2/400-D2/100</f>
        <v>6.5000000000025107E-4</v>
      </c>
      <c r="G2" s="4">
        <f>B2-F2</f>
        <v>3.1293499999999899</v>
      </c>
      <c r="H2" s="7">
        <f>A2+F2-0.5+0.125</f>
        <v>-0.37434999999999974</v>
      </c>
      <c r="I2">
        <f>A2-0.5+0.125</f>
        <v>-0.375</v>
      </c>
      <c r="L2" s="4">
        <f>H2</f>
        <v>-0.37434999999999974</v>
      </c>
      <c r="M2" s="4">
        <f>I2</f>
        <v>-0.375</v>
      </c>
      <c r="N2" s="2">
        <v>11750972537.774099</v>
      </c>
      <c r="O2" s="2">
        <v>11721294565.4739</v>
      </c>
      <c r="P2" s="2">
        <v>11681044488.672701</v>
      </c>
      <c r="Q2" s="2">
        <v>11637173461.751499</v>
      </c>
      <c r="R2" s="2">
        <v>11589872368.943501</v>
      </c>
      <c r="S2" s="2">
        <v>11535640724.405899</v>
      </c>
      <c r="T2" s="2">
        <v>11482312896.5135</v>
      </c>
      <c r="W2" s="4">
        <f>H2</f>
        <v>-0.37434999999999974</v>
      </c>
      <c r="X2" s="4">
        <f>I2</f>
        <v>-0.375</v>
      </c>
      <c r="Y2" s="6">
        <f>N2/$N$42</f>
        <v>4.5453023264337119E-3</v>
      </c>
      <c r="Z2" s="6">
        <f t="shared" ref="Z2:AE2" si="0">O2/$N$42</f>
        <v>4.5338228207071601E-3</v>
      </c>
      <c r="AA2" s="6">
        <f t="shared" si="0"/>
        <v>4.5182540014340718E-3</v>
      </c>
      <c r="AB2" s="6">
        <f t="shared" si="0"/>
        <v>4.5012845905970569E-3</v>
      </c>
      <c r="AC2" s="6">
        <f t="shared" si="0"/>
        <v>4.4829884226422825E-3</v>
      </c>
      <c r="AD2" s="6">
        <f t="shared" si="0"/>
        <v>4.4620115018563049E-3</v>
      </c>
      <c r="AE2" s="6">
        <f t="shared" si="0"/>
        <v>4.4413841793599076E-3</v>
      </c>
      <c r="AH2" s="7">
        <f>H2</f>
        <v>-0.37434999999999974</v>
      </c>
      <c r="AI2" s="7">
        <f>I2</f>
        <v>-0.375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3.25</v>
      </c>
      <c r="B3">
        <v>3.2999999999999901</v>
      </c>
      <c r="C3">
        <v>18.350000000000001</v>
      </c>
      <c r="D3">
        <v>1.93999999999999</v>
      </c>
      <c r="E3">
        <v>5.71</v>
      </c>
      <c r="F3" s="4">
        <f t="shared" ref="F3:F40" si="1">E3/100-C3/400-D3/100</f>
        <v>-8.174999999999908E-3</v>
      </c>
      <c r="G3" s="4">
        <f t="shared" ref="G3:G40" si="2">B3-F3</f>
        <v>3.3081749999999901</v>
      </c>
      <c r="H3" s="7">
        <f t="shared" ref="H3:H40" si="3">A3+F3-0.5+0.125</f>
        <v>2.866825</v>
      </c>
      <c r="I3">
        <f t="shared" ref="I3:I40" si="4">A3-0.5+0.125</f>
        <v>2.875</v>
      </c>
      <c r="L3" s="4">
        <f t="shared" ref="L3:L40" si="5">H3</f>
        <v>2.866825</v>
      </c>
      <c r="M3" s="4">
        <f t="shared" ref="M3:M40" si="6">I3</f>
        <v>2.875</v>
      </c>
      <c r="N3" s="2">
        <v>6591302840.7669497</v>
      </c>
      <c r="O3" s="2">
        <v>6573536051.7788696</v>
      </c>
      <c r="P3" s="2">
        <v>6549566378.8378696</v>
      </c>
      <c r="Q3" s="2">
        <v>6523414885.3019199</v>
      </c>
      <c r="R3" s="2">
        <v>6495249124.7518797</v>
      </c>
      <c r="S3" s="2">
        <v>6463053599.6535702</v>
      </c>
      <c r="T3" s="2">
        <v>6431902007.6323099</v>
      </c>
      <c r="W3" s="4">
        <f t="shared" ref="W3:W40" si="7">H3</f>
        <v>2.866825</v>
      </c>
      <c r="X3" s="4">
        <f t="shared" ref="X3:X40" si="8">I3</f>
        <v>2.875</v>
      </c>
      <c r="Y3" s="6">
        <f t="shared" ref="Y3:Y40" si="9">N3/$N$42</f>
        <v>2.5495306060890643E-3</v>
      </c>
      <c r="Z3" s="6">
        <f t="shared" ref="Z3:Z40" si="10">O3/$N$42</f>
        <v>2.5426583725729718E-3</v>
      </c>
      <c r="AA3" s="6">
        <f t="shared" ref="AA3:AA40" si="11">P3/$N$42</f>
        <v>2.5333868497409372E-3</v>
      </c>
      <c r="AB3" s="6">
        <f t="shared" ref="AB3:AB40" si="12">Q3/$N$42</f>
        <v>2.5232713938476855E-3</v>
      </c>
      <c r="AC3" s="6">
        <f t="shared" ref="AC3:AC40" si="13">R3/$N$42</f>
        <v>2.5123768149911403E-3</v>
      </c>
      <c r="AD3" s="6">
        <f t="shared" ref="AD3:AD40" si="14">S3/$N$42</f>
        <v>2.4999235142401013E-3</v>
      </c>
      <c r="AE3" s="6">
        <f t="shared" ref="AE3:AE40" si="15">T3/$N$42</f>
        <v>2.4878740091262746E-3</v>
      </c>
      <c r="AH3" s="7">
        <f t="shared" ref="AH3:AH40" si="16">H3</f>
        <v>2.866825</v>
      </c>
      <c r="AI3" s="7">
        <f t="shared" ref="AI3:AI40" si="17">I3</f>
        <v>2.875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3.375</v>
      </c>
      <c r="B4">
        <v>3.46</v>
      </c>
      <c r="C4">
        <v>29.75</v>
      </c>
      <c r="D4">
        <v>2.8799999999999901</v>
      </c>
      <c r="E4">
        <v>9.1699999999999893</v>
      </c>
      <c r="F4" s="4">
        <f t="shared" si="1"/>
        <v>-1.1475000000000006E-2</v>
      </c>
      <c r="G4" s="4">
        <f t="shared" si="2"/>
        <v>3.4714749999999999</v>
      </c>
      <c r="H4" s="7">
        <f t="shared" si="3"/>
        <v>2.9885250000000001</v>
      </c>
      <c r="I4">
        <f t="shared" si="4"/>
        <v>3</v>
      </c>
      <c r="L4" s="4">
        <f t="shared" si="5"/>
        <v>2.9885250000000001</v>
      </c>
      <c r="M4" s="4">
        <f t="shared" si="6"/>
        <v>3</v>
      </c>
      <c r="N4" s="2">
        <v>74180397099.614594</v>
      </c>
      <c r="O4" s="2">
        <v>73973112925.733902</v>
      </c>
      <c r="P4" s="2">
        <v>73691700490.886597</v>
      </c>
      <c r="Q4" s="2">
        <v>73383344767.304596</v>
      </c>
      <c r="R4" s="2">
        <v>73050307596.123306</v>
      </c>
      <c r="S4" s="2">
        <v>72669332052.8862</v>
      </c>
      <c r="T4" s="2">
        <v>72300384409.195404</v>
      </c>
      <c r="W4" s="4">
        <f t="shared" si="7"/>
        <v>2.9885250000000001</v>
      </c>
      <c r="X4" s="4">
        <f t="shared" si="8"/>
        <v>3</v>
      </c>
      <c r="Y4" s="6">
        <f t="shared" si="9"/>
        <v>2.8693142667876821E-2</v>
      </c>
      <c r="Z4" s="6">
        <f t="shared" si="10"/>
        <v>2.8612964688161175E-2</v>
      </c>
      <c r="AA4" s="6">
        <f t="shared" si="11"/>
        <v>2.8504113732149908E-2</v>
      </c>
      <c r="AB4" s="6">
        <f t="shared" si="12"/>
        <v>2.8384841052100575E-2</v>
      </c>
      <c r="AC4" s="6">
        <f t="shared" si="13"/>
        <v>2.825602153319751E-2</v>
      </c>
      <c r="AD4" s="6">
        <f t="shared" si="14"/>
        <v>2.8108659345308509E-2</v>
      </c>
      <c r="AE4" s="6">
        <f t="shared" si="15"/>
        <v>2.7965949575729072E-2</v>
      </c>
      <c r="AH4" s="7">
        <f t="shared" si="16"/>
        <v>2.9885250000000001</v>
      </c>
      <c r="AI4" s="7">
        <f t="shared" si="17"/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3.5</v>
      </c>
      <c r="B5">
        <v>3.5499999999999901</v>
      </c>
      <c r="C5">
        <v>38.74</v>
      </c>
      <c r="D5">
        <v>5.3399999999999901</v>
      </c>
      <c r="E5">
        <v>10.6199999999999</v>
      </c>
      <c r="F5" s="4">
        <f t="shared" si="1"/>
        <v>-4.4050000000000901E-2</v>
      </c>
      <c r="G5" s="4">
        <f t="shared" si="2"/>
        <v>3.5940499999999909</v>
      </c>
      <c r="H5" s="7">
        <f t="shared" si="3"/>
        <v>3.0809499999999992</v>
      </c>
      <c r="I5">
        <f t="shared" si="4"/>
        <v>3.125</v>
      </c>
      <c r="L5" s="4">
        <f t="shared" si="5"/>
        <v>3.0809499999999992</v>
      </c>
      <c r="M5" s="4">
        <f t="shared" si="6"/>
        <v>3.125</v>
      </c>
      <c r="N5" s="2">
        <v>285059228762.54602</v>
      </c>
      <c r="O5" s="2">
        <v>284278444527.112</v>
      </c>
      <c r="P5" s="2">
        <v>283206213917.09302</v>
      </c>
      <c r="Q5" s="2">
        <v>282029572413.315</v>
      </c>
      <c r="R5" s="2">
        <v>280754093368.42297</v>
      </c>
      <c r="S5" s="2">
        <v>279283301968.68597</v>
      </c>
      <c r="T5" s="2">
        <v>277855491034.26898</v>
      </c>
      <c r="W5" s="4">
        <f t="shared" si="7"/>
        <v>3.0809499999999992</v>
      </c>
      <c r="X5" s="4">
        <f t="shared" si="8"/>
        <v>3.125</v>
      </c>
      <c r="Y5" s="6">
        <f t="shared" si="9"/>
        <v>0.11026154401269934</v>
      </c>
      <c r="Z5" s="6">
        <f t="shared" si="10"/>
        <v>0.10995953493299526</v>
      </c>
      <c r="AA5" s="6">
        <f t="shared" si="11"/>
        <v>0.1095447937470614</v>
      </c>
      <c r="AB5" s="6">
        <f t="shared" si="12"/>
        <v>0.10908966619508145</v>
      </c>
      <c r="AC5" s="6">
        <f t="shared" si="13"/>
        <v>0.10859630806226062</v>
      </c>
      <c r="AD5" s="6">
        <f t="shared" si="14"/>
        <v>0.1080274026759674</v>
      </c>
      <c r="AE5" s="6">
        <f t="shared" si="15"/>
        <v>0.10747512222930215</v>
      </c>
      <c r="AH5" s="7">
        <f t="shared" si="16"/>
        <v>3.0809499999999992</v>
      </c>
      <c r="AI5" s="7">
        <f t="shared" si="17"/>
        <v>3.125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3.625</v>
      </c>
      <c r="B6">
        <v>3.6699999999999902</v>
      </c>
      <c r="C6">
        <v>41.74</v>
      </c>
      <c r="D6">
        <v>5.08</v>
      </c>
      <c r="E6">
        <v>11.15</v>
      </c>
      <c r="F6" s="4">
        <f t="shared" si="1"/>
        <v>-4.3649999999999994E-2</v>
      </c>
      <c r="G6" s="4">
        <f t="shared" si="2"/>
        <v>3.7136499999999901</v>
      </c>
      <c r="H6" s="7">
        <f t="shared" si="3"/>
        <v>3.20635</v>
      </c>
      <c r="I6">
        <f t="shared" si="4"/>
        <v>3.25</v>
      </c>
      <c r="L6" s="4">
        <f t="shared" si="5"/>
        <v>3.20635</v>
      </c>
      <c r="M6" s="4">
        <f t="shared" si="6"/>
        <v>3.25</v>
      </c>
      <c r="N6" s="2">
        <v>138099579397.47699</v>
      </c>
      <c r="O6" s="2">
        <v>137696567897.17099</v>
      </c>
      <c r="P6" s="2">
        <v>137142299048.58701</v>
      </c>
      <c r="Q6" s="2">
        <v>136543045392.216</v>
      </c>
      <c r="R6" s="2">
        <v>135896885419.174</v>
      </c>
      <c r="S6" s="2">
        <v>135145834382.66701</v>
      </c>
      <c r="T6" s="2">
        <v>134415171526.416</v>
      </c>
      <c r="W6" s="4">
        <f t="shared" si="7"/>
        <v>3.20635</v>
      </c>
      <c r="X6" s="4">
        <f t="shared" si="8"/>
        <v>3.25</v>
      </c>
      <c r="Y6" s="6">
        <f t="shared" si="9"/>
        <v>5.3417224616692939E-2</v>
      </c>
      <c r="Z6" s="6">
        <f t="shared" si="10"/>
        <v>5.3261338871574228E-2</v>
      </c>
      <c r="AA6" s="6">
        <f t="shared" si="11"/>
        <v>5.3046946447556552E-2</v>
      </c>
      <c r="AB6" s="6">
        <f t="shared" si="12"/>
        <v>5.2815153799784527E-2</v>
      </c>
      <c r="AC6" s="6">
        <f t="shared" si="13"/>
        <v>5.2565217684345987E-2</v>
      </c>
      <c r="AD6" s="6">
        <f t="shared" si="14"/>
        <v>5.227470947215062E-2</v>
      </c>
      <c r="AE6" s="6">
        <f t="shared" si="15"/>
        <v>5.1992087453447008E-2</v>
      </c>
      <c r="AH6" s="7">
        <f t="shared" si="16"/>
        <v>3.20635</v>
      </c>
      <c r="AI6" s="7">
        <f t="shared" si="17"/>
        <v>3.25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3.75</v>
      </c>
      <c r="B7">
        <v>3.81</v>
      </c>
      <c r="C7">
        <v>62.99</v>
      </c>
      <c r="D7">
        <v>6.24</v>
      </c>
      <c r="E7">
        <v>11.59</v>
      </c>
      <c r="F7" s="4">
        <f t="shared" si="1"/>
        <v>-0.10397500000000001</v>
      </c>
      <c r="G7" s="4">
        <f t="shared" si="2"/>
        <v>3.9139750000000002</v>
      </c>
      <c r="H7" s="7">
        <f t="shared" si="3"/>
        <v>3.2710249999999998</v>
      </c>
      <c r="I7">
        <f t="shared" si="4"/>
        <v>3.375</v>
      </c>
      <c r="L7" s="4">
        <f t="shared" si="5"/>
        <v>3.2710249999999998</v>
      </c>
      <c r="M7" s="4">
        <f t="shared" si="6"/>
        <v>3.375</v>
      </c>
      <c r="N7" s="2">
        <v>46468037642.751701</v>
      </c>
      <c r="O7" s="2">
        <v>46325396129.528702</v>
      </c>
      <c r="P7" s="2">
        <v>46128013116.769096</v>
      </c>
      <c r="Q7" s="2">
        <v>45915258829.298203</v>
      </c>
      <c r="R7" s="2">
        <v>45685810094.441002</v>
      </c>
      <c r="S7" s="2">
        <v>45418127775.434998</v>
      </c>
      <c r="T7" s="2">
        <v>45157347227.701698</v>
      </c>
      <c r="W7" s="4">
        <f t="shared" si="7"/>
        <v>3.2710249999999998</v>
      </c>
      <c r="X7" s="4">
        <f t="shared" si="8"/>
        <v>3.375</v>
      </c>
      <c r="Y7" s="6">
        <f t="shared" si="9"/>
        <v>1.7973940363102646E-2</v>
      </c>
      <c r="Z7" s="6">
        <f t="shared" si="10"/>
        <v>1.7918766308375314E-2</v>
      </c>
      <c r="AA7" s="6">
        <f t="shared" si="11"/>
        <v>1.7842418119813835E-2</v>
      </c>
      <c r="AB7" s="6">
        <f t="shared" si="12"/>
        <v>1.7760124287989138E-2</v>
      </c>
      <c r="AC7" s="6">
        <f t="shared" si="13"/>
        <v>1.767137300676614E-2</v>
      </c>
      <c r="AD7" s="6">
        <f t="shared" si="14"/>
        <v>1.7567832890115199E-2</v>
      </c>
      <c r="AE7" s="6">
        <f t="shared" si="15"/>
        <v>1.7466962393950687E-2</v>
      </c>
      <c r="AH7" s="7">
        <f t="shared" si="16"/>
        <v>3.2710249999999998</v>
      </c>
      <c r="AI7" s="7">
        <f t="shared" si="17"/>
        <v>3.375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3.875</v>
      </c>
      <c r="B8">
        <v>3.95</v>
      </c>
      <c r="C8">
        <v>56.1099999999999</v>
      </c>
      <c r="D8">
        <v>6.91</v>
      </c>
      <c r="E8">
        <v>12.17</v>
      </c>
      <c r="F8" s="4">
        <f t="shared" si="1"/>
        <v>-8.7674999999999753E-2</v>
      </c>
      <c r="G8" s="4">
        <f t="shared" si="2"/>
        <v>4.0376750000000001</v>
      </c>
      <c r="H8" s="7">
        <f t="shared" si="3"/>
        <v>3.4123250000000001</v>
      </c>
      <c r="I8">
        <f t="shared" si="4"/>
        <v>3.5</v>
      </c>
      <c r="L8" s="4">
        <f t="shared" si="5"/>
        <v>3.4123250000000001</v>
      </c>
      <c r="M8" s="4">
        <f t="shared" si="6"/>
        <v>3.5</v>
      </c>
      <c r="N8" s="2">
        <v>265302842902.46399</v>
      </c>
      <c r="O8" s="2">
        <v>264381696409.86301</v>
      </c>
      <c r="P8" s="2">
        <v>263112883182.48001</v>
      </c>
      <c r="Q8" s="2">
        <v>261779120265.686</v>
      </c>
      <c r="R8" s="2">
        <v>260356030725.14001</v>
      </c>
      <c r="S8" s="2">
        <v>258674980743.95999</v>
      </c>
      <c r="T8" s="2">
        <v>257037258039.91901</v>
      </c>
      <c r="W8" s="4">
        <f t="shared" si="7"/>
        <v>3.4123250000000001</v>
      </c>
      <c r="X8" s="4">
        <f t="shared" si="8"/>
        <v>3.5</v>
      </c>
      <c r="Y8" s="6">
        <f t="shared" si="9"/>
        <v>0.10261972999917064</v>
      </c>
      <c r="Z8" s="6">
        <f t="shared" si="10"/>
        <v>0.10226342848605363</v>
      </c>
      <c r="AA8" s="6">
        <f t="shared" si="11"/>
        <v>0.10177264870627838</v>
      </c>
      <c r="AB8" s="6">
        <f t="shared" si="12"/>
        <v>0.10125674624210981</v>
      </c>
      <c r="AC8" s="6">
        <f t="shared" si="13"/>
        <v>0.10070629204110013</v>
      </c>
      <c r="AD8" s="6">
        <f t="shared" si="14"/>
        <v>0.10005605816762736</v>
      </c>
      <c r="AE8" s="6">
        <f t="shared" si="15"/>
        <v>9.9422583381365892E-2</v>
      </c>
      <c r="AH8" s="7">
        <f t="shared" si="16"/>
        <v>3.4123250000000001</v>
      </c>
      <c r="AI8" s="7">
        <f t="shared" si="17"/>
        <v>3.5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</v>
      </c>
      <c r="B9">
        <v>4.04</v>
      </c>
      <c r="C9">
        <v>67.900000000000006</v>
      </c>
      <c r="D9">
        <v>8.1999999999999904</v>
      </c>
      <c r="E9">
        <v>11.06</v>
      </c>
      <c r="F9" s="4">
        <f t="shared" si="1"/>
        <v>-0.14114999999999991</v>
      </c>
      <c r="G9" s="4">
        <f t="shared" si="2"/>
        <v>4.1811499999999997</v>
      </c>
      <c r="H9" s="7">
        <f t="shared" si="3"/>
        <v>3.4838499999999999</v>
      </c>
      <c r="I9">
        <f t="shared" si="4"/>
        <v>3.625</v>
      </c>
      <c r="L9" s="4">
        <f t="shared" si="5"/>
        <v>3.4838499999999999</v>
      </c>
      <c r="M9" s="4">
        <f t="shared" si="6"/>
        <v>3.625</v>
      </c>
      <c r="N9" s="2">
        <v>164989873811.12701</v>
      </c>
      <c r="O9" s="2">
        <v>164393669651.87601</v>
      </c>
      <c r="P9" s="2">
        <v>163565703536.95401</v>
      </c>
      <c r="Q9" s="2">
        <v>162709017508.121</v>
      </c>
      <c r="R9" s="2">
        <v>185647934104.12</v>
      </c>
      <c r="S9" s="2">
        <v>213006595432.37201</v>
      </c>
      <c r="T9" s="2">
        <v>239972579543.87799</v>
      </c>
      <c r="W9" s="4">
        <f t="shared" si="7"/>
        <v>3.4838499999999999</v>
      </c>
      <c r="X9" s="4">
        <f t="shared" si="8"/>
        <v>3.625</v>
      </c>
      <c r="Y9" s="6">
        <f t="shared" si="9"/>
        <v>6.3818450333454166E-2</v>
      </c>
      <c r="Z9" s="6">
        <f t="shared" si="10"/>
        <v>6.358783723795404E-2</v>
      </c>
      <c r="AA9" s="6">
        <f t="shared" si="11"/>
        <v>6.3267578102272654E-2</v>
      </c>
      <c r="AB9" s="6">
        <f t="shared" si="12"/>
        <v>6.2936210039981566E-2</v>
      </c>
      <c r="AC9" s="6">
        <f t="shared" si="13"/>
        <v>7.1809034024081619E-2</v>
      </c>
      <c r="AD9" s="6">
        <f t="shared" si="14"/>
        <v>8.2391425105643221E-2</v>
      </c>
      <c r="AE9" s="6">
        <f t="shared" si="15"/>
        <v>9.2821927765963444E-2</v>
      </c>
      <c r="AH9" s="7">
        <f t="shared" si="16"/>
        <v>3.4838499999999999</v>
      </c>
      <c r="AI9" s="7">
        <f t="shared" si="17"/>
        <v>3.625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4.125</v>
      </c>
      <c r="B10">
        <v>4.1699999999999902</v>
      </c>
      <c r="C10">
        <v>97.1099999999999</v>
      </c>
      <c r="D10">
        <v>11.02</v>
      </c>
      <c r="E10">
        <v>11.7799999999999</v>
      </c>
      <c r="F10" s="4">
        <f t="shared" si="1"/>
        <v>-0.23517500000000074</v>
      </c>
      <c r="G10" s="4">
        <f t="shared" si="2"/>
        <v>4.405174999999991</v>
      </c>
      <c r="H10" s="7">
        <f t="shared" si="3"/>
        <v>3.5148249999999992</v>
      </c>
      <c r="I10">
        <f t="shared" si="4"/>
        <v>3.75</v>
      </c>
      <c r="L10" s="4">
        <f t="shared" si="5"/>
        <v>3.5148249999999992</v>
      </c>
      <c r="M10" s="4">
        <f t="shared" si="6"/>
        <v>3.75</v>
      </c>
      <c r="N10" s="2">
        <v>59503633748.395798</v>
      </c>
      <c r="O10" s="2">
        <v>76840003561.896606</v>
      </c>
      <c r="P10" s="2">
        <v>100542430106.26401</v>
      </c>
      <c r="Q10" s="2">
        <v>123249622431.739</v>
      </c>
      <c r="R10" s="2">
        <v>122535130230.659</v>
      </c>
      <c r="S10" s="2">
        <v>121641026737.091</v>
      </c>
      <c r="T10" s="2">
        <v>120755326935.045</v>
      </c>
      <c r="W10" s="4">
        <f t="shared" si="7"/>
        <v>3.5148249999999992</v>
      </c>
      <c r="X10" s="4">
        <f t="shared" si="8"/>
        <v>3.75</v>
      </c>
      <c r="Y10" s="6">
        <f t="shared" si="9"/>
        <v>2.3016137944193903E-2</v>
      </c>
      <c r="Z10" s="6">
        <f t="shared" si="10"/>
        <v>2.9721884365770234E-2</v>
      </c>
      <c r="AA10" s="6">
        <f t="shared" si="11"/>
        <v>3.8890035696897821E-2</v>
      </c>
      <c r="AB10" s="6">
        <f t="shared" si="12"/>
        <v>4.767322821751533E-2</v>
      </c>
      <c r="AC10" s="6">
        <f t="shared" si="13"/>
        <v>4.7396861044215574E-2</v>
      </c>
      <c r="AD10" s="6">
        <f t="shared" si="14"/>
        <v>4.7051019823301878E-2</v>
      </c>
      <c r="AE10" s="6">
        <f t="shared" si="15"/>
        <v>4.6708429168969182E-2</v>
      </c>
      <c r="AH10" s="7">
        <f t="shared" si="16"/>
        <v>3.5148249999999992</v>
      </c>
      <c r="AI10" s="7">
        <f t="shared" si="17"/>
        <v>3.75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4.25</v>
      </c>
      <c r="B11">
        <v>4.32</v>
      </c>
      <c r="C11">
        <v>70.64</v>
      </c>
      <c r="D11">
        <v>6.6299999999999901</v>
      </c>
      <c r="E11">
        <v>9.99</v>
      </c>
      <c r="F11" s="4">
        <f t="shared" si="1"/>
        <v>-0.1429999999999999</v>
      </c>
      <c r="G11" s="4">
        <f t="shared" si="2"/>
        <v>4.4630000000000001</v>
      </c>
      <c r="H11" s="7">
        <f t="shared" si="3"/>
        <v>3.7320000000000002</v>
      </c>
      <c r="I11">
        <f t="shared" si="4"/>
        <v>3.875</v>
      </c>
      <c r="L11" s="4">
        <f t="shared" si="5"/>
        <v>3.7320000000000002</v>
      </c>
      <c r="M11" s="4">
        <f t="shared" si="6"/>
        <v>3.875</v>
      </c>
      <c r="N11" s="2">
        <v>75632055799.717102</v>
      </c>
      <c r="O11" s="2">
        <v>75296910200.7108</v>
      </c>
      <c r="P11" s="2">
        <v>74800089504.205597</v>
      </c>
      <c r="Q11" s="2">
        <v>74322904904.617096</v>
      </c>
      <c r="R11" s="2">
        <v>73821091250.245605</v>
      </c>
      <c r="S11" s="2">
        <v>73169063126.3517</v>
      </c>
      <c r="T11" s="2">
        <v>72520681635.525803</v>
      </c>
      <c r="W11" s="4">
        <f t="shared" si="7"/>
        <v>3.7320000000000002</v>
      </c>
      <c r="X11" s="4">
        <f t="shared" si="8"/>
        <v>3.875</v>
      </c>
      <c r="Y11" s="6">
        <f t="shared" si="9"/>
        <v>2.9254647483376417E-2</v>
      </c>
      <c r="Z11" s="6">
        <f t="shared" si="10"/>
        <v>2.9125012419898861E-2</v>
      </c>
      <c r="AA11" s="6">
        <f t="shared" si="11"/>
        <v>2.8932841068941621E-2</v>
      </c>
      <c r="AB11" s="6">
        <f t="shared" si="12"/>
        <v>2.8748265003966933E-2</v>
      </c>
      <c r="AC11" s="6">
        <f t="shared" si="13"/>
        <v>2.8554162365796443E-2</v>
      </c>
      <c r="AD11" s="6">
        <f t="shared" si="14"/>
        <v>2.8301956436550302E-2</v>
      </c>
      <c r="AE11" s="6">
        <f t="shared" si="15"/>
        <v>2.8051161033089529E-2</v>
      </c>
      <c r="AH11" s="7">
        <f t="shared" si="16"/>
        <v>3.7320000000000002</v>
      </c>
      <c r="AI11" s="7">
        <f t="shared" si="17"/>
        <v>3.875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4.375</v>
      </c>
      <c r="B12">
        <v>4.4299999999999899</v>
      </c>
      <c r="C12">
        <v>53.89</v>
      </c>
      <c r="D12">
        <v>4.6799999999999899</v>
      </c>
      <c r="E12">
        <v>10.47</v>
      </c>
      <c r="F12" s="4">
        <f t="shared" si="1"/>
        <v>-7.6824999999999907E-2</v>
      </c>
      <c r="G12" s="4">
        <f t="shared" si="2"/>
        <v>4.5068249999999894</v>
      </c>
      <c r="H12" s="7">
        <f t="shared" si="3"/>
        <v>3.9231750000000005</v>
      </c>
      <c r="I12">
        <f t="shared" si="4"/>
        <v>4</v>
      </c>
      <c r="L12" s="4">
        <f t="shared" si="5"/>
        <v>3.9231750000000005</v>
      </c>
      <c r="M12" s="4">
        <f t="shared" si="6"/>
        <v>4</v>
      </c>
      <c r="N12" s="2">
        <v>195688351612.29901</v>
      </c>
      <c r="O12" s="2">
        <v>194667904667.36499</v>
      </c>
      <c r="P12" s="2">
        <v>193136520226.31699</v>
      </c>
      <c r="Q12" s="2">
        <v>191702489385.38699</v>
      </c>
      <c r="R12" s="2">
        <v>190206704648.974</v>
      </c>
      <c r="S12" s="2">
        <v>188255419514.31201</v>
      </c>
      <c r="T12" s="2">
        <v>186315100744.883</v>
      </c>
      <c r="W12" s="4">
        <f t="shared" si="7"/>
        <v>3.9231750000000005</v>
      </c>
      <c r="X12" s="4">
        <f t="shared" si="8"/>
        <v>4</v>
      </c>
      <c r="Y12" s="6">
        <f t="shared" si="9"/>
        <v>7.5692689858659595E-2</v>
      </c>
      <c r="Z12" s="6">
        <f t="shared" si="10"/>
        <v>7.5297978709612065E-2</v>
      </c>
      <c r="AA12" s="6">
        <f t="shared" si="11"/>
        <v>7.4705635800105238E-2</v>
      </c>
      <c r="AB12" s="6">
        <f t="shared" si="12"/>
        <v>7.415094947975992E-2</v>
      </c>
      <c r="AC12" s="6">
        <f t="shared" si="13"/>
        <v>7.3572376615224075E-2</v>
      </c>
      <c r="AD12" s="6">
        <f t="shared" si="14"/>
        <v>7.2817615183044374E-2</v>
      </c>
      <c r="AE12" s="6">
        <f t="shared" si="15"/>
        <v>7.2067095565339676E-2</v>
      </c>
      <c r="AH12" s="7">
        <f t="shared" si="16"/>
        <v>3.9231750000000005</v>
      </c>
      <c r="AI12" s="7">
        <f t="shared" si="17"/>
        <v>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4.5</v>
      </c>
      <c r="B13">
        <v>4.5499999999999901</v>
      </c>
      <c r="C13">
        <v>64.95</v>
      </c>
      <c r="D13">
        <v>8.91</v>
      </c>
      <c r="E13">
        <v>11.27</v>
      </c>
      <c r="F13" s="4">
        <f t="shared" si="1"/>
        <v>-0.13877500000000004</v>
      </c>
      <c r="G13" s="4">
        <f t="shared" si="2"/>
        <v>4.6887749999999899</v>
      </c>
      <c r="H13" s="7">
        <f t="shared" si="3"/>
        <v>3.9862250000000001</v>
      </c>
      <c r="I13">
        <f t="shared" si="4"/>
        <v>4.125</v>
      </c>
      <c r="L13" s="4">
        <f t="shared" si="5"/>
        <v>3.9862250000000001</v>
      </c>
      <c r="M13" s="4">
        <f t="shared" si="6"/>
        <v>4.125</v>
      </c>
      <c r="N13" s="2">
        <v>162811213048.992</v>
      </c>
      <c r="O13" s="2">
        <v>161881524977.07901</v>
      </c>
      <c r="P13" s="2">
        <v>160459620745.56299</v>
      </c>
      <c r="Q13" s="2">
        <v>159167609305.98499</v>
      </c>
      <c r="R13" s="2">
        <v>157830973013.396</v>
      </c>
      <c r="S13" s="2">
        <v>156054507162.81799</v>
      </c>
      <c r="T13" s="2">
        <v>154280174864.66501</v>
      </c>
      <c r="W13" s="4">
        <f t="shared" si="7"/>
        <v>3.9862250000000001</v>
      </c>
      <c r="X13" s="4">
        <f t="shared" si="8"/>
        <v>4.125</v>
      </c>
      <c r="Y13" s="6">
        <f t="shared" si="9"/>
        <v>6.2975739502600853E-2</v>
      </c>
      <c r="Z13" s="6">
        <f t="shared" si="10"/>
        <v>6.2616134087598807E-2</v>
      </c>
      <c r="AA13" s="6">
        <f t="shared" si="11"/>
        <v>6.2066138366759525E-2</v>
      </c>
      <c r="AB13" s="6">
        <f t="shared" si="12"/>
        <v>6.1566385466885483E-2</v>
      </c>
      <c r="AC13" s="6">
        <f t="shared" si="13"/>
        <v>6.1049371574565442E-2</v>
      </c>
      <c r="AD13" s="6">
        <f t="shared" si="14"/>
        <v>6.0362230630485611E-2</v>
      </c>
      <c r="AE13" s="6">
        <f t="shared" si="15"/>
        <v>5.9675914949231461E-2</v>
      </c>
      <c r="AH13" s="7">
        <f t="shared" si="16"/>
        <v>3.9862250000000001</v>
      </c>
      <c r="AI13" s="7">
        <f t="shared" si="17"/>
        <v>4.125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4.625</v>
      </c>
      <c r="B14">
        <v>4.6699999999999902</v>
      </c>
      <c r="C14">
        <v>80.489999999999895</v>
      </c>
      <c r="D14">
        <v>12.2899999999999</v>
      </c>
      <c r="E14">
        <v>16.350000000000001</v>
      </c>
      <c r="F14" s="4">
        <f t="shared" si="1"/>
        <v>-0.16062499999999874</v>
      </c>
      <c r="G14" s="4">
        <f t="shared" si="2"/>
        <v>4.8306249999999888</v>
      </c>
      <c r="H14" s="7">
        <f t="shared" si="3"/>
        <v>4.0893750000000013</v>
      </c>
      <c r="I14">
        <f t="shared" si="4"/>
        <v>4.25</v>
      </c>
      <c r="L14" s="4">
        <f t="shared" si="5"/>
        <v>4.0893750000000013</v>
      </c>
      <c r="M14" s="4">
        <f t="shared" si="6"/>
        <v>4.25</v>
      </c>
      <c r="N14" s="2">
        <v>71508488360.406693</v>
      </c>
      <c r="O14" s="2">
        <v>71038181297.002899</v>
      </c>
      <c r="P14" s="2">
        <v>70312261951.078796</v>
      </c>
      <c r="Q14" s="2">
        <v>69667137195.611893</v>
      </c>
      <c r="R14" s="2">
        <v>69005655508.779495</v>
      </c>
      <c r="S14" s="2">
        <v>68119111837.360001</v>
      </c>
      <c r="T14" s="2">
        <v>67162614920.559303</v>
      </c>
      <c r="W14" s="4">
        <f t="shared" si="7"/>
        <v>4.0893750000000013</v>
      </c>
      <c r="X14" s="4">
        <f t="shared" si="8"/>
        <v>4.25</v>
      </c>
      <c r="Y14" s="6">
        <f t="shared" si="9"/>
        <v>2.7659642421892866E-2</v>
      </c>
      <c r="Z14" s="6">
        <f t="shared" si="10"/>
        <v>2.7477726603218646E-2</v>
      </c>
      <c r="AA14" s="6">
        <f t="shared" si="11"/>
        <v>2.7196939384864966E-2</v>
      </c>
      <c r="AB14" s="6">
        <f t="shared" si="12"/>
        <v>2.6947403693888095E-2</v>
      </c>
      <c r="AC14" s="6">
        <f t="shared" si="13"/>
        <v>2.669154110546083E-2</v>
      </c>
      <c r="AD14" s="6">
        <f t="shared" si="14"/>
        <v>2.6348624040576647E-2</v>
      </c>
      <c r="AE14" s="6">
        <f t="shared" si="15"/>
        <v>2.5978648904715729E-2</v>
      </c>
      <c r="AH14" s="7">
        <f t="shared" si="16"/>
        <v>4.0893750000000013</v>
      </c>
      <c r="AI14" s="7">
        <f t="shared" si="17"/>
        <v>4.25</v>
      </c>
      <c r="AJ14">
        <v>0</v>
      </c>
      <c r="AK14">
        <v>0</v>
      </c>
      <c r="AL14">
        <v>0</v>
      </c>
      <c r="AM14">
        <v>0</v>
      </c>
      <c r="AN14">
        <v>0.17499999999999699</v>
      </c>
      <c r="AO14">
        <v>0.315000000000004</v>
      </c>
      <c r="AP14">
        <v>0.47500000000000098</v>
      </c>
    </row>
    <row r="15" spans="1:42" x14ac:dyDescent="0.25">
      <c r="A15">
        <v>4.75</v>
      </c>
      <c r="B15">
        <v>4.82</v>
      </c>
      <c r="C15">
        <v>56.09</v>
      </c>
      <c r="D15">
        <v>5.07</v>
      </c>
      <c r="E15">
        <v>9.0099999999999891</v>
      </c>
      <c r="F15" s="4">
        <f t="shared" si="1"/>
        <v>-0.10082500000000014</v>
      </c>
      <c r="G15" s="4">
        <f t="shared" si="2"/>
        <v>4.9208250000000007</v>
      </c>
      <c r="H15" s="7">
        <f t="shared" si="3"/>
        <v>4.2741749999999996</v>
      </c>
      <c r="I15">
        <f t="shared" si="4"/>
        <v>4.375</v>
      </c>
      <c r="L15" s="4">
        <f t="shared" si="5"/>
        <v>4.2741749999999996</v>
      </c>
      <c r="M15" s="4">
        <f t="shared" si="6"/>
        <v>4.375</v>
      </c>
      <c r="N15" s="2">
        <v>91739678057.620193</v>
      </c>
      <c r="O15" s="2">
        <v>90990259206.684906</v>
      </c>
      <c r="P15" s="2">
        <v>89874160748.107193</v>
      </c>
      <c r="Q15" s="2">
        <v>88889315418.429993</v>
      </c>
      <c r="R15" s="2">
        <v>87891102554.170593</v>
      </c>
      <c r="S15" s="2">
        <v>86592935602.823196</v>
      </c>
      <c r="T15" s="2">
        <v>85298766983.284805</v>
      </c>
      <c r="W15" s="4">
        <f t="shared" si="7"/>
        <v>4.2741749999999996</v>
      </c>
      <c r="X15" s="4">
        <f t="shared" si="8"/>
        <v>4.375</v>
      </c>
      <c r="Y15" s="6">
        <f t="shared" si="9"/>
        <v>3.5485111616180079E-2</v>
      </c>
      <c r="Z15" s="6">
        <f t="shared" si="10"/>
        <v>3.5195234736995859E-2</v>
      </c>
      <c r="AA15" s="6">
        <f t="shared" si="11"/>
        <v>3.4763525369622655E-2</v>
      </c>
      <c r="AB15" s="6">
        <f t="shared" si="12"/>
        <v>3.4382585004578872E-2</v>
      </c>
      <c r="AC15" s="6">
        <f t="shared" si="13"/>
        <v>3.3996474047412621E-2</v>
      </c>
      <c r="AD15" s="6">
        <f t="shared" si="14"/>
        <v>3.3494340181888634E-2</v>
      </c>
      <c r="AE15" s="6">
        <f t="shared" si="15"/>
        <v>3.2993752880005653E-2</v>
      </c>
      <c r="AH15" s="7">
        <f t="shared" si="16"/>
        <v>4.2741749999999996</v>
      </c>
      <c r="AI15" s="7">
        <f t="shared" si="17"/>
        <v>4.375</v>
      </c>
      <c r="AJ15">
        <v>0</v>
      </c>
      <c r="AK15">
        <v>0.37339999999998902</v>
      </c>
      <c r="AL15">
        <v>0.20339999999998701</v>
      </c>
      <c r="AM15">
        <v>0.20939999999999501</v>
      </c>
      <c r="AN15">
        <v>1</v>
      </c>
      <c r="AO15">
        <v>1</v>
      </c>
      <c r="AP15">
        <v>1</v>
      </c>
    </row>
    <row r="16" spans="1:42" x14ac:dyDescent="0.25">
      <c r="A16">
        <v>4.875</v>
      </c>
      <c r="B16">
        <v>4.9199999999999902</v>
      </c>
      <c r="C16">
        <v>42.96</v>
      </c>
      <c r="D16">
        <v>3.47</v>
      </c>
      <c r="E16">
        <v>7.71999999999999</v>
      </c>
      <c r="F16" s="4">
        <f t="shared" si="1"/>
        <v>-6.4900000000000097E-2</v>
      </c>
      <c r="G16" s="4">
        <f t="shared" si="2"/>
        <v>4.9848999999999899</v>
      </c>
      <c r="H16" s="7">
        <f t="shared" si="3"/>
        <v>4.4351000000000003</v>
      </c>
      <c r="I16">
        <f t="shared" si="4"/>
        <v>4.5</v>
      </c>
      <c r="L16" s="4">
        <f t="shared" si="5"/>
        <v>4.4351000000000003</v>
      </c>
      <c r="M16" s="4">
        <f t="shared" si="6"/>
        <v>4.5</v>
      </c>
      <c r="N16" s="2">
        <v>242862019180.23999</v>
      </c>
      <c r="O16" s="2">
        <v>240671201539.90302</v>
      </c>
      <c r="P16" s="2">
        <v>237482381897.01001</v>
      </c>
      <c r="Q16" s="2">
        <v>234654697877.07599</v>
      </c>
      <c r="R16" s="2">
        <v>231802699116.51801</v>
      </c>
      <c r="S16" s="2">
        <v>228194230112.78</v>
      </c>
      <c r="T16" s="2">
        <v>224616467107.23801</v>
      </c>
      <c r="W16" s="4">
        <f t="shared" si="7"/>
        <v>4.4351000000000003</v>
      </c>
      <c r="X16" s="4">
        <f t="shared" si="8"/>
        <v>4.5</v>
      </c>
      <c r="Y16" s="6">
        <f t="shared" si="9"/>
        <v>9.3939569447026708E-2</v>
      </c>
      <c r="Z16" s="6">
        <f t="shared" si="10"/>
        <v>9.3092156308632809E-2</v>
      </c>
      <c r="AA16" s="6">
        <f t="shared" si="11"/>
        <v>9.1858713774848735E-2</v>
      </c>
      <c r="AB16" s="6">
        <f t="shared" si="12"/>
        <v>9.0764959303641354E-2</v>
      </c>
      <c r="AC16" s="6">
        <f t="shared" si="13"/>
        <v>8.9661799836654316E-2</v>
      </c>
      <c r="AD16" s="6">
        <f t="shared" si="14"/>
        <v>8.8266035996271697E-2</v>
      </c>
      <c r="AE16" s="6">
        <f t="shared" si="15"/>
        <v>8.6882149304319728E-2</v>
      </c>
      <c r="AH16" s="7">
        <f t="shared" si="16"/>
        <v>4.4351000000000003</v>
      </c>
      <c r="AI16" s="7">
        <f t="shared" si="17"/>
        <v>4.5</v>
      </c>
      <c r="AJ16">
        <v>0.58480000000000798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</row>
    <row r="17" spans="1:42" x14ac:dyDescent="0.25">
      <c r="A17">
        <v>5</v>
      </c>
      <c r="B17">
        <v>5.04</v>
      </c>
      <c r="C17">
        <v>66.569999999999894</v>
      </c>
      <c r="D17">
        <v>6.19</v>
      </c>
      <c r="E17">
        <v>8.06</v>
      </c>
      <c r="F17" s="4">
        <f t="shared" si="1"/>
        <v>-0.14772499999999975</v>
      </c>
      <c r="G17" s="4">
        <f t="shared" si="2"/>
        <v>5.1877249999999995</v>
      </c>
      <c r="H17" s="7">
        <f t="shared" si="3"/>
        <v>4.4772750000000006</v>
      </c>
      <c r="I17">
        <f t="shared" si="4"/>
        <v>4.625</v>
      </c>
      <c r="L17" s="4">
        <f t="shared" si="5"/>
        <v>4.4772750000000006</v>
      </c>
      <c r="M17" s="4">
        <f t="shared" si="6"/>
        <v>4.625</v>
      </c>
      <c r="N17" s="2">
        <v>49487495929.735298</v>
      </c>
      <c r="O17" s="2">
        <v>49042528491.644699</v>
      </c>
      <c r="P17" s="2">
        <v>48405828168.031998</v>
      </c>
      <c r="Q17" s="2">
        <v>47831924319.056602</v>
      </c>
      <c r="R17" s="2">
        <v>47251496009.189697</v>
      </c>
      <c r="S17" s="2">
        <v>46532365328.973503</v>
      </c>
      <c r="T17" s="2">
        <v>45821852734.947304</v>
      </c>
      <c r="W17" s="4">
        <f t="shared" si="7"/>
        <v>4.4772750000000006</v>
      </c>
      <c r="X17" s="4">
        <f t="shared" si="8"/>
        <v>4.625</v>
      </c>
      <c r="Y17" s="6">
        <f t="shared" si="9"/>
        <v>1.9141873547550016E-2</v>
      </c>
      <c r="Z17" s="6">
        <f t="shared" si="10"/>
        <v>1.8969759152333877E-2</v>
      </c>
      <c r="AA17" s="6">
        <f t="shared" si="11"/>
        <v>1.8723482050344655E-2</v>
      </c>
      <c r="AB17" s="6">
        <f t="shared" si="12"/>
        <v>1.8501494764482849E-2</v>
      </c>
      <c r="AC17" s="6">
        <f t="shared" si="13"/>
        <v>1.8276983802629661E-2</v>
      </c>
      <c r="AD17" s="6">
        <f t="shared" si="14"/>
        <v>1.7998822455278264E-2</v>
      </c>
      <c r="AE17" s="6">
        <f t="shared" si="15"/>
        <v>1.7723994602842529E-2</v>
      </c>
      <c r="AH17" s="7">
        <f t="shared" si="16"/>
        <v>4.4772750000000006</v>
      </c>
      <c r="AI17" s="7">
        <f t="shared" si="17"/>
        <v>4.625</v>
      </c>
      <c r="AJ17">
        <v>0.92220000000001001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</row>
    <row r="18" spans="1:42" x14ac:dyDescent="0.25">
      <c r="A18">
        <v>5.125</v>
      </c>
      <c r="B18">
        <v>5.1699999999999902</v>
      </c>
      <c r="C18">
        <v>109.48</v>
      </c>
      <c r="D18">
        <v>9.66</v>
      </c>
      <c r="E18">
        <v>11.91</v>
      </c>
      <c r="F18" s="4">
        <f t="shared" si="1"/>
        <v>-0.25120000000000003</v>
      </c>
      <c r="G18" s="4">
        <f t="shared" si="2"/>
        <v>5.42119999999999</v>
      </c>
      <c r="H18" s="7">
        <f t="shared" si="3"/>
        <v>4.4988000000000001</v>
      </c>
      <c r="I18">
        <f t="shared" si="4"/>
        <v>4.75</v>
      </c>
      <c r="L18" s="4">
        <f t="shared" si="5"/>
        <v>4.4988000000000001</v>
      </c>
      <c r="M18" s="4">
        <f t="shared" si="6"/>
        <v>4.75</v>
      </c>
      <c r="N18" s="2">
        <v>20641023660.035</v>
      </c>
      <c r="O18" s="2">
        <v>20443831176.6521</v>
      </c>
      <c r="P18" s="2">
        <v>20161868690.439602</v>
      </c>
      <c r="Q18" s="2">
        <v>19883269387.228401</v>
      </c>
      <c r="R18" s="2">
        <v>19604026394.302299</v>
      </c>
      <c r="S18" s="2">
        <v>19266576041.541199</v>
      </c>
      <c r="T18" s="2">
        <v>18933781795.929699</v>
      </c>
      <c r="W18" s="4">
        <f t="shared" si="7"/>
        <v>4.4988000000000001</v>
      </c>
      <c r="X18" s="4">
        <f t="shared" si="8"/>
        <v>4.75</v>
      </c>
      <c r="Y18" s="6">
        <f t="shared" si="9"/>
        <v>7.9839938830885866E-3</v>
      </c>
      <c r="Z18" s="6">
        <f t="shared" si="10"/>
        <v>7.9077193917139934E-3</v>
      </c>
      <c r="AA18" s="6">
        <f t="shared" si="11"/>
        <v>7.798655674610671E-3</v>
      </c>
      <c r="AB18" s="6">
        <f t="shared" si="12"/>
        <v>7.690892844176166E-3</v>
      </c>
      <c r="AC18" s="6">
        <f t="shared" si="13"/>
        <v>7.5828810331275672E-3</v>
      </c>
      <c r="AD18" s="6">
        <f t="shared" si="14"/>
        <v>7.4523544857690079E-3</v>
      </c>
      <c r="AE18" s="6">
        <f t="shared" si="15"/>
        <v>7.3236289310169046E-3</v>
      </c>
      <c r="AH18" s="7">
        <f t="shared" si="16"/>
        <v>4.4988000000000001</v>
      </c>
      <c r="AI18" s="7">
        <f t="shared" si="17"/>
        <v>4.75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</row>
    <row r="19" spans="1:42" x14ac:dyDescent="0.25">
      <c r="A19">
        <v>5.25</v>
      </c>
      <c r="B19">
        <v>5.33</v>
      </c>
      <c r="C19">
        <v>78.78</v>
      </c>
      <c r="D19">
        <v>6.94</v>
      </c>
      <c r="E19">
        <v>7.49</v>
      </c>
      <c r="F19" s="4">
        <f t="shared" si="1"/>
        <v>-0.19145000000000001</v>
      </c>
      <c r="G19" s="4">
        <f t="shared" si="2"/>
        <v>5.5214499999999997</v>
      </c>
      <c r="H19" s="7">
        <f t="shared" si="3"/>
        <v>4.6835500000000003</v>
      </c>
      <c r="I19">
        <f t="shared" si="4"/>
        <v>4.875</v>
      </c>
      <c r="L19" s="4">
        <f t="shared" si="5"/>
        <v>4.6835500000000003</v>
      </c>
      <c r="M19" s="4">
        <f t="shared" si="6"/>
        <v>4.875</v>
      </c>
      <c r="N19" s="2">
        <v>82572571808.709198</v>
      </c>
      <c r="O19" s="2">
        <v>81680211448.797699</v>
      </c>
      <c r="P19" s="2">
        <v>80460029982.775696</v>
      </c>
      <c r="Q19" s="2">
        <v>79278873233.670898</v>
      </c>
      <c r="R19" s="2">
        <v>78104006616.856506</v>
      </c>
      <c r="S19" s="2">
        <v>76738616472.676407</v>
      </c>
      <c r="T19" s="2">
        <v>75399185173.844803</v>
      </c>
      <c r="W19" s="4">
        <f t="shared" si="7"/>
        <v>4.6835500000000003</v>
      </c>
      <c r="X19" s="4">
        <f t="shared" si="8"/>
        <v>4.875</v>
      </c>
      <c r="Y19" s="6">
        <f t="shared" si="9"/>
        <v>3.1939254520020714E-2</v>
      </c>
      <c r="Z19" s="6">
        <f t="shared" si="10"/>
        <v>3.1594087547084253E-2</v>
      </c>
      <c r="AA19" s="6">
        <f t="shared" si="11"/>
        <v>3.112211864082114E-2</v>
      </c>
      <c r="AB19" s="6">
        <f t="shared" si="12"/>
        <v>3.0665244581901258E-2</v>
      </c>
      <c r="AC19" s="6">
        <f t="shared" si="13"/>
        <v>3.0210803560148405E-2</v>
      </c>
      <c r="AD19" s="6">
        <f t="shared" si="14"/>
        <v>2.9682667614048489E-2</v>
      </c>
      <c r="AE19" s="6">
        <f t="shared" si="15"/>
        <v>2.9164572607094225E-2</v>
      </c>
      <c r="AH19" s="7">
        <f t="shared" si="16"/>
        <v>4.6835500000000003</v>
      </c>
      <c r="AI19" s="7">
        <f t="shared" si="17"/>
        <v>4.875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</row>
    <row r="20" spans="1:42" x14ac:dyDescent="0.25">
      <c r="A20">
        <v>5.375</v>
      </c>
      <c r="B20">
        <v>5.4199999999999902</v>
      </c>
      <c r="C20">
        <v>69.689999999999898</v>
      </c>
      <c r="D20">
        <v>5.41</v>
      </c>
      <c r="E20">
        <v>6.75</v>
      </c>
      <c r="F20" s="4">
        <f t="shared" si="1"/>
        <v>-0.16082499999999975</v>
      </c>
      <c r="G20" s="4">
        <f t="shared" si="2"/>
        <v>5.5808249999999902</v>
      </c>
      <c r="H20" s="7">
        <f t="shared" si="3"/>
        <v>4.839175</v>
      </c>
      <c r="I20">
        <f t="shared" si="4"/>
        <v>5</v>
      </c>
      <c r="L20" s="4">
        <f t="shared" si="5"/>
        <v>4.839175</v>
      </c>
      <c r="M20" s="4">
        <f t="shared" si="6"/>
        <v>5</v>
      </c>
      <c r="N20" s="2">
        <v>86907573189.938202</v>
      </c>
      <c r="O20" s="2">
        <v>86003725821.417007</v>
      </c>
      <c r="P20" s="2">
        <v>84800398321.252106</v>
      </c>
      <c r="Q20" s="2">
        <v>83630820573.276703</v>
      </c>
      <c r="R20" s="2">
        <v>82470703602.218201</v>
      </c>
      <c r="S20" s="2">
        <v>81139008467.716507</v>
      </c>
      <c r="T20" s="2">
        <v>79838382799.985703</v>
      </c>
      <c r="W20" s="4">
        <f t="shared" si="7"/>
        <v>4.839175</v>
      </c>
      <c r="X20" s="4">
        <f t="shared" si="8"/>
        <v>5</v>
      </c>
      <c r="Y20" s="6">
        <f t="shared" si="9"/>
        <v>3.3616042700731236E-2</v>
      </c>
      <c r="Z20" s="6">
        <f t="shared" si="10"/>
        <v>3.3266432527303109E-2</v>
      </c>
      <c r="AA20" s="6">
        <f t="shared" si="11"/>
        <v>3.2800982772537769E-2</v>
      </c>
      <c r="AB20" s="6">
        <f t="shared" si="12"/>
        <v>3.2348587497020881E-2</v>
      </c>
      <c r="AC20" s="6">
        <f t="shared" si="13"/>
        <v>3.189985167106802E-2</v>
      </c>
      <c r="AD20" s="6">
        <f t="shared" si="14"/>
        <v>3.1384749029691447E-2</v>
      </c>
      <c r="AE20" s="6">
        <f t="shared" si="15"/>
        <v>3.0881664127199109E-2</v>
      </c>
      <c r="AH20" s="7">
        <f t="shared" si="16"/>
        <v>4.839175</v>
      </c>
      <c r="AI20" s="7">
        <f t="shared" si="17"/>
        <v>5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</row>
    <row r="21" spans="1:42" x14ac:dyDescent="0.25">
      <c r="A21">
        <v>5.5</v>
      </c>
      <c r="B21">
        <v>5.5499999999999901</v>
      </c>
      <c r="C21">
        <v>40.590000000000003</v>
      </c>
      <c r="D21">
        <v>1.34</v>
      </c>
      <c r="E21">
        <v>6.8099999999999898</v>
      </c>
      <c r="F21" s="4">
        <f t="shared" si="1"/>
        <v>-4.6775000000000115E-2</v>
      </c>
      <c r="G21" s="4">
        <f t="shared" si="2"/>
        <v>5.5967749999999903</v>
      </c>
      <c r="H21" s="7">
        <f t="shared" si="3"/>
        <v>5.0782249999999998</v>
      </c>
      <c r="I21">
        <f t="shared" si="4"/>
        <v>5.125</v>
      </c>
      <c r="L21" s="4">
        <f t="shared" si="5"/>
        <v>5.0782249999999998</v>
      </c>
      <c r="M21" s="4">
        <f t="shared" si="6"/>
        <v>5.125</v>
      </c>
      <c r="N21" s="2">
        <v>44496882275.843697</v>
      </c>
      <c r="O21" s="2">
        <v>43972330482.129303</v>
      </c>
      <c r="P21" s="2">
        <v>43293400945.170998</v>
      </c>
      <c r="Q21" s="2">
        <v>42638381666.319199</v>
      </c>
      <c r="R21" s="2">
        <v>41989263967.661301</v>
      </c>
      <c r="S21" s="2">
        <v>41255318664.895599</v>
      </c>
      <c r="T21" s="2">
        <v>40536897098.639999</v>
      </c>
      <c r="W21" s="4">
        <f t="shared" si="7"/>
        <v>5.0782249999999998</v>
      </c>
      <c r="X21" s="4">
        <f t="shared" si="8"/>
        <v>5.125</v>
      </c>
      <c r="Y21" s="6">
        <f t="shared" si="9"/>
        <v>1.7211493080874007E-2</v>
      </c>
      <c r="Z21" s="6">
        <f t="shared" si="10"/>
        <v>1.7008595279807692E-2</v>
      </c>
      <c r="AA21" s="6">
        <f t="shared" si="11"/>
        <v>1.674598382412594E-2</v>
      </c>
      <c r="AB21" s="6">
        <f t="shared" si="12"/>
        <v>1.6492620909486028E-2</v>
      </c>
      <c r="AC21" s="6">
        <f t="shared" si="13"/>
        <v>1.6241540739197591E-2</v>
      </c>
      <c r="AD21" s="6">
        <f t="shared" si="14"/>
        <v>1.5957649062877843E-2</v>
      </c>
      <c r="AE21" s="6">
        <f t="shared" si="15"/>
        <v>1.5679762002384356E-2</v>
      </c>
      <c r="AH21" s="7">
        <f t="shared" si="16"/>
        <v>5.0782249999999998</v>
      </c>
      <c r="AI21" s="7">
        <f t="shared" si="17"/>
        <v>5.125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 x14ac:dyDescent="0.25">
      <c r="A22">
        <v>5.625</v>
      </c>
      <c r="B22">
        <v>5.6699999999999902</v>
      </c>
      <c r="C22">
        <v>38.880000000000003</v>
      </c>
      <c r="D22">
        <v>0.52</v>
      </c>
      <c r="E22">
        <v>8.31</v>
      </c>
      <c r="F22" s="4">
        <f t="shared" si="1"/>
        <v>-1.9300000000000001E-2</v>
      </c>
      <c r="G22" s="4">
        <f t="shared" si="2"/>
        <v>5.6892999999999905</v>
      </c>
      <c r="H22" s="7">
        <f t="shared" si="3"/>
        <v>5.2306999999999997</v>
      </c>
      <c r="I22">
        <f t="shared" si="4"/>
        <v>5.25</v>
      </c>
      <c r="L22" s="4">
        <f t="shared" si="5"/>
        <v>5.2306999999999997</v>
      </c>
      <c r="M22" s="4">
        <f t="shared" si="6"/>
        <v>5.25</v>
      </c>
      <c r="N22" s="2">
        <v>26192228635.993999</v>
      </c>
      <c r="O22" s="2">
        <v>25856833661.339802</v>
      </c>
      <c r="P22" s="2">
        <v>25427001878.8759</v>
      </c>
      <c r="Q22" s="2">
        <v>25017388129.923199</v>
      </c>
      <c r="R22" s="2">
        <v>24614031724.356899</v>
      </c>
      <c r="S22" s="2">
        <v>24161190294.0564</v>
      </c>
      <c r="T22" s="2">
        <v>23718556171.606201</v>
      </c>
      <c r="W22" s="4">
        <f t="shared" si="7"/>
        <v>5.2306999999999997</v>
      </c>
      <c r="X22" s="4">
        <f t="shared" si="8"/>
        <v>5.25</v>
      </c>
      <c r="Y22" s="6">
        <f t="shared" si="9"/>
        <v>1.0131212320594725E-2</v>
      </c>
      <c r="Z22" s="6">
        <f t="shared" si="10"/>
        <v>1.0001480798061639E-2</v>
      </c>
      <c r="AA22" s="6">
        <f t="shared" si="11"/>
        <v>9.8352209081224874E-3</v>
      </c>
      <c r="AB22" s="6">
        <f t="shared" si="12"/>
        <v>9.6767813985355975E-3</v>
      </c>
      <c r="AC22" s="6">
        <f t="shared" si="13"/>
        <v>9.5207622432947041E-3</v>
      </c>
      <c r="AD22" s="6">
        <f t="shared" si="14"/>
        <v>9.3456021703701951E-3</v>
      </c>
      <c r="AE22" s="6">
        <f t="shared" si="15"/>
        <v>9.1743903068359674E-3</v>
      </c>
      <c r="AH22" s="7">
        <f t="shared" si="16"/>
        <v>5.2306999999999997</v>
      </c>
      <c r="AI22" s="7">
        <f t="shared" si="17"/>
        <v>5.25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</row>
    <row r="23" spans="1:42" x14ac:dyDescent="0.25">
      <c r="A23">
        <v>5.75</v>
      </c>
      <c r="B23">
        <v>5.8099999999999898</v>
      </c>
      <c r="C23">
        <v>49.56</v>
      </c>
      <c r="D23">
        <v>1.27</v>
      </c>
      <c r="E23">
        <v>7.62</v>
      </c>
      <c r="F23" s="4">
        <f t="shared" si="1"/>
        <v>-6.0400000000000009E-2</v>
      </c>
      <c r="G23" s="4">
        <f t="shared" si="2"/>
        <v>5.8703999999999894</v>
      </c>
      <c r="H23" s="7">
        <f t="shared" si="3"/>
        <v>5.3146000000000004</v>
      </c>
      <c r="I23">
        <f t="shared" si="4"/>
        <v>5.375</v>
      </c>
      <c r="L23" s="4">
        <f t="shared" si="5"/>
        <v>5.3146000000000004</v>
      </c>
      <c r="M23" s="4">
        <f t="shared" si="6"/>
        <v>5.375</v>
      </c>
      <c r="N23" s="2">
        <v>44997120421.704903</v>
      </c>
      <c r="O23" s="2">
        <v>44421522551.865196</v>
      </c>
      <c r="P23" s="2">
        <v>43687494373.1362</v>
      </c>
      <c r="Q23" s="2">
        <v>42984902212.618896</v>
      </c>
      <c r="R23" s="2">
        <v>42290795794.862198</v>
      </c>
      <c r="S23" s="2">
        <v>41516508495.562897</v>
      </c>
      <c r="T23" s="2">
        <v>40760324239.107498</v>
      </c>
      <c r="W23" s="4">
        <f t="shared" si="7"/>
        <v>5.3146000000000004</v>
      </c>
      <c r="X23" s="4">
        <f t="shared" si="8"/>
        <v>5.375</v>
      </c>
      <c r="Y23" s="6">
        <f t="shared" si="9"/>
        <v>1.740498630884682E-2</v>
      </c>
      <c r="Z23" s="6">
        <f t="shared" si="10"/>
        <v>1.718234377194508E-2</v>
      </c>
      <c r="AA23" s="6">
        <f t="shared" si="11"/>
        <v>1.689842003901831E-2</v>
      </c>
      <c r="AB23" s="6">
        <f t="shared" si="12"/>
        <v>1.6626655827888741E-2</v>
      </c>
      <c r="AC23" s="6">
        <f t="shared" si="13"/>
        <v>1.6358173920941854E-2</v>
      </c>
      <c r="AD23" s="6">
        <f t="shared" si="14"/>
        <v>1.6058677870591981E-2</v>
      </c>
      <c r="AE23" s="6">
        <f t="shared" si="15"/>
        <v>1.5766184117497879E-2</v>
      </c>
      <c r="AH23" s="7">
        <f t="shared" si="16"/>
        <v>5.3146000000000004</v>
      </c>
      <c r="AI23" s="7">
        <f t="shared" si="17"/>
        <v>5.375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</row>
    <row r="24" spans="1:42" x14ac:dyDescent="0.25">
      <c r="A24">
        <v>5.875</v>
      </c>
      <c r="B24">
        <v>5.9199999999999902</v>
      </c>
      <c r="C24">
        <v>41.399999999999899</v>
      </c>
      <c r="D24">
        <v>0.57999999999999896</v>
      </c>
      <c r="E24">
        <v>9.24</v>
      </c>
      <c r="F24" s="4">
        <f t="shared" si="1"/>
        <v>-1.6899999999999738E-2</v>
      </c>
      <c r="G24" s="4">
        <f t="shared" si="2"/>
        <v>5.9368999999999899</v>
      </c>
      <c r="H24" s="7">
        <f t="shared" si="3"/>
        <v>5.4831000000000003</v>
      </c>
      <c r="I24">
        <f t="shared" si="4"/>
        <v>5.5</v>
      </c>
      <c r="L24" s="4">
        <f t="shared" si="5"/>
        <v>5.4831000000000003</v>
      </c>
      <c r="M24" s="4">
        <f t="shared" si="6"/>
        <v>5.5</v>
      </c>
      <c r="N24" s="2">
        <v>79792865010.121796</v>
      </c>
      <c r="O24" s="2">
        <v>78764356728.896805</v>
      </c>
      <c r="P24" s="2">
        <v>77464181429.216095</v>
      </c>
      <c r="Q24" s="2">
        <v>76215712938.932297</v>
      </c>
      <c r="R24" s="2">
        <v>74979187171.306198</v>
      </c>
      <c r="S24" s="2">
        <v>73610511742.832703</v>
      </c>
      <c r="T24" s="2">
        <v>72275916604.560593</v>
      </c>
      <c r="W24" s="4">
        <f t="shared" si="7"/>
        <v>5.4831000000000003</v>
      </c>
      <c r="X24" s="4">
        <f t="shared" si="8"/>
        <v>5.5</v>
      </c>
      <c r="Y24" s="6">
        <f t="shared" si="9"/>
        <v>3.0864057744791399E-2</v>
      </c>
      <c r="Z24" s="6">
        <f t="shared" si="10"/>
        <v>3.0466228452928054E-2</v>
      </c>
      <c r="AA24" s="6">
        <f t="shared" si="11"/>
        <v>2.9963317753799672E-2</v>
      </c>
      <c r="AB24" s="6">
        <f t="shared" si="12"/>
        <v>2.9480407363606468E-2</v>
      </c>
      <c r="AC24" s="6">
        <f t="shared" si="13"/>
        <v>2.9002116445112774E-2</v>
      </c>
      <c r="AD24" s="6">
        <f t="shared" si="14"/>
        <v>2.8472709743737602E-2</v>
      </c>
      <c r="AE24" s="6">
        <f t="shared" si="15"/>
        <v>2.7956485374449405E-2</v>
      </c>
      <c r="AH24" s="7">
        <f t="shared" si="16"/>
        <v>5.4831000000000003</v>
      </c>
      <c r="AI24" s="7">
        <f t="shared" si="17"/>
        <v>5.5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</row>
    <row r="25" spans="1:42" x14ac:dyDescent="0.25">
      <c r="A25">
        <v>6</v>
      </c>
      <c r="B25">
        <v>6.04</v>
      </c>
      <c r="C25">
        <v>38.829999999999899</v>
      </c>
      <c r="D25">
        <v>0.11</v>
      </c>
      <c r="E25">
        <v>11.26</v>
      </c>
      <c r="F25" s="4">
        <f t="shared" si="1"/>
        <v>1.4425000000000247E-2</v>
      </c>
      <c r="G25" s="4">
        <f t="shared" si="2"/>
        <v>6.0255749999999999</v>
      </c>
      <c r="H25" s="7">
        <f t="shared" si="3"/>
        <v>5.6394250000000001</v>
      </c>
      <c r="I25">
        <f t="shared" si="4"/>
        <v>5.625</v>
      </c>
      <c r="L25" s="4">
        <f t="shared" si="5"/>
        <v>5.6394250000000001</v>
      </c>
      <c r="M25" s="4">
        <f t="shared" si="6"/>
        <v>5.625</v>
      </c>
      <c r="N25" s="2">
        <v>38213746464.217697</v>
      </c>
      <c r="O25" s="2">
        <v>37698699826.582298</v>
      </c>
      <c r="P25" s="2">
        <v>37052546616.003998</v>
      </c>
      <c r="Q25" s="2">
        <v>36436344176.540001</v>
      </c>
      <c r="R25" s="2">
        <v>35828139023.3358</v>
      </c>
      <c r="S25" s="2">
        <v>35158300715.621399</v>
      </c>
      <c r="T25" s="2">
        <v>34505366449.309303</v>
      </c>
      <c r="W25" s="4">
        <f t="shared" si="7"/>
        <v>5.6394250000000001</v>
      </c>
      <c r="X25" s="4">
        <f t="shared" si="8"/>
        <v>5.625</v>
      </c>
      <c r="Y25" s="6">
        <f t="shared" si="9"/>
        <v>1.4781162167404582E-2</v>
      </c>
      <c r="Z25" s="6">
        <f t="shared" si="10"/>
        <v>1.4581940981860948E-2</v>
      </c>
      <c r="AA25" s="6">
        <f t="shared" si="11"/>
        <v>1.4332007482158422E-2</v>
      </c>
      <c r="AB25" s="6">
        <f t="shared" si="12"/>
        <v>1.4093659007370788E-2</v>
      </c>
      <c r="AC25" s="6">
        <f t="shared" si="13"/>
        <v>1.3858403900704384E-2</v>
      </c>
      <c r="AD25" s="6">
        <f t="shared" si="14"/>
        <v>1.3599308952724409E-2</v>
      </c>
      <c r="AE25" s="6">
        <f t="shared" si="15"/>
        <v>1.3346752525574523E-2</v>
      </c>
      <c r="AH25" s="7">
        <f t="shared" si="16"/>
        <v>5.6394250000000001</v>
      </c>
      <c r="AI25" s="7">
        <f t="shared" si="17"/>
        <v>5.625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</row>
    <row r="26" spans="1:42" x14ac:dyDescent="0.25">
      <c r="A26">
        <v>6.125</v>
      </c>
      <c r="B26">
        <v>6.1699999999999902</v>
      </c>
      <c r="C26">
        <v>41.42</v>
      </c>
      <c r="D26">
        <v>0.02</v>
      </c>
      <c r="E26">
        <v>13.1999999999999</v>
      </c>
      <c r="F26" s="4">
        <f t="shared" si="1"/>
        <v>2.8249999999999005E-2</v>
      </c>
      <c r="G26" s="4">
        <f t="shared" si="2"/>
        <v>6.1417499999999912</v>
      </c>
      <c r="H26" s="7">
        <f t="shared" si="3"/>
        <v>5.778249999999999</v>
      </c>
      <c r="I26">
        <f t="shared" si="4"/>
        <v>5.75</v>
      </c>
      <c r="L26" s="4">
        <f t="shared" si="5"/>
        <v>5.778249999999999</v>
      </c>
      <c r="M26" s="4">
        <f t="shared" si="6"/>
        <v>5.75</v>
      </c>
      <c r="N26" s="2">
        <v>24048259391.833698</v>
      </c>
      <c r="O26" s="2">
        <v>23696785885.735298</v>
      </c>
      <c r="P26" s="2">
        <v>23259751871.2663</v>
      </c>
      <c r="Q26" s="2">
        <v>22847569335.521599</v>
      </c>
      <c r="R26" s="2">
        <v>22443319089.945</v>
      </c>
      <c r="S26" s="2">
        <v>22000286571.139702</v>
      </c>
      <c r="T26" s="2">
        <v>21568483835.376202</v>
      </c>
      <c r="W26" s="4">
        <f t="shared" si="7"/>
        <v>5.778249999999999</v>
      </c>
      <c r="X26" s="4">
        <f t="shared" si="8"/>
        <v>5.75</v>
      </c>
      <c r="Y26" s="6">
        <f t="shared" si="9"/>
        <v>9.3019202460912411E-3</v>
      </c>
      <c r="Z26" s="6">
        <f t="shared" si="10"/>
        <v>9.1659695118168263E-3</v>
      </c>
      <c r="AA26" s="6">
        <f t="shared" si="11"/>
        <v>8.9969237825113547E-3</v>
      </c>
      <c r="AB26" s="6">
        <f t="shared" si="12"/>
        <v>8.8374906604771312E-3</v>
      </c>
      <c r="AC26" s="6">
        <f t="shared" si="13"/>
        <v>8.6811257659312399E-3</v>
      </c>
      <c r="AD26" s="6">
        <f t="shared" si="14"/>
        <v>8.5097598018003297E-3</v>
      </c>
      <c r="AE26" s="6">
        <f t="shared" si="15"/>
        <v>8.3427375427390336E-3</v>
      </c>
      <c r="AH26" s="7">
        <f t="shared" si="16"/>
        <v>5.778249999999999</v>
      </c>
      <c r="AI26" s="7">
        <f t="shared" si="17"/>
        <v>5.75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</row>
    <row r="27" spans="1:42" x14ac:dyDescent="0.25">
      <c r="A27">
        <v>6.25</v>
      </c>
      <c r="B27">
        <v>6.2999999999999901</v>
      </c>
      <c r="C27">
        <v>45.71</v>
      </c>
      <c r="D27">
        <v>0.05</v>
      </c>
      <c r="E27">
        <v>13.9499999999999</v>
      </c>
      <c r="F27" s="4">
        <f t="shared" si="1"/>
        <v>2.4724999999998984E-2</v>
      </c>
      <c r="G27" s="4">
        <f t="shared" si="2"/>
        <v>6.2752749999999908</v>
      </c>
      <c r="H27" s="7">
        <f t="shared" si="3"/>
        <v>5.8997249999999992</v>
      </c>
      <c r="I27">
        <f t="shared" si="4"/>
        <v>5.875</v>
      </c>
      <c r="L27" s="4">
        <f t="shared" si="5"/>
        <v>5.8997249999999992</v>
      </c>
      <c r="M27" s="4">
        <f t="shared" si="6"/>
        <v>5.875</v>
      </c>
      <c r="N27" s="2">
        <v>26059827497.394501</v>
      </c>
      <c r="O27" s="2">
        <v>25688657261.217499</v>
      </c>
      <c r="P27" s="2">
        <v>25228951793.2938</v>
      </c>
      <c r="Q27" s="2">
        <v>24792212396.047798</v>
      </c>
      <c r="R27" s="2">
        <v>24361964020.959099</v>
      </c>
      <c r="S27" s="2">
        <v>23892071919.914101</v>
      </c>
      <c r="T27" s="2">
        <v>23434326588.874699</v>
      </c>
      <c r="W27" s="4">
        <f t="shared" si="7"/>
        <v>5.8997249999999992</v>
      </c>
      <c r="X27" s="4">
        <f t="shared" si="8"/>
        <v>5.875</v>
      </c>
      <c r="Y27" s="6">
        <f t="shared" si="9"/>
        <v>1.0079999265559131E-2</v>
      </c>
      <c r="Z27" s="6">
        <f t="shared" si="10"/>
        <v>9.9364297922602141E-3</v>
      </c>
      <c r="AA27" s="6">
        <f t="shared" si="11"/>
        <v>9.7586146943088661E-3</v>
      </c>
      <c r="AB27" s="6">
        <f t="shared" si="12"/>
        <v>9.5896829236008455E-3</v>
      </c>
      <c r="AC27" s="6">
        <f t="shared" si="13"/>
        <v>9.4232618947073989E-3</v>
      </c>
      <c r="AD27" s="6">
        <f t="shared" si="14"/>
        <v>9.2415065843969545E-3</v>
      </c>
      <c r="AE27" s="6">
        <f t="shared" si="15"/>
        <v>9.064449671754243E-3</v>
      </c>
      <c r="AH27" s="7">
        <f t="shared" si="16"/>
        <v>5.8997249999999992</v>
      </c>
      <c r="AI27" s="7">
        <f t="shared" si="17"/>
        <v>5.875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</row>
    <row r="28" spans="1:42" x14ac:dyDescent="0.25">
      <c r="A28">
        <v>6.375</v>
      </c>
      <c r="B28">
        <v>6.4199999999999902</v>
      </c>
      <c r="C28">
        <v>46.24</v>
      </c>
      <c r="D28">
        <v>0.05</v>
      </c>
      <c r="E28">
        <v>17.18</v>
      </c>
      <c r="F28" s="4">
        <f t="shared" si="1"/>
        <v>5.57E-2</v>
      </c>
      <c r="G28" s="4">
        <f t="shared" si="2"/>
        <v>6.3642999999999903</v>
      </c>
      <c r="H28" s="7">
        <f t="shared" si="3"/>
        <v>6.0556999999999999</v>
      </c>
      <c r="I28">
        <f t="shared" si="4"/>
        <v>6</v>
      </c>
      <c r="L28" s="4">
        <f t="shared" si="5"/>
        <v>6.0556999999999999</v>
      </c>
      <c r="M28" s="4">
        <f t="shared" si="6"/>
        <v>6</v>
      </c>
      <c r="N28" s="2">
        <v>43903023908.683296</v>
      </c>
      <c r="O28" s="2">
        <v>43281208091.318398</v>
      </c>
      <c r="P28" s="2">
        <v>42513432959.795898</v>
      </c>
      <c r="Q28" s="2">
        <v>41780745861.219002</v>
      </c>
      <c r="R28" s="2">
        <v>41057205227.8741</v>
      </c>
      <c r="S28" s="2">
        <v>40269983292.052002</v>
      </c>
      <c r="T28" s="2">
        <v>39503985507.013702</v>
      </c>
      <c r="W28" s="4">
        <f t="shared" si="7"/>
        <v>6.0556999999999999</v>
      </c>
      <c r="X28" s="4">
        <f t="shared" si="8"/>
        <v>6</v>
      </c>
      <c r="Y28" s="6">
        <f t="shared" si="9"/>
        <v>1.6981787342974494E-2</v>
      </c>
      <c r="Z28" s="6">
        <f t="shared" si="10"/>
        <v>1.6741267601123634E-2</v>
      </c>
      <c r="AA28" s="6">
        <f t="shared" si="11"/>
        <v>1.6444290471761012E-2</v>
      </c>
      <c r="AB28" s="6">
        <f t="shared" si="12"/>
        <v>1.6160885471621308E-2</v>
      </c>
      <c r="AC28" s="6">
        <f t="shared" si="13"/>
        <v>1.5881018344586488E-2</v>
      </c>
      <c r="AD28" s="6">
        <f t="shared" si="14"/>
        <v>1.5576519148046827E-2</v>
      </c>
      <c r="AE28" s="6">
        <f t="shared" si="15"/>
        <v>1.5280229500259328E-2</v>
      </c>
      <c r="AH28" s="7">
        <f t="shared" si="16"/>
        <v>6.0556999999999999</v>
      </c>
      <c r="AI28" s="7">
        <f t="shared" si="17"/>
        <v>6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</row>
    <row r="29" spans="1:42" x14ac:dyDescent="0.25">
      <c r="A29">
        <v>6.5</v>
      </c>
      <c r="B29">
        <v>6.54</v>
      </c>
      <c r="C29">
        <v>44.909999999999897</v>
      </c>
      <c r="D29">
        <v>0.02</v>
      </c>
      <c r="E29">
        <v>18.1099999999999</v>
      </c>
      <c r="F29" s="4">
        <f t="shared" si="1"/>
        <v>6.862499999999927E-2</v>
      </c>
      <c r="G29" s="4">
        <f t="shared" si="2"/>
        <v>6.471375000000001</v>
      </c>
      <c r="H29" s="7">
        <f t="shared" si="3"/>
        <v>6.193624999999999</v>
      </c>
      <c r="I29">
        <f t="shared" si="4"/>
        <v>6.125</v>
      </c>
      <c r="L29" s="4">
        <f t="shared" si="5"/>
        <v>6.193624999999999</v>
      </c>
      <c r="M29" s="4">
        <f t="shared" si="6"/>
        <v>6.125</v>
      </c>
      <c r="N29" s="2">
        <v>32187774855.7131</v>
      </c>
      <c r="O29" s="2">
        <v>31719421720.960499</v>
      </c>
      <c r="P29" s="2">
        <v>31143586825.723801</v>
      </c>
      <c r="Q29" s="2">
        <v>30596275300.2253</v>
      </c>
      <c r="R29" s="2">
        <v>30056985428.497002</v>
      </c>
      <c r="S29" s="2">
        <v>29472001626.432301</v>
      </c>
      <c r="T29" s="2">
        <v>28902821544.934101</v>
      </c>
      <c r="W29" s="4">
        <f t="shared" si="7"/>
        <v>6.193624999999999</v>
      </c>
      <c r="X29" s="4">
        <f t="shared" si="8"/>
        <v>6.125</v>
      </c>
      <c r="Y29" s="6">
        <f t="shared" si="9"/>
        <v>1.2450302939956527E-2</v>
      </c>
      <c r="Z29" s="6">
        <f t="shared" si="10"/>
        <v>1.2269142905232563E-2</v>
      </c>
      <c r="AA29" s="6">
        <f t="shared" si="11"/>
        <v>1.2046408686379826E-2</v>
      </c>
      <c r="AB29" s="6">
        <f t="shared" si="12"/>
        <v>1.1834707370413382E-2</v>
      </c>
      <c r="AC29" s="6">
        <f t="shared" si="13"/>
        <v>1.1626108847975417E-2</v>
      </c>
      <c r="AD29" s="6">
        <f t="shared" si="14"/>
        <v>1.1399835811603027E-2</v>
      </c>
      <c r="AE29" s="6">
        <f t="shared" si="15"/>
        <v>1.1179675689512949E-2</v>
      </c>
      <c r="AH29" s="7">
        <f t="shared" si="16"/>
        <v>6.193624999999999</v>
      </c>
      <c r="AI29" s="7">
        <f t="shared" si="17"/>
        <v>6.125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</row>
    <row r="30" spans="1:42" x14ac:dyDescent="0.25">
      <c r="A30">
        <v>6.625</v>
      </c>
      <c r="B30">
        <v>6.6699999999999902</v>
      </c>
      <c r="C30">
        <v>44.909999999999897</v>
      </c>
      <c r="D30">
        <v>0</v>
      </c>
      <c r="E30">
        <v>19.23</v>
      </c>
      <c r="F30" s="4">
        <f t="shared" si="1"/>
        <v>8.0025000000000263E-2</v>
      </c>
      <c r="G30" s="4">
        <f t="shared" si="2"/>
        <v>6.5899749999999901</v>
      </c>
      <c r="H30" s="7">
        <f t="shared" si="3"/>
        <v>6.330025</v>
      </c>
      <c r="I30">
        <f t="shared" si="4"/>
        <v>6.25</v>
      </c>
      <c r="L30" s="4">
        <f t="shared" si="5"/>
        <v>6.330025</v>
      </c>
      <c r="M30" s="4">
        <f t="shared" si="6"/>
        <v>6.25</v>
      </c>
      <c r="N30" s="2">
        <v>20203017858.863701</v>
      </c>
      <c r="O30" s="2">
        <v>19897818878.3955</v>
      </c>
      <c r="P30" s="2">
        <v>19524291893.2547</v>
      </c>
      <c r="Q30" s="2">
        <v>19170453173.919399</v>
      </c>
      <c r="R30" s="2">
        <v>18822410654.7579</v>
      </c>
      <c r="S30" s="2">
        <v>18446446913.532299</v>
      </c>
      <c r="T30" s="2">
        <v>18080780013.150501</v>
      </c>
      <c r="W30" s="4">
        <f t="shared" si="7"/>
        <v>6.330025</v>
      </c>
      <c r="X30" s="4">
        <f t="shared" si="8"/>
        <v>6.25</v>
      </c>
      <c r="Y30" s="6">
        <f t="shared" si="9"/>
        <v>7.8145722645241982E-3</v>
      </c>
      <c r="Z30" s="6">
        <f t="shared" si="10"/>
        <v>7.6965206197358192E-3</v>
      </c>
      <c r="AA30" s="6">
        <f t="shared" si="11"/>
        <v>7.5520395506933537E-3</v>
      </c>
      <c r="AB30" s="6">
        <f t="shared" si="12"/>
        <v>7.4151739466757211E-3</v>
      </c>
      <c r="AC30" s="6">
        <f t="shared" si="13"/>
        <v>7.2805503257832947E-3</v>
      </c>
      <c r="AD30" s="6">
        <f t="shared" si="14"/>
        <v>7.1351267140648432E-3</v>
      </c>
      <c r="AE30" s="6">
        <f t="shared" si="15"/>
        <v>6.9936859432977953E-3</v>
      </c>
      <c r="AH30" s="7">
        <f t="shared" si="16"/>
        <v>6.330025</v>
      </c>
      <c r="AI30" s="7">
        <f t="shared" si="17"/>
        <v>6.25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</row>
    <row r="31" spans="1:42" x14ac:dyDescent="0.25">
      <c r="A31">
        <v>6.75</v>
      </c>
      <c r="B31">
        <v>6.7999999999999901</v>
      </c>
      <c r="C31">
        <v>50.479999999999897</v>
      </c>
      <c r="D31">
        <v>2.9999999999999898E-2</v>
      </c>
      <c r="E31">
        <v>20.4499999999999</v>
      </c>
      <c r="F31" s="4">
        <f t="shared" si="1"/>
        <v>7.7999999999999237E-2</v>
      </c>
      <c r="G31" s="4">
        <f t="shared" si="2"/>
        <v>6.7219999999999906</v>
      </c>
      <c r="H31" s="7">
        <f t="shared" si="3"/>
        <v>6.4529999999999994</v>
      </c>
      <c r="I31">
        <f t="shared" si="4"/>
        <v>6.375</v>
      </c>
      <c r="L31" s="4">
        <f t="shared" si="5"/>
        <v>6.4529999999999994</v>
      </c>
      <c r="M31" s="4">
        <f t="shared" si="6"/>
        <v>6.375</v>
      </c>
      <c r="N31" s="2">
        <v>15217457923.541599</v>
      </c>
      <c r="O31" s="2">
        <v>14997000824.024401</v>
      </c>
      <c r="P31" s="2">
        <v>14728084987.677299</v>
      </c>
      <c r="Q31" s="2">
        <v>14471150965.224701</v>
      </c>
      <c r="R31" s="2">
        <v>14217146650.4713</v>
      </c>
      <c r="S31" s="2">
        <v>13943932449.702101</v>
      </c>
      <c r="T31" s="2">
        <v>13678433430.8685</v>
      </c>
      <c r="W31" s="4">
        <f t="shared" si="7"/>
        <v>6.4529999999999994</v>
      </c>
      <c r="X31" s="4">
        <f t="shared" si="8"/>
        <v>6.375</v>
      </c>
      <c r="Y31" s="6">
        <f t="shared" si="9"/>
        <v>5.8861465874366454E-3</v>
      </c>
      <c r="Z31" s="6">
        <f t="shared" si="10"/>
        <v>5.8008732907717754E-3</v>
      </c>
      <c r="AA31" s="6">
        <f t="shared" si="11"/>
        <v>5.6968560468684147E-3</v>
      </c>
      <c r="AB31" s="6">
        <f t="shared" si="12"/>
        <v>5.5974733952419489E-3</v>
      </c>
      <c r="AC31" s="6">
        <f t="shared" si="13"/>
        <v>5.4992239610728577E-3</v>
      </c>
      <c r="AD31" s="6">
        <f t="shared" si="14"/>
        <v>5.3935441002461041E-3</v>
      </c>
      <c r="AE31" s="6">
        <f t="shared" si="15"/>
        <v>5.2908484889602298E-3</v>
      </c>
      <c r="AH31" s="7">
        <f t="shared" si="16"/>
        <v>6.4529999999999994</v>
      </c>
      <c r="AI31" s="7">
        <f t="shared" si="17"/>
        <v>6.375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 x14ac:dyDescent="0.25">
      <c r="A32">
        <v>6.875</v>
      </c>
      <c r="B32">
        <v>6.9199999999999902</v>
      </c>
      <c r="C32">
        <v>49.25</v>
      </c>
      <c r="D32">
        <v>0</v>
      </c>
      <c r="E32">
        <v>20.059999999999899</v>
      </c>
      <c r="F32" s="4">
        <f t="shared" si="1"/>
        <v>7.7474999999999003E-2</v>
      </c>
      <c r="G32" s="4">
        <f t="shared" si="2"/>
        <v>6.8425249999999913</v>
      </c>
      <c r="H32" s="7">
        <f t="shared" si="3"/>
        <v>6.5774749999999989</v>
      </c>
      <c r="I32">
        <f t="shared" si="4"/>
        <v>6.5</v>
      </c>
      <c r="L32" s="4">
        <f t="shared" si="5"/>
        <v>6.5774749999999989</v>
      </c>
      <c r="M32" s="4">
        <f t="shared" si="6"/>
        <v>6.5</v>
      </c>
      <c r="N32" s="2">
        <v>19129494393.7024</v>
      </c>
      <c r="O32" s="2">
        <v>18860277973.9259</v>
      </c>
      <c r="P32" s="2">
        <v>18533057491.387402</v>
      </c>
      <c r="Q32" s="2">
        <v>18218380000.727798</v>
      </c>
      <c r="R32" s="2">
        <v>17906200617.849701</v>
      </c>
      <c r="S32" s="2">
        <v>17571662943.777401</v>
      </c>
      <c r="T32" s="2">
        <v>17247010958.797199</v>
      </c>
      <c r="W32" s="4">
        <f t="shared" si="7"/>
        <v>6.5774749999999989</v>
      </c>
      <c r="X32" s="4">
        <f t="shared" si="8"/>
        <v>6.5</v>
      </c>
      <c r="Y32" s="6">
        <f t="shared" si="9"/>
        <v>7.3993309993443616E-3</v>
      </c>
      <c r="Z32" s="6">
        <f t="shared" si="10"/>
        <v>7.2951974891016357E-3</v>
      </c>
      <c r="AA32" s="6">
        <f t="shared" si="11"/>
        <v>7.1686278783091723E-3</v>
      </c>
      <c r="AB32" s="6">
        <f t="shared" si="12"/>
        <v>7.046909924686727E-3</v>
      </c>
      <c r="AC32" s="6">
        <f t="shared" si="13"/>
        <v>6.9261582447130762E-3</v>
      </c>
      <c r="AD32" s="6">
        <f t="shared" si="14"/>
        <v>6.7967583279527751E-3</v>
      </c>
      <c r="AE32" s="6">
        <f t="shared" si="15"/>
        <v>6.6711822177314035E-3</v>
      </c>
      <c r="AH32" s="7">
        <f t="shared" si="16"/>
        <v>6.5774749999999989</v>
      </c>
      <c r="AI32" s="7">
        <f t="shared" si="17"/>
        <v>6.5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</row>
    <row r="33" spans="1:42" x14ac:dyDescent="0.25">
      <c r="A33">
        <v>7</v>
      </c>
      <c r="B33">
        <v>7.04</v>
      </c>
      <c r="C33">
        <v>47.84</v>
      </c>
      <c r="D33">
        <v>0</v>
      </c>
      <c r="E33">
        <v>22.96</v>
      </c>
      <c r="F33" s="4">
        <f t="shared" si="1"/>
        <v>0.10999999999999999</v>
      </c>
      <c r="G33" s="4">
        <f t="shared" si="2"/>
        <v>6.93</v>
      </c>
      <c r="H33" s="7">
        <f t="shared" si="3"/>
        <v>6.7350000000000003</v>
      </c>
      <c r="I33">
        <f t="shared" si="4"/>
        <v>6.625</v>
      </c>
      <c r="L33" s="4">
        <f t="shared" si="5"/>
        <v>6.7350000000000003</v>
      </c>
      <c r="M33" s="4">
        <f t="shared" si="6"/>
        <v>6.625</v>
      </c>
      <c r="N33" s="2">
        <v>9916646094.9240303</v>
      </c>
      <c r="O33" s="2">
        <v>9778540077.91362</v>
      </c>
      <c r="P33" s="2">
        <v>9612201538.0804291</v>
      </c>
      <c r="Q33" s="2">
        <v>9451381715.3341103</v>
      </c>
      <c r="R33" s="2">
        <v>9291517960.0349197</v>
      </c>
      <c r="S33" s="2">
        <v>9121317986.7577496</v>
      </c>
      <c r="T33" s="2">
        <v>8956526130.2943592</v>
      </c>
      <c r="W33" s="4">
        <f t="shared" si="7"/>
        <v>6.7350000000000003</v>
      </c>
      <c r="X33" s="4">
        <f t="shared" si="8"/>
        <v>6.625</v>
      </c>
      <c r="Y33" s="6">
        <f t="shared" si="9"/>
        <v>3.8357807765089075E-3</v>
      </c>
      <c r="Z33" s="6">
        <f t="shared" si="10"/>
        <v>3.7823610618092063E-3</v>
      </c>
      <c r="AA33" s="6">
        <f t="shared" si="11"/>
        <v>3.7180209444573021E-3</v>
      </c>
      <c r="AB33" s="6">
        <f t="shared" si="12"/>
        <v>3.6558154791551116E-3</v>
      </c>
      <c r="AC33" s="6">
        <f t="shared" si="13"/>
        <v>3.5939798228689572E-3</v>
      </c>
      <c r="AD33" s="6">
        <f t="shared" si="14"/>
        <v>3.5281460944682768E-3</v>
      </c>
      <c r="AE33" s="6">
        <f t="shared" si="15"/>
        <v>3.4644042376855647E-3</v>
      </c>
      <c r="AH33" s="7">
        <f t="shared" si="16"/>
        <v>6.7350000000000003</v>
      </c>
      <c r="AI33" s="7">
        <f t="shared" si="17"/>
        <v>6.625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</row>
    <row r="34" spans="1:42" x14ac:dyDescent="0.25">
      <c r="A34">
        <v>7.125</v>
      </c>
      <c r="B34">
        <v>7.1699999999999902</v>
      </c>
      <c r="C34">
        <v>50.35</v>
      </c>
      <c r="D34">
        <v>0</v>
      </c>
      <c r="E34">
        <v>24.91</v>
      </c>
      <c r="F34" s="4">
        <f t="shared" si="1"/>
        <v>0.12322499999999997</v>
      </c>
      <c r="G34" s="4">
        <f t="shared" si="2"/>
        <v>7.0467749999999905</v>
      </c>
      <c r="H34" s="7">
        <f t="shared" si="3"/>
        <v>6.8732249999999997</v>
      </c>
      <c r="I34">
        <f t="shared" si="4"/>
        <v>6.75</v>
      </c>
      <c r="L34" s="4">
        <f t="shared" si="5"/>
        <v>6.8732249999999997</v>
      </c>
      <c r="M34" s="4">
        <f t="shared" si="6"/>
        <v>6.75</v>
      </c>
      <c r="N34" s="2">
        <v>4716511276.3540697</v>
      </c>
      <c r="O34" s="2">
        <v>4649797483.0851603</v>
      </c>
      <c r="P34" s="2">
        <v>4569905723.0606098</v>
      </c>
      <c r="Q34" s="2">
        <v>4492819085.3009996</v>
      </c>
      <c r="R34" s="2">
        <v>4416254144.9986401</v>
      </c>
      <c r="S34" s="2">
        <v>4335150213.4802704</v>
      </c>
      <c r="T34" s="2">
        <v>4256651812.5084</v>
      </c>
      <c r="W34" s="4">
        <f t="shared" si="7"/>
        <v>6.8732249999999997</v>
      </c>
      <c r="X34" s="4">
        <f t="shared" si="8"/>
        <v>6.75</v>
      </c>
      <c r="Y34" s="6">
        <f t="shared" si="9"/>
        <v>1.8243570570988523E-3</v>
      </c>
      <c r="Z34" s="6">
        <f t="shared" si="10"/>
        <v>1.798552013407734E-3</v>
      </c>
      <c r="AA34" s="6">
        <f t="shared" si="11"/>
        <v>1.7676497028512959E-3</v>
      </c>
      <c r="AB34" s="6">
        <f t="shared" si="12"/>
        <v>1.7378324198290278E-3</v>
      </c>
      <c r="AC34" s="6">
        <f t="shared" si="13"/>
        <v>1.7082169305441303E-3</v>
      </c>
      <c r="AD34" s="6">
        <f t="shared" si="14"/>
        <v>1.6768457493565013E-3</v>
      </c>
      <c r="AE34" s="6">
        <f t="shared" si="15"/>
        <v>1.6464823931822083E-3</v>
      </c>
      <c r="AH34" s="7">
        <f t="shared" si="16"/>
        <v>6.8732249999999997</v>
      </c>
      <c r="AI34" s="7">
        <f t="shared" si="17"/>
        <v>6.75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</row>
    <row r="35" spans="1:42" x14ac:dyDescent="0.25">
      <c r="A35">
        <v>7.25</v>
      </c>
      <c r="B35">
        <v>7.29</v>
      </c>
      <c r="C35">
        <v>54.06</v>
      </c>
      <c r="D35">
        <v>0.05</v>
      </c>
      <c r="E35">
        <v>22.39</v>
      </c>
      <c r="F35" s="4">
        <f t="shared" si="1"/>
        <v>8.8250000000000023E-2</v>
      </c>
      <c r="G35" s="4">
        <f t="shared" si="2"/>
        <v>7.2017499999999997</v>
      </c>
      <c r="H35" s="7">
        <f t="shared" si="3"/>
        <v>6.9632500000000004</v>
      </c>
      <c r="I35">
        <f t="shared" si="4"/>
        <v>6.875</v>
      </c>
      <c r="L35" s="4">
        <f t="shared" si="5"/>
        <v>6.9632500000000004</v>
      </c>
      <c r="M35" s="4">
        <f t="shared" si="6"/>
        <v>6.875</v>
      </c>
      <c r="N35" s="2">
        <v>4604085041.9417801</v>
      </c>
      <c r="O35" s="2">
        <v>4539726066.29107</v>
      </c>
      <c r="P35" s="2">
        <v>4462860838.0434904</v>
      </c>
      <c r="Q35" s="2">
        <v>4388589506.89044</v>
      </c>
      <c r="R35" s="2">
        <v>4314732756.9936705</v>
      </c>
      <c r="S35" s="2">
        <v>4236652800.5251198</v>
      </c>
      <c r="T35" s="2">
        <v>4161109280.6847901</v>
      </c>
      <c r="W35" s="4">
        <f t="shared" si="7"/>
        <v>6.9632500000000004</v>
      </c>
      <c r="X35" s="4">
        <f t="shared" si="8"/>
        <v>6.875</v>
      </c>
      <c r="Y35" s="6">
        <f t="shared" si="9"/>
        <v>1.7808703394519777E-3</v>
      </c>
      <c r="Z35" s="6">
        <f t="shared" si="10"/>
        <v>1.7559761444556309E-3</v>
      </c>
      <c r="AA35" s="6">
        <f t="shared" si="11"/>
        <v>1.7262445031253073E-3</v>
      </c>
      <c r="AB35" s="6">
        <f t="shared" si="12"/>
        <v>1.6975161869632108E-3</v>
      </c>
      <c r="AC35" s="6">
        <f t="shared" si="13"/>
        <v>1.6689482317535896E-3</v>
      </c>
      <c r="AD35" s="6">
        <f t="shared" si="14"/>
        <v>1.6387467308443234E-3</v>
      </c>
      <c r="AE35" s="6">
        <f t="shared" si="15"/>
        <v>1.6095263292670524E-3</v>
      </c>
      <c r="AH35" s="7">
        <f t="shared" si="16"/>
        <v>6.9632500000000004</v>
      </c>
      <c r="AI35" s="7">
        <f t="shared" si="17"/>
        <v>6.875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</row>
    <row r="36" spans="1:42" x14ac:dyDescent="0.25">
      <c r="A36">
        <v>7.375</v>
      </c>
      <c r="B36">
        <v>7.4199999999999902</v>
      </c>
      <c r="C36">
        <v>53.89</v>
      </c>
      <c r="D36">
        <v>0.04</v>
      </c>
      <c r="E36">
        <v>20.87</v>
      </c>
      <c r="F36" s="4">
        <f t="shared" si="1"/>
        <v>7.3574999999999988E-2</v>
      </c>
      <c r="G36" s="4">
        <f t="shared" si="2"/>
        <v>7.3464249999999902</v>
      </c>
      <c r="H36" s="7">
        <f t="shared" si="3"/>
        <v>7.0735749999999999</v>
      </c>
      <c r="I36">
        <f t="shared" si="4"/>
        <v>7</v>
      </c>
      <c r="L36" s="4">
        <f t="shared" si="5"/>
        <v>7.0735749999999999</v>
      </c>
      <c r="M36" s="4">
        <f t="shared" si="6"/>
        <v>7</v>
      </c>
      <c r="N36" s="2">
        <v>4798096376.5303402</v>
      </c>
      <c r="O36" s="2">
        <v>4733290966.0984697</v>
      </c>
      <c r="P36" s="2">
        <v>4656499047.3045998</v>
      </c>
      <c r="Q36" s="2">
        <v>4581772497.9368496</v>
      </c>
      <c r="R36" s="2">
        <v>4507260770.1828299</v>
      </c>
      <c r="S36" s="2">
        <v>4428731007.4811602</v>
      </c>
      <c r="T36" s="2">
        <v>4352885904.0215302</v>
      </c>
      <c r="W36" s="4">
        <f t="shared" si="7"/>
        <v>7.0735749999999999</v>
      </c>
      <c r="X36" s="4">
        <f t="shared" si="8"/>
        <v>7</v>
      </c>
      <c r="Y36" s="6">
        <f t="shared" si="9"/>
        <v>1.855914355394077E-3</v>
      </c>
      <c r="Z36" s="6">
        <f t="shared" si="10"/>
        <v>1.8308474784309496E-3</v>
      </c>
      <c r="AA36" s="6">
        <f t="shared" si="11"/>
        <v>1.8011441933604526E-3</v>
      </c>
      <c r="AB36" s="6">
        <f t="shared" si="12"/>
        <v>1.7722397977799371E-3</v>
      </c>
      <c r="AC36" s="6">
        <f t="shared" si="13"/>
        <v>1.7434184956776435E-3</v>
      </c>
      <c r="AD36" s="6">
        <f t="shared" si="14"/>
        <v>1.7130430087164766E-3</v>
      </c>
      <c r="AE36" s="6">
        <f t="shared" si="15"/>
        <v>1.6837059539241621E-3</v>
      </c>
      <c r="AH36" s="7">
        <f t="shared" si="16"/>
        <v>7.0735749999999999</v>
      </c>
      <c r="AI36" s="7">
        <f t="shared" si="17"/>
        <v>7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x14ac:dyDescent="0.25">
      <c r="A37">
        <v>7.5</v>
      </c>
      <c r="B37">
        <v>7.54</v>
      </c>
      <c r="C37">
        <v>50.439999999999898</v>
      </c>
      <c r="D37">
        <v>0</v>
      </c>
      <c r="E37">
        <v>23.01</v>
      </c>
      <c r="F37" s="4">
        <f t="shared" si="1"/>
        <v>0.10400000000000029</v>
      </c>
      <c r="G37" s="4">
        <f t="shared" si="2"/>
        <v>7.4359999999999999</v>
      </c>
      <c r="H37" s="7">
        <f t="shared" si="3"/>
        <v>7.2290000000000001</v>
      </c>
      <c r="I37">
        <f t="shared" si="4"/>
        <v>7.125</v>
      </c>
      <c r="L37" s="4">
        <f t="shared" si="5"/>
        <v>7.2290000000000001</v>
      </c>
      <c r="M37" s="4">
        <f t="shared" si="6"/>
        <v>7.125</v>
      </c>
      <c r="N37" s="2">
        <v>3578331768.3454299</v>
      </c>
      <c r="O37" s="2">
        <v>3531446522.8758702</v>
      </c>
      <c r="P37" s="2">
        <v>3476104589.0862498</v>
      </c>
      <c r="Q37" s="2">
        <v>3421921415.98698</v>
      </c>
      <c r="R37" s="2">
        <v>3367746226.37848</v>
      </c>
      <c r="S37" s="2">
        <v>3310747107.40941</v>
      </c>
      <c r="T37" s="2">
        <v>3255753280.3716202</v>
      </c>
      <c r="W37" s="4">
        <f t="shared" si="7"/>
        <v>7.2290000000000001</v>
      </c>
      <c r="X37" s="4">
        <f t="shared" si="8"/>
        <v>7.125</v>
      </c>
      <c r="Y37" s="6">
        <f t="shared" si="9"/>
        <v>1.3841066906699643E-3</v>
      </c>
      <c r="Z37" s="6">
        <f t="shared" si="10"/>
        <v>1.3659713733910617E-3</v>
      </c>
      <c r="AA37" s="6">
        <f t="shared" si="11"/>
        <v>1.3445649902517347E-3</v>
      </c>
      <c r="AB37" s="6">
        <f t="shared" si="12"/>
        <v>1.3236068183259647E-3</v>
      </c>
      <c r="AC37" s="6">
        <f t="shared" si="13"/>
        <v>1.3026517344321897E-3</v>
      </c>
      <c r="AD37" s="6">
        <f t="shared" si="14"/>
        <v>1.2806043483778043E-3</v>
      </c>
      <c r="AE37" s="6">
        <f t="shared" si="15"/>
        <v>1.259332613704709E-3</v>
      </c>
      <c r="AH37" s="7">
        <f t="shared" si="16"/>
        <v>7.2290000000000001</v>
      </c>
      <c r="AI37" s="7">
        <f t="shared" si="17"/>
        <v>7.125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x14ac:dyDescent="0.25">
      <c r="A38">
        <v>7.625</v>
      </c>
      <c r="B38">
        <v>7.6699999999999902</v>
      </c>
      <c r="C38">
        <v>48.28</v>
      </c>
      <c r="D38">
        <v>0</v>
      </c>
      <c r="E38">
        <v>23.85</v>
      </c>
      <c r="F38" s="4">
        <f t="shared" si="1"/>
        <v>0.11780000000000002</v>
      </c>
      <c r="G38" s="4">
        <f t="shared" si="2"/>
        <v>7.5521999999999903</v>
      </c>
      <c r="H38" s="7">
        <f t="shared" si="3"/>
        <v>7.3677999999999999</v>
      </c>
      <c r="I38">
        <f t="shared" si="4"/>
        <v>7.25</v>
      </c>
      <c r="L38" s="4">
        <f t="shared" si="5"/>
        <v>7.3677999999999999</v>
      </c>
      <c r="M38" s="4">
        <f t="shared" si="6"/>
        <v>7.25</v>
      </c>
      <c r="N38" s="2">
        <v>2715988003.3397598</v>
      </c>
      <c r="O38" s="2">
        <v>2677608717.92379</v>
      </c>
      <c r="P38" s="2">
        <v>2632500502.6826601</v>
      </c>
      <c r="Q38" s="2">
        <v>2588788816.2016201</v>
      </c>
      <c r="R38" s="2">
        <v>2545346153.0043898</v>
      </c>
      <c r="S38" s="2">
        <v>2499704578.6826701</v>
      </c>
      <c r="T38" s="2">
        <v>2455646615.7280598</v>
      </c>
      <c r="W38" s="4">
        <f t="shared" si="7"/>
        <v>7.3677999999999999</v>
      </c>
      <c r="X38" s="4">
        <f t="shared" si="8"/>
        <v>7.25</v>
      </c>
      <c r="Y38" s="6">
        <f t="shared" si="9"/>
        <v>1.0505502034374324E-3</v>
      </c>
      <c r="Z38" s="6">
        <f t="shared" si="10"/>
        <v>1.035705010435125E-3</v>
      </c>
      <c r="AA38" s="6">
        <f t="shared" si="11"/>
        <v>1.0182570524029113E-3</v>
      </c>
      <c r="AB38" s="6">
        <f t="shared" si="12"/>
        <v>1.0013492748027221E-3</v>
      </c>
      <c r="AC38" s="6">
        <f t="shared" si="13"/>
        <v>9.8454555600735439E-4</v>
      </c>
      <c r="AD38" s="6">
        <f t="shared" si="14"/>
        <v>9.6689129349591236E-4</v>
      </c>
      <c r="AE38" s="6">
        <f t="shared" si="15"/>
        <v>9.4984957538519555E-4</v>
      </c>
      <c r="AH38" s="7">
        <f t="shared" si="16"/>
        <v>7.3677999999999999</v>
      </c>
      <c r="AI38" s="7">
        <f t="shared" si="17"/>
        <v>7.25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</row>
    <row r="39" spans="1:42" x14ac:dyDescent="0.25">
      <c r="A39">
        <v>7.75</v>
      </c>
      <c r="B39">
        <v>7.79</v>
      </c>
      <c r="C39">
        <v>47.24</v>
      </c>
      <c r="D39">
        <v>0</v>
      </c>
      <c r="E39">
        <v>24.239999999999899</v>
      </c>
      <c r="F39" s="4">
        <f t="shared" si="1"/>
        <v>0.12429999999999897</v>
      </c>
      <c r="G39" s="4">
        <f t="shared" si="2"/>
        <v>7.6657000000000011</v>
      </c>
      <c r="H39" s="7">
        <f t="shared" si="3"/>
        <v>7.499299999999999</v>
      </c>
      <c r="I39">
        <f t="shared" si="4"/>
        <v>7.375</v>
      </c>
      <c r="L39" s="4">
        <f t="shared" si="5"/>
        <v>7.499299999999999</v>
      </c>
      <c r="M39" s="4">
        <f t="shared" si="6"/>
        <v>7.375</v>
      </c>
      <c r="N39" s="2">
        <v>2192833464.8375802</v>
      </c>
      <c r="O39" s="2">
        <v>2163638502.27772</v>
      </c>
      <c r="P39" s="2">
        <v>2129409962.07389</v>
      </c>
      <c r="Q39" s="2">
        <v>2095902216.03264</v>
      </c>
      <c r="R39" s="2">
        <v>2062441698.1530399</v>
      </c>
      <c r="S39" s="2">
        <v>2027340456.3347299</v>
      </c>
      <c r="T39" s="2">
        <v>1993506704.7051401</v>
      </c>
      <c r="W39" s="4">
        <f t="shared" si="7"/>
        <v>7.499299999999999</v>
      </c>
      <c r="X39" s="4">
        <f t="shared" si="8"/>
        <v>7.375</v>
      </c>
      <c r="Y39" s="6">
        <f t="shared" si="9"/>
        <v>8.4819286379644149E-4</v>
      </c>
      <c r="Z39" s="6">
        <f t="shared" si="10"/>
        <v>8.3690018731226901E-4</v>
      </c>
      <c r="AA39" s="6">
        <f t="shared" si="11"/>
        <v>8.2366051179445278E-4</v>
      </c>
      <c r="AB39" s="6">
        <f t="shared" si="12"/>
        <v>8.1069964106266802E-4</v>
      </c>
      <c r="AC39" s="6">
        <f t="shared" si="13"/>
        <v>7.9775703828890369E-4</v>
      </c>
      <c r="AD39" s="6">
        <f t="shared" si="14"/>
        <v>7.8417979984462952E-4</v>
      </c>
      <c r="AE39" s="6">
        <f t="shared" si="15"/>
        <v>7.7109282942583175E-4</v>
      </c>
      <c r="AH39" s="7">
        <f t="shared" si="16"/>
        <v>7.499299999999999</v>
      </c>
      <c r="AI39" s="7">
        <f t="shared" si="17"/>
        <v>7.375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</row>
    <row r="40" spans="1:42" x14ac:dyDescent="0.25">
      <c r="A40">
        <v>7.875</v>
      </c>
      <c r="B40">
        <v>8.3699999999999903</v>
      </c>
      <c r="C40">
        <v>46.149999999999899</v>
      </c>
      <c r="D40">
        <v>0</v>
      </c>
      <c r="E40">
        <v>22.059999999999899</v>
      </c>
      <c r="F40" s="4">
        <f t="shared" si="1"/>
        <v>0.10522499999999925</v>
      </c>
      <c r="G40" s="4">
        <f t="shared" si="2"/>
        <v>8.2647749999999913</v>
      </c>
      <c r="H40" s="7">
        <f t="shared" si="3"/>
        <v>7.605224999999999</v>
      </c>
      <c r="I40">
        <f t="shared" si="4"/>
        <v>7.5</v>
      </c>
      <c r="L40" s="4">
        <f t="shared" si="5"/>
        <v>7.605224999999999</v>
      </c>
      <c r="M40" s="4">
        <f t="shared" si="6"/>
        <v>7.5</v>
      </c>
      <c r="N40" s="2">
        <v>6540005277.3366203</v>
      </c>
      <c r="O40" s="2">
        <v>6471572561.2870703</v>
      </c>
      <c r="P40" s="2">
        <v>6392255565.3754597</v>
      </c>
      <c r="Q40" s="2">
        <v>6311232365.85958</v>
      </c>
      <c r="R40" s="2">
        <v>6228814503.78652</v>
      </c>
      <c r="S40" s="2">
        <v>6142948467.13589</v>
      </c>
      <c r="T40" s="2">
        <v>6060770779.8486204</v>
      </c>
      <c r="W40" s="4">
        <f t="shared" si="7"/>
        <v>7.605224999999999</v>
      </c>
      <c r="X40" s="4">
        <f t="shared" si="8"/>
        <v>7.5</v>
      </c>
      <c r="Y40" s="6">
        <f t="shared" si="9"/>
        <v>2.5296885944044363E-3</v>
      </c>
      <c r="Z40" s="6">
        <f t="shared" si="10"/>
        <v>2.5032186675567375E-3</v>
      </c>
      <c r="AA40" s="6">
        <f t="shared" si="11"/>
        <v>2.4725386770381771E-3</v>
      </c>
      <c r="AB40" s="6">
        <f t="shared" si="12"/>
        <v>2.4411987231687596E-3</v>
      </c>
      <c r="AC40" s="6">
        <f t="shared" si="13"/>
        <v>2.4093193107187555E-3</v>
      </c>
      <c r="AD40" s="6">
        <f t="shared" si="14"/>
        <v>2.3761061366691051E-3</v>
      </c>
      <c r="AE40" s="6">
        <f t="shared" si="15"/>
        <v>2.344319624360693E-3</v>
      </c>
      <c r="AH40" s="7">
        <f t="shared" si="16"/>
        <v>7.605224999999999</v>
      </c>
      <c r="AI40" s="7">
        <f t="shared" si="17"/>
        <v>7.5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</row>
    <row r="41" spans="1:42" x14ac:dyDescent="0.25">
      <c r="G41" s="4"/>
      <c r="N41" s="2"/>
      <c r="O41" s="2"/>
      <c r="P41" s="2"/>
      <c r="Q41" s="2"/>
      <c r="R41" s="2"/>
      <c r="S41" s="2"/>
      <c r="T41" s="2"/>
      <c r="AC41" s="1"/>
    </row>
    <row r="42" spans="1:42" x14ac:dyDescent="0.25">
      <c r="N42" s="2">
        <f>SUM(N2:N40)</f>
        <v>2585300535331.8325</v>
      </c>
      <c r="O42" s="2">
        <f t="shared" ref="O42:T42" si="18">SUM(O2:O40)</f>
        <v>2585300535331.835</v>
      </c>
      <c r="P42" s="2">
        <f t="shared" si="18"/>
        <v>2585300535331.835</v>
      </c>
      <c r="Q42" s="2">
        <f t="shared" si="18"/>
        <v>2585300535331.8345</v>
      </c>
      <c r="R42" s="2">
        <f t="shared" si="18"/>
        <v>2585300535331.8345</v>
      </c>
      <c r="S42" s="2">
        <f t="shared" si="18"/>
        <v>2585300535331.8354</v>
      </c>
      <c r="T42" s="2">
        <f t="shared" si="18"/>
        <v>2585300535331.8335</v>
      </c>
      <c r="AC42" s="1"/>
    </row>
    <row r="43" spans="1:42" x14ac:dyDescent="0.25">
      <c r="AC43" s="1"/>
    </row>
    <row r="44" spans="1:42" x14ac:dyDescent="0.25">
      <c r="AC44" s="1"/>
      <c r="AJ44">
        <v>4.3619999999999903</v>
      </c>
      <c r="AK44">
        <v>4.2275</v>
      </c>
      <c r="AL44">
        <v>4.2487500000000002</v>
      </c>
      <c r="AM44">
        <v>4.2480000000000002</v>
      </c>
      <c r="AN44">
        <v>4.0674999999999999</v>
      </c>
      <c r="AO44">
        <v>4.05</v>
      </c>
      <c r="AP44">
        <v>4.03</v>
      </c>
    </row>
    <row r="45" spans="1:42" x14ac:dyDescent="0.25">
      <c r="AJ4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M44" sqref="M44"/>
    </sheetView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42217</v>
      </c>
      <c r="B2">
        <v>3.8050000000000002</v>
      </c>
      <c r="C2">
        <v>41.166068000000003</v>
      </c>
      <c r="D2">
        <v>41.79</v>
      </c>
    </row>
    <row r="3" spans="1:4" x14ac:dyDescent="0.25">
      <c r="A3" s="1">
        <v>42248</v>
      </c>
      <c r="B3">
        <v>3.7869999999999999</v>
      </c>
      <c r="C3">
        <v>48.800016999999997</v>
      </c>
      <c r="D3">
        <v>48.77</v>
      </c>
    </row>
    <row r="4" spans="1:4" x14ac:dyDescent="0.25">
      <c r="A4" s="1">
        <v>42278</v>
      </c>
      <c r="B4">
        <v>3.6825000000000001</v>
      </c>
      <c r="C4">
        <v>48.612659999999998</v>
      </c>
      <c r="D4">
        <v>48.14</v>
      </c>
    </row>
    <row r="5" spans="1:4" x14ac:dyDescent="0.25">
      <c r="A5" s="1">
        <v>42309</v>
      </c>
      <c r="B5">
        <v>3.8487499999999999</v>
      </c>
      <c r="C5">
        <v>50.687615999999998</v>
      </c>
      <c r="D5">
        <v>51.65</v>
      </c>
    </row>
    <row r="6" spans="1:4" x14ac:dyDescent="0.25">
      <c r="A6" s="1">
        <v>42339</v>
      </c>
      <c r="B6">
        <v>3.8639999999999999</v>
      </c>
      <c r="C6">
        <v>45.878</v>
      </c>
      <c r="D6">
        <v>44.06</v>
      </c>
    </row>
    <row r="7" spans="1:4" x14ac:dyDescent="0.25">
      <c r="A7" s="1">
        <v>42370</v>
      </c>
      <c r="B7">
        <v>3.7725</v>
      </c>
      <c r="C7">
        <v>44.402369</v>
      </c>
      <c r="D7">
        <v>42.56</v>
      </c>
    </row>
    <row r="8" spans="1:4" x14ac:dyDescent="0.25">
      <c r="A8" s="1">
        <v>42401</v>
      </c>
      <c r="B8">
        <v>3.5474999999999999</v>
      </c>
      <c r="C8">
        <v>46.226785</v>
      </c>
      <c r="D8">
        <v>45.76</v>
      </c>
    </row>
    <row r="9" spans="1:4" x14ac:dyDescent="0.25">
      <c r="A9" s="1">
        <v>42430</v>
      </c>
      <c r="B9">
        <v>3.569</v>
      </c>
      <c r="C9">
        <v>53.064982999999998</v>
      </c>
      <c r="D9">
        <v>56.48</v>
      </c>
    </row>
    <row r="10" spans="1:4" x14ac:dyDescent="0.25">
      <c r="A10" s="1">
        <v>42461</v>
      </c>
      <c r="B10">
        <v>3.4925000000000002</v>
      </c>
      <c r="C10">
        <v>51.004809999999999</v>
      </c>
      <c r="D10">
        <v>54.22</v>
      </c>
    </row>
    <row r="11" spans="1:4" x14ac:dyDescent="0.25">
      <c r="A11" s="1">
        <v>42491</v>
      </c>
      <c r="B11">
        <v>3.4874999999999998</v>
      </c>
      <c r="C11">
        <v>55.314515</v>
      </c>
      <c r="D11">
        <v>60.86</v>
      </c>
    </row>
    <row r="12" spans="1:4" x14ac:dyDescent="0.25">
      <c r="A12" s="1">
        <v>42522</v>
      </c>
      <c r="B12">
        <v>3.448</v>
      </c>
      <c r="C12">
        <v>54.892477</v>
      </c>
      <c r="D12">
        <v>63.98</v>
      </c>
    </row>
    <row r="13" spans="1:4" x14ac:dyDescent="0.25">
      <c r="A13" s="1">
        <v>42552</v>
      </c>
      <c r="B13">
        <v>3.3149999999999999</v>
      </c>
      <c r="C13">
        <v>58.991019999999999</v>
      </c>
      <c r="D13">
        <v>67.739999999999995</v>
      </c>
    </row>
    <row r="14" spans="1:4" x14ac:dyDescent="0.25">
      <c r="A14" s="1">
        <v>42583</v>
      </c>
      <c r="B14">
        <v>3.32</v>
      </c>
      <c r="C14">
        <v>66.719003000000001</v>
      </c>
      <c r="D14">
        <v>76.819999999999993</v>
      </c>
    </row>
    <row r="15" spans="1:4" x14ac:dyDescent="0.25">
      <c r="A15" s="1">
        <v>42614</v>
      </c>
      <c r="B15">
        <v>3.3475000000000001</v>
      </c>
      <c r="C15">
        <v>64.788124999999994</v>
      </c>
      <c r="D15">
        <v>75.78</v>
      </c>
    </row>
    <row r="16" spans="1:4" x14ac:dyDescent="0.25">
      <c r="A16" s="1">
        <v>42644</v>
      </c>
      <c r="B16">
        <v>3.3574999999999999</v>
      </c>
      <c r="C16">
        <v>61.948962000000002</v>
      </c>
      <c r="D16">
        <v>73.040000000000006</v>
      </c>
    </row>
    <row r="17" spans="1:4" x14ac:dyDescent="0.25">
      <c r="A17" s="1">
        <v>42675</v>
      </c>
      <c r="B17">
        <v>3.7069999999999999</v>
      </c>
      <c r="C17">
        <v>60.565534999999997</v>
      </c>
      <c r="D17">
        <v>70.73</v>
      </c>
    </row>
    <row r="18" spans="1:4" x14ac:dyDescent="0.25">
      <c r="A18" s="1">
        <v>42705</v>
      </c>
      <c r="B18">
        <v>4.1025</v>
      </c>
      <c r="C18">
        <v>39.052836999999997</v>
      </c>
      <c r="D18">
        <v>38.380000000000003</v>
      </c>
    </row>
    <row r="19" spans="1:4" x14ac:dyDescent="0.25">
      <c r="A19" s="1">
        <v>42736</v>
      </c>
      <c r="B19">
        <v>4.0187499999999998</v>
      </c>
      <c r="C19">
        <v>20.785995</v>
      </c>
      <c r="D19">
        <v>20.46</v>
      </c>
    </row>
    <row r="20" spans="1:4" x14ac:dyDescent="0.25">
      <c r="A20" s="1">
        <v>42767</v>
      </c>
      <c r="B20">
        <v>4.0362499999999999</v>
      </c>
      <c r="C20">
        <v>24.023979000000001</v>
      </c>
      <c r="D20">
        <v>27.36</v>
      </c>
    </row>
    <row r="21" spans="1:4" x14ac:dyDescent="0.25">
      <c r="A21" s="1">
        <v>42795</v>
      </c>
      <c r="B21">
        <v>4.0709999999999997</v>
      </c>
      <c r="C21">
        <v>22.487072999999999</v>
      </c>
      <c r="D21">
        <v>25.51</v>
      </c>
    </row>
    <row r="22" spans="1:4" x14ac:dyDescent="0.25">
      <c r="A22" s="1">
        <v>42826</v>
      </c>
      <c r="B22">
        <v>3.92</v>
      </c>
      <c r="C22">
        <v>20.987985999999999</v>
      </c>
      <c r="D22">
        <v>22.67</v>
      </c>
    </row>
    <row r="23" spans="1:4" x14ac:dyDescent="0.25">
      <c r="A23" s="1">
        <v>42856</v>
      </c>
      <c r="B23">
        <v>3.871</v>
      </c>
      <c r="C23">
        <v>31.077159999999999</v>
      </c>
      <c r="D23">
        <v>28.57</v>
      </c>
    </row>
    <row r="24" spans="1:4" x14ac:dyDescent="0.25">
      <c r="A24" s="1">
        <v>42887</v>
      </c>
      <c r="B24">
        <v>0</v>
      </c>
      <c r="C24">
        <v>32.916801999999997</v>
      </c>
      <c r="D24">
        <v>29.65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F65" sqref="F65"/>
    </sheetView>
  </sheetViews>
  <sheetFormatPr defaultRowHeight="15" x14ac:dyDescent="0.25"/>
  <cols>
    <col min="1" max="1" width="9.7109375" style="1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42217</v>
      </c>
      <c r="B2">
        <v>3.8050000000000002</v>
      </c>
      <c r="C2">
        <v>41.166068000000003</v>
      </c>
      <c r="D2">
        <v>41.79</v>
      </c>
    </row>
    <row r="3" spans="1:4" x14ac:dyDescent="0.25">
      <c r="A3" s="1">
        <v>42248</v>
      </c>
      <c r="B3">
        <v>3.7869999999999999</v>
      </c>
      <c r="C3">
        <v>50.505163000000003</v>
      </c>
      <c r="D3">
        <v>48.77</v>
      </c>
    </row>
    <row r="4" spans="1:4" x14ac:dyDescent="0.25">
      <c r="A4" s="1">
        <v>42278</v>
      </c>
      <c r="B4">
        <v>3.6825000000000001</v>
      </c>
      <c r="C4">
        <v>50.296165999999999</v>
      </c>
      <c r="D4">
        <v>48.14</v>
      </c>
    </row>
    <row r="5" spans="1:4" x14ac:dyDescent="0.25">
      <c r="A5" s="1">
        <v>42309</v>
      </c>
      <c r="B5">
        <v>3.8487499999999999</v>
      </c>
      <c r="C5">
        <v>54.111026000000003</v>
      </c>
      <c r="D5">
        <v>51.65</v>
      </c>
    </row>
    <row r="6" spans="1:4" x14ac:dyDescent="0.25">
      <c r="A6" s="1">
        <v>42339</v>
      </c>
      <c r="B6">
        <v>3.8639999999999999</v>
      </c>
      <c r="C6">
        <v>46.710602000000002</v>
      </c>
      <c r="D6">
        <v>44.06</v>
      </c>
    </row>
    <row r="7" spans="1:4" x14ac:dyDescent="0.25">
      <c r="A7" s="1">
        <v>42370</v>
      </c>
      <c r="B7">
        <v>3.7725</v>
      </c>
      <c r="C7">
        <v>45.547606999999999</v>
      </c>
      <c r="D7">
        <v>42.56</v>
      </c>
    </row>
    <row r="8" spans="1:4" x14ac:dyDescent="0.25">
      <c r="A8" s="1">
        <v>42401</v>
      </c>
      <c r="B8">
        <v>3.5474999999999999</v>
      </c>
      <c r="C8">
        <v>47.830381000000003</v>
      </c>
      <c r="D8">
        <v>45.76</v>
      </c>
    </row>
    <row r="9" spans="1:4" x14ac:dyDescent="0.25">
      <c r="A9" s="1">
        <v>42430</v>
      </c>
      <c r="B9">
        <v>3.569</v>
      </c>
      <c r="C9">
        <v>58.782820000000001</v>
      </c>
      <c r="D9">
        <v>56.48</v>
      </c>
    </row>
    <row r="10" spans="1:4" x14ac:dyDescent="0.25">
      <c r="A10" s="1">
        <v>42461</v>
      </c>
      <c r="B10">
        <v>3.4925000000000002</v>
      </c>
      <c r="C10">
        <v>56.345376000000002</v>
      </c>
      <c r="D10">
        <v>54.22</v>
      </c>
    </row>
    <row r="11" spans="1:4" x14ac:dyDescent="0.25">
      <c r="A11" s="1">
        <v>42491</v>
      </c>
      <c r="B11">
        <v>3.4874999999999998</v>
      </c>
      <c r="C11">
        <v>60.110836999999997</v>
      </c>
      <c r="D11">
        <v>60.86</v>
      </c>
    </row>
    <row r="12" spans="1:4" x14ac:dyDescent="0.25">
      <c r="A12" s="1">
        <v>42522</v>
      </c>
      <c r="B12">
        <v>3.448</v>
      </c>
      <c r="C12">
        <v>59.315874999999998</v>
      </c>
      <c r="D12">
        <v>63.98</v>
      </c>
    </row>
    <row r="13" spans="1:4" x14ac:dyDescent="0.25">
      <c r="A13" s="1">
        <v>42552</v>
      </c>
      <c r="B13">
        <v>3.3149999999999999</v>
      </c>
      <c r="C13">
        <v>61.011578</v>
      </c>
      <c r="D13">
        <v>67.739999999999995</v>
      </c>
    </row>
    <row r="14" spans="1:4" x14ac:dyDescent="0.25">
      <c r="A14" s="1">
        <v>42583</v>
      </c>
      <c r="B14">
        <v>3.32</v>
      </c>
      <c r="C14">
        <v>68.848952999999995</v>
      </c>
      <c r="D14">
        <v>76.819999999999993</v>
      </c>
    </row>
    <row r="15" spans="1:4" x14ac:dyDescent="0.25">
      <c r="A15" s="1">
        <v>42614</v>
      </c>
      <c r="B15">
        <v>3.3475000000000001</v>
      </c>
      <c r="C15">
        <v>66.876794000000004</v>
      </c>
      <c r="D15">
        <v>75.78</v>
      </c>
    </row>
    <row r="16" spans="1:4" x14ac:dyDescent="0.25">
      <c r="A16" s="1">
        <v>42644</v>
      </c>
      <c r="B16">
        <v>3.3574999999999999</v>
      </c>
      <c r="C16">
        <v>63.647281</v>
      </c>
      <c r="D16">
        <v>73.040000000000006</v>
      </c>
    </row>
    <row r="17" spans="1:4" x14ac:dyDescent="0.25">
      <c r="A17" s="1">
        <v>42675</v>
      </c>
      <c r="B17">
        <v>3.7069999999999999</v>
      </c>
      <c r="C17">
        <v>61.627564</v>
      </c>
      <c r="D17">
        <v>70.73</v>
      </c>
    </row>
    <row r="18" spans="1:4" x14ac:dyDescent="0.25">
      <c r="A18" s="1">
        <v>42705</v>
      </c>
      <c r="B18">
        <v>4.1025</v>
      </c>
      <c r="C18">
        <v>41.001821</v>
      </c>
      <c r="D18">
        <v>38.380000000000003</v>
      </c>
    </row>
    <row r="19" spans="1:4" x14ac:dyDescent="0.25">
      <c r="A19" s="1">
        <v>42736</v>
      </c>
      <c r="B19">
        <v>4.0187499999999998</v>
      </c>
      <c r="C19">
        <v>25.053314</v>
      </c>
      <c r="D19">
        <v>20.46</v>
      </c>
    </row>
    <row r="20" spans="1:4" x14ac:dyDescent="0.25">
      <c r="A20" s="1">
        <v>42767</v>
      </c>
      <c r="B20">
        <v>4.0362499999999999</v>
      </c>
      <c r="C20">
        <v>28.792857000000001</v>
      </c>
      <c r="D20">
        <v>27.36</v>
      </c>
    </row>
    <row r="21" spans="1:4" x14ac:dyDescent="0.25">
      <c r="A21" s="1">
        <v>42795</v>
      </c>
      <c r="B21">
        <v>4.0709999999999997</v>
      </c>
      <c r="C21">
        <v>27.685518999999999</v>
      </c>
      <c r="D21">
        <v>25.51</v>
      </c>
    </row>
    <row r="22" spans="1:4" x14ac:dyDescent="0.25">
      <c r="A22" s="1">
        <v>42826</v>
      </c>
      <c r="B22">
        <v>3.92</v>
      </c>
      <c r="C22">
        <v>25.764102000000001</v>
      </c>
      <c r="D22">
        <v>22.67</v>
      </c>
    </row>
    <row r="23" spans="1:4" x14ac:dyDescent="0.25">
      <c r="A23" s="1">
        <v>42856</v>
      </c>
      <c r="B23">
        <v>3.871</v>
      </c>
      <c r="C23">
        <v>32.270677999999997</v>
      </c>
      <c r="D23">
        <v>28.57</v>
      </c>
    </row>
    <row r="24" spans="1:4" x14ac:dyDescent="0.25">
      <c r="A24" s="1">
        <v>42887</v>
      </c>
      <c r="B24">
        <v>0</v>
      </c>
      <c r="C24">
        <v>33.924089000000002</v>
      </c>
      <c r="D24">
        <v>29.65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0"/>
  <sheetViews>
    <sheetView tabSelected="1" workbookViewId="0">
      <selection activeCell="AG44" sqref="AG44"/>
    </sheetView>
  </sheetViews>
  <sheetFormatPr defaultRowHeight="15" x14ac:dyDescent="0.25"/>
  <sheetData>
    <row r="1" spans="1:2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  <c r="H1" t="s">
        <v>18</v>
      </c>
      <c r="I1" s="4"/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6</v>
      </c>
      <c r="R1" t="s">
        <v>18</v>
      </c>
      <c r="S1" t="s">
        <v>21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6</v>
      </c>
      <c r="AC1" t="s">
        <v>18</v>
      </c>
    </row>
    <row r="2" spans="1:29" x14ac:dyDescent="0.25">
      <c r="A2" s="1">
        <v>41640</v>
      </c>
      <c r="B2">
        <v>3.25</v>
      </c>
      <c r="C2">
        <v>3.14126796366621</v>
      </c>
      <c r="D2">
        <v>7.5514380389657898</v>
      </c>
      <c r="E2">
        <v>2.0120792158529399</v>
      </c>
      <c r="F2">
        <v>21.909802330207899</v>
      </c>
      <c r="G2">
        <v>11933165866.379999</v>
      </c>
      <c r="H2" s="4">
        <f>D2/100-E2/100-F2/400</f>
        <v>6.1908240560874794E-4</v>
      </c>
      <c r="I2" s="4"/>
      <c r="K2" s="1">
        <v>41821</v>
      </c>
      <c r="L2">
        <v>3.25</v>
      </c>
      <c r="M2">
        <v>3.1413167854341402</v>
      </c>
      <c r="N2">
        <v>7.5804421308862002</v>
      </c>
      <c r="O2">
        <v>1.14617881776867</v>
      </c>
      <c r="P2">
        <v>19.0234485458768</v>
      </c>
      <c r="Q2">
        <v>11623468506.209999</v>
      </c>
      <c r="R2" s="4">
        <f>N2/100-O2/100-P2/400</f>
        <v>1.6784011766483302E-2</v>
      </c>
      <c r="S2" s="4">
        <f>R2-H2</f>
        <v>1.6164929360874554E-2</v>
      </c>
      <c r="V2" s="1">
        <v>37226</v>
      </c>
      <c r="W2">
        <v>4.5</v>
      </c>
      <c r="X2">
        <v>4.4580000000000002</v>
      </c>
      <c r="Y2">
        <v>96</v>
      </c>
      <c r="Z2">
        <v>52</v>
      </c>
      <c r="AA2">
        <v>275</v>
      </c>
      <c r="AB2">
        <v>4312324</v>
      </c>
      <c r="AC2" s="4">
        <f>-(Y2/100-Z2/100-AA2/400)</f>
        <v>0.24750000000000005</v>
      </c>
    </row>
    <row r="3" spans="1:29" x14ac:dyDescent="0.25">
      <c r="A3" s="1">
        <v>41640</v>
      </c>
      <c r="B3">
        <v>3.375</v>
      </c>
      <c r="C3">
        <v>3.3103286232218201</v>
      </c>
      <c r="D3">
        <v>5.5907366422228097</v>
      </c>
      <c r="E3">
        <v>1.8772628078596401</v>
      </c>
      <c r="F3">
        <v>18.185928475235698</v>
      </c>
      <c r="G3">
        <v>6453472705.0100002</v>
      </c>
      <c r="H3" s="4">
        <f t="shared" ref="H3:H39" si="0">D3/100-E3/100-F3/400</f>
        <v>-8.3300828444575481E-3</v>
      </c>
      <c r="I3" s="4"/>
      <c r="K3" s="1">
        <v>41821</v>
      </c>
      <c r="L3">
        <v>3.375</v>
      </c>
      <c r="M3">
        <v>3.3103531770226402</v>
      </c>
      <c r="N3">
        <v>5.6227299358326803</v>
      </c>
      <c r="O3">
        <v>1.03409048014939</v>
      </c>
      <c r="P3">
        <v>15.571174432486</v>
      </c>
      <c r="Q3">
        <v>6300686468.7299995</v>
      </c>
      <c r="R3" s="4">
        <f t="shared" ref="R3:R39" si="1">N3/100-O3/100-P3/400</f>
        <v>6.958458475617893E-3</v>
      </c>
      <c r="S3" s="4">
        <f t="shared" ref="S3:S39" si="2">R3-H3</f>
        <v>1.5288541320075441E-2</v>
      </c>
      <c r="V3" s="1">
        <v>37257</v>
      </c>
      <c r="W3">
        <v>4.5</v>
      </c>
      <c r="X3">
        <v>4.4580000000000002</v>
      </c>
      <c r="Y3">
        <v>96</v>
      </c>
      <c r="Z3">
        <v>52</v>
      </c>
      <c r="AA3">
        <v>275</v>
      </c>
      <c r="AB3">
        <v>4305954.3</v>
      </c>
      <c r="AC3" s="4">
        <f t="shared" ref="AC3:AC66" si="3">-(Y3/100-Z3/100-AA3/400)</f>
        <v>0.24750000000000005</v>
      </c>
    </row>
    <row r="4" spans="1:29" x14ac:dyDescent="0.25">
      <c r="A4" s="1">
        <v>41640</v>
      </c>
      <c r="B4">
        <v>3.5</v>
      </c>
      <c r="C4">
        <v>3.4627661674380099</v>
      </c>
      <c r="D4">
        <v>9.1746446580632508</v>
      </c>
      <c r="E4">
        <v>2.8855541625961298</v>
      </c>
      <c r="F4">
        <v>29.748654521761999</v>
      </c>
      <c r="G4">
        <v>74377131008.570007</v>
      </c>
      <c r="H4" s="4">
        <f t="shared" si="0"/>
        <v>-1.1480731349733778E-2</v>
      </c>
      <c r="I4" s="4"/>
      <c r="K4" s="1">
        <v>41821</v>
      </c>
      <c r="L4">
        <v>3.5</v>
      </c>
      <c r="M4">
        <v>3.4635648883833299</v>
      </c>
      <c r="N4">
        <v>9.1083381420951692</v>
      </c>
      <c r="O4">
        <v>1.71263314661967</v>
      </c>
      <c r="P4">
        <v>25.3915678754908</v>
      </c>
      <c r="Q4">
        <v>74384578246.899994</v>
      </c>
      <c r="R4" s="4">
        <f t="shared" si="1"/>
        <v>1.0478130266027993E-2</v>
      </c>
      <c r="S4" s="4">
        <f t="shared" si="2"/>
        <v>2.1958861615761771E-2</v>
      </c>
      <c r="V4" s="1">
        <v>37288</v>
      </c>
      <c r="W4">
        <v>4.5</v>
      </c>
      <c r="X4">
        <v>4.4580000000000002</v>
      </c>
      <c r="Y4">
        <v>96</v>
      </c>
      <c r="Z4">
        <v>52</v>
      </c>
      <c r="AA4">
        <v>275</v>
      </c>
      <c r="AB4">
        <v>4299421.4400000004</v>
      </c>
      <c r="AC4" s="4">
        <f t="shared" si="3"/>
        <v>0.24750000000000005</v>
      </c>
    </row>
    <row r="5" spans="1:29" x14ac:dyDescent="0.25">
      <c r="A5" s="1">
        <v>41640</v>
      </c>
      <c r="B5">
        <v>3.625</v>
      </c>
      <c r="C5">
        <v>3.5596652727267002</v>
      </c>
      <c r="D5">
        <v>10.623903631354899</v>
      </c>
      <c r="E5">
        <v>5.3466945805314401</v>
      </c>
      <c r="F5">
        <v>38.740648705974202</v>
      </c>
      <c r="G5">
        <v>285790520383.51001</v>
      </c>
      <c r="H5" s="4">
        <f t="shared" si="0"/>
        <v>-4.4079531256700916E-2</v>
      </c>
      <c r="I5" s="4"/>
      <c r="K5" s="1">
        <v>41821</v>
      </c>
      <c r="L5">
        <v>3.625</v>
      </c>
      <c r="M5">
        <v>3.5598326769717299</v>
      </c>
      <c r="N5">
        <v>10.658997590356201</v>
      </c>
      <c r="O5">
        <v>3.1865329428763101</v>
      </c>
      <c r="P5">
        <v>34.710642242021201</v>
      </c>
      <c r="Q5">
        <v>275102692877.41998</v>
      </c>
      <c r="R5" s="4">
        <f t="shared" si="1"/>
        <v>-1.20519591302541E-2</v>
      </c>
      <c r="S5" s="4">
        <f t="shared" si="2"/>
        <v>3.2027572126446816E-2</v>
      </c>
      <c r="V5" s="1">
        <v>37316</v>
      </c>
      <c r="W5">
        <v>4.5</v>
      </c>
      <c r="X5">
        <v>4.4580000000000002</v>
      </c>
      <c r="Y5">
        <v>96</v>
      </c>
      <c r="Z5">
        <v>32</v>
      </c>
      <c r="AA5">
        <v>325</v>
      </c>
      <c r="AB5">
        <v>4292882.1399999997</v>
      </c>
      <c r="AC5" s="4">
        <f t="shared" si="3"/>
        <v>0.1725000000000001</v>
      </c>
    </row>
    <row r="6" spans="1:29" x14ac:dyDescent="0.25">
      <c r="A6" s="1">
        <v>41640</v>
      </c>
      <c r="B6">
        <v>3.75</v>
      </c>
      <c r="C6">
        <v>3.67531481948647</v>
      </c>
      <c r="D6">
        <v>11.1578940923569</v>
      </c>
      <c r="E6">
        <v>5.0886550324794397</v>
      </c>
      <c r="F6">
        <v>41.746943241809603</v>
      </c>
      <c r="G6">
        <v>138482362271.37</v>
      </c>
      <c r="H6" s="4">
        <f t="shared" si="0"/>
        <v>-4.3674967505749403E-2</v>
      </c>
      <c r="I6" s="4"/>
      <c r="K6" s="1">
        <v>41821</v>
      </c>
      <c r="L6">
        <v>3.75</v>
      </c>
      <c r="M6">
        <v>3.67516492137216</v>
      </c>
      <c r="N6">
        <v>11.175300366012699</v>
      </c>
      <c r="O6">
        <v>3.0743974860341399</v>
      </c>
      <c r="P6">
        <v>37.085241149513202</v>
      </c>
      <c r="Q6">
        <v>134174832062.98</v>
      </c>
      <c r="R6" s="4">
        <f t="shared" si="1"/>
        <v>-1.1704074073997414E-2</v>
      </c>
      <c r="S6" s="4">
        <f t="shared" si="2"/>
        <v>3.1970893431751989E-2</v>
      </c>
      <c r="V6" s="1">
        <v>37347</v>
      </c>
      <c r="W6">
        <v>4.5</v>
      </c>
      <c r="X6">
        <v>4.4580000000000002</v>
      </c>
      <c r="Y6">
        <v>96</v>
      </c>
      <c r="Z6">
        <v>32</v>
      </c>
      <c r="AA6">
        <v>325</v>
      </c>
      <c r="AB6">
        <v>4286294.25</v>
      </c>
      <c r="AC6" s="4">
        <f t="shared" si="3"/>
        <v>0.1725000000000001</v>
      </c>
    </row>
    <row r="7" spans="1:29" x14ac:dyDescent="0.25">
      <c r="A7" s="1">
        <v>41640</v>
      </c>
      <c r="B7">
        <v>3.875</v>
      </c>
      <c r="C7">
        <v>3.8182934104113899</v>
      </c>
      <c r="D7">
        <v>11.5951545332533</v>
      </c>
      <c r="E7">
        <v>6.2432340820896099</v>
      </c>
      <c r="F7">
        <v>62.981463761178397</v>
      </c>
      <c r="G7">
        <v>46598217454.989998</v>
      </c>
      <c r="H7" s="4">
        <f t="shared" si="0"/>
        <v>-0.10393445489130906</v>
      </c>
      <c r="I7" s="4"/>
      <c r="K7" s="1">
        <v>41821</v>
      </c>
      <c r="L7">
        <v>3.875</v>
      </c>
      <c r="M7">
        <v>3.8187717474665202</v>
      </c>
      <c r="N7">
        <v>11.7538170824498</v>
      </c>
      <c r="O7">
        <v>4.0141922053462196</v>
      </c>
      <c r="P7">
        <v>56.313431819120296</v>
      </c>
      <c r="Q7">
        <v>45241627549.639999</v>
      </c>
      <c r="R7" s="4">
        <f t="shared" si="1"/>
        <v>-6.338733077676495E-2</v>
      </c>
      <c r="S7" s="4">
        <f t="shared" si="2"/>
        <v>4.0547124114544114E-2</v>
      </c>
      <c r="V7" s="1">
        <v>37377</v>
      </c>
      <c r="W7">
        <v>4.5</v>
      </c>
      <c r="X7">
        <v>4.4580000000000002</v>
      </c>
      <c r="Y7">
        <v>96</v>
      </c>
      <c r="Z7">
        <v>32</v>
      </c>
      <c r="AA7">
        <v>325</v>
      </c>
      <c r="AB7">
        <v>4279079.47</v>
      </c>
      <c r="AC7" s="4">
        <f t="shared" si="3"/>
        <v>0.1725000000000001</v>
      </c>
    </row>
    <row r="8" spans="1:29" x14ac:dyDescent="0.25">
      <c r="A8" s="1">
        <v>41640</v>
      </c>
      <c r="B8">
        <v>4</v>
      </c>
      <c r="C8">
        <v>3.95081653625176</v>
      </c>
      <c r="D8">
        <v>12.1740381349549</v>
      </c>
      <c r="E8">
        <v>6.9076636780423604</v>
      </c>
      <c r="F8">
        <v>56.087231799404201</v>
      </c>
      <c r="G8">
        <v>266165173455.59</v>
      </c>
      <c r="H8" s="4">
        <f t="shared" si="0"/>
        <v>-8.7554334929385108E-2</v>
      </c>
      <c r="I8" s="4"/>
      <c r="K8" s="1">
        <v>41821</v>
      </c>
      <c r="L8">
        <v>4</v>
      </c>
      <c r="M8">
        <v>3.9506458614058699</v>
      </c>
      <c r="N8">
        <v>12.130124055564499</v>
      </c>
      <c r="O8">
        <v>4.3930279521076701</v>
      </c>
      <c r="P8">
        <v>49.336981127849199</v>
      </c>
      <c r="Q8">
        <v>257100128117.79001</v>
      </c>
      <c r="R8" s="4">
        <f t="shared" si="1"/>
        <v>-4.5971491785054705E-2</v>
      </c>
      <c r="S8" s="4">
        <f t="shared" si="2"/>
        <v>4.1582843144330403E-2</v>
      </c>
      <c r="V8" s="1">
        <v>37408</v>
      </c>
      <c r="W8">
        <v>4.5</v>
      </c>
      <c r="X8">
        <v>4.4580000000000002</v>
      </c>
      <c r="Y8">
        <v>96</v>
      </c>
      <c r="Z8">
        <v>32</v>
      </c>
      <c r="AA8">
        <v>325</v>
      </c>
      <c r="AB8">
        <v>4201122.79</v>
      </c>
      <c r="AC8" s="4">
        <f t="shared" si="3"/>
        <v>0.1725000000000001</v>
      </c>
    </row>
    <row r="9" spans="1:29" x14ac:dyDescent="0.25">
      <c r="A9" s="1">
        <v>41640</v>
      </c>
      <c r="B9">
        <v>4.125</v>
      </c>
      <c r="C9">
        <v>4.0488767141262203</v>
      </c>
      <c r="D9">
        <v>11.0669329863152</v>
      </c>
      <c r="E9">
        <v>8.1914258035430603</v>
      </c>
      <c r="F9">
        <v>67.869016947596506</v>
      </c>
      <c r="G9">
        <v>166326147762.17001</v>
      </c>
      <c r="H9" s="4">
        <f t="shared" si="0"/>
        <v>-0.14091747054126988</v>
      </c>
      <c r="I9" s="4"/>
      <c r="K9" s="1">
        <v>41821</v>
      </c>
      <c r="L9">
        <v>4.125</v>
      </c>
      <c r="M9">
        <v>4.0496370405044697</v>
      </c>
      <c r="N9">
        <v>11.1488124551186</v>
      </c>
      <c r="O9">
        <v>5.3753113051475898</v>
      </c>
      <c r="P9">
        <v>60.123420926507997</v>
      </c>
      <c r="Q9">
        <v>162080116223.95001</v>
      </c>
      <c r="R9" s="4">
        <f t="shared" si="1"/>
        <v>-9.2573540816559885E-2</v>
      </c>
      <c r="S9" s="4">
        <f t="shared" si="2"/>
        <v>4.8343929724709994E-2</v>
      </c>
      <c r="V9" s="1">
        <v>37438</v>
      </c>
      <c r="W9">
        <v>4.5</v>
      </c>
      <c r="X9">
        <v>4.4550000000000001</v>
      </c>
      <c r="Y9">
        <v>96</v>
      </c>
      <c r="Z9">
        <v>32</v>
      </c>
      <c r="AA9">
        <v>325</v>
      </c>
      <c r="AB9">
        <v>4194586.55</v>
      </c>
      <c r="AC9" s="4">
        <f t="shared" si="3"/>
        <v>0.1725000000000001</v>
      </c>
    </row>
    <row r="10" spans="1:29" x14ac:dyDescent="0.25">
      <c r="A10" s="1">
        <v>41640</v>
      </c>
      <c r="B10">
        <v>4.25</v>
      </c>
      <c r="C10">
        <v>4.1799148253742802</v>
      </c>
      <c r="D10">
        <v>11.783213794016</v>
      </c>
      <c r="E10">
        <v>11.00890595131</v>
      </c>
      <c r="F10">
        <v>97.115464290712794</v>
      </c>
      <c r="G10">
        <v>62705186794.690002</v>
      </c>
      <c r="H10" s="4">
        <f t="shared" si="0"/>
        <v>-0.235045582299722</v>
      </c>
      <c r="I10" s="4"/>
      <c r="K10" s="1">
        <v>41821</v>
      </c>
      <c r="L10">
        <v>4.25</v>
      </c>
      <c r="M10">
        <v>4.1843832052522298</v>
      </c>
      <c r="N10">
        <v>12.037117456594</v>
      </c>
      <c r="O10">
        <v>7.6111523197254503</v>
      </c>
      <c r="P10">
        <v>84.623348760463003</v>
      </c>
      <c r="Q10">
        <v>69986768047.610001</v>
      </c>
      <c r="R10" s="4">
        <f t="shared" si="1"/>
        <v>-0.16729872053247202</v>
      </c>
      <c r="S10" s="4">
        <f t="shared" si="2"/>
        <v>6.7746861767249977E-2</v>
      </c>
      <c r="V10" s="1">
        <v>37469</v>
      </c>
      <c r="W10">
        <v>4.5</v>
      </c>
      <c r="X10">
        <v>4.4550000000000001</v>
      </c>
      <c r="Y10">
        <v>96</v>
      </c>
      <c r="Z10">
        <v>32</v>
      </c>
      <c r="AA10">
        <v>325</v>
      </c>
      <c r="AB10">
        <v>4188023.33</v>
      </c>
      <c r="AC10" s="4">
        <f t="shared" si="3"/>
        <v>0.1725000000000001</v>
      </c>
    </row>
    <row r="11" spans="1:29" x14ac:dyDescent="0.25">
      <c r="A11" s="1">
        <v>41640</v>
      </c>
      <c r="B11">
        <v>4.375</v>
      </c>
      <c r="C11">
        <v>4.32478479403773</v>
      </c>
      <c r="D11">
        <v>9.9911536154909903</v>
      </c>
      <c r="E11">
        <v>6.6249645139878997</v>
      </c>
      <c r="F11">
        <v>70.546065933037895</v>
      </c>
      <c r="G11">
        <v>61244080289.639999</v>
      </c>
      <c r="H11" s="4">
        <f t="shared" si="0"/>
        <v>-0.14270327381756381</v>
      </c>
      <c r="I11" s="4"/>
      <c r="K11" s="1">
        <v>41821</v>
      </c>
      <c r="L11">
        <v>4.375</v>
      </c>
      <c r="M11">
        <v>4.3214794852267397</v>
      </c>
      <c r="N11">
        <v>11.0820144927642</v>
      </c>
      <c r="O11">
        <v>5.8927785658179399</v>
      </c>
      <c r="P11">
        <v>60.357475237607801</v>
      </c>
      <c r="Q11">
        <v>78646460746.309998</v>
      </c>
      <c r="R11" s="4">
        <f t="shared" si="1"/>
        <v>-9.9001328824556908E-2</v>
      </c>
      <c r="S11" s="4">
        <f t="shared" si="2"/>
        <v>4.3701944993006905E-2</v>
      </c>
      <c r="V11" s="1">
        <v>37500</v>
      </c>
      <c r="W11">
        <v>4.5</v>
      </c>
      <c r="X11">
        <v>4.4550000000000001</v>
      </c>
      <c r="Y11">
        <v>96</v>
      </c>
      <c r="Z11">
        <v>32</v>
      </c>
      <c r="AA11">
        <v>325</v>
      </c>
      <c r="AB11">
        <v>4181458.63</v>
      </c>
      <c r="AC11" s="4">
        <f t="shared" si="3"/>
        <v>0.1725000000000001</v>
      </c>
    </row>
    <row r="12" spans="1:29" x14ac:dyDescent="0.25">
      <c r="A12" s="1">
        <v>41640</v>
      </c>
      <c r="B12">
        <v>4.5</v>
      </c>
      <c r="C12">
        <v>4.4357363828686598</v>
      </c>
      <c r="D12">
        <v>10.466673155508399</v>
      </c>
      <c r="E12">
        <v>4.67469915287354</v>
      </c>
      <c r="F12">
        <v>53.829230356202103</v>
      </c>
      <c r="G12">
        <v>202006166846.64999</v>
      </c>
      <c r="H12" s="4">
        <f t="shared" si="0"/>
        <v>-7.665333586415668E-2</v>
      </c>
      <c r="I12" s="4"/>
      <c r="K12" s="1">
        <v>41821</v>
      </c>
      <c r="L12">
        <v>4.5</v>
      </c>
      <c r="M12">
        <v>4.43860478322721</v>
      </c>
      <c r="N12">
        <v>11.216838980846999</v>
      </c>
      <c r="O12">
        <v>3.7892406689241298</v>
      </c>
      <c r="P12">
        <v>48.699669731913197</v>
      </c>
      <c r="Q12">
        <v>211501940433.88</v>
      </c>
      <c r="R12" s="4">
        <f t="shared" si="1"/>
        <v>-4.7473191210554294E-2</v>
      </c>
      <c r="S12" s="4">
        <f t="shared" si="2"/>
        <v>2.9180144653602386E-2</v>
      </c>
      <c r="V12" s="1">
        <v>37530</v>
      </c>
      <c r="W12">
        <v>4.5</v>
      </c>
      <c r="X12">
        <v>4.4550000000000001</v>
      </c>
      <c r="Y12">
        <v>96</v>
      </c>
      <c r="Z12">
        <v>0</v>
      </c>
      <c r="AA12">
        <v>300</v>
      </c>
      <c r="AB12">
        <v>4174550.5</v>
      </c>
      <c r="AC12" s="4">
        <f t="shared" si="3"/>
        <v>-0.20999999999999996</v>
      </c>
    </row>
    <row r="13" spans="1:29" x14ac:dyDescent="0.25">
      <c r="A13" s="1">
        <v>41640</v>
      </c>
      <c r="B13">
        <v>4.625</v>
      </c>
      <c r="C13">
        <v>4.5513664442063497</v>
      </c>
      <c r="D13">
        <v>11.258631642416301</v>
      </c>
      <c r="E13">
        <v>8.8918186659317495</v>
      </c>
      <c r="F13">
        <v>64.863367285330497</v>
      </c>
      <c r="G13">
        <v>174071064582.85999</v>
      </c>
      <c r="H13" s="4">
        <f t="shared" si="0"/>
        <v>-0.13849028844848074</v>
      </c>
      <c r="I13" s="4"/>
      <c r="K13" s="1">
        <v>41821</v>
      </c>
      <c r="L13">
        <v>4.625</v>
      </c>
      <c r="M13">
        <v>4.55417411425198</v>
      </c>
      <c r="N13">
        <v>13.9508802504267</v>
      </c>
      <c r="O13">
        <v>8.0281392619667997</v>
      </c>
      <c r="P13">
        <v>67.032008342458099</v>
      </c>
      <c r="Q13">
        <v>224607049149.95001</v>
      </c>
      <c r="R13" s="4">
        <f t="shared" si="1"/>
        <v>-0.10835261097154622</v>
      </c>
      <c r="S13" s="4">
        <f t="shared" si="2"/>
        <v>3.0137677476934521E-2</v>
      </c>
      <c r="V13" s="1">
        <v>37561</v>
      </c>
      <c r="W13">
        <v>4.5</v>
      </c>
      <c r="X13">
        <v>4.4550000000000001</v>
      </c>
      <c r="Y13">
        <v>96</v>
      </c>
      <c r="Z13">
        <v>0</v>
      </c>
      <c r="AA13">
        <v>300</v>
      </c>
      <c r="AB13">
        <v>4168004.14</v>
      </c>
      <c r="AC13" s="4">
        <f t="shared" si="3"/>
        <v>-0.20999999999999996</v>
      </c>
    </row>
    <row r="14" spans="1:29" x14ac:dyDescent="0.25">
      <c r="A14" s="1">
        <v>41640</v>
      </c>
      <c r="B14">
        <v>4.75</v>
      </c>
      <c r="C14">
        <v>4.6753450547067104</v>
      </c>
      <c r="D14">
        <v>16.326003061258898</v>
      </c>
      <c r="E14">
        <v>12.2665481697891</v>
      </c>
      <c r="F14">
        <v>80.367731006535806</v>
      </c>
      <c r="G14">
        <v>76062632441.289993</v>
      </c>
      <c r="H14" s="4">
        <f t="shared" si="0"/>
        <v>-0.16032477860164152</v>
      </c>
      <c r="I14" s="4"/>
      <c r="K14" s="1">
        <v>41821</v>
      </c>
      <c r="L14">
        <v>4.75</v>
      </c>
      <c r="M14">
        <v>4.6735560359245802</v>
      </c>
      <c r="N14">
        <v>18.001770906059001</v>
      </c>
      <c r="O14">
        <v>11.5408573979037</v>
      </c>
      <c r="P14">
        <v>89.698119456345296</v>
      </c>
      <c r="Q14">
        <v>116054790103.27</v>
      </c>
      <c r="R14" s="4">
        <f t="shared" si="1"/>
        <v>-0.15963616355931023</v>
      </c>
      <c r="S14" s="4">
        <f t="shared" si="2"/>
        <v>6.886150423312809E-4</v>
      </c>
      <c r="V14" s="1">
        <v>37591</v>
      </c>
      <c r="W14">
        <v>4.5</v>
      </c>
      <c r="X14">
        <v>4.4550000000000001</v>
      </c>
      <c r="Y14">
        <v>96</v>
      </c>
      <c r="Z14">
        <v>0</v>
      </c>
      <c r="AA14">
        <v>300</v>
      </c>
      <c r="AB14">
        <v>4161438.54</v>
      </c>
      <c r="AC14" s="4">
        <f t="shared" si="3"/>
        <v>-0.20999999999999996</v>
      </c>
    </row>
    <row r="15" spans="1:29" x14ac:dyDescent="0.25">
      <c r="A15" s="1">
        <v>41640</v>
      </c>
      <c r="B15">
        <v>4.875</v>
      </c>
      <c r="C15">
        <v>4.8251431922966601</v>
      </c>
      <c r="D15">
        <v>9.0003882017115497</v>
      </c>
      <c r="E15">
        <v>5.0582906345356102</v>
      </c>
      <c r="F15">
        <v>55.950893768051202</v>
      </c>
      <c r="G15">
        <v>93387481891.369995</v>
      </c>
      <c r="H15" s="4">
        <f t="shared" si="0"/>
        <v>-0.10045625874836861</v>
      </c>
      <c r="I15" s="4"/>
      <c r="K15" s="1">
        <v>41821</v>
      </c>
      <c r="L15">
        <v>4.875</v>
      </c>
      <c r="M15">
        <v>4.82302271352604</v>
      </c>
      <c r="N15">
        <v>10.2954815317132</v>
      </c>
      <c r="O15">
        <v>4.2694375393537403</v>
      </c>
      <c r="P15">
        <v>56.005511540156498</v>
      </c>
      <c r="Q15">
        <v>96202169564.490005</v>
      </c>
      <c r="R15" s="4">
        <f t="shared" si="1"/>
        <v>-7.9753338926796633E-2</v>
      </c>
      <c r="S15" s="4">
        <f t="shared" si="2"/>
        <v>2.0702919821571977E-2</v>
      </c>
      <c r="V15" s="1">
        <v>37622</v>
      </c>
      <c r="W15">
        <v>4.5</v>
      </c>
      <c r="X15">
        <v>4.4550000000000001</v>
      </c>
      <c r="Y15">
        <v>96</v>
      </c>
      <c r="Z15">
        <v>0</v>
      </c>
      <c r="AA15">
        <v>300</v>
      </c>
      <c r="AB15">
        <v>4154797.9</v>
      </c>
      <c r="AC15" s="4">
        <f t="shared" si="3"/>
        <v>-0.20999999999999996</v>
      </c>
    </row>
    <row r="16" spans="1:29" x14ac:dyDescent="0.25">
      <c r="A16" s="1">
        <v>41640</v>
      </c>
      <c r="B16">
        <v>5</v>
      </c>
      <c r="C16">
        <v>4.9267716951250904</v>
      </c>
      <c r="D16">
        <v>7.7171813175089703</v>
      </c>
      <c r="E16">
        <v>3.4647520546417701</v>
      </c>
      <c r="F16">
        <v>42.867119614173703</v>
      </c>
      <c r="G16">
        <v>246356988414.76999</v>
      </c>
      <c r="H16" s="4">
        <f t="shared" si="0"/>
        <v>-6.4643506406762266E-2</v>
      </c>
      <c r="I16" s="4"/>
      <c r="K16" s="1">
        <v>41821</v>
      </c>
      <c r="L16">
        <v>5</v>
      </c>
      <c r="M16">
        <v>4.9261050597448701</v>
      </c>
      <c r="N16">
        <v>8.2553861469116203</v>
      </c>
      <c r="O16">
        <v>2.3918753279142901</v>
      </c>
      <c r="P16">
        <v>40.087185292890702</v>
      </c>
      <c r="Q16">
        <v>235007928353.51999</v>
      </c>
      <c r="R16" s="4">
        <f t="shared" si="1"/>
        <v>-4.1582855042253467E-2</v>
      </c>
      <c r="S16" s="4">
        <f t="shared" si="2"/>
        <v>2.30606513645088E-2</v>
      </c>
      <c r="V16" s="1">
        <v>37653</v>
      </c>
      <c r="W16">
        <v>4.5</v>
      </c>
      <c r="X16">
        <v>4.4550000000000001</v>
      </c>
      <c r="Y16">
        <v>96</v>
      </c>
      <c r="Z16">
        <v>0</v>
      </c>
      <c r="AA16">
        <v>300</v>
      </c>
      <c r="AB16">
        <v>4148131.01</v>
      </c>
      <c r="AC16" s="4">
        <f t="shared" si="3"/>
        <v>-0.20999999999999996</v>
      </c>
    </row>
    <row r="17" spans="1:29" x14ac:dyDescent="0.25">
      <c r="A17" s="1">
        <v>41640</v>
      </c>
      <c r="B17">
        <v>5.125</v>
      </c>
      <c r="C17">
        <v>5.0434303300555898</v>
      </c>
      <c r="D17">
        <v>8.0495903579172108</v>
      </c>
      <c r="E17">
        <v>6.1643607233659097</v>
      </c>
      <c r="F17">
        <v>66.338900702439105</v>
      </c>
      <c r="G17">
        <v>51520733762.260002</v>
      </c>
      <c r="H17" s="4">
        <f t="shared" si="0"/>
        <v>-0.14699495541058477</v>
      </c>
      <c r="I17" s="4"/>
      <c r="K17" s="1">
        <v>41821</v>
      </c>
      <c r="L17">
        <v>5.125</v>
      </c>
      <c r="M17">
        <v>5.04678363667227</v>
      </c>
      <c r="N17">
        <v>9.7645130940533704</v>
      </c>
      <c r="O17">
        <v>6.8553372837080504</v>
      </c>
      <c r="P17">
        <v>80.152522646383801</v>
      </c>
      <c r="Q17">
        <v>54370191066.279999</v>
      </c>
      <c r="R17" s="4">
        <f t="shared" si="1"/>
        <v>-0.17128954851250633</v>
      </c>
      <c r="S17" s="4">
        <f t="shared" si="2"/>
        <v>-2.4294593101921558E-2</v>
      </c>
      <c r="V17" s="1">
        <v>37681</v>
      </c>
      <c r="W17">
        <v>4.5</v>
      </c>
      <c r="X17">
        <v>4.4550000000000001</v>
      </c>
      <c r="Y17">
        <v>96</v>
      </c>
      <c r="Z17">
        <v>0</v>
      </c>
      <c r="AA17">
        <v>300</v>
      </c>
      <c r="AB17">
        <v>4141167.98</v>
      </c>
      <c r="AC17" s="4">
        <f t="shared" si="3"/>
        <v>-0.20999999999999996</v>
      </c>
    </row>
    <row r="18" spans="1:29" x14ac:dyDescent="0.25">
      <c r="A18" s="1">
        <v>41640</v>
      </c>
      <c r="B18">
        <v>5.25</v>
      </c>
      <c r="C18">
        <v>5.1787386711839298</v>
      </c>
      <c r="D18">
        <v>11.874152984629999</v>
      </c>
      <c r="E18">
        <v>9.6007470721022798</v>
      </c>
      <c r="F18">
        <v>109.024546831359</v>
      </c>
      <c r="G18">
        <v>21809725784.549999</v>
      </c>
      <c r="H18" s="4">
        <f t="shared" si="0"/>
        <v>-0.2498273079531203</v>
      </c>
      <c r="I18" s="4"/>
      <c r="K18" s="1">
        <v>41821</v>
      </c>
      <c r="L18">
        <v>5.25</v>
      </c>
      <c r="M18">
        <v>5.1773854466716998</v>
      </c>
      <c r="N18">
        <v>14.472561346124101</v>
      </c>
      <c r="O18">
        <v>11.642889252488599</v>
      </c>
      <c r="P18">
        <v>130.767886481152</v>
      </c>
      <c r="Q18">
        <v>27875227869.02</v>
      </c>
      <c r="R18" s="4">
        <f t="shared" si="1"/>
        <v>-0.29862299526652497</v>
      </c>
      <c r="S18" s="4">
        <f t="shared" si="2"/>
        <v>-4.8795687313404668E-2</v>
      </c>
      <c r="V18" s="1">
        <v>37712</v>
      </c>
      <c r="W18">
        <v>4.5</v>
      </c>
      <c r="X18">
        <v>4.4550000000000001</v>
      </c>
      <c r="Y18">
        <v>96</v>
      </c>
      <c r="Z18">
        <v>0</v>
      </c>
      <c r="AA18">
        <v>300</v>
      </c>
      <c r="AB18">
        <v>4134507.3</v>
      </c>
      <c r="AC18" s="4">
        <f t="shared" si="3"/>
        <v>-0.20999999999999996</v>
      </c>
    </row>
    <row r="19" spans="1:29" x14ac:dyDescent="0.25">
      <c r="A19" s="1">
        <v>41640</v>
      </c>
      <c r="B19">
        <v>5.375</v>
      </c>
      <c r="C19">
        <v>5.3312064862458701</v>
      </c>
      <c r="D19">
        <v>7.4977897542151899</v>
      </c>
      <c r="E19">
        <v>6.9261316477195196</v>
      </c>
      <c r="F19">
        <v>78.646960178063907</v>
      </c>
      <c r="G19">
        <v>83623224435.080002</v>
      </c>
      <c r="H19" s="4">
        <f t="shared" si="0"/>
        <v>-0.19090081938020306</v>
      </c>
      <c r="I19" s="4"/>
      <c r="K19" s="1">
        <v>41821</v>
      </c>
      <c r="L19">
        <v>5.375</v>
      </c>
      <c r="M19">
        <v>5.3307739232248101</v>
      </c>
      <c r="N19">
        <v>7.6983777904916604</v>
      </c>
      <c r="O19">
        <v>4.7007144954600797</v>
      </c>
      <c r="P19">
        <v>68.834917700491701</v>
      </c>
      <c r="Q19">
        <v>78883350362.440002</v>
      </c>
      <c r="R19" s="4">
        <f t="shared" si="1"/>
        <v>-0.14211066130091346</v>
      </c>
      <c r="S19" s="4">
        <f t="shared" si="2"/>
        <v>4.8790158079289603E-2</v>
      </c>
      <c r="V19" s="1">
        <v>37742</v>
      </c>
      <c r="W19">
        <v>4.5</v>
      </c>
      <c r="X19">
        <v>4.4550000000000001</v>
      </c>
      <c r="Y19">
        <v>95.999999999999901</v>
      </c>
      <c r="Z19">
        <v>1.88954998455765E-18</v>
      </c>
      <c r="AA19">
        <v>299.99999999999898</v>
      </c>
      <c r="AB19">
        <v>5281977.54</v>
      </c>
      <c r="AC19" s="4">
        <f t="shared" si="3"/>
        <v>-0.21000000000000152</v>
      </c>
    </row>
    <row r="20" spans="1:29" x14ac:dyDescent="0.25">
      <c r="A20" s="1">
        <v>41640</v>
      </c>
      <c r="B20">
        <v>5.5</v>
      </c>
      <c r="C20">
        <v>5.4227426165047898</v>
      </c>
      <c r="D20">
        <v>6.7481445012478201</v>
      </c>
      <c r="E20">
        <v>5.3965258801649103</v>
      </c>
      <c r="F20">
        <v>69.561145381441804</v>
      </c>
      <c r="G20">
        <v>87845751425.389999</v>
      </c>
      <c r="H20" s="4">
        <f t="shared" si="0"/>
        <v>-0.16038667724277542</v>
      </c>
      <c r="I20" s="4"/>
      <c r="K20" s="1">
        <v>41821</v>
      </c>
      <c r="L20">
        <v>5.5</v>
      </c>
      <c r="M20">
        <v>5.4230100397342698</v>
      </c>
      <c r="N20">
        <v>6.8219233996036603</v>
      </c>
      <c r="O20">
        <v>3.3079277388949699</v>
      </c>
      <c r="P20">
        <v>58.7306474360986</v>
      </c>
      <c r="Q20">
        <v>79440285709.820007</v>
      </c>
      <c r="R20" s="4">
        <f t="shared" si="1"/>
        <v>-0.1116866619831596</v>
      </c>
      <c r="S20" s="4">
        <f t="shared" si="2"/>
        <v>4.8700015259615814E-2</v>
      </c>
      <c r="V20" s="1">
        <v>37773</v>
      </c>
      <c r="W20">
        <v>4.5</v>
      </c>
      <c r="X20">
        <v>4.4597154945224604</v>
      </c>
      <c r="Y20">
        <v>92.0659469762127</v>
      </c>
      <c r="Z20">
        <v>42.053691060789703</v>
      </c>
      <c r="AA20">
        <v>281.288299735696</v>
      </c>
      <c r="AB20">
        <v>10073726.369999999</v>
      </c>
      <c r="AC20" s="4">
        <f t="shared" si="3"/>
        <v>0.20309819018500996</v>
      </c>
    </row>
    <row r="21" spans="1:29" x14ac:dyDescent="0.25">
      <c r="A21" s="1">
        <v>41640</v>
      </c>
      <c r="B21">
        <v>5.625</v>
      </c>
      <c r="C21">
        <v>5.5543184181856997</v>
      </c>
      <c r="D21">
        <v>6.8097446671538497</v>
      </c>
      <c r="E21">
        <v>1.3361412017352501</v>
      </c>
      <c r="F21">
        <v>40.520286078342203</v>
      </c>
      <c r="G21">
        <v>45105253177.720001</v>
      </c>
      <c r="H21" s="4">
        <f t="shared" si="0"/>
        <v>-4.6564680541669512E-2</v>
      </c>
      <c r="I21" s="4"/>
      <c r="K21" s="1">
        <v>41821</v>
      </c>
      <c r="L21">
        <v>5.625</v>
      </c>
      <c r="M21">
        <v>5.5544152003784504</v>
      </c>
      <c r="N21">
        <v>6.9324727381961297</v>
      </c>
      <c r="O21">
        <v>1.0884242825649499</v>
      </c>
      <c r="P21">
        <v>30.929139918809099</v>
      </c>
      <c r="Q21">
        <v>40415518430.5</v>
      </c>
      <c r="R21" s="4">
        <f t="shared" si="1"/>
        <v>-1.8882365240710949E-2</v>
      </c>
      <c r="S21" s="4">
        <f t="shared" si="2"/>
        <v>2.7682315300958563E-2</v>
      </c>
      <c r="V21" s="1">
        <v>37803</v>
      </c>
      <c r="W21">
        <v>4.5</v>
      </c>
      <c r="X21">
        <v>4.4595557664597898</v>
      </c>
      <c r="Y21">
        <v>48.192603284597503</v>
      </c>
      <c r="Z21">
        <v>22.014784071362701</v>
      </c>
      <c r="AA21">
        <v>154.99860081568801</v>
      </c>
      <c r="AB21">
        <v>15447549.74</v>
      </c>
      <c r="AC21" s="4">
        <f t="shared" si="3"/>
        <v>0.12571830990687205</v>
      </c>
    </row>
    <row r="22" spans="1:29" x14ac:dyDescent="0.25">
      <c r="A22" s="1">
        <v>41640</v>
      </c>
      <c r="B22">
        <v>5.75</v>
      </c>
      <c r="C22">
        <v>5.6757712095806996</v>
      </c>
      <c r="D22">
        <v>8.3218425928848507</v>
      </c>
      <c r="E22">
        <v>0.51753236846735795</v>
      </c>
      <c r="F22">
        <v>38.822969364034201</v>
      </c>
      <c r="G22">
        <v>26539407809.68</v>
      </c>
      <c r="H22" s="4">
        <f t="shared" si="0"/>
        <v>-1.9014321165910564E-2</v>
      </c>
      <c r="I22" s="4"/>
      <c r="K22" s="1">
        <v>41821</v>
      </c>
      <c r="L22">
        <v>5.75</v>
      </c>
      <c r="M22">
        <v>5.6755315784617997</v>
      </c>
      <c r="N22">
        <v>8.2914221289947694</v>
      </c>
      <c r="O22">
        <v>0.57711797943112197</v>
      </c>
      <c r="P22">
        <v>30.003150346536302</v>
      </c>
      <c r="Q22">
        <v>22930728565.07</v>
      </c>
      <c r="R22" s="4">
        <f t="shared" si="1"/>
        <v>2.1351656292957211E-3</v>
      </c>
      <c r="S22" s="4">
        <f t="shared" si="2"/>
        <v>2.1149486795206285E-2</v>
      </c>
      <c r="V22" s="1">
        <v>37834</v>
      </c>
      <c r="W22">
        <v>4.5</v>
      </c>
      <c r="X22">
        <v>4.4460146162294398</v>
      </c>
      <c r="Y22">
        <v>38.561294317925501</v>
      </c>
      <c r="Z22">
        <v>19.5814496719752</v>
      </c>
      <c r="AA22">
        <v>118.038892876247</v>
      </c>
      <c r="AB22">
        <v>17621385.390000001</v>
      </c>
      <c r="AC22" s="4">
        <f t="shared" si="3"/>
        <v>0.10529878573111454</v>
      </c>
    </row>
    <row r="23" spans="1:29" x14ac:dyDescent="0.25">
      <c r="A23" s="1">
        <v>41640</v>
      </c>
      <c r="B23">
        <v>5.875</v>
      </c>
      <c r="C23">
        <v>5.8105652471360596</v>
      </c>
      <c r="D23">
        <v>7.6234598838657703</v>
      </c>
      <c r="E23">
        <v>1.26027820612269</v>
      </c>
      <c r="F23">
        <v>49.448710589357702</v>
      </c>
      <c r="G23">
        <v>45568279232.269997</v>
      </c>
      <c r="H23" s="4">
        <f t="shared" si="0"/>
        <v>-5.9989959695963463E-2</v>
      </c>
      <c r="I23" s="4"/>
      <c r="K23" s="1">
        <v>41821</v>
      </c>
      <c r="L23">
        <v>5.875</v>
      </c>
      <c r="M23">
        <v>5.8101022376683202</v>
      </c>
      <c r="N23">
        <v>7.6773374236293703</v>
      </c>
      <c r="O23">
        <v>0.88590543505254404</v>
      </c>
      <c r="P23">
        <v>39.028914076924799</v>
      </c>
      <c r="Q23">
        <v>40027637006.959999</v>
      </c>
      <c r="R23" s="4">
        <f t="shared" si="1"/>
        <v>-2.9657965306543729E-2</v>
      </c>
      <c r="S23" s="4">
        <f t="shared" si="2"/>
        <v>3.0331994389419734E-2</v>
      </c>
      <c r="V23" s="1">
        <v>37865</v>
      </c>
      <c r="W23">
        <v>4.5</v>
      </c>
      <c r="X23">
        <v>4.4390219194648104</v>
      </c>
      <c r="Y23">
        <v>45.740487311009304</v>
      </c>
      <c r="Z23">
        <v>29.129579364586501</v>
      </c>
      <c r="AA23">
        <v>119.80588950142</v>
      </c>
      <c r="AB23">
        <v>34699407.039999999</v>
      </c>
      <c r="AC23" s="4">
        <f t="shared" si="3"/>
        <v>0.13340564428932195</v>
      </c>
    </row>
    <row r="24" spans="1:29" x14ac:dyDescent="0.25">
      <c r="A24" s="1">
        <v>41640</v>
      </c>
      <c r="B24">
        <v>6</v>
      </c>
      <c r="C24">
        <v>5.9258956295853498</v>
      </c>
      <c r="D24">
        <v>9.2584941342277993</v>
      </c>
      <c r="E24">
        <v>0.57487173416770199</v>
      </c>
      <c r="F24">
        <v>41.3755080589616</v>
      </c>
      <c r="G24">
        <v>80780256785.830002</v>
      </c>
      <c r="H24" s="4">
        <f t="shared" si="0"/>
        <v>-1.6602546146803038E-2</v>
      </c>
      <c r="I24" s="4"/>
      <c r="K24" s="1">
        <v>41821</v>
      </c>
      <c r="L24">
        <v>6</v>
      </c>
      <c r="M24">
        <v>5.9252367424940102</v>
      </c>
      <c r="N24">
        <v>9.2004994268929305</v>
      </c>
      <c r="O24">
        <v>0.42016057795543699</v>
      </c>
      <c r="P24">
        <v>31.756971057096901</v>
      </c>
      <c r="Q24">
        <v>71132751339.220001</v>
      </c>
      <c r="R24" s="4">
        <f t="shared" si="1"/>
        <v>8.4109608466326896E-3</v>
      </c>
      <c r="S24" s="4">
        <f t="shared" si="2"/>
        <v>2.5013506993435727E-2</v>
      </c>
      <c r="V24" s="1">
        <v>37895</v>
      </c>
      <c r="W24">
        <v>4.5</v>
      </c>
      <c r="X24">
        <v>4.4263602144899599</v>
      </c>
      <c r="Y24">
        <v>31.724818736104201</v>
      </c>
      <c r="Z24">
        <v>13.0322728865873</v>
      </c>
      <c r="AA24">
        <v>66.647731216331294</v>
      </c>
      <c r="AB24">
        <v>63542505.82</v>
      </c>
      <c r="AC24" s="4">
        <f t="shared" si="3"/>
        <v>-2.0306130454340737E-2</v>
      </c>
    </row>
    <row r="25" spans="1:29" x14ac:dyDescent="0.25">
      <c r="A25" s="1">
        <v>41640</v>
      </c>
      <c r="B25">
        <v>6.125</v>
      </c>
      <c r="C25">
        <v>6.0463665644695901</v>
      </c>
      <c r="D25">
        <v>11.276981241973999</v>
      </c>
      <c r="E25">
        <v>0.11165601061540199</v>
      </c>
      <c r="F25">
        <v>38.805879119428603</v>
      </c>
      <c r="G25">
        <v>38709349389.059998</v>
      </c>
      <c r="H25" s="4">
        <f t="shared" si="0"/>
        <v>1.463855451501446E-2</v>
      </c>
      <c r="I25" s="4"/>
      <c r="K25" s="1">
        <v>41821</v>
      </c>
      <c r="L25">
        <v>6.125</v>
      </c>
      <c r="M25">
        <v>6.0456837810193402</v>
      </c>
      <c r="N25">
        <v>11.2693833513204</v>
      </c>
      <c r="O25">
        <v>6.2474076822980201E-2</v>
      </c>
      <c r="P25">
        <v>31.582917146612498</v>
      </c>
      <c r="Q25">
        <v>33463629135.439999</v>
      </c>
      <c r="R25" s="4">
        <f t="shared" si="1"/>
        <v>3.3111799878442955E-2</v>
      </c>
      <c r="S25" s="4">
        <f t="shared" si="2"/>
        <v>1.8473245363428495E-2</v>
      </c>
      <c r="V25" s="1">
        <v>37926</v>
      </c>
      <c r="W25">
        <v>4.5</v>
      </c>
      <c r="X25">
        <v>4.4461286359663701</v>
      </c>
      <c r="Y25">
        <v>20.878490405336098</v>
      </c>
      <c r="Z25">
        <v>10.6867231930395</v>
      </c>
      <c r="AA25">
        <v>36.290855933841698</v>
      </c>
      <c r="AB25">
        <v>73987465.579999998</v>
      </c>
      <c r="AC25" s="4">
        <f t="shared" si="3"/>
        <v>-1.119053228836174E-2</v>
      </c>
    </row>
    <row r="26" spans="1:29" x14ac:dyDescent="0.25">
      <c r="A26" s="1">
        <v>41640</v>
      </c>
      <c r="B26">
        <v>6.25</v>
      </c>
      <c r="C26">
        <v>6.1789570744689897</v>
      </c>
      <c r="D26">
        <v>13.229574483576499</v>
      </c>
      <c r="E26">
        <v>2.5283639707283201E-2</v>
      </c>
      <c r="F26">
        <v>41.452642866153099</v>
      </c>
      <c r="G26">
        <v>24387436055.34</v>
      </c>
      <c r="H26" s="4">
        <f t="shared" si="0"/>
        <v>2.8411301273309431E-2</v>
      </c>
      <c r="I26" s="4"/>
      <c r="K26" s="1">
        <v>41821</v>
      </c>
      <c r="L26">
        <v>6.25</v>
      </c>
      <c r="M26">
        <v>6.1783065858354203</v>
      </c>
      <c r="N26">
        <v>13.2069765621619</v>
      </c>
      <c r="O26">
        <v>2.3194904222523901E-2</v>
      </c>
      <c r="P26">
        <v>35.061351043864001</v>
      </c>
      <c r="Q26">
        <v>20371900587.860001</v>
      </c>
      <c r="R26" s="4">
        <f t="shared" si="1"/>
        <v>4.4184438969733772E-2</v>
      </c>
      <c r="S26" s="4">
        <f t="shared" si="2"/>
        <v>1.5773137696424341E-2</v>
      </c>
      <c r="V26" s="1">
        <v>37956</v>
      </c>
      <c r="W26">
        <v>4.5</v>
      </c>
      <c r="X26">
        <v>4.4489824238954796</v>
      </c>
      <c r="Y26">
        <v>17.754774885604601</v>
      </c>
      <c r="Z26">
        <v>9.1146950487113205</v>
      </c>
      <c r="AA26">
        <v>35.534852187816298</v>
      </c>
      <c r="AB26">
        <v>99456204.890000001</v>
      </c>
      <c r="AC26" s="4">
        <f t="shared" si="3"/>
        <v>2.4363321006079242E-3</v>
      </c>
    </row>
    <row r="27" spans="1:29" x14ac:dyDescent="0.25">
      <c r="A27" s="1">
        <v>41640</v>
      </c>
      <c r="B27">
        <v>6.375</v>
      </c>
      <c r="C27">
        <v>6.30127778684178</v>
      </c>
      <c r="D27">
        <v>13.9939911750905</v>
      </c>
      <c r="E27">
        <v>5.7546152584501298E-2</v>
      </c>
      <c r="F27">
        <v>45.6870701576469</v>
      </c>
      <c r="G27">
        <v>26417940177.619999</v>
      </c>
      <c r="H27" s="4">
        <f t="shared" si="0"/>
        <v>2.5146774830942742E-2</v>
      </c>
      <c r="I27" s="4"/>
      <c r="K27" s="1">
        <v>41821</v>
      </c>
      <c r="L27">
        <v>6.375</v>
      </c>
      <c r="M27">
        <v>6.3008676169709101</v>
      </c>
      <c r="N27">
        <v>13.770403486905201</v>
      </c>
      <c r="O27">
        <v>3.7328714701254199E-2</v>
      </c>
      <c r="P27">
        <v>38.469416863784801</v>
      </c>
      <c r="Q27">
        <v>22807927808.540001</v>
      </c>
      <c r="R27" s="4">
        <f t="shared" si="1"/>
        <v>4.1157205562577459E-2</v>
      </c>
      <c r="S27" s="4">
        <f t="shared" si="2"/>
        <v>1.6010430731634717E-2</v>
      </c>
      <c r="V27" s="1">
        <v>37987</v>
      </c>
      <c r="W27">
        <v>4.5</v>
      </c>
      <c r="X27">
        <v>4.4447096142787403</v>
      </c>
      <c r="Y27">
        <v>17.0861424209576</v>
      </c>
      <c r="Z27">
        <v>10.138993201047301</v>
      </c>
      <c r="AA27">
        <v>33.881911424749802</v>
      </c>
      <c r="AB27">
        <v>101530665.06</v>
      </c>
      <c r="AC27" s="4">
        <f t="shared" si="3"/>
        <v>1.5233286362771506E-2</v>
      </c>
    </row>
    <row r="28" spans="1:29" x14ac:dyDescent="0.25">
      <c r="A28" s="1">
        <v>41640</v>
      </c>
      <c r="B28">
        <v>6.5</v>
      </c>
      <c r="C28">
        <v>6.4296046678688601</v>
      </c>
      <c r="D28">
        <v>17.199941535688499</v>
      </c>
      <c r="E28">
        <v>5.2557292039994603E-2</v>
      </c>
      <c r="F28">
        <v>46.2302774461334</v>
      </c>
      <c r="G28">
        <v>44502849423.260002</v>
      </c>
      <c r="H28" s="4">
        <f t="shared" si="0"/>
        <v>5.589814882115153E-2</v>
      </c>
      <c r="I28" s="4"/>
      <c r="K28" s="1">
        <v>41821</v>
      </c>
      <c r="L28">
        <v>6.5</v>
      </c>
      <c r="M28">
        <v>6.4296390564069599</v>
      </c>
      <c r="N28">
        <v>16.9922493888205</v>
      </c>
      <c r="O28">
        <v>3.9112493571054299E-2</v>
      </c>
      <c r="P28">
        <v>40.071649905300497</v>
      </c>
      <c r="Q28">
        <v>38259840381.400002</v>
      </c>
      <c r="R28" s="4">
        <f t="shared" si="1"/>
        <v>6.935224418924324E-2</v>
      </c>
      <c r="S28" s="4">
        <f t="shared" si="2"/>
        <v>1.3454095368091709E-2</v>
      </c>
      <c r="V28" s="1">
        <v>38018</v>
      </c>
      <c r="W28">
        <v>4.5</v>
      </c>
      <c r="X28">
        <v>4.4452130798840299</v>
      </c>
      <c r="Y28">
        <v>17.279440100067699</v>
      </c>
      <c r="Z28">
        <v>10.4851123434663</v>
      </c>
      <c r="AA28">
        <v>28.2277864712471</v>
      </c>
      <c r="AB28">
        <v>101353813.34999999</v>
      </c>
      <c r="AC28" s="4">
        <f t="shared" si="3"/>
        <v>2.6261886121037581E-3</v>
      </c>
    </row>
    <row r="29" spans="1:29" x14ac:dyDescent="0.25">
      <c r="A29" s="1">
        <v>41640</v>
      </c>
      <c r="B29">
        <v>6.625</v>
      </c>
      <c r="C29">
        <v>6.5500133987795701</v>
      </c>
      <c r="D29">
        <v>18.155640440061699</v>
      </c>
      <c r="E29">
        <v>2.2311869139564899E-2</v>
      </c>
      <c r="F29">
        <v>44.9181519621851</v>
      </c>
      <c r="G29">
        <v>32640388422.310001</v>
      </c>
      <c r="H29" s="4">
        <f t="shared" si="0"/>
        <v>6.9037905803758584E-2</v>
      </c>
      <c r="I29" s="4"/>
      <c r="K29" s="1">
        <v>41821</v>
      </c>
      <c r="L29">
        <v>6.625</v>
      </c>
      <c r="M29">
        <v>6.5500328961616798</v>
      </c>
      <c r="N29">
        <v>18.083098730211901</v>
      </c>
      <c r="O29">
        <v>1.4990631289122799E-2</v>
      </c>
      <c r="P29">
        <v>38.663480566045401</v>
      </c>
      <c r="Q29">
        <v>27821961314.5</v>
      </c>
      <c r="R29" s="4">
        <f t="shared" si="1"/>
        <v>8.4022379574114306E-2</v>
      </c>
      <c r="S29" s="4">
        <f t="shared" si="2"/>
        <v>1.4984473770355722E-2</v>
      </c>
      <c r="V29" s="1">
        <v>38047</v>
      </c>
      <c r="W29">
        <v>4.5</v>
      </c>
      <c r="X29">
        <v>4.4451987708131702</v>
      </c>
      <c r="Y29">
        <v>17.2842030433955</v>
      </c>
      <c r="Z29">
        <v>8.6166371436438602</v>
      </c>
      <c r="AA29">
        <v>24.329992011993099</v>
      </c>
      <c r="AB29">
        <v>101195227.83</v>
      </c>
      <c r="AC29" s="4">
        <f t="shared" si="3"/>
        <v>-2.5850678967533645E-2</v>
      </c>
    </row>
    <row r="30" spans="1:29" x14ac:dyDescent="0.25">
      <c r="A30" s="1">
        <v>41640</v>
      </c>
      <c r="B30">
        <v>6.75</v>
      </c>
      <c r="C30">
        <v>6.6767876901735796</v>
      </c>
      <c r="D30">
        <v>19.278474633730799</v>
      </c>
      <c r="E30">
        <v>6.0780061693974296E-3</v>
      </c>
      <c r="F30">
        <v>44.8861545656397</v>
      </c>
      <c r="G30">
        <v>20497852098.689999</v>
      </c>
      <c r="H30" s="4">
        <f t="shared" si="0"/>
        <v>8.0508579861514773E-2</v>
      </c>
      <c r="I30" s="4"/>
      <c r="K30" s="1">
        <v>41821</v>
      </c>
      <c r="L30">
        <v>6.75</v>
      </c>
      <c r="M30">
        <v>6.6767954524481503</v>
      </c>
      <c r="N30">
        <v>18.995118826706801</v>
      </c>
      <c r="O30">
        <v>1.9065920714139101E-3</v>
      </c>
      <c r="P30">
        <v>38.970317933424099</v>
      </c>
      <c r="Q30">
        <v>17190713680.630001</v>
      </c>
      <c r="R30" s="4">
        <f t="shared" si="1"/>
        <v>9.2506327512793626E-2</v>
      </c>
      <c r="S30" s="4">
        <f t="shared" si="2"/>
        <v>1.1997747651278853E-2</v>
      </c>
      <c r="V30" s="1">
        <v>38078</v>
      </c>
      <c r="W30">
        <v>4.5</v>
      </c>
      <c r="X30">
        <v>4.4451966305968096</v>
      </c>
      <c r="Y30">
        <v>17.2852686561768</v>
      </c>
      <c r="Z30">
        <v>6.0987600208647601</v>
      </c>
      <c r="AA30">
        <v>22.896339550196998</v>
      </c>
      <c r="AB30">
        <v>103958577.87</v>
      </c>
      <c r="AC30" s="4">
        <f t="shared" si="3"/>
        <v>-5.4624237477627902E-2</v>
      </c>
    </row>
    <row r="31" spans="1:29" x14ac:dyDescent="0.25">
      <c r="A31" s="1">
        <v>41640</v>
      </c>
      <c r="B31">
        <v>6.875</v>
      </c>
      <c r="C31">
        <v>6.8056157702740201</v>
      </c>
      <c r="D31">
        <v>20.515633793792599</v>
      </c>
      <c r="E31">
        <v>3.08207075022582E-2</v>
      </c>
      <c r="F31">
        <v>50.484125473120201</v>
      </c>
      <c r="G31">
        <v>15430585718.549999</v>
      </c>
      <c r="H31" s="4">
        <f t="shared" si="0"/>
        <v>7.8637817180102904E-2</v>
      </c>
      <c r="I31" s="4"/>
      <c r="K31" s="1">
        <v>41821</v>
      </c>
      <c r="L31">
        <v>6.875</v>
      </c>
      <c r="M31">
        <v>6.8047875614908397</v>
      </c>
      <c r="N31">
        <v>20.096725788122299</v>
      </c>
      <c r="O31">
        <v>1.9451923912218099E-2</v>
      </c>
      <c r="P31">
        <v>44.908093003240502</v>
      </c>
      <c r="Q31">
        <v>13288740141.91</v>
      </c>
      <c r="R31" s="4">
        <f t="shared" si="1"/>
        <v>8.850250613399957E-2</v>
      </c>
      <c r="S31" s="4">
        <f t="shared" si="2"/>
        <v>9.8646889538966664E-3</v>
      </c>
      <c r="V31" s="1">
        <v>38108</v>
      </c>
      <c r="W31">
        <v>4.5</v>
      </c>
      <c r="X31">
        <v>4.4460660541041301</v>
      </c>
      <c r="Y31">
        <v>19.096919835346799</v>
      </c>
      <c r="Z31">
        <v>8.0066956044702504</v>
      </c>
      <c r="AA31">
        <v>25.4999088256811</v>
      </c>
      <c r="AB31">
        <v>104780572.26000001</v>
      </c>
      <c r="AC31" s="4">
        <f t="shared" si="3"/>
        <v>-4.7152470244562733E-2</v>
      </c>
    </row>
    <row r="32" spans="1:29" x14ac:dyDescent="0.25">
      <c r="A32" s="1">
        <v>41640</v>
      </c>
      <c r="B32">
        <v>7</v>
      </c>
      <c r="C32">
        <v>6.9221878706147004</v>
      </c>
      <c r="D32">
        <v>20.1378991250496</v>
      </c>
      <c r="E32">
        <v>6.4179153918042702E-3</v>
      </c>
      <c r="F32">
        <v>49.3044880567017</v>
      </c>
      <c r="G32">
        <v>19389906369.869999</v>
      </c>
      <c r="H32" s="4">
        <f t="shared" si="0"/>
        <v>7.8053591954823698E-2</v>
      </c>
      <c r="I32" s="4"/>
      <c r="K32" s="1">
        <v>41821</v>
      </c>
      <c r="L32">
        <v>7</v>
      </c>
      <c r="M32">
        <v>6.9217797566413202</v>
      </c>
      <c r="N32">
        <v>19.893409247349702</v>
      </c>
      <c r="O32">
        <v>4.2274714025145503E-3</v>
      </c>
      <c r="P32">
        <v>42.282459003045297</v>
      </c>
      <c r="Q32">
        <v>16718233330.99</v>
      </c>
      <c r="R32" s="4">
        <f t="shared" si="1"/>
        <v>9.3185670251858629E-2</v>
      </c>
      <c r="S32" s="4">
        <f t="shared" si="2"/>
        <v>1.5132078297034932E-2</v>
      </c>
      <c r="V32" s="1">
        <v>38139</v>
      </c>
      <c r="W32">
        <v>4.5</v>
      </c>
      <c r="X32">
        <v>4.4461958796650096</v>
      </c>
      <c r="Y32">
        <v>18.896135431708199</v>
      </c>
      <c r="Z32">
        <v>5.8607496784470898</v>
      </c>
      <c r="AA32">
        <v>26.050301705375801</v>
      </c>
      <c r="AB32">
        <v>103920257.34999999</v>
      </c>
      <c r="AC32" s="4">
        <f t="shared" si="3"/>
        <v>-6.5228103269171583E-2</v>
      </c>
    </row>
    <row r="33" spans="1:29" x14ac:dyDescent="0.25">
      <c r="A33" s="1">
        <v>41640</v>
      </c>
      <c r="B33">
        <v>7.125</v>
      </c>
      <c r="C33">
        <v>7.0474092081089301</v>
      </c>
      <c r="D33">
        <v>23.0593471168246</v>
      </c>
      <c r="E33">
        <v>0</v>
      </c>
      <c r="F33">
        <v>47.907267217111503</v>
      </c>
      <c r="G33">
        <v>10050678887.15</v>
      </c>
      <c r="H33" s="4">
        <f t="shared" si="0"/>
        <v>0.11082530312546723</v>
      </c>
      <c r="I33" s="4"/>
      <c r="K33" s="1">
        <v>41821</v>
      </c>
      <c r="L33">
        <v>7.125</v>
      </c>
      <c r="M33">
        <v>7.0468063793613602</v>
      </c>
      <c r="N33">
        <v>22.623598016787099</v>
      </c>
      <c r="O33">
        <v>0</v>
      </c>
      <c r="P33">
        <v>41.559601880544101</v>
      </c>
      <c r="Q33">
        <v>8727515414.75</v>
      </c>
      <c r="R33" s="4">
        <f t="shared" si="1"/>
        <v>0.12233697546651075</v>
      </c>
      <c r="S33" s="4">
        <f t="shared" si="2"/>
        <v>1.1511672341043513E-2</v>
      </c>
      <c r="V33" s="1">
        <v>38169</v>
      </c>
      <c r="W33">
        <v>4.5</v>
      </c>
      <c r="X33">
        <v>4.4462339344857904</v>
      </c>
      <c r="Y33">
        <v>19.023592182691601</v>
      </c>
      <c r="Z33">
        <v>5.9007528878905804</v>
      </c>
      <c r="AA33">
        <v>25.222356496025998</v>
      </c>
      <c r="AB33">
        <v>103293950.17</v>
      </c>
      <c r="AC33" s="4">
        <f t="shared" si="3"/>
        <v>-6.8172501707945199E-2</v>
      </c>
    </row>
    <row r="34" spans="1:29" x14ac:dyDescent="0.25">
      <c r="A34" s="1">
        <v>41640</v>
      </c>
      <c r="B34">
        <v>7.25</v>
      </c>
      <c r="C34">
        <v>7.17052341830302</v>
      </c>
      <c r="D34">
        <v>24.982658925842198</v>
      </c>
      <c r="E34">
        <v>0</v>
      </c>
      <c r="F34">
        <v>50.424802211225803</v>
      </c>
      <c r="G34">
        <v>4781335678.0500002</v>
      </c>
      <c r="H34" s="4">
        <f t="shared" si="0"/>
        <v>0.12376458373035748</v>
      </c>
      <c r="I34" s="4"/>
      <c r="K34" s="1">
        <v>41821</v>
      </c>
      <c r="L34">
        <v>7.25</v>
      </c>
      <c r="M34">
        <v>7.1712532991231397</v>
      </c>
      <c r="N34">
        <v>24.403716933418799</v>
      </c>
      <c r="O34">
        <v>0</v>
      </c>
      <c r="P34">
        <v>45.203874396364697</v>
      </c>
      <c r="Q34">
        <v>4139410794.2600002</v>
      </c>
      <c r="R34" s="4">
        <f t="shared" si="1"/>
        <v>0.13102748334327624</v>
      </c>
      <c r="S34" s="4">
        <f t="shared" si="2"/>
        <v>7.2628996129187606E-3</v>
      </c>
      <c r="V34" s="1">
        <v>38200</v>
      </c>
      <c r="W34">
        <v>4.5</v>
      </c>
      <c r="X34">
        <v>4.4474821573870802</v>
      </c>
      <c r="Y34">
        <v>19.0425508528206</v>
      </c>
      <c r="Z34">
        <v>4.9756933515465596</v>
      </c>
      <c r="AA34">
        <v>24.024236680256799</v>
      </c>
      <c r="AB34">
        <v>102213427.43000001</v>
      </c>
      <c r="AC34" s="4">
        <f t="shared" si="3"/>
        <v>-8.0607983312098411E-2</v>
      </c>
    </row>
    <row r="35" spans="1:29" x14ac:dyDescent="0.25">
      <c r="A35" s="1">
        <v>41640</v>
      </c>
      <c r="B35">
        <v>7.375</v>
      </c>
      <c r="C35">
        <v>7.2969695274637898</v>
      </c>
      <c r="D35">
        <v>22.4315448175204</v>
      </c>
      <c r="E35">
        <v>5.8959707157527401E-2</v>
      </c>
      <c r="F35">
        <v>54.078869299643301</v>
      </c>
      <c r="G35">
        <v>4666637399.7299995</v>
      </c>
      <c r="H35" s="4">
        <f t="shared" si="0"/>
        <v>8.8528677854520454E-2</v>
      </c>
      <c r="I35" s="4"/>
      <c r="K35" s="1">
        <v>41821</v>
      </c>
      <c r="L35">
        <v>7.375</v>
      </c>
      <c r="M35">
        <v>7.29659857944677</v>
      </c>
      <c r="N35">
        <v>22.155181850859201</v>
      </c>
      <c r="O35">
        <v>4.0776455055509198E-2</v>
      </c>
      <c r="P35">
        <v>49.392465497339202</v>
      </c>
      <c r="Q35">
        <v>3961529337.9899998</v>
      </c>
      <c r="R35" s="4">
        <f t="shared" si="1"/>
        <v>9.7662890214688935E-2</v>
      </c>
      <c r="S35" s="4">
        <f t="shared" si="2"/>
        <v>9.134212360168481E-3</v>
      </c>
      <c r="V35" s="1">
        <v>38231</v>
      </c>
      <c r="W35">
        <v>4.5</v>
      </c>
      <c r="X35">
        <v>4.4489589378952399</v>
      </c>
      <c r="Y35">
        <v>19.332526391099599</v>
      </c>
      <c r="Z35">
        <v>4.9510313286627898</v>
      </c>
      <c r="AA35">
        <v>25.1211596432771</v>
      </c>
      <c r="AB35">
        <v>103904172.73</v>
      </c>
      <c r="AC35" s="4">
        <f t="shared" si="3"/>
        <v>-8.1012051516175354E-2</v>
      </c>
    </row>
    <row r="36" spans="1:29" x14ac:dyDescent="0.25">
      <c r="A36" s="1">
        <v>41640</v>
      </c>
      <c r="B36">
        <v>7.5</v>
      </c>
      <c r="C36">
        <v>7.4237863741037797</v>
      </c>
      <c r="D36">
        <v>20.969354321704099</v>
      </c>
      <c r="E36">
        <v>4.0439673995144899E-2</v>
      </c>
      <c r="F36">
        <v>53.910825679940601</v>
      </c>
      <c r="G36">
        <v>4861309649.0699997</v>
      </c>
      <c r="H36" s="4">
        <f t="shared" si="0"/>
        <v>7.4512082277238018E-2</v>
      </c>
      <c r="I36" s="4"/>
      <c r="K36" s="1">
        <v>41821</v>
      </c>
      <c r="L36">
        <v>7.5</v>
      </c>
      <c r="M36">
        <v>7.4229773505055601</v>
      </c>
      <c r="N36">
        <v>20.882843165967099</v>
      </c>
      <c r="O36">
        <v>3.51686701383409E-2</v>
      </c>
      <c r="P36">
        <v>48.821724266528101</v>
      </c>
      <c r="Q36">
        <v>4190395442.3699999</v>
      </c>
      <c r="R36" s="4">
        <f t="shared" si="1"/>
        <v>8.6422434291967332E-2</v>
      </c>
      <c r="S36" s="4">
        <f t="shared" si="2"/>
        <v>1.1910352014729314E-2</v>
      </c>
      <c r="V36" s="1">
        <v>38261</v>
      </c>
      <c r="W36">
        <v>4.5</v>
      </c>
      <c r="X36">
        <v>4.4492090313601302</v>
      </c>
      <c r="Y36">
        <v>19.7504705961409</v>
      </c>
      <c r="Z36">
        <v>3.9973795330491999</v>
      </c>
      <c r="AA36">
        <v>21.292124826311699</v>
      </c>
      <c r="AB36">
        <v>102915621.83</v>
      </c>
      <c r="AC36" s="4">
        <f t="shared" si="3"/>
        <v>-0.10430059856513776</v>
      </c>
    </row>
    <row r="37" spans="1:29" x14ac:dyDescent="0.25">
      <c r="A37" s="1">
        <v>41640</v>
      </c>
      <c r="B37">
        <v>7.625</v>
      </c>
      <c r="C37">
        <v>7.5450495729443396</v>
      </c>
      <c r="D37">
        <v>23.1505237823459</v>
      </c>
      <c r="E37">
        <v>0</v>
      </c>
      <c r="F37">
        <v>50.4942489142176</v>
      </c>
      <c r="G37">
        <v>3624115254.9699998</v>
      </c>
      <c r="H37" s="4">
        <f t="shared" si="0"/>
        <v>0.105269615537915</v>
      </c>
      <c r="I37" s="4"/>
      <c r="K37" s="1">
        <v>41821</v>
      </c>
      <c r="L37">
        <v>7.625</v>
      </c>
      <c r="M37">
        <v>7.5449434442538097</v>
      </c>
      <c r="N37">
        <v>22.534868085006899</v>
      </c>
      <c r="O37">
        <v>0</v>
      </c>
      <c r="P37">
        <v>46.347247628127299</v>
      </c>
      <c r="Q37">
        <v>3202700153.54</v>
      </c>
      <c r="R37" s="4">
        <f t="shared" si="1"/>
        <v>0.10948056177975074</v>
      </c>
      <c r="S37" s="4">
        <f t="shared" si="2"/>
        <v>4.2109462418357391E-3</v>
      </c>
      <c r="V37" s="1">
        <v>38292</v>
      </c>
      <c r="W37">
        <v>4.5</v>
      </c>
      <c r="X37">
        <v>4.44856938165917</v>
      </c>
      <c r="Y37">
        <v>19.171643806186999</v>
      </c>
      <c r="Z37">
        <v>2.4021936673986199</v>
      </c>
      <c r="AA37">
        <v>20.573481698120801</v>
      </c>
      <c r="AB37">
        <v>100930557.29000001</v>
      </c>
      <c r="AC37" s="4">
        <f t="shared" si="3"/>
        <v>-0.11626079714258181</v>
      </c>
    </row>
    <row r="38" spans="1:29" x14ac:dyDescent="0.25">
      <c r="A38" s="1">
        <v>41640</v>
      </c>
      <c r="B38">
        <v>7.75</v>
      </c>
      <c r="C38">
        <v>7.6757187783572203</v>
      </c>
      <c r="D38">
        <v>23.954682070946902</v>
      </c>
      <c r="E38">
        <v>0</v>
      </c>
      <c r="F38">
        <v>48.323689401948499</v>
      </c>
      <c r="G38">
        <v>2753578509.5500002</v>
      </c>
      <c r="H38" s="4">
        <f t="shared" si="0"/>
        <v>0.11873759720459776</v>
      </c>
      <c r="I38" s="4"/>
      <c r="K38" s="1">
        <v>41821</v>
      </c>
      <c r="L38">
        <v>7.75</v>
      </c>
      <c r="M38">
        <v>7.67568653763316</v>
      </c>
      <c r="N38">
        <v>23.7079929948356</v>
      </c>
      <c r="O38">
        <v>0</v>
      </c>
      <c r="P38">
        <v>45.950056790579403</v>
      </c>
      <c r="Q38">
        <v>2366777852.7399998</v>
      </c>
      <c r="R38" s="4">
        <f t="shared" si="1"/>
        <v>0.12220478797190749</v>
      </c>
      <c r="S38" s="4">
        <f t="shared" si="2"/>
        <v>3.4671907673097385E-3</v>
      </c>
      <c r="V38" s="1">
        <v>38322</v>
      </c>
      <c r="W38">
        <v>4.5</v>
      </c>
      <c r="X38">
        <v>4.4496505967024698</v>
      </c>
      <c r="Y38">
        <v>17.582280800121801</v>
      </c>
      <c r="Z38">
        <v>0.96795792176679096</v>
      </c>
      <c r="AA38">
        <v>18.1446842702507</v>
      </c>
      <c r="AB38">
        <v>98331084.859999999</v>
      </c>
      <c r="AC38" s="4">
        <f t="shared" si="3"/>
        <v>-0.12078151810792334</v>
      </c>
    </row>
    <row r="39" spans="1:29" x14ac:dyDescent="0.25">
      <c r="A39" s="1">
        <v>41640</v>
      </c>
      <c r="B39">
        <v>7.875</v>
      </c>
      <c r="C39">
        <v>8.2289487016810892</v>
      </c>
      <c r="D39">
        <v>22.697608970976901</v>
      </c>
      <c r="E39">
        <v>0</v>
      </c>
      <c r="F39">
        <v>46.477331806732799</v>
      </c>
      <c r="G39">
        <v>8828716648.1299992</v>
      </c>
      <c r="H39" s="4">
        <f t="shared" si="0"/>
        <v>0.11078276019293702</v>
      </c>
      <c r="I39" s="4"/>
      <c r="K39" s="1">
        <v>41821</v>
      </c>
      <c r="L39">
        <v>7.875</v>
      </c>
      <c r="M39">
        <v>8.22942427561585</v>
      </c>
      <c r="N39">
        <v>22.789351862907001</v>
      </c>
      <c r="O39">
        <v>0</v>
      </c>
      <c r="P39">
        <v>41.528675733694101</v>
      </c>
      <c r="Q39">
        <v>7843125675.3900003</v>
      </c>
      <c r="R39" s="4">
        <f t="shared" si="1"/>
        <v>0.12407182929483476</v>
      </c>
      <c r="S39" s="4">
        <f t="shared" si="2"/>
        <v>1.3289069101897741E-2</v>
      </c>
      <c r="V39" s="1">
        <v>38353</v>
      </c>
      <c r="W39">
        <v>4.5</v>
      </c>
      <c r="X39">
        <v>4.4501350267012301</v>
      </c>
      <c r="Y39">
        <v>17.661046736206401</v>
      </c>
      <c r="Z39">
        <v>0.97231866715017801</v>
      </c>
      <c r="AA39">
        <v>17.841883930265901</v>
      </c>
      <c r="AB39">
        <v>98031827.560000002</v>
      </c>
      <c r="AC39" s="4">
        <f t="shared" si="3"/>
        <v>-0.12228257086489749</v>
      </c>
    </row>
    <row r="40" spans="1:29" x14ac:dyDescent="0.25">
      <c r="I40" s="4"/>
      <c r="V40" s="1">
        <v>38384</v>
      </c>
      <c r="W40">
        <v>4.5</v>
      </c>
      <c r="X40">
        <v>4.4503672353868602</v>
      </c>
      <c r="Y40">
        <v>17.686705514443702</v>
      </c>
      <c r="Z40">
        <v>0.97383083291866501</v>
      </c>
      <c r="AA40">
        <v>17.900736793695401</v>
      </c>
      <c r="AB40">
        <v>97440577.510000005</v>
      </c>
      <c r="AC40" s="4">
        <f t="shared" si="3"/>
        <v>-0.12237690483101185</v>
      </c>
    </row>
    <row r="41" spans="1:29" x14ac:dyDescent="0.25">
      <c r="V41" s="1">
        <v>38412</v>
      </c>
      <c r="W41">
        <v>4.5</v>
      </c>
      <c r="X41">
        <v>4.4519552882631102</v>
      </c>
      <c r="Y41">
        <v>15.902857183823601</v>
      </c>
      <c r="Z41">
        <v>1.0047751936429601</v>
      </c>
      <c r="AA41">
        <v>13.4740828033145</v>
      </c>
      <c r="AB41">
        <v>94113908.620000005</v>
      </c>
      <c r="AC41" s="4">
        <f t="shared" si="3"/>
        <v>-0.11529561289352017</v>
      </c>
    </row>
    <row r="42" spans="1:29" x14ac:dyDescent="0.25">
      <c r="V42" s="1">
        <v>38443</v>
      </c>
      <c r="W42">
        <v>4.5</v>
      </c>
      <c r="X42">
        <v>4.4510678128957597</v>
      </c>
      <c r="Y42">
        <v>15.7731267769365</v>
      </c>
      <c r="Z42">
        <v>1.0110529755376201</v>
      </c>
      <c r="AA42">
        <v>3.8663792820371099</v>
      </c>
      <c r="AB42">
        <v>93275897.439999998</v>
      </c>
      <c r="AC42" s="4">
        <f t="shared" si="3"/>
        <v>-0.137954789808896</v>
      </c>
    </row>
    <row r="43" spans="1:29" x14ac:dyDescent="0.25">
      <c r="V43" s="1">
        <v>38473</v>
      </c>
      <c r="W43">
        <v>4.5</v>
      </c>
      <c r="X43">
        <v>4.44976166507423</v>
      </c>
      <c r="Y43">
        <v>15.777216678197201</v>
      </c>
      <c r="Z43">
        <v>1.01852453120384</v>
      </c>
      <c r="AA43">
        <v>3.9771450345206301</v>
      </c>
      <c r="AB43">
        <v>92283332.810000002</v>
      </c>
      <c r="AC43" s="4">
        <f t="shared" si="3"/>
        <v>-0.13764405888363201</v>
      </c>
    </row>
    <row r="44" spans="1:29" x14ac:dyDescent="0.25">
      <c r="V44" s="1">
        <v>38504</v>
      </c>
      <c r="W44">
        <v>4.5</v>
      </c>
      <c r="X44">
        <v>4.4498796303614796</v>
      </c>
      <c r="Y44">
        <v>15.4823675810586</v>
      </c>
      <c r="Z44">
        <v>0</v>
      </c>
      <c r="AA44">
        <v>2.9839945544825901</v>
      </c>
      <c r="AB44">
        <v>92052376.370000005</v>
      </c>
      <c r="AC44" s="4">
        <f t="shared" si="3"/>
        <v>-0.14736368942437952</v>
      </c>
    </row>
    <row r="45" spans="1:29" x14ac:dyDescent="0.25">
      <c r="V45" s="1">
        <v>38534</v>
      </c>
      <c r="W45">
        <v>4.5</v>
      </c>
      <c r="X45">
        <v>4.4495331859581198</v>
      </c>
      <c r="Y45">
        <v>15.525241237250899</v>
      </c>
      <c r="Z45">
        <v>0</v>
      </c>
      <c r="AA45">
        <v>1.70099939304332</v>
      </c>
      <c r="AB45">
        <v>91072448.879999995</v>
      </c>
      <c r="AC45" s="4">
        <f t="shared" si="3"/>
        <v>-0.15099991388990069</v>
      </c>
    </row>
    <row r="46" spans="1:29" x14ac:dyDescent="0.25">
      <c r="V46" s="1">
        <v>38565</v>
      </c>
      <c r="W46">
        <v>4.5</v>
      </c>
      <c r="X46">
        <v>4.4479340017515998</v>
      </c>
      <c r="Y46">
        <v>17.0705885986978</v>
      </c>
      <c r="Z46">
        <v>0</v>
      </c>
      <c r="AA46">
        <v>-0.12559060218377999</v>
      </c>
      <c r="AB46">
        <v>94270179.230000004</v>
      </c>
      <c r="AC46" s="4">
        <f t="shared" si="3"/>
        <v>-0.17101986249243745</v>
      </c>
    </row>
    <row r="47" spans="1:29" x14ac:dyDescent="0.25">
      <c r="V47" s="1">
        <v>38596</v>
      </c>
      <c r="W47">
        <v>4.5</v>
      </c>
      <c r="X47">
        <v>4.4478479329293501</v>
      </c>
      <c r="Y47">
        <v>18.917028062674898</v>
      </c>
      <c r="Z47">
        <v>0</v>
      </c>
      <c r="AA47">
        <v>0.41901010383896498</v>
      </c>
      <c r="AB47">
        <v>97133137.079999998</v>
      </c>
      <c r="AC47" s="4">
        <f t="shared" si="3"/>
        <v>-0.18812275536715156</v>
      </c>
    </row>
    <row r="48" spans="1:29" x14ac:dyDescent="0.25">
      <c r="V48" s="1">
        <v>38626</v>
      </c>
      <c r="W48">
        <v>4.5</v>
      </c>
      <c r="X48">
        <v>4.4465250337292099</v>
      </c>
      <c r="Y48">
        <v>13.761149733609299</v>
      </c>
      <c r="Z48">
        <v>0</v>
      </c>
      <c r="AA48">
        <v>-6.2464122471835299</v>
      </c>
      <c r="AB48">
        <v>92247363.739999995</v>
      </c>
      <c r="AC48" s="4">
        <f t="shared" si="3"/>
        <v>-0.15322752795405181</v>
      </c>
    </row>
    <row r="49" spans="22:29" x14ac:dyDescent="0.25">
      <c r="V49" s="1">
        <v>38657</v>
      </c>
      <c r="W49">
        <v>4.5</v>
      </c>
      <c r="X49">
        <v>4.4457845361342203</v>
      </c>
      <c r="Y49">
        <v>13.8500716325862</v>
      </c>
      <c r="Z49">
        <v>0</v>
      </c>
      <c r="AA49">
        <v>-6.13794920083983</v>
      </c>
      <c r="AB49">
        <v>130302877.36</v>
      </c>
      <c r="AC49" s="4">
        <f t="shared" si="3"/>
        <v>-0.15384558932796158</v>
      </c>
    </row>
    <row r="50" spans="22:29" x14ac:dyDescent="0.25">
      <c r="V50" s="1">
        <v>38687</v>
      </c>
      <c r="W50">
        <v>4.5</v>
      </c>
      <c r="X50">
        <v>4.4487532775939904</v>
      </c>
      <c r="Y50">
        <v>9.5141566921872602</v>
      </c>
      <c r="Z50">
        <v>0</v>
      </c>
      <c r="AA50">
        <v>-5.3440503776717803</v>
      </c>
      <c r="AB50">
        <v>129567773.94</v>
      </c>
      <c r="AC50" s="4">
        <f t="shared" si="3"/>
        <v>-0.10850169286605205</v>
      </c>
    </row>
    <row r="51" spans="22:29" x14ac:dyDescent="0.25">
      <c r="V51" s="1">
        <v>38718</v>
      </c>
      <c r="W51">
        <v>4.5</v>
      </c>
      <c r="X51">
        <v>4.4476279382308501</v>
      </c>
      <c r="Y51">
        <v>9.4497687652882796</v>
      </c>
      <c r="Z51">
        <v>0</v>
      </c>
      <c r="AA51">
        <v>-5.3468912739288204</v>
      </c>
      <c r="AB51">
        <v>128747794.66</v>
      </c>
      <c r="AC51" s="4">
        <f t="shared" si="3"/>
        <v>-0.10786491583770486</v>
      </c>
    </row>
    <row r="52" spans="22:29" x14ac:dyDescent="0.25">
      <c r="V52" s="1">
        <v>38749</v>
      </c>
      <c r="W52">
        <v>4.5</v>
      </c>
      <c r="X52">
        <v>4.4477822831806098</v>
      </c>
      <c r="Y52">
        <v>9.4917416404148405</v>
      </c>
      <c r="Z52">
        <v>0</v>
      </c>
      <c r="AA52">
        <v>-5.32263947834661</v>
      </c>
      <c r="AB52">
        <v>130244790.03</v>
      </c>
      <c r="AC52" s="4">
        <f t="shared" si="3"/>
        <v>-0.10822401510001492</v>
      </c>
    </row>
    <row r="53" spans="22:29" x14ac:dyDescent="0.25">
      <c r="V53" s="1">
        <v>38777</v>
      </c>
      <c r="W53">
        <v>4.5</v>
      </c>
      <c r="X53">
        <v>4.4479478559242596</v>
      </c>
      <c r="Y53">
        <v>9.3155908666449996</v>
      </c>
      <c r="Z53">
        <v>0</v>
      </c>
      <c r="AA53">
        <v>-12.1970152660118</v>
      </c>
      <c r="AB53">
        <v>130226412.45</v>
      </c>
      <c r="AC53" s="4">
        <f t="shared" si="3"/>
        <v>-0.12364844683147951</v>
      </c>
    </row>
    <row r="54" spans="22:29" x14ac:dyDescent="0.25">
      <c r="V54" s="1">
        <v>38808</v>
      </c>
      <c r="W54">
        <v>4.5</v>
      </c>
      <c r="X54">
        <v>4.4477735852163596</v>
      </c>
      <c r="Y54">
        <v>9.2137767920982991</v>
      </c>
      <c r="Z54">
        <v>2.4612045601392501E-20</v>
      </c>
      <c r="AA54">
        <v>-13.652699494228299</v>
      </c>
      <c r="AB54">
        <v>130854978.98999999</v>
      </c>
      <c r="AC54" s="4">
        <f t="shared" si="3"/>
        <v>-0.12626951665655373</v>
      </c>
    </row>
    <row r="55" spans="22:29" x14ac:dyDescent="0.25">
      <c r="V55" s="1">
        <v>38838</v>
      </c>
      <c r="W55">
        <v>4.5</v>
      </c>
      <c r="X55">
        <v>4.4478238837503596</v>
      </c>
      <c r="Y55">
        <v>9.3945317484433701</v>
      </c>
      <c r="Z55">
        <v>0.46419509513829199</v>
      </c>
      <c r="AA55">
        <v>-12.8449647793301</v>
      </c>
      <c r="AB55">
        <v>131350145.95</v>
      </c>
      <c r="AC55" s="4">
        <f t="shared" si="3"/>
        <v>-0.12141577848137602</v>
      </c>
    </row>
    <row r="56" spans="22:29" x14ac:dyDescent="0.25">
      <c r="V56" s="1">
        <v>38869</v>
      </c>
      <c r="W56">
        <v>4.5</v>
      </c>
      <c r="X56">
        <v>4.44775946243211</v>
      </c>
      <c r="Y56">
        <v>11.912730836273401</v>
      </c>
      <c r="Z56">
        <v>1.0172415794677001</v>
      </c>
      <c r="AA56">
        <v>-11.4813077575586</v>
      </c>
      <c r="AB56">
        <v>131607329.89</v>
      </c>
      <c r="AC56" s="4">
        <f t="shared" si="3"/>
        <v>-0.13765816196195352</v>
      </c>
    </row>
    <row r="57" spans="22:29" x14ac:dyDescent="0.25">
      <c r="V57" s="1">
        <v>38899</v>
      </c>
      <c r="W57">
        <v>4.5</v>
      </c>
      <c r="X57">
        <v>4.4472868911045804</v>
      </c>
      <c r="Y57">
        <v>12.7015030862791</v>
      </c>
      <c r="Z57">
        <v>1.72132718835293</v>
      </c>
      <c r="AA57">
        <v>-11.116889607069</v>
      </c>
      <c r="AB57">
        <v>131712910.72</v>
      </c>
      <c r="AC57" s="4">
        <f t="shared" si="3"/>
        <v>-0.13759398299693421</v>
      </c>
    </row>
    <row r="58" spans="22:29" x14ac:dyDescent="0.25">
      <c r="V58" s="1">
        <v>38930</v>
      </c>
      <c r="W58">
        <v>4.5</v>
      </c>
      <c r="X58">
        <v>4.4459461358859196</v>
      </c>
      <c r="Y58">
        <v>14.159097789375</v>
      </c>
      <c r="Z58">
        <v>1.8126019723886</v>
      </c>
      <c r="AA58">
        <v>-9.69875134541725</v>
      </c>
      <c r="AB58">
        <v>133656348.93000001</v>
      </c>
      <c r="AC58" s="4">
        <f t="shared" si="3"/>
        <v>-0.14771183653340714</v>
      </c>
    </row>
    <row r="59" spans="22:29" x14ac:dyDescent="0.25">
      <c r="V59" s="1">
        <v>38961</v>
      </c>
      <c r="W59">
        <v>4.5</v>
      </c>
      <c r="X59">
        <v>4.4455495852392497</v>
      </c>
      <c r="Y59">
        <v>14.2901050346119</v>
      </c>
      <c r="Z59">
        <v>2.0288977385530602</v>
      </c>
      <c r="AA59">
        <v>-9.4115261166442092</v>
      </c>
      <c r="AB59">
        <v>133021909.08</v>
      </c>
      <c r="AC59" s="4">
        <f t="shared" si="3"/>
        <v>-0.1461408882521989</v>
      </c>
    </row>
    <row r="60" spans="22:29" x14ac:dyDescent="0.25">
      <c r="V60" s="1">
        <v>38991</v>
      </c>
      <c r="W60">
        <v>4.5</v>
      </c>
      <c r="X60">
        <v>4.4456999200015801</v>
      </c>
      <c r="Y60">
        <v>14.331751264800101</v>
      </c>
      <c r="Z60">
        <v>2.0352751368308502</v>
      </c>
      <c r="AA60">
        <v>-9.3711857935666405</v>
      </c>
      <c r="AB60">
        <v>132375685.84</v>
      </c>
      <c r="AC60" s="4">
        <f t="shared" si="3"/>
        <v>-0.14639272576360909</v>
      </c>
    </row>
    <row r="61" spans="22:29" x14ac:dyDescent="0.25">
      <c r="V61" s="1">
        <v>39022</v>
      </c>
      <c r="W61">
        <v>4.5</v>
      </c>
      <c r="X61">
        <v>4.44571508624648</v>
      </c>
      <c r="Y61">
        <v>14.3324950424512</v>
      </c>
      <c r="Z61">
        <v>2.04185117669308</v>
      </c>
      <c r="AA61">
        <v>-9.3268275987442699</v>
      </c>
      <c r="AB61">
        <v>131460290.67</v>
      </c>
      <c r="AC61" s="4">
        <f t="shared" si="3"/>
        <v>-0.14622350765444186</v>
      </c>
    </row>
    <row r="62" spans="22:29" x14ac:dyDescent="0.25">
      <c r="V62" s="1">
        <v>39052</v>
      </c>
      <c r="W62">
        <v>4.5</v>
      </c>
      <c r="X62">
        <v>4.4460242500158502</v>
      </c>
      <c r="Y62">
        <v>12.7561601037209</v>
      </c>
      <c r="Z62">
        <v>1.8410068724962101</v>
      </c>
      <c r="AA62">
        <v>-9.5129065433862294</v>
      </c>
      <c r="AB62">
        <v>131534346.5</v>
      </c>
      <c r="AC62" s="4">
        <f t="shared" si="3"/>
        <v>-0.13293379867071248</v>
      </c>
    </row>
    <row r="63" spans="22:29" x14ac:dyDescent="0.25">
      <c r="V63" s="1">
        <v>39083</v>
      </c>
      <c r="W63">
        <v>4.5</v>
      </c>
      <c r="X63">
        <v>4.4457765514582004</v>
      </c>
      <c r="Y63">
        <v>12.7275229114186</v>
      </c>
      <c r="Z63">
        <v>1.4582423688283499</v>
      </c>
      <c r="AA63">
        <v>-9.7682699588373296</v>
      </c>
      <c r="AB63">
        <v>130907594.09</v>
      </c>
      <c r="AC63" s="4">
        <f t="shared" si="3"/>
        <v>-0.13711348032299581</v>
      </c>
    </row>
    <row r="64" spans="22:29" x14ac:dyDescent="0.25">
      <c r="V64" s="1">
        <v>39114</v>
      </c>
      <c r="W64">
        <v>4.5</v>
      </c>
      <c r="X64">
        <v>4.44592143650521</v>
      </c>
      <c r="Y64">
        <v>12.6855639109582</v>
      </c>
      <c r="Z64">
        <v>1.3033047849827399</v>
      </c>
      <c r="AA64">
        <v>-9.8015646915493608</v>
      </c>
      <c r="AB64">
        <v>130360975.04000001</v>
      </c>
      <c r="AC64" s="4">
        <f t="shared" si="3"/>
        <v>-0.138326502988628</v>
      </c>
    </row>
    <row r="65" spans="22:29" x14ac:dyDescent="0.25">
      <c r="V65" s="1">
        <v>39142</v>
      </c>
      <c r="W65">
        <v>4.5</v>
      </c>
      <c r="X65">
        <v>4.4459792647349303</v>
      </c>
      <c r="Y65">
        <v>12.715882147461899</v>
      </c>
      <c r="Z65">
        <v>1.0678138235682999</v>
      </c>
      <c r="AA65">
        <v>-12.1863591757631</v>
      </c>
      <c r="AB65">
        <v>129741275.69</v>
      </c>
      <c r="AC65" s="4">
        <f t="shared" si="3"/>
        <v>-0.14694658117834372</v>
      </c>
    </row>
    <row r="66" spans="22:29" x14ac:dyDescent="0.25">
      <c r="V66" s="1">
        <v>39173</v>
      </c>
      <c r="W66">
        <v>4.5</v>
      </c>
      <c r="X66">
        <v>4.4466323833822496</v>
      </c>
      <c r="Y66">
        <v>12.694001359600099</v>
      </c>
      <c r="Z66">
        <v>1.0712213604348799</v>
      </c>
      <c r="AA66">
        <v>-12.188203771341501</v>
      </c>
      <c r="AB66">
        <v>128656225.93000001</v>
      </c>
      <c r="AC66" s="4">
        <f t="shared" si="3"/>
        <v>-0.14669830942000595</v>
      </c>
    </row>
    <row r="67" spans="22:29" x14ac:dyDescent="0.25">
      <c r="V67" s="1">
        <v>39203</v>
      </c>
      <c r="W67">
        <v>4.5</v>
      </c>
      <c r="X67">
        <v>4.4465070000824802</v>
      </c>
      <c r="Y67">
        <v>13.003704375610599</v>
      </c>
      <c r="Z67">
        <v>1.0389175810754301</v>
      </c>
      <c r="AA67">
        <v>-12.247822195375401</v>
      </c>
      <c r="AB67">
        <v>127663309.81</v>
      </c>
      <c r="AC67" s="4">
        <f t="shared" ref="AC67:AC130" si="4">-(Y67/100-Z67/100-AA67/400)</f>
        <v>-0.15026742343379021</v>
      </c>
    </row>
    <row r="68" spans="22:29" x14ac:dyDescent="0.25">
      <c r="V68" s="1">
        <v>39234</v>
      </c>
      <c r="W68">
        <v>4.5</v>
      </c>
      <c r="X68">
        <v>4.4464912428232601</v>
      </c>
      <c r="Y68">
        <v>12.934385740928599</v>
      </c>
      <c r="Z68">
        <v>0.98462369787519199</v>
      </c>
      <c r="AA68">
        <v>-12.7023762630941</v>
      </c>
      <c r="AB68">
        <v>126308099.01000001</v>
      </c>
      <c r="AC68" s="4">
        <f t="shared" si="4"/>
        <v>-0.15125356108826932</v>
      </c>
    </row>
    <row r="69" spans="22:29" x14ac:dyDescent="0.25">
      <c r="V69" s="1">
        <v>39264</v>
      </c>
      <c r="W69">
        <v>4.5</v>
      </c>
      <c r="X69">
        <v>4.4464868622487996</v>
      </c>
      <c r="Y69">
        <v>13.065362678757801</v>
      </c>
      <c r="Z69">
        <v>1.0005110512209201</v>
      </c>
      <c r="AA69">
        <v>-11.765270565599799</v>
      </c>
      <c r="AB69">
        <v>124575618.47</v>
      </c>
      <c r="AC69" s="4">
        <f t="shared" si="4"/>
        <v>-0.15006169268936828</v>
      </c>
    </row>
    <row r="70" spans="22:29" x14ac:dyDescent="0.25">
      <c r="V70" s="1">
        <v>39295</v>
      </c>
      <c r="W70">
        <v>4.5</v>
      </c>
      <c r="X70">
        <v>4.4468995816757104</v>
      </c>
      <c r="Y70">
        <v>13.1309308830528</v>
      </c>
      <c r="Z70">
        <v>1.04660978843674</v>
      </c>
      <c r="AA70">
        <v>-12.006273799337499</v>
      </c>
      <c r="AB70">
        <v>124154336.14</v>
      </c>
      <c r="AC70" s="4">
        <f t="shared" si="4"/>
        <v>-0.15085889544450434</v>
      </c>
    </row>
    <row r="71" spans="22:29" x14ac:dyDescent="0.25">
      <c r="V71" s="1">
        <v>39326</v>
      </c>
      <c r="W71">
        <v>4.5</v>
      </c>
      <c r="X71">
        <v>4.4468360108482603</v>
      </c>
      <c r="Y71">
        <v>13.022692680934901</v>
      </c>
      <c r="Z71">
        <v>1.11058077388749</v>
      </c>
      <c r="AA71">
        <v>-12.1525758216745</v>
      </c>
      <c r="AB71">
        <v>123453821.41</v>
      </c>
      <c r="AC71" s="4">
        <f t="shared" si="4"/>
        <v>-0.14950255862466033</v>
      </c>
    </row>
    <row r="72" spans="22:29" x14ac:dyDescent="0.25">
      <c r="V72" s="1">
        <v>39356</v>
      </c>
      <c r="W72">
        <v>4.5</v>
      </c>
      <c r="X72">
        <v>4.44622684782387</v>
      </c>
      <c r="Y72">
        <v>13.009977332737799</v>
      </c>
      <c r="Z72">
        <v>1.36500170635441</v>
      </c>
      <c r="AA72">
        <v>-12.0859580829375</v>
      </c>
      <c r="AB72">
        <v>122482632.39</v>
      </c>
      <c r="AC72" s="4">
        <f t="shared" si="4"/>
        <v>-0.14666465147117763</v>
      </c>
    </row>
    <row r="73" spans="22:29" x14ac:dyDescent="0.25">
      <c r="V73" s="1">
        <v>39387</v>
      </c>
      <c r="W73">
        <v>4.5</v>
      </c>
      <c r="X73">
        <v>4.4459066445217701</v>
      </c>
      <c r="Y73">
        <v>12.6831872107162</v>
      </c>
      <c r="Z73">
        <v>1.5416690743080199</v>
      </c>
      <c r="AA73">
        <v>-11.8782799820981</v>
      </c>
      <c r="AB73">
        <v>121885057.34999999</v>
      </c>
      <c r="AC73" s="4">
        <f t="shared" si="4"/>
        <v>-0.14111088131932709</v>
      </c>
    </row>
    <row r="74" spans="22:29" x14ac:dyDescent="0.25">
      <c r="V74" s="1">
        <v>39417</v>
      </c>
      <c r="W74">
        <v>4.5</v>
      </c>
      <c r="X74">
        <v>4.4455966228950397</v>
      </c>
      <c r="Y74">
        <v>13.0155475359793</v>
      </c>
      <c r="Z74">
        <v>1.9396743040487301</v>
      </c>
      <c r="AA74">
        <v>-11.2668940712301</v>
      </c>
      <c r="AB74">
        <v>119927946.77</v>
      </c>
      <c r="AC74" s="4">
        <f t="shared" si="4"/>
        <v>-0.13892596749738095</v>
      </c>
    </row>
    <row r="75" spans="22:29" x14ac:dyDescent="0.25">
      <c r="V75" s="1">
        <v>39448</v>
      </c>
      <c r="W75">
        <v>4.5</v>
      </c>
      <c r="X75">
        <v>4.4455962062793404</v>
      </c>
      <c r="Y75">
        <v>12.860751058982199</v>
      </c>
      <c r="Z75">
        <v>1.63594522077978</v>
      </c>
      <c r="AA75">
        <v>-11.754212876224001</v>
      </c>
      <c r="AB75">
        <v>119604757.95</v>
      </c>
      <c r="AC75" s="4">
        <f t="shared" si="4"/>
        <v>-0.14163359057258421</v>
      </c>
    </row>
    <row r="76" spans="22:29" x14ac:dyDescent="0.25">
      <c r="V76" s="1">
        <v>39479</v>
      </c>
      <c r="W76">
        <v>4.5</v>
      </c>
      <c r="X76">
        <v>4.4455764478523099</v>
      </c>
      <c r="Y76">
        <v>12.871230153602101</v>
      </c>
      <c r="Z76">
        <v>1.6378998231192201</v>
      </c>
      <c r="AA76">
        <v>-10.1952505970674</v>
      </c>
      <c r="AB76">
        <v>119210105.26000001</v>
      </c>
      <c r="AC76" s="4">
        <f t="shared" si="4"/>
        <v>-0.13782142979749731</v>
      </c>
    </row>
    <row r="77" spans="22:29" x14ac:dyDescent="0.25">
      <c r="V77" s="1">
        <v>39508</v>
      </c>
      <c r="W77">
        <v>4.5</v>
      </c>
      <c r="X77">
        <v>4.4452764453241702</v>
      </c>
      <c r="Y77">
        <v>12.7924914504017</v>
      </c>
      <c r="Z77">
        <v>1.6407167866810199</v>
      </c>
      <c r="AA77">
        <v>20.920887393567099</v>
      </c>
      <c r="AB77">
        <v>119968433.97</v>
      </c>
      <c r="AC77" s="4">
        <f t="shared" si="4"/>
        <v>-5.9215528153289038E-2</v>
      </c>
    </row>
    <row r="78" spans="22:29" x14ac:dyDescent="0.25">
      <c r="V78" s="1">
        <v>39539</v>
      </c>
      <c r="W78">
        <v>4.5</v>
      </c>
      <c r="X78">
        <v>4.4456946720838504</v>
      </c>
      <c r="Y78">
        <v>12.6868932358532</v>
      </c>
      <c r="Z78">
        <v>1.62762092898484</v>
      </c>
      <c r="AA78">
        <v>19.173185528778799</v>
      </c>
      <c r="AB78">
        <v>119120522.88</v>
      </c>
      <c r="AC78" s="4">
        <f t="shared" si="4"/>
        <v>-6.2659759246736613E-2</v>
      </c>
    </row>
    <row r="79" spans="22:29" x14ac:dyDescent="0.25">
      <c r="V79" s="1">
        <v>39569</v>
      </c>
      <c r="W79">
        <v>4.5</v>
      </c>
      <c r="X79">
        <v>4.44596353210322</v>
      </c>
      <c r="Y79">
        <v>12.462672507934901</v>
      </c>
      <c r="Z79">
        <v>1.6649253684107801</v>
      </c>
      <c r="AA79">
        <v>21.329689855138</v>
      </c>
      <c r="AB79">
        <v>118127590.11</v>
      </c>
      <c r="AC79" s="4">
        <f t="shared" si="4"/>
        <v>-5.4653246757396204E-2</v>
      </c>
    </row>
    <row r="80" spans="22:29" x14ac:dyDescent="0.25">
      <c r="V80" s="1">
        <v>39600</v>
      </c>
      <c r="W80">
        <v>4.5</v>
      </c>
      <c r="X80">
        <v>4.44677899229153</v>
      </c>
      <c r="Y80">
        <v>11.228249350410101</v>
      </c>
      <c r="Z80">
        <v>1.7256703889837399</v>
      </c>
      <c r="AA80">
        <v>19.601985174172601</v>
      </c>
      <c r="AB80">
        <v>156622754.22</v>
      </c>
      <c r="AC80" s="4">
        <f t="shared" si="4"/>
        <v>-4.6020826678832109E-2</v>
      </c>
    </row>
    <row r="81" spans="22:29" x14ac:dyDescent="0.25">
      <c r="V81" s="1">
        <v>39630</v>
      </c>
      <c r="W81">
        <v>4.5</v>
      </c>
      <c r="X81">
        <v>4.4454308648245897</v>
      </c>
      <c r="Y81">
        <v>9.9514823383115605</v>
      </c>
      <c r="Z81">
        <v>5.9766438216084001</v>
      </c>
      <c r="AA81">
        <v>49.193993745534797</v>
      </c>
      <c r="AB81">
        <v>142449907.59999999</v>
      </c>
      <c r="AC81" s="4">
        <f t="shared" si="4"/>
        <v>8.3236599196805386E-2</v>
      </c>
    </row>
    <row r="82" spans="22:29" x14ac:dyDescent="0.25">
      <c r="V82" s="1">
        <v>39661</v>
      </c>
      <c r="W82">
        <v>4.5</v>
      </c>
      <c r="X82">
        <v>4.4454638278702703</v>
      </c>
      <c r="Y82">
        <v>9.9860072030892404</v>
      </c>
      <c r="Z82">
        <v>8.7319199753242494</v>
      </c>
      <c r="AA82">
        <v>59.486168180903903</v>
      </c>
      <c r="AB82">
        <v>141613265.47</v>
      </c>
      <c r="AC82" s="4">
        <f t="shared" si="4"/>
        <v>0.13617454817460983</v>
      </c>
    </row>
    <row r="83" spans="22:29" x14ac:dyDescent="0.25">
      <c r="V83" s="1">
        <v>39692</v>
      </c>
      <c r="W83">
        <v>4.5</v>
      </c>
      <c r="X83">
        <v>4.4454704842929704</v>
      </c>
      <c r="Y83">
        <v>10.024642541900599</v>
      </c>
      <c r="Z83">
        <v>9.3887616361043005</v>
      </c>
      <c r="AA83">
        <v>61.355977316009401</v>
      </c>
      <c r="AB83">
        <v>140999821.19</v>
      </c>
      <c r="AC83" s="4">
        <f t="shared" si="4"/>
        <v>0.14703113423206052</v>
      </c>
    </row>
    <row r="84" spans="22:29" x14ac:dyDescent="0.25">
      <c r="V84" s="1">
        <v>39722</v>
      </c>
      <c r="W84">
        <v>4.5</v>
      </c>
      <c r="X84">
        <v>4.4453863864161196</v>
      </c>
      <c r="Y84">
        <v>10.0486298590169</v>
      </c>
      <c r="Z84">
        <v>9.7951597288910595</v>
      </c>
      <c r="AA84">
        <v>63.201978360038197</v>
      </c>
      <c r="AB84">
        <v>140227665.84999999</v>
      </c>
      <c r="AC84" s="4">
        <f t="shared" si="4"/>
        <v>0.1554702445988371</v>
      </c>
    </row>
    <row r="85" spans="22:29" x14ac:dyDescent="0.25">
      <c r="V85" s="1">
        <v>39753</v>
      </c>
      <c r="W85">
        <v>4.5</v>
      </c>
      <c r="X85">
        <v>4.4452692014264397</v>
      </c>
      <c r="Y85">
        <v>10.0835554791032</v>
      </c>
      <c r="Z85">
        <v>10.439004675850599</v>
      </c>
      <c r="AA85">
        <v>65.065725312203696</v>
      </c>
      <c r="AB85">
        <v>139381108.96000001</v>
      </c>
      <c r="AC85" s="4">
        <f t="shared" si="4"/>
        <v>0.16621880524798321</v>
      </c>
    </row>
    <row r="86" spans="22:29" x14ac:dyDescent="0.25">
      <c r="V86" s="1">
        <v>39783</v>
      </c>
      <c r="W86">
        <v>4.5</v>
      </c>
      <c r="X86">
        <v>4.4451376761610497</v>
      </c>
      <c r="Y86">
        <v>10.124551872904499</v>
      </c>
      <c r="Z86">
        <v>10.867104006675399</v>
      </c>
      <c r="AA86">
        <v>65.716525334066702</v>
      </c>
      <c r="AB86">
        <v>140244099.06999999</v>
      </c>
      <c r="AC86" s="4">
        <f t="shared" si="4"/>
        <v>0.17171683467287574</v>
      </c>
    </row>
    <row r="87" spans="22:29" x14ac:dyDescent="0.25">
      <c r="V87" s="1">
        <v>39814</v>
      </c>
      <c r="W87">
        <v>4.5</v>
      </c>
      <c r="X87">
        <v>4.44550113818371</v>
      </c>
      <c r="Y87">
        <v>10.041925360954099</v>
      </c>
      <c r="Z87">
        <v>11.015684941938099</v>
      </c>
      <c r="AA87">
        <v>65.820654153532303</v>
      </c>
      <c r="AB87">
        <v>164492363.02000001</v>
      </c>
      <c r="AC87" s="4">
        <f t="shared" si="4"/>
        <v>0.17428923119367074</v>
      </c>
    </row>
    <row r="88" spans="22:29" x14ac:dyDescent="0.25">
      <c r="V88" s="1">
        <v>39845</v>
      </c>
      <c r="W88">
        <v>4.5</v>
      </c>
      <c r="X88">
        <v>4.4452495186426901</v>
      </c>
      <c r="Y88">
        <v>9.3269842972934107</v>
      </c>
      <c r="Z88">
        <v>10.595680248301599</v>
      </c>
      <c r="AA88">
        <v>63.856036519805798</v>
      </c>
      <c r="AB88">
        <v>703020161.79999995</v>
      </c>
      <c r="AC88" s="4">
        <f t="shared" si="4"/>
        <v>0.17232705080959637</v>
      </c>
    </row>
    <row r="89" spans="22:29" x14ac:dyDescent="0.25">
      <c r="V89" s="1">
        <v>39873</v>
      </c>
      <c r="W89">
        <v>4.5</v>
      </c>
      <c r="X89">
        <v>4.46306252044144</v>
      </c>
      <c r="Y89">
        <v>4.9341934984336504</v>
      </c>
      <c r="Z89">
        <v>8.2253461966614498</v>
      </c>
      <c r="AA89">
        <v>38.506649290777197</v>
      </c>
      <c r="AB89">
        <v>5609064396.6899996</v>
      </c>
      <c r="AC89" s="4">
        <f t="shared" si="4"/>
        <v>0.12917815020922097</v>
      </c>
    </row>
    <row r="90" spans="22:29" x14ac:dyDescent="0.25">
      <c r="V90" s="1">
        <v>39904</v>
      </c>
      <c r="W90">
        <v>4.5</v>
      </c>
      <c r="X90">
        <v>4.4684219653696298</v>
      </c>
      <c r="Y90">
        <v>2.3800516673127001</v>
      </c>
      <c r="Z90">
        <v>6.2363741283559202</v>
      </c>
      <c r="AA90">
        <v>31.048403745726201</v>
      </c>
      <c r="AB90">
        <v>6908190476.2200003</v>
      </c>
      <c r="AC90" s="4">
        <f t="shared" si="4"/>
        <v>0.1161842339747477</v>
      </c>
    </row>
    <row r="91" spans="22:29" x14ac:dyDescent="0.25">
      <c r="V91" s="1">
        <v>39934</v>
      </c>
      <c r="W91">
        <v>4.5</v>
      </c>
      <c r="X91">
        <v>4.4688474774480103</v>
      </c>
      <c r="Y91">
        <v>2.3614104180283402</v>
      </c>
      <c r="Z91">
        <v>4.8724797473452304</v>
      </c>
      <c r="AA91">
        <v>29.3376078170973</v>
      </c>
      <c r="AB91">
        <v>11068169108.379999</v>
      </c>
      <c r="AC91" s="4">
        <f t="shared" si="4"/>
        <v>9.8454712835912145E-2</v>
      </c>
    </row>
    <row r="92" spans="22:29" x14ac:dyDescent="0.25">
      <c r="V92" s="1">
        <v>39965</v>
      </c>
      <c r="W92">
        <v>4.5</v>
      </c>
      <c r="X92">
        <v>4.4713770110531597</v>
      </c>
      <c r="Y92">
        <v>1.75560690953354</v>
      </c>
      <c r="Z92">
        <v>2.2071110542933502E-22</v>
      </c>
      <c r="AA92">
        <v>26.017808841475901</v>
      </c>
      <c r="AB92">
        <v>19017374205.599998</v>
      </c>
      <c r="AC92" s="4">
        <f t="shared" si="4"/>
        <v>4.7488453008354359E-2</v>
      </c>
    </row>
    <row r="93" spans="22:29" x14ac:dyDescent="0.25">
      <c r="V93" s="1">
        <v>39995</v>
      </c>
      <c r="W93">
        <v>4.5</v>
      </c>
      <c r="X93">
        <v>4.47093289952078</v>
      </c>
      <c r="Y93">
        <v>1.46446774286457</v>
      </c>
      <c r="Z93">
        <v>4.6958694568673902E-2</v>
      </c>
      <c r="AA93">
        <v>25.9576117073298</v>
      </c>
      <c r="AB93">
        <v>24185603202.950001</v>
      </c>
      <c r="AC93" s="4">
        <f t="shared" si="4"/>
        <v>5.0718938785365528E-2</v>
      </c>
    </row>
    <row r="94" spans="22:29" x14ac:dyDescent="0.25">
      <c r="V94" s="1">
        <v>40026</v>
      </c>
      <c r="W94">
        <v>4.5</v>
      </c>
      <c r="X94">
        <v>4.4679996581391102</v>
      </c>
      <c r="Y94">
        <v>1.62914754212316</v>
      </c>
      <c r="Z94">
        <v>1.54498259993964</v>
      </c>
      <c r="AA94">
        <v>27.542326565627501</v>
      </c>
      <c r="AB94">
        <v>26146142192.759998</v>
      </c>
      <c r="AC94" s="4">
        <f t="shared" si="4"/>
        <v>6.8014166992233546E-2</v>
      </c>
    </row>
    <row r="95" spans="22:29" x14ac:dyDescent="0.25">
      <c r="V95" s="1">
        <v>40057</v>
      </c>
      <c r="W95">
        <v>4.5</v>
      </c>
      <c r="X95">
        <v>4.46749755602952</v>
      </c>
      <c r="Y95">
        <v>1.56316055038687</v>
      </c>
      <c r="Z95">
        <v>1.3460777762009499</v>
      </c>
      <c r="AA95">
        <v>26.890766650608299</v>
      </c>
      <c r="AB95">
        <v>28628011312.040001</v>
      </c>
      <c r="AC95" s="4">
        <f t="shared" si="4"/>
        <v>6.505608888466155E-2</v>
      </c>
    </row>
    <row r="96" spans="22:29" x14ac:dyDescent="0.25">
      <c r="V96" s="1">
        <v>40087</v>
      </c>
      <c r="W96">
        <v>4.5</v>
      </c>
      <c r="X96">
        <v>4.46768255639389</v>
      </c>
      <c r="Y96">
        <v>1.5610686281488</v>
      </c>
      <c r="Z96">
        <v>1.51397737589103</v>
      </c>
      <c r="AA96">
        <v>26.356609100104901</v>
      </c>
      <c r="AB96">
        <v>29559038353.110001</v>
      </c>
      <c r="AC96" s="4">
        <f t="shared" si="4"/>
        <v>6.5420610227684556E-2</v>
      </c>
    </row>
    <row r="97" spans="22:29" x14ac:dyDescent="0.25">
      <c r="V97" s="1">
        <v>40118</v>
      </c>
      <c r="W97">
        <v>4.5</v>
      </c>
      <c r="X97">
        <v>4.4674524812711098</v>
      </c>
      <c r="Y97">
        <v>1.5659061503383001</v>
      </c>
      <c r="Z97">
        <v>1.59832549138699</v>
      </c>
      <c r="AA97">
        <v>26.442792087618201</v>
      </c>
      <c r="AB97">
        <v>29812314618.73</v>
      </c>
      <c r="AC97" s="4">
        <f t="shared" si="4"/>
        <v>6.6431173629532395E-2</v>
      </c>
    </row>
    <row r="98" spans="22:29" x14ac:dyDescent="0.25">
      <c r="V98" s="1">
        <v>40148</v>
      </c>
      <c r="W98">
        <v>4.5</v>
      </c>
      <c r="X98">
        <v>4.4675891106413204</v>
      </c>
      <c r="Y98">
        <v>1.56186778955966</v>
      </c>
      <c r="Z98">
        <v>1.6666750917864099</v>
      </c>
      <c r="AA98">
        <v>26.7074904765302</v>
      </c>
      <c r="AB98">
        <v>30143164775.459999</v>
      </c>
      <c r="AC98" s="4">
        <f t="shared" si="4"/>
        <v>6.7816799213593001E-2</v>
      </c>
    </row>
    <row r="99" spans="22:29" x14ac:dyDescent="0.25">
      <c r="V99" s="1">
        <v>40179</v>
      </c>
      <c r="W99">
        <v>4.5</v>
      </c>
      <c r="X99">
        <v>4.4673464870687498</v>
      </c>
      <c r="Y99">
        <v>1.5711276088005099</v>
      </c>
      <c r="Z99">
        <v>1.8572124920418001</v>
      </c>
      <c r="AA99">
        <v>27.288026897624</v>
      </c>
      <c r="AB99">
        <v>31032139984.77</v>
      </c>
      <c r="AC99" s="4">
        <f t="shared" si="4"/>
        <v>7.1080916076472905E-2</v>
      </c>
    </row>
    <row r="100" spans="22:29" x14ac:dyDescent="0.25">
      <c r="V100" s="1">
        <v>40210</v>
      </c>
      <c r="W100">
        <v>4.5</v>
      </c>
      <c r="X100">
        <v>4.4677156785884904</v>
      </c>
      <c r="Y100">
        <v>1.5593496763194601</v>
      </c>
      <c r="Z100">
        <v>1.9714170538018001</v>
      </c>
      <c r="AA100">
        <v>27.5697680923912</v>
      </c>
      <c r="AB100">
        <v>31407472022.16</v>
      </c>
      <c r="AC100" s="4">
        <f t="shared" si="4"/>
        <v>7.3045094005801406E-2</v>
      </c>
    </row>
    <row r="101" spans="22:29" x14ac:dyDescent="0.25">
      <c r="V101" s="1">
        <v>40238</v>
      </c>
      <c r="W101">
        <v>4.5</v>
      </c>
      <c r="X101">
        <v>4.4677415213945402</v>
      </c>
      <c r="Y101">
        <v>1.58641235104401</v>
      </c>
      <c r="Z101">
        <v>2.1594741758089602</v>
      </c>
      <c r="AA101">
        <v>27.931030133871101</v>
      </c>
      <c r="AB101">
        <v>31512525011.290001</v>
      </c>
      <c r="AC101" s="4">
        <f t="shared" si="4"/>
        <v>7.5558193582327252E-2</v>
      </c>
    </row>
    <row r="102" spans="22:29" x14ac:dyDescent="0.25">
      <c r="V102" s="1">
        <v>40269</v>
      </c>
      <c r="W102">
        <v>4.5</v>
      </c>
      <c r="X102">
        <v>4.4676435226212403</v>
      </c>
      <c r="Y102">
        <v>1.5896869635991799</v>
      </c>
      <c r="Z102">
        <v>1.96604230315363</v>
      </c>
      <c r="AA102">
        <v>27.5363305372219</v>
      </c>
      <c r="AB102">
        <v>31514392939.560001</v>
      </c>
      <c r="AC102" s="4">
        <f t="shared" si="4"/>
        <v>7.2604379738599248E-2</v>
      </c>
    </row>
    <row r="103" spans="22:29" x14ac:dyDescent="0.25">
      <c r="V103" s="1">
        <v>40299</v>
      </c>
      <c r="W103">
        <v>4.5</v>
      </c>
      <c r="X103">
        <v>4.46752467990071</v>
      </c>
      <c r="Y103">
        <v>1.5984543176550701</v>
      </c>
      <c r="Z103">
        <v>2.00513428631933</v>
      </c>
      <c r="AA103">
        <v>26.943539203614201</v>
      </c>
      <c r="AB103">
        <v>31533592188.040001</v>
      </c>
      <c r="AC103" s="4">
        <f t="shared" si="4"/>
        <v>7.1425647695678107E-2</v>
      </c>
    </row>
    <row r="104" spans="22:29" x14ac:dyDescent="0.25">
      <c r="V104" s="1">
        <v>40330</v>
      </c>
      <c r="W104">
        <v>4.5</v>
      </c>
      <c r="X104">
        <v>4.4673055916955304</v>
      </c>
      <c r="Y104">
        <v>1.59950440022399</v>
      </c>
      <c r="Z104">
        <v>1.8743902155281</v>
      </c>
      <c r="AA104">
        <v>26.5865122987836</v>
      </c>
      <c r="AB104">
        <v>31483483871.330002</v>
      </c>
      <c r="AC104" s="4">
        <f t="shared" si="4"/>
        <v>6.9215138900000098E-2</v>
      </c>
    </row>
    <row r="105" spans="22:29" x14ac:dyDescent="0.25">
      <c r="V105" s="1">
        <v>40360</v>
      </c>
      <c r="W105">
        <v>4.5</v>
      </c>
      <c r="X105">
        <v>4.4672539670233196</v>
      </c>
      <c r="Y105">
        <v>1.59517523191898</v>
      </c>
      <c r="Z105">
        <v>1.9828836624330299</v>
      </c>
      <c r="AA105">
        <v>26.871805798426301</v>
      </c>
      <c r="AB105">
        <v>31465888304.900002</v>
      </c>
      <c r="AC105" s="4">
        <f t="shared" si="4"/>
        <v>7.1056598801206253E-2</v>
      </c>
    </row>
    <row r="106" spans="22:29" x14ac:dyDescent="0.25">
      <c r="V106" s="1">
        <v>40391</v>
      </c>
      <c r="W106">
        <v>4.5</v>
      </c>
      <c r="X106">
        <v>4.4672300636053999</v>
      </c>
      <c r="Y106">
        <v>1.6008622984657199</v>
      </c>
      <c r="Z106">
        <v>2.1962637029927499</v>
      </c>
      <c r="AA106">
        <v>27.422462012465999</v>
      </c>
      <c r="AB106">
        <v>31744902980.880001</v>
      </c>
      <c r="AC106" s="4">
        <f t="shared" si="4"/>
        <v>7.451016907643529E-2</v>
      </c>
    </row>
    <row r="107" spans="22:29" x14ac:dyDescent="0.25">
      <c r="V107" s="1">
        <v>40422</v>
      </c>
      <c r="W107">
        <v>4.5</v>
      </c>
      <c r="X107">
        <v>4.46704985803634</v>
      </c>
      <c r="Y107">
        <v>1.59167081349331</v>
      </c>
      <c r="Z107">
        <v>2.4175546991591799</v>
      </c>
      <c r="AA107">
        <v>27.7325697036595</v>
      </c>
      <c r="AB107">
        <v>40597475106.839996</v>
      </c>
      <c r="AC107" s="4">
        <f t="shared" si="4"/>
        <v>7.759026311580744E-2</v>
      </c>
    </row>
    <row r="108" spans="22:29" x14ac:dyDescent="0.25">
      <c r="V108" s="1">
        <v>40452</v>
      </c>
      <c r="W108">
        <v>4.5</v>
      </c>
      <c r="X108">
        <v>4.4645026811201101</v>
      </c>
      <c r="Y108">
        <v>1.7670673965727399</v>
      </c>
      <c r="Z108">
        <v>2.9435545428808001</v>
      </c>
      <c r="AA108">
        <v>28.766680261435699</v>
      </c>
      <c r="AB108">
        <v>58454681356.160004</v>
      </c>
      <c r="AC108" s="4">
        <f t="shared" si="4"/>
        <v>8.368157211666985E-2</v>
      </c>
    </row>
    <row r="109" spans="22:29" x14ac:dyDescent="0.25">
      <c r="V109" s="1">
        <v>40483</v>
      </c>
      <c r="W109">
        <v>4.5</v>
      </c>
      <c r="X109">
        <v>4.4610222178188303</v>
      </c>
      <c r="Y109">
        <v>2.1518576633805</v>
      </c>
      <c r="Z109">
        <v>4.4353957525366399</v>
      </c>
      <c r="AA109">
        <v>31.237845836775001</v>
      </c>
      <c r="AB109">
        <v>89309690216.440002</v>
      </c>
      <c r="AC109" s="4">
        <f t="shared" si="4"/>
        <v>0.1009299954834989</v>
      </c>
    </row>
    <row r="110" spans="22:29" x14ac:dyDescent="0.25">
      <c r="V110" s="1">
        <v>40513</v>
      </c>
      <c r="W110">
        <v>4.5</v>
      </c>
      <c r="X110">
        <v>4.4504334448913303</v>
      </c>
      <c r="Y110">
        <v>2.7175278999438799</v>
      </c>
      <c r="Z110">
        <v>6.0405789357720598</v>
      </c>
      <c r="AA110">
        <v>33.424316423060802</v>
      </c>
      <c r="AB110">
        <v>118046557539.48</v>
      </c>
      <c r="AC110" s="4">
        <f t="shared" si="4"/>
        <v>0.1167913014159338</v>
      </c>
    </row>
    <row r="111" spans="22:29" x14ac:dyDescent="0.25">
      <c r="V111" s="1">
        <v>40544</v>
      </c>
      <c r="W111">
        <v>4.5</v>
      </c>
      <c r="X111">
        <v>4.4433697131880203</v>
      </c>
      <c r="Y111">
        <v>3.6289346932245801</v>
      </c>
      <c r="Z111">
        <v>8.4629879080681008</v>
      </c>
      <c r="AA111">
        <v>37.384100619027699</v>
      </c>
      <c r="AB111">
        <v>147774357384.37</v>
      </c>
      <c r="AC111" s="4">
        <f t="shared" si="4"/>
        <v>0.14180078369600446</v>
      </c>
    </row>
    <row r="112" spans="22:29" x14ac:dyDescent="0.25">
      <c r="V112" s="1">
        <v>40575</v>
      </c>
      <c r="W112">
        <v>4.5</v>
      </c>
      <c r="X112">
        <v>4.4392082008704197</v>
      </c>
      <c r="Y112">
        <v>4.0908636166948096</v>
      </c>
      <c r="Z112">
        <v>10.332064948342801</v>
      </c>
      <c r="AA112">
        <v>40.741693643260398</v>
      </c>
      <c r="AB112">
        <v>164684134719.84</v>
      </c>
      <c r="AC112" s="4">
        <f t="shared" si="4"/>
        <v>0.16426624742463092</v>
      </c>
    </row>
    <row r="113" spans="22:29" x14ac:dyDescent="0.25">
      <c r="V113" s="1">
        <v>40603</v>
      </c>
      <c r="W113">
        <v>4.5</v>
      </c>
      <c r="X113">
        <v>4.4381074462727899</v>
      </c>
      <c r="Y113">
        <v>4.1214014251276003</v>
      </c>
      <c r="Z113">
        <v>11.220798443372701</v>
      </c>
      <c r="AA113">
        <v>42.599828988719899</v>
      </c>
      <c r="AB113">
        <v>171919061153.41</v>
      </c>
      <c r="AC113" s="4">
        <f t="shared" si="4"/>
        <v>0.17749354265425077</v>
      </c>
    </row>
    <row r="114" spans="22:29" x14ac:dyDescent="0.25">
      <c r="V114" s="1">
        <v>40634</v>
      </c>
      <c r="W114">
        <v>4.5</v>
      </c>
      <c r="X114">
        <v>4.4380931884203303</v>
      </c>
      <c r="Y114">
        <v>4.0633249785283097</v>
      </c>
      <c r="Z114">
        <v>10.4651976032811</v>
      </c>
      <c r="AA114">
        <v>41.080785869632699</v>
      </c>
      <c r="AB114">
        <v>173860074768.51999</v>
      </c>
      <c r="AC114" s="4">
        <f t="shared" si="4"/>
        <v>0.16672069092160963</v>
      </c>
    </row>
    <row r="115" spans="22:29" x14ac:dyDescent="0.25">
      <c r="V115" s="1">
        <v>40664</v>
      </c>
      <c r="W115">
        <v>4.5</v>
      </c>
      <c r="X115">
        <v>4.4383070780712996</v>
      </c>
      <c r="Y115">
        <v>4.0413103980505696</v>
      </c>
      <c r="Z115">
        <v>9.6199164319318999</v>
      </c>
      <c r="AA115">
        <v>39.729010091848799</v>
      </c>
      <c r="AB115">
        <v>173883223878.72</v>
      </c>
      <c r="AC115" s="4">
        <f t="shared" si="4"/>
        <v>0.15510858556843532</v>
      </c>
    </row>
    <row r="116" spans="22:29" x14ac:dyDescent="0.25">
      <c r="V116" s="1">
        <v>40695</v>
      </c>
      <c r="W116">
        <v>4.5</v>
      </c>
      <c r="X116">
        <v>4.4384270372874601</v>
      </c>
      <c r="Y116">
        <v>4.0317623584017497</v>
      </c>
      <c r="Z116">
        <v>8.9823397375912606</v>
      </c>
      <c r="AA116">
        <v>38.750235321349201</v>
      </c>
      <c r="AB116">
        <v>173827444456.17001</v>
      </c>
      <c r="AC116" s="4">
        <f t="shared" si="4"/>
        <v>0.14638136209526811</v>
      </c>
    </row>
    <row r="117" spans="22:29" x14ac:dyDescent="0.25">
      <c r="V117" s="1">
        <v>40725</v>
      </c>
      <c r="W117">
        <v>4.5</v>
      </c>
      <c r="X117">
        <v>4.4384301796636896</v>
      </c>
      <c r="Y117">
        <v>4.0425004401658802</v>
      </c>
      <c r="Z117">
        <v>8.4691520557570392</v>
      </c>
      <c r="AA117">
        <v>37.925915712327303</v>
      </c>
      <c r="AB117">
        <v>173045665401.25</v>
      </c>
      <c r="AC117" s="4">
        <f t="shared" si="4"/>
        <v>0.13908130543672986</v>
      </c>
    </row>
    <row r="118" spans="22:29" x14ac:dyDescent="0.25">
      <c r="V118" s="1">
        <v>40756</v>
      </c>
      <c r="W118">
        <v>4.5</v>
      </c>
      <c r="X118">
        <v>4.4385602549066903</v>
      </c>
      <c r="Y118">
        <v>4.0450601812824996</v>
      </c>
      <c r="Z118">
        <v>7.9386717839027598</v>
      </c>
      <c r="AA118">
        <v>37.3717023871395</v>
      </c>
      <c r="AB118">
        <v>174912033098.17999</v>
      </c>
      <c r="AC118" s="4">
        <f t="shared" si="4"/>
        <v>0.13236537199405135</v>
      </c>
    </row>
    <row r="119" spans="22:29" x14ac:dyDescent="0.25">
      <c r="V119" s="1">
        <v>40787</v>
      </c>
      <c r="W119">
        <v>4.5</v>
      </c>
      <c r="X119">
        <v>4.4389149255636697</v>
      </c>
      <c r="Y119">
        <v>4.0776512614633296</v>
      </c>
      <c r="Z119">
        <v>7.6944091606348497</v>
      </c>
      <c r="AA119">
        <v>37.002214881990803</v>
      </c>
      <c r="AB119">
        <v>179775186320.98001</v>
      </c>
      <c r="AC119" s="4">
        <f t="shared" si="4"/>
        <v>0.12867311619669219</v>
      </c>
    </row>
    <row r="120" spans="22:29" x14ac:dyDescent="0.25">
      <c r="V120" s="1">
        <v>40817</v>
      </c>
      <c r="W120">
        <v>4.5</v>
      </c>
      <c r="X120">
        <v>4.4391212652375298</v>
      </c>
      <c r="Y120">
        <v>4.0880848541249604</v>
      </c>
      <c r="Z120">
        <v>8.0515083283227504</v>
      </c>
      <c r="AA120">
        <v>37.360121516444103</v>
      </c>
      <c r="AB120">
        <v>186997942429.60001</v>
      </c>
      <c r="AC120" s="4">
        <f t="shared" si="4"/>
        <v>0.13303453853308814</v>
      </c>
    </row>
    <row r="121" spans="22:29" x14ac:dyDescent="0.25">
      <c r="V121" s="1">
        <v>40848</v>
      </c>
      <c r="W121">
        <v>4.5</v>
      </c>
      <c r="X121">
        <v>4.4384752584118399</v>
      </c>
      <c r="Y121">
        <v>4.1966192039356702</v>
      </c>
      <c r="Z121">
        <v>8.5216609648414394</v>
      </c>
      <c r="AA121">
        <v>38.627986935682202</v>
      </c>
      <c r="AB121">
        <v>196747711940.04001</v>
      </c>
      <c r="AC121" s="4">
        <f t="shared" si="4"/>
        <v>0.13982038494826318</v>
      </c>
    </row>
    <row r="122" spans="22:29" x14ac:dyDescent="0.25">
      <c r="V122" s="1">
        <v>40878</v>
      </c>
      <c r="W122">
        <v>4.5</v>
      </c>
      <c r="X122">
        <v>4.4373578462178997</v>
      </c>
      <c r="Y122">
        <v>4.7634912778412399</v>
      </c>
      <c r="Z122">
        <v>9.5162256708532098</v>
      </c>
      <c r="AA122">
        <v>40.998007908283</v>
      </c>
      <c r="AB122">
        <v>204346762146.94</v>
      </c>
      <c r="AC122" s="4">
        <f t="shared" si="4"/>
        <v>0.15002236370082719</v>
      </c>
    </row>
    <row r="123" spans="22:29" x14ac:dyDescent="0.25">
      <c r="V123" s="1">
        <v>40909</v>
      </c>
      <c r="W123">
        <v>4.5</v>
      </c>
      <c r="X123">
        <v>4.4362037744260396</v>
      </c>
      <c r="Y123">
        <v>5.13347146248109</v>
      </c>
      <c r="Z123">
        <v>9.9372893879920099</v>
      </c>
      <c r="AA123">
        <v>42.917042091266303</v>
      </c>
      <c r="AB123">
        <v>213071208720.87</v>
      </c>
      <c r="AC123" s="4">
        <f t="shared" si="4"/>
        <v>0.15533078448327498</v>
      </c>
    </row>
    <row r="124" spans="22:29" x14ac:dyDescent="0.25">
      <c r="V124" s="1">
        <v>40940</v>
      </c>
      <c r="W124">
        <v>4.5</v>
      </c>
      <c r="X124">
        <v>4.43547037221858</v>
      </c>
      <c r="Y124">
        <v>5.6749127081406803</v>
      </c>
      <c r="Z124">
        <v>10.7555687341207</v>
      </c>
      <c r="AA124">
        <v>45.839156237303499</v>
      </c>
      <c r="AB124">
        <v>221079495224.92999</v>
      </c>
      <c r="AC124" s="4">
        <f t="shared" si="4"/>
        <v>0.16540445085305894</v>
      </c>
    </row>
    <row r="125" spans="22:29" x14ac:dyDescent="0.25">
      <c r="V125" s="1">
        <v>40969</v>
      </c>
      <c r="W125">
        <v>4.5</v>
      </c>
      <c r="X125">
        <v>4.4355327875220496</v>
      </c>
      <c r="Y125">
        <v>6.1216144135717396</v>
      </c>
      <c r="Z125">
        <v>10.7323947218211</v>
      </c>
      <c r="AA125">
        <v>48.337995867820297</v>
      </c>
      <c r="AB125">
        <v>230739207320.97</v>
      </c>
      <c r="AC125" s="4">
        <f t="shared" si="4"/>
        <v>0.16695279275204433</v>
      </c>
    </row>
    <row r="126" spans="22:29" x14ac:dyDescent="0.25">
      <c r="V126" s="1">
        <v>41000</v>
      </c>
      <c r="W126">
        <v>4.5</v>
      </c>
      <c r="X126">
        <v>4.4354626662434198</v>
      </c>
      <c r="Y126">
        <v>6.94241678088685</v>
      </c>
      <c r="Z126">
        <v>9.8643216112081493</v>
      </c>
      <c r="AA126">
        <v>48.565156093512897</v>
      </c>
      <c r="AB126">
        <v>232063483381.48001</v>
      </c>
      <c r="AC126" s="4">
        <f t="shared" si="4"/>
        <v>0.15063193853699525</v>
      </c>
    </row>
    <row r="127" spans="22:29" x14ac:dyDescent="0.25">
      <c r="V127" s="1">
        <v>41030</v>
      </c>
      <c r="W127">
        <v>4.5</v>
      </c>
      <c r="X127">
        <v>4.4352334597803296</v>
      </c>
      <c r="Y127">
        <v>7.2697355426801504</v>
      </c>
      <c r="Z127">
        <v>8.9554401752273591</v>
      </c>
      <c r="AA127">
        <v>48.036402411392501</v>
      </c>
      <c r="AB127">
        <v>235954236909</v>
      </c>
      <c r="AC127" s="4">
        <f t="shared" si="4"/>
        <v>0.13694805235395335</v>
      </c>
    </row>
    <row r="128" spans="22:29" x14ac:dyDescent="0.25">
      <c r="V128" s="1">
        <v>41061</v>
      </c>
      <c r="W128">
        <v>4.5</v>
      </c>
      <c r="X128">
        <v>4.43558458296864</v>
      </c>
      <c r="Y128">
        <v>7.9395314734844904</v>
      </c>
      <c r="Z128">
        <v>8.7513617577843608</v>
      </c>
      <c r="AA128">
        <v>48.787256413346697</v>
      </c>
      <c r="AB128">
        <v>238247639737.51999</v>
      </c>
      <c r="AC128" s="4">
        <f t="shared" si="4"/>
        <v>0.13008644387636545</v>
      </c>
    </row>
    <row r="129" spans="22:29" x14ac:dyDescent="0.25">
      <c r="V129" s="1">
        <v>41091</v>
      </c>
      <c r="W129">
        <v>4.5</v>
      </c>
      <c r="X129">
        <v>4.4356340796872997</v>
      </c>
      <c r="Y129">
        <v>8.7345192598670796</v>
      </c>
      <c r="Z129">
        <v>9.2836743272587601</v>
      </c>
      <c r="AA129">
        <v>50.301520764924099</v>
      </c>
      <c r="AB129">
        <v>237278518087.06</v>
      </c>
      <c r="AC129" s="4">
        <f t="shared" si="4"/>
        <v>0.13124535258622705</v>
      </c>
    </row>
    <row r="130" spans="22:29" x14ac:dyDescent="0.25">
      <c r="V130" s="1">
        <v>41122</v>
      </c>
      <c r="W130">
        <v>4.5</v>
      </c>
      <c r="X130">
        <v>4.4356301498511996</v>
      </c>
      <c r="Y130">
        <v>9.2174274451907898</v>
      </c>
      <c r="Z130">
        <v>9.2561219321143593</v>
      </c>
      <c r="AA130">
        <v>51.1074290226342</v>
      </c>
      <c r="AB130">
        <v>235625704915.19</v>
      </c>
      <c r="AC130" s="4">
        <f t="shared" si="4"/>
        <v>0.12815551742582121</v>
      </c>
    </row>
    <row r="131" spans="22:29" x14ac:dyDescent="0.25">
      <c r="V131" s="1">
        <v>41153</v>
      </c>
      <c r="W131">
        <v>4.5</v>
      </c>
      <c r="X131">
        <v>4.4356083202058496</v>
      </c>
      <c r="Y131">
        <v>9.7687339057022502</v>
      </c>
      <c r="Z131">
        <v>9.5143179943095806</v>
      </c>
      <c r="AA131">
        <v>52.983600512785998</v>
      </c>
      <c r="AB131">
        <v>231305721994.91</v>
      </c>
      <c r="AC131" s="4">
        <f t="shared" ref="AC131:AC190" si="5">-(Y131/100-Z131/100-AA131/400)</f>
        <v>0.12991484216803831</v>
      </c>
    </row>
    <row r="132" spans="22:29" x14ac:dyDescent="0.25">
      <c r="V132" s="1">
        <v>41183</v>
      </c>
      <c r="W132">
        <v>4.5</v>
      </c>
      <c r="X132">
        <v>4.4355618604903304</v>
      </c>
      <c r="Y132">
        <v>10.2077203396122</v>
      </c>
      <c r="Z132">
        <v>9.8354543971939901</v>
      </c>
      <c r="AA132">
        <v>54.459104728335703</v>
      </c>
      <c r="AB132">
        <v>226673310450.22</v>
      </c>
      <c r="AC132" s="4">
        <f t="shared" si="5"/>
        <v>0.13242510239665717</v>
      </c>
    </row>
    <row r="133" spans="22:29" x14ac:dyDescent="0.25">
      <c r="V133" s="1">
        <v>41214</v>
      </c>
      <c r="W133">
        <v>4.5</v>
      </c>
      <c r="X133">
        <v>4.4357196793421503</v>
      </c>
      <c r="Y133">
        <v>10.6388463432246</v>
      </c>
      <c r="Z133">
        <v>10.0831480338062</v>
      </c>
      <c r="AA133">
        <v>55.623159334613298</v>
      </c>
      <c r="AB133">
        <v>222139952466.26999</v>
      </c>
      <c r="AC133" s="4">
        <f t="shared" si="5"/>
        <v>0.13350091524234925</v>
      </c>
    </row>
    <row r="134" spans="22:29" x14ac:dyDescent="0.25">
      <c r="V134" s="1">
        <v>41244</v>
      </c>
      <c r="W134">
        <v>4.5</v>
      </c>
      <c r="X134">
        <v>4.4355303584159103</v>
      </c>
      <c r="Y134">
        <v>10.966155059427001</v>
      </c>
      <c r="Z134">
        <v>10.2773212385541</v>
      </c>
      <c r="AA134">
        <v>57.243062656911697</v>
      </c>
      <c r="AB134">
        <v>216849799751.94</v>
      </c>
      <c r="AC134" s="4">
        <f t="shared" si="5"/>
        <v>0.13621931843355023</v>
      </c>
    </row>
    <row r="135" spans="22:29" x14ac:dyDescent="0.25">
      <c r="V135" s="1">
        <v>41275</v>
      </c>
      <c r="W135">
        <v>4.5</v>
      </c>
      <c r="X135">
        <v>4.4355221232737803</v>
      </c>
      <c r="Y135">
        <v>11.262194790474799</v>
      </c>
      <c r="Z135">
        <v>10.081449884249899</v>
      </c>
      <c r="AA135">
        <v>57.037286923748397</v>
      </c>
      <c r="AB135">
        <v>211279650449.98999</v>
      </c>
      <c r="AC135" s="4">
        <f t="shared" si="5"/>
        <v>0.13078576824712199</v>
      </c>
    </row>
    <row r="136" spans="22:29" x14ac:dyDescent="0.25">
      <c r="V136" s="1">
        <v>41306</v>
      </c>
      <c r="W136">
        <v>4.5</v>
      </c>
      <c r="X136">
        <v>4.4354444022118598</v>
      </c>
      <c r="Y136">
        <v>11.4679932007384</v>
      </c>
      <c r="Z136">
        <v>9.8259577374662701</v>
      </c>
      <c r="AA136">
        <v>56.624300341407597</v>
      </c>
      <c r="AB136">
        <v>206817248427.22</v>
      </c>
      <c r="AC136" s="4">
        <f t="shared" si="5"/>
        <v>0.1251403962207977</v>
      </c>
    </row>
    <row r="137" spans="22:29" x14ac:dyDescent="0.25">
      <c r="V137" s="1">
        <v>41334</v>
      </c>
      <c r="W137">
        <v>4.5</v>
      </c>
      <c r="X137">
        <v>4.4355389186092102</v>
      </c>
      <c r="Y137">
        <v>11.670912855704101</v>
      </c>
      <c r="Z137">
        <v>9.6275999218989998</v>
      </c>
      <c r="AA137">
        <v>56.5084273494803</v>
      </c>
      <c r="AB137">
        <v>202649986622.29001</v>
      </c>
      <c r="AC137" s="4">
        <f t="shared" si="5"/>
        <v>0.12083793903564972</v>
      </c>
    </row>
    <row r="138" spans="22:29" x14ac:dyDescent="0.25">
      <c r="V138" s="1">
        <v>41365</v>
      </c>
      <c r="W138">
        <v>4.5</v>
      </c>
      <c r="X138">
        <v>4.4353160902208399</v>
      </c>
      <c r="Y138">
        <v>11.805515105599699</v>
      </c>
      <c r="Z138">
        <v>8.4071417689146895</v>
      </c>
      <c r="AA138">
        <v>54.123518389454503</v>
      </c>
      <c r="AB138">
        <v>199055696816</v>
      </c>
      <c r="AC138" s="4">
        <f t="shared" si="5"/>
        <v>0.10132506260678616</v>
      </c>
    </row>
    <row r="139" spans="22:29" x14ac:dyDescent="0.25">
      <c r="V139" s="1">
        <v>41395</v>
      </c>
      <c r="W139">
        <v>4.5</v>
      </c>
      <c r="X139">
        <v>4.4352495458306</v>
      </c>
      <c r="Y139">
        <v>11.9674343339708</v>
      </c>
      <c r="Z139">
        <v>7.6374354063563201</v>
      </c>
      <c r="AA139">
        <v>51.7689484288397</v>
      </c>
      <c r="AB139">
        <v>196430240676.06</v>
      </c>
      <c r="AC139" s="4">
        <f t="shared" si="5"/>
        <v>8.6122381795954453E-2</v>
      </c>
    </row>
    <row r="140" spans="22:29" x14ac:dyDescent="0.25">
      <c r="V140" s="1">
        <v>41426</v>
      </c>
      <c r="W140">
        <v>4.5</v>
      </c>
      <c r="X140">
        <v>4.4348910158815098</v>
      </c>
      <c r="Y140">
        <v>12.055782906851499</v>
      </c>
      <c r="Z140">
        <v>6.6173240320204796</v>
      </c>
      <c r="AA140">
        <v>49.625696254645199</v>
      </c>
      <c r="AB140">
        <v>192240305834.67001</v>
      </c>
      <c r="AC140" s="4">
        <f t="shared" si="5"/>
        <v>6.9679651888302802E-2</v>
      </c>
    </row>
    <row r="141" spans="22:29" x14ac:dyDescent="0.25">
      <c r="V141" s="1">
        <v>41456</v>
      </c>
      <c r="W141">
        <v>4.5</v>
      </c>
      <c r="X141">
        <v>4.4347326563939298</v>
      </c>
      <c r="Y141">
        <v>12.286043000811899</v>
      </c>
      <c r="Z141">
        <v>6.4460651238268403</v>
      </c>
      <c r="AA141">
        <v>50.080654830187598</v>
      </c>
      <c r="AB141">
        <v>191378430619.10999</v>
      </c>
      <c r="AC141" s="4">
        <f t="shared" si="5"/>
        <v>6.6801858305618397E-2</v>
      </c>
    </row>
    <row r="142" spans="22:29" x14ac:dyDescent="0.25">
      <c r="V142" s="1">
        <v>41487</v>
      </c>
      <c r="W142">
        <v>4.5</v>
      </c>
      <c r="X142">
        <v>4.4340916334043499</v>
      </c>
      <c r="Y142">
        <v>12.596641881531101</v>
      </c>
      <c r="Z142">
        <v>6.5109934067031698</v>
      </c>
      <c r="AA142">
        <v>50.848071400171698</v>
      </c>
      <c r="AB142">
        <v>194744530732.94</v>
      </c>
      <c r="AC142" s="4">
        <f t="shared" si="5"/>
        <v>6.6263693752149938E-2</v>
      </c>
    </row>
    <row r="143" spans="22:29" x14ac:dyDescent="0.25">
      <c r="V143" s="1">
        <v>41518</v>
      </c>
      <c r="W143">
        <v>4.5</v>
      </c>
      <c r="X143">
        <v>4.4347722112830299</v>
      </c>
      <c r="Y143">
        <v>12.809452041309401</v>
      </c>
      <c r="Z143">
        <v>6.4883153290310496</v>
      </c>
      <c r="AA143">
        <v>51.042293948692503</v>
      </c>
      <c r="AB143">
        <v>194053788600.92999</v>
      </c>
      <c r="AC143" s="4">
        <f t="shared" si="5"/>
        <v>6.4394367748947773E-2</v>
      </c>
    </row>
    <row r="144" spans="22:29" x14ac:dyDescent="0.25">
      <c r="V144" s="1">
        <v>41548</v>
      </c>
      <c r="W144">
        <v>4.5</v>
      </c>
      <c r="X144">
        <v>4.4353391688080803</v>
      </c>
      <c r="Y144">
        <v>12.8461590549422</v>
      </c>
      <c r="Z144">
        <v>6.5206451120815796</v>
      </c>
      <c r="AA144">
        <v>51.4437973979757</v>
      </c>
      <c r="AB144">
        <v>192476523621.25</v>
      </c>
      <c r="AC144" s="4">
        <f t="shared" si="5"/>
        <v>6.5354354066333054E-2</v>
      </c>
    </row>
    <row r="145" spans="22:29" x14ac:dyDescent="0.25">
      <c r="V145" s="1">
        <v>41579</v>
      </c>
      <c r="W145">
        <v>4.5</v>
      </c>
      <c r="X145">
        <v>4.4352604113025604</v>
      </c>
      <c r="Y145">
        <v>12.8079300797041</v>
      </c>
      <c r="Z145">
        <v>6.48914544307768</v>
      </c>
      <c r="AA145">
        <v>51.550103741656002</v>
      </c>
      <c r="AB145">
        <v>193237889433.67999</v>
      </c>
      <c r="AC145" s="4">
        <f t="shared" si="5"/>
        <v>6.5687412987875823E-2</v>
      </c>
    </row>
    <row r="146" spans="22:29" x14ac:dyDescent="0.25">
      <c r="V146" s="1">
        <v>41609</v>
      </c>
      <c r="W146">
        <v>4.5</v>
      </c>
      <c r="X146">
        <v>4.4356937824904303</v>
      </c>
      <c r="Y146">
        <v>13.0093804024017</v>
      </c>
      <c r="Z146">
        <v>6.52030208143937</v>
      </c>
      <c r="AA146">
        <v>60.974210734059596</v>
      </c>
      <c r="AB146">
        <v>198319412000.54999</v>
      </c>
      <c r="AC146" s="4">
        <f t="shared" si="5"/>
        <v>8.7544743625525709E-2</v>
      </c>
    </row>
    <row r="147" spans="22:29" x14ac:dyDescent="0.25">
      <c r="V147" s="1">
        <v>41640</v>
      </c>
      <c r="W147">
        <v>4.5</v>
      </c>
      <c r="X147">
        <v>4.4357363828686598</v>
      </c>
      <c r="Y147">
        <v>10.466673155508399</v>
      </c>
      <c r="Z147">
        <v>4.67469915287354</v>
      </c>
      <c r="AA147">
        <v>53.829230356202103</v>
      </c>
      <c r="AB147">
        <v>202006166846.64999</v>
      </c>
      <c r="AC147" s="4">
        <f t="shared" si="5"/>
        <v>7.665333586415668E-2</v>
      </c>
    </row>
    <row r="148" spans="22:29" x14ac:dyDescent="0.25">
      <c r="V148" s="1">
        <v>41671</v>
      </c>
      <c r="W148">
        <v>4.5</v>
      </c>
      <c r="X148">
        <v>4.4364119046923296</v>
      </c>
      <c r="Y148">
        <v>10.711172680699301</v>
      </c>
      <c r="Z148">
        <v>5.0543503734293598</v>
      </c>
      <c r="AA148">
        <v>54.372651662780299</v>
      </c>
      <c r="AB148">
        <v>200896977877.42001</v>
      </c>
      <c r="AC148" s="4">
        <f t="shared" si="5"/>
        <v>7.9363406084251353E-2</v>
      </c>
    </row>
    <row r="149" spans="22:29" x14ac:dyDescent="0.25">
      <c r="V149" s="1">
        <v>41699</v>
      </c>
      <c r="W149">
        <v>4.5</v>
      </c>
      <c r="X149">
        <v>4.4364530665126196</v>
      </c>
      <c r="Y149">
        <v>10.7296427468458</v>
      </c>
      <c r="Z149">
        <v>5.0037958643128002</v>
      </c>
      <c r="AA149">
        <v>54.035779457698403</v>
      </c>
      <c r="AB149">
        <v>201007533809.29001</v>
      </c>
      <c r="AC149" s="4">
        <f t="shared" si="5"/>
        <v>7.7830979818916027E-2</v>
      </c>
    </row>
    <row r="150" spans="22:29" x14ac:dyDescent="0.25">
      <c r="V150" s="1">
        <v>41730</v>
      </c>
      <c r="W150">
        <v>4.5</v>
      </c>
      <c r="X150">
        <v>4.4366875691477201</v>
      </c>
      <c r="Y150">
        <v>10.780300204177999</v>
      </c>
      <c r="Z150">
        <v>4.3829593253704404</v>
      </c>
      <c r="AA150">
        <v>50.617499569962497</v>
      </c>
      <c r="AB150">
        <v>204983639202.97</v>
      </c>
      <c r="AC150" s="4">
        <f t="shared" si="5"/>
        <v>6.257034013683066E-2</v>
      </c>
    </row>
    <row r="151" spans="22:29" x14ac:dyDescent="0.25">
      <c r="V151" s="1">
        <v>41760</v>
      </c>
      <c r="W151">
        <v>4.5</v>
      </c>
      <c r="X151">
        <v>4.4378901036586003</v>
      </c>
      <c r="Y151">
        <v>11.001532669739801</v>
      </c>
      <c r="Z151">
        <v>4.1108004701128404</v>
      </c>
      <c r="AA151">
        <v>49.9536077697568</v>
      </c>
      <c r="AB151">
        <v>204436090808.92001</v>
      </c>
      <c r="AC151" s="4">
        <f t="shared" si="5"/>
        <v>5.5976697428122391E-2</v>
      </c>
    </row>
    <row r="152" spans="22:29" x14ac:dyDescent="0.25">
      <c r="V152" s="1">
        <v>41791</v>
      </c>
      <c r="W152">
        <v>4.5</v>
      </c>
      <c r="X152">
        <v>4.4379983826326699</v>
      </c>
      <c r="Y152">
        <v>11.0704477825011</v>
      </c>
      <c r="Z152">
        <v>3.81778535325406</v>
      </c>
      <c r="AA152">
        <v>48.900643668280203</v>
      </c>
      <c r="AB152">
        <v>206844588410.57001</v>
      </c>
      <c r="AC152" s="4">
        <f t="shared" si="5"/>
        <v>4.9724984878230113E-2</v>
      </c>
    </row>
    <row r="153" spans="22:29" x14ac:dyDescent="0.25">
      <c r="V153" s="1">
        <v>41821</v>
      </c>
      <c r="W153">
        <v>4.5</v>
      </c>
      <c r="X153">
        <v>4.43860478322721</v>
      </c>
      <c r="Y153">
        <v>11.216838980846999</v>
      </c>
      <c r="Z153">
        <v>3.7892406689241298</v>
      </c>
      <c r="AA153">
        <v>48.699669731913197</v>
      </c>
      <c r="AB153">
        <v>211501940433.88</v>
      </c>
      <c r="AC153" s="4">
        <f t="shared" si="5"/>
        <v>4.7473191210554294E-2</v>
      </c>
    </row>
    <row r="154" spans="22:29" x14ac:dyDescent="0.25">
      <c r="V154" s="1">
        <v>41852</v>
      </c>
      <c r="W154">
        <v>4.5</v>
      </c>
      <c r="X154">
        <v>4.4383952512918796</v>
      </c>
      <c r="Y154">
        <v>11.6448164647087</v>
      </c>
      <c r="Z154">
        <v>3.9627676575979698</v>
      </c>
      <c r="AA154">
        <v>49.212137668374602</v>
      </c>
      <c r="AB154">
        <v>215469117629.37</v>
      </c>
      <c r="AC154" s="4">
        <f t="shared" si="5"/>
        <v>4.6209856099829194E-2</v>
      </c>
    </row>
    <row r="155" spans="22:29" x14ac:dyDescent="0.25">
      <c r="V155" s="1">
        <v>41883</v>
      </c>
      <c r="W155">
        <v>4.5</v>
      </c>
      <c r="X155">
        <v>4.4376171925456704</v>
      </c>
      <c r="Y155">
        <v>11.974965026887</v>
      </c>
      <c r="Z155">
        <v>4.1307852445821203</v>
      </c>
      <c r="AA155">
        <v>49.877210662610302</v>
      </c>
      <c r="AB155">
        <v>220095567760.35999</v>
      </c>
      <c r="AC155" s="4">
        <f t="shared" si="5"/>
        <v>4.6251228833476959E-2</v>
      </c>
    </row>
    <row r="156" spans="22:29" x14ac:dyDescent="0.25">
      <c r="V156" s="1">
        <v>41913</v>
      </c>
      <c r="W156">
        <v>4.5</v>
      </c>
      <c r="X156">
        <v>4.4370934431034303</v>
      </c>
      <c r="Y156">
        <v>12.170123282871099</v>
      </c>
      <c r="Z156">
        <v>4.3066089765406703</v>
      </c>
      <c r="AA156">
        <v>50.430537788083797</v>
      </c>
      <c r="AB156">
        <v>219272044591.29999</v>
      </c>
      <c r="AC156" s="4">
        <f t="shared" si="5"/>
        <v>4.7441201406905192E-2</v>
      </c>
    </row>
    <row r="157" spans="22:29" x14ac:dyDescent="0.25">
      <c r="V157" s="1">
        <v>41944</v>
      </c>
      <c r="W157">
        <v>4.5</v>
      </c>
      <c r="X157">
        <v>4.4368348110556104</v>
      </c>
      <c r="Y157">
        <v>12.234917740767401</v>
      </c>
      <c r="Z157">
        <v>4.3618402172747599</v>
      </c>
      <c r="AA157">
        <v>50.5919500532355</v>
      </c>
      <c r="AB157">
        <v>218548814702.56</v>
      </c>
      <c r="AC157" s="4">
        <f t="shared" si="5"/>
        <v>4.7749099898162339E-2</v>
      </c>
    </row>
    <row r="158" spans="22:29" x14ac:dyDescent="0.25">
      <c r="V158" s="1">
        <v>41974</v>
      </c>
      <c r="W158">
        <v>4.5</v>
      </c>
      <c r="X158">
        <v>4.4371002886418101</v>
      </c>
      <c r="Y158">
        <v>12.3031497579057</v>
      </c>
      <c r="Z158">
        <v>4.4678849123842603</v>
      </c>
      <c r="AA158">
        <v>50.945228588075402</v>
      </c>
      <c r="AB158">
        <v>220436585637.94</v>
      </c>
      <c r="AC158" s="4">
        <f t="shared" si="5"/>
        <v>4.9010423014974103E-2</v>
      </c>
    </row>
    <row r="159" spans="22:29" x14ac:dyDescent="0.25">
      <c r="V159" s="1">
        <v>42005</v>
      </c>
      <c r="W159">
        <v>4.5</v>
      </c>
      <c r="X159">
        <v>4.4373875904108298</v>
      </c>
      <c r="Y159">
        <v>12.4777101611639</v>
      </c>
      <c r="Z159">
        <v>4.4705192062314296</v>
      </c>
      <c r="AA159">
        <v>43.767704915854097</v>
      </c>
      <c r="AB159">
        <v>219665059291.76001</v>
      </c>
      <c r="AC159" s="4">
        <f t="shared" si="5"/>
        <v>2.9347352740310528E-2</v>
      </c>
    </row>
    <row r="160" spans="22:29" x14ac:dyDescent="0.25">
      <c r="V160" s="1">
        <v>42036</v>
      </c>
      <c r="W160">
        <v>4.5</v>
      </c>
      <c r="X160">
        <v>4.4374147557678896</v>
      </c>
      <c r="Y160">
        <v>12.5404549109663</v>
      </c>
      <c r="Z160">
        <v>4.4666459453454603</v>
      </c>
      <c r="AA160">
        <v>43.941867544963998</v>
      </c>
      <c r="AB160">
        <v>219374701380.20999</v>
      </c>
      <c r="AC160" s="4">
        <f t="shared" si="5"/>
        <v>2.9116579206201587E-2</v>
      </c>
    </row>
    <row r="161" spans="22:29" x14ac:dyDescent="0.25">
      <c r="V161" s="1">
        <v>42064</v>
      </c>
      <c r="W161">
        <v>4.5</v>
      </c>
      <c r="X161">
        <v>4.4373212088832403</v>
      </c>
      <c r="Y161">
        <v>12.643745643646101</v>
      </c>
      <c r="Z161">
        <v>4.4668044437065397</v>
      </c>
      <c r="AA161">
        <v>44.3764270973384</v>
      </c>
      <c r="AB161">
        <v>216876277040.81</v>
      </c>
      <c r="AC161" s="4">
        <f t="shared" si="5"/>
        <v>2.9171655743950392E-2</v>
      </c>
    </row>
    <row r="162" spans="22:29" x14ac:dyDescent="0.25">
      <c r="V162" s="1">
        <v>42095</v>
      </c>
      <c r="W162">
        <v>4.5</v>
      </c>
      <c r="X162">
        <v>4.4369926429598801</v>
      </c>
      <c r="Y162">
        <v>12.7077302114541</v>
      </c>
      <c r="Z162">
        <v>4.1739696700922702</v>
      </c>
      <c r="AA162">
        <v>44.185496045151098</v>
      </c>
      <c r="AB162">
        <v>212515456211.76999</v>
      </c>
      <c r="AC162" s="4">
        <f t="shared" si="5"/>
        <v>2.512613469925945E-2</v>
      </c>
    </row>
    <row r="163" spans="22:29" x14ac:dyDescent="0.25">
      <c r="V163" s="1">
        <v>42125</v>
      </c>
      <c r="W163">
        <v>4.5</v>
      </c>
      <c r="X163">
        <v>4.4370007843735202</v>
      </c>
      <c r="Y163">
        <v>12.801574130471399</v>
      </c>
      <c r="Z163">
        <v>3.96361109710833</v>
      </c>
      <c r="AA163">
        <v>44.160074186711498</v>
      </c>
      <c r="AB163">
        <v>211375128938.60999</v>
      </c>
      <c r="AC163" s="4">
        <f t="shared" si="5"/>
        <v>2.2020555133148045E-2</v>
      </c>
    </row>
    <row r="164" spans="22:29" x14ac:dyDescent="0.25">
      <c r="V164" s="1">
        <v>42156</v>
      </c>
      <c r="W164">
        <v>4.5</v>
      </c>
      <c r="X164">
        <v>4.4368925230234098</v>
      </c>
      <c r="Y164">
        <v>12.8425551452788</v>
      </c>
      <c r="Z164">
        <v>3.8094217354256199</v>
      </c>
      <c r="AA164">
        <v>44.307128840727998</v>
      </c>
      <c r="AB164">
        <v>211361726775.22</v>
      </c>
      <c r="AC164" s="4">
        <f t="shared" si="5"/>
        <v>2.0436488003288192E-2</v>
      </c>
    </row>
    <row r="165" spans="22:29" x14ac:dyDescent="0.25">
      <c r="V165" s="1">
        <v>42186</v>
      </c>
      <c r="W165">
        <v>4.5</v>
      </c>
      <c r="X165">
        <v>4.4367664225398098</v>
      </c>
      <c r="Y165">
        <v>13.082074008133199</v>
      </c>
      <c r="Z165">
        <v>3.9864758007991701</v>
      </c>
      <c r="AA165">
        <v>45.534866519639301</v>
      </c>
      <c r="AB165">
        <v>210741092951.64001</v>
      </c>
      <c r="AC165" s="4">
        <f t="shared" si="5"/>
        <v>2.2881184225757953E-2</v>
      </c>
    </row>
    <row r="166" spans="22:29" x14ac:dyDescent="0.25">
      <c r="V166" s="1">
        <v>42217</v>
      </c>
      <c r="W166">
        <v>4.5</v>
      </c>
      <c r="X166">
        <v>4.4369151394144399</v>
      </c>
      <c r="Y166">
        <v>13.292573491619301</v>
      </c>
      <c r="Z166">
        <v>4.1181472956599103</v>
      </c>
      <c r="AA166">
        <v>46.456947823143203</v>
      </c>
      <c r="AB166">
        <v>210852145256.10999</v>
      </c>
      <c r="AC166" s="4">
        <f t="shared" si="5"/>
        <v>2.4398107598264107E-2</v>
      </c>
    </row>
    <row r="167" spans="22:29" x14ac:dyDescent="0.25">
      <c r="V167" s="1">
        <v>42248</v>
      </c>
      <c r="W167">
        <v>4.5</v>
      </c>
      <c r="X167">
        <v>4.4369321318206296</v>
      </c>
      <c r="Y167">
        <v>13.389156977443101</v>
      </c>
      <c r="Z167">
        <v>4.1813072528381801</v>
      </c>
      <c r="AA167">
        <v>45.539812080637702</v>
      </c>
      <c r="AB167">
        <v>211431096140.60001</v>
      </c>
      <c r="AC167" s="4">
        <f t="shared" si="5"/>
        <v>2.1771032955545055E-2</v>
      </c>
    </row>
    <row r="168" spans="22:29" x14ac:dyDescent="0.25">
      <c r="V168" s="1">
        <v>42278</v>
      </c>
      <c r="W168">
        <v>4.5</v>
      </c>
      <c r="X168">
        <v>4.4371324285312497</v>
      </c>
      <c r="Y168">
        <v>13.6650627940063</v>
      </c>
      <c r="Z168">
        <v>4.5351327412814699</v>
      </c>
      <c r="AA168">
        <v>46.552726711337002</v>
      </c>
      <c r="AB168">
        <v>211173661597.82999</v>
      </c>
      <c r="AC168" s="4">
        <f t="shared" si="5"/>
        <v>2.50825162510942E-2</v>
      </c>
    </row>
    <row r="169" spans="22:29" x14ac:dyDescent="0.25">
      <c r="V169" s="1">
        <v>42309</v>
      </c>
      <c r="W169">
        <v>4.5</v>
      </c>
      <c r="X169">
        <v>4.4371498523841302</v>
      </c>
      <c r="Y169">
        <v>13.7682008583535</v>
      </c>
      <c r="Z169">
        <v>4.6616207419706104</v>
      </c>
      <c r="AA169">
        <v>47.0452405211159</v>
      </c>
      <c r="AB169">
        <v>212576544667.07999</v>
      </c>
      <c r="AC169" s="4">
        <f t="shared" si="5"/>
        <v>2.6547300138960853E-2</v>
      </c>
    </row>
    <row r="170" spans="22:29" x14ac:dyDescent="0.25">
      <c r="V170" s="1">
        <v>42339</v>
      </c>
      <c r="W170">
        <v>4.5</v>
      </c>
      <c r="X170">
        <v>4.4374374861561199</v>
      </c>
      <c r="Y170">
        <v>13.957511512760201</v>
      </c>
      <c r="Z170">
        <v>5.03329697727888</v>
      </c>
      <c r="AA170">
        <v>48.494979140220998</v>
      </c>
      <c r="AB170">
        <v>212461499268.57001</v>
      </c>
      <c r="AC170" s="4">
        <f t="shared" si="5"/>
        <v>3.19953024957393E-2</v>
      </c>
    </row>
    <row r="171" spans="22:29" x14ac:dyDescent="0.25">
      <c r="V171" s="1">
        <v>42370</v>
      </c>
      <c r="W171">
        <v>4.5</v>
      </c>
      <c r="X171">
        <v>4.4372617567478798</v>
      </c>
      <c r="Y171">
        <v>14.052929001989799</v>
      </c>
      <c r="Z171">
        <v>5.1395746581296002</v>
      </c>
      <c r="AA171">
        <v>49.2049676527622</v>
      </c>
      <c r="AB171">
        <v>212068544237.84</v>
      </c>
      <c r="AC171" s="4">
        <f t="shared" si="5"/>
        <v>3.3878875693303501E-2</v>
      </c>
    </row>
    <row r="172" spans="22:29" x14ac:dyDescent="0.25">
      <c r="V172" s="1">
        <v>42401</v>
      </c>
      <c r="W172">
        <v>4.5</v>
      </c>
      <c r="X172">
        <v>4.4372261941733599</v>
      </c>
      <c r="Y172">
        <v>14.123322336462101</v>
      </c>
      <c r="Z172">
        <v>5.1554940530209503</v>
      </c>
      <c r="AA172">
        <v>49.654607747714003</v>
      </c>
      <c r="AB172">
        <v>212120538184.20999</v>
      </c>
      <c r="AC172" s="4">
        <f t="shared" si="5"/>
        <v>3.4458236534873496E-2</v>
      </c>
    </row>
    <row r="173" spans="22:29" x14ac:dyDescent="0.25">
      <c r="V173" s="1">
        <v>42430</v>
      </c>
      <c r="W173">
        <v>4.5</v>
      </c>
      <c r="X173">
        <v>4.4372220234026098</v>
      </c>
      <c r="Y173">
        <v>14.159379373323</v>
      </c>
      <c r="Z173">
        <v>5.2026003560341803</v>
      </c>
      <c r="AA173">
        <v>50.140233139548997</v>
      </c>
      <c r="AB173">
        <v>212766906969.72</v>
      </c>
      <c r="AC173" s="4">
        <f t="shared" si="5"/>
        <v>3.578279267598429E-2</v>
      </c>
    </row>
    <row r="174" spans="22:29" x14ac:dyDescent="0.25">
      <c r="V174" s="1">
        <v>42461</v>
      </c>
      <c r="W174">
        <v>4.5</v>
      </c>
      <c r="X174">
        <v>4.4373107900499704</v>
      </c>
      <c r="Y174">
        <v>14.283458045381501</v>
      </c>
      <c r="Z174">
        <v>4.2665902463511003</v>
      </c>
      <c r="AA174">
        <v>50.766487190858001</v>
      </c>
      <c r="AB174">
        <v>212556538204.28</v>
      </c>
      <c r="AC174" s="4">
        <f t="shared" si="5"/>
        <v>2.6747539986841012E-2</v>
      </c>
    </row>
    <row r="175" spans="22:29" x14ac:dyDescent="0.25">
      <c r="V175" s="1">
        <v>42491</v>
      </c>
      <c r="W175">
        <v>4.5</v>
      </c>
      <c r="X175">
        <v>4.4371534596357698</v>
      </c>
      <c r="Y175">
        <v>14.3511856757657</v>
      </c>
      <c r="Z175">
        <v>4.3234146745583599</v>
      </c>
      <c r="AA175">
        <v>51.815521947867303</v>
      </c>
      <c r="AB175">
        <v>211276015264.56</v>
      </c>
      <c r="AC175" s="4">
        <f t="shared" si="5"/>
        <v>2.9261094857594844E-2</v>
      </c>
    </row>
    <row r="176" spans="22:29" x14ac:dyDescent="0.25">
      <c r="V176" s="1">
        <v>42522</v>
      </c>
      <c r="W176">
        <v>4.5</v>
      </c>
      <c r="X176">
        <v>4.4370687718641602</v>
      </c>
      <c r="Y176">
        <v>14.4462836574716</v>
      </c>
      <c r="Z176">
        <v>4.3201046653860802</v>
      </c>
      <c r="AA176">
        <v>52.6621516124344</v>
      </c>
      <c r="AB176">
        <v>211169146371.45999</v>
      </c>
      <c r="AC176" s="4">
        <f t="shared" si="5"/>
        <v>3.0393589110230795E-2</v>
      </c>
    </row>
    <row r="177" spans="22:29" x14ac:dyDescent="0.25">
      <c r="V177" s="1">
        <v>42552</v>
      </c>
      <c r="W177">
        <v>4.5</v>
      </c>
      <c r="X177">
        <v>4.4366889669312402</v>
      </c>
      <c r="Y177">
        <v>14.5758896954232</v>
      </c>
      <c r="Z177">
        <v>4.5837348989588804</v>
      </c>
      <c r="AA177">
        <v>54.634434110305399</v>
      </c>
      <c r="AB177">
        <v>209306248662.98001</v>
      </c>
      <c r="AC177" s="4">
        <f t="shared" si="5"/>
        <v>3.6664537311120293E-2</v>
      </c>
    </row>
    <row r="178" spans="22:29" x14ac:dyDescent="0.25">
      <c r="V178" s="1">
        <v>42583</v>
      </c>
      <c r="W178">
        <v>4.5</v>
      </c>
      <c r="X178">
        <v>4.4366596835735503</v>
      </c>
      <c r="Y178">
        <v>14.6587898366139</v>
      </c>
      <c r="Z178">
        <v>4.7269085512459998</v>
      </c>
      <c r="AA178">
        <v>55.719896671447501</v>
      </c>
      <c r="AB178">
        <v>208592644601.98999</v>
      </c>
      <c r="AC178" s="4">
        <f t="shared" si="5"/>
        <v>3.9980928824939754E-2</v>
      </c>
    </row>
    <row r="179" spans="22:29" x14ac:dyDescent="0.25">
      <c r="V179" s="1">
        <v>42614</v>
      </c>
      <c r="W179">
        <v>4.5</v>
      </c>
      <c r="X179">
        <v>4.43662616864132</v>
      </c>
      <c r="Y179">
        <v>14.748448769624201</v>
      </c>
      <c r="Z179">
        <v>4.9368375658231898</v>
      </c>
      <c r="AA179">
        <v>57.378479755332201</v>
      </c>
      <c r="AB179">
        <v>206711908562.09</v>
      </c>
      <c r="AC179" s="4">
        <f t="shared" si="5"/>
        <v>4.5330087350320403E-2</v>
      </c>
    </row>
    <row r="180" spans="22:29" x14ac:dyDescent="0.25">
      <c r="V180" s="1">
        <v>42644</v>
      </c>
      <c r="W180">
        <v>4.5</v>
      </c>
      <c r="X180">
        <v>4.43637234600018</v>
      </c>
      <c r="Y180">
        <v>14.863625658611699</v>
      </c>
      <c r="Z180">
        <v>5.2228997034348401</v>
      </c>
      <c r="AA180">
        <v>59.5413215539389</v>
      </c>
      <c r="AB180">
        <v>203329478550.88</v>
      </c>
      <c r="AC180" s="4">
        <f t="shared" si="5"/>
        <v>5.2446044333078659E-2</v>
      </c>
    </row>
    <row r="181" spans="22:29" x14ac:dyDescent="0.25">
      <c r="V181" s="1">
        <v>42675</v>
      </c>
      <c r="W181">
        <v>4.5</v>
      </c>
      <c r="X181">
        <v>4.4362815016774197</v>
      </c>
      <c r="Y181">
        <v>14.9365859603129</v>
      </c>
      <c r="Z181">
        <v>5.4535678615203196</v>
      </c>
      <c r="AA181">
        <v>61.496375963571403</v>
      </c>
      <c r="AB181">
        <v>199467921790.25</v>
      </c>
      <c r="AC181" s="4">
        <f t="shared" si="5"/>
        <v>5.8910758921002698E-2</v>
      </c>
    </row>
    <row r="182" spans="22:29" x14ac:dyDescent="0.25">
      <c r="V182" s="1">
        <v>42705</v>
      </c>
      <c r="W182">
        <v>4.5</v>
      </c>
      <c r="X182">
        <v>4.43608327724478</v>
      </c>
      <c r="Y182">
        <v>14.9116225440462</v>
      </c>
      <c r="Z182">
        <v>5.5235972319800304</v>
      </c>
      <c r="AA182">
        <v>62.6098500170447</v>
      </c>
      <c r="AB182">
        <v>199561625471.26001</v>
      </c>
      <c r="AC182" s="4">
        <f t="shared" si="5"/>
        <v>6.2644371921950062E-2</v>
      </c>
    </row>
    <row r="183" spans="22:29" x14ac:dyDescent="0.25">
      <c r="V183" s="1">
        <v>42736</v>
      </c>
      <c r="W183">
        <v>4.5</v>
      </c>
      <c r="X183">
        <v>4.4361685466965</v>
      </c>
      <c r="Y183">
        <v>15.011753555501</v>
      </c>
      <c r="Z183">
        <v>5.8096707927671796</v>
      </c>
      <c r="AA183">
        <v>65.322398592730494</v>
      </c>
      <c r="AB183">
        <v>197956317119.37</v>
      </c>
      <c r="AC183" s="4">
        <f t="shared" si="5"/>
        <v>7.1285168854488018E-2</v>
      </c>
    </row>
    <row r="184" spans="22:29" x14ac:dyDescent="0.25">
      <c r="V184" s="1">
        <v>42767</v>
      </c>
      <c r="W184">
        <v>4.5</v>
      </c>
      <c r="X184">
        <v>4.4361281359382403</v>
      </c>
      <c r="Y184">
        <v>15.1587189256723</v>
      </c>
      <c r="Z184">
        <v>5.9009787703090497</v>
      </c>
      <c r="AA184">
        <v>66.243504347779705</v>
      </c>
      <c r="AB184">
        <v>203336650189.59</v>
      </c>
      <c r="AC184" s="4">
        <f t="shared" si="5"/>
        <v>7.3031359315816766E-2</v>
      </c>
    </row>
    <row r="185" spans="22:29" x14ac:dyDescent="0.25">
      <c r="V185" s="1">
        <v>42795</v>
      </c>
      <c r="W185">
        <v>4.5</v>
      </c>
      <c r="X185">
        <v>4.4363636010144303</v>
      </c>
      <c r="Y185">
        <v>15.4595280930012</v>
      </c>
      <c r="Z185">
        <v>6.5198202563428804</v>
      </c>
      <c r="AA185">
        <v>67.295404381880303</v>
      </c>
      <c r="AB185">
        <v>207994339941.35001</v>
      </c>
      <c r="AC185" s="4">
        <f t="shared" si="5"/>
        <v>7.8841432588117558E-2</v>
      </c>
    </row>
    <row r="186" spans="22:29" x14ac:dyDescent="0.25">
      <c r="V186" s="1">
        <v>42826</v>
      </c>
      <c r="W186">
        <v>4.5</v>
      </c>
      <c r="X186">
        <v>4.4368388068587796</v>
      </c>
      <c r="Y186">
        <v>15.579957210653999</v>
      </c>
      <c r="Z186">
        <v>6.8725804671204402</v>
      </c>
      <c r="AA186">
        <v>67.709201335241403</v>
      </c>
      <c r="AB186">
        <v>218573604355.45999</v>
      </c>
      <c r="AC186" s="4">
        <f t="shared" si="5"/>
        <v>8.2199235902767898E-2</v>
      </c>
    </row>
    <row r="187" spans="22:29" x14ac:dyDescent="0.25">
      <c r="V187" s="1">
        <v>42856</v>
      </c>
      <c r="W187">
        <v>4.5</v>
      </c>
      <c r="X187">
        <v>4.4364592849519804</v>
      </c>
      <c r="Y187">
        <v>15.929810082200801</v>
      </c>
      <c r="Z187">
        <v>7.7506096118996997</v>
      </c>
      <c r="AA187">
        <v>68.062151532925895</v>
      </c>
      <c r="AB187">
        <v>232076457779.64001</v>
      </c>
      <c r="AC187" s="4">
        <f t="shared" si="5"/>
        <v>8.8363374129303729E-2</v>
      </c>
    </row>
    <row r="188" spans="22:29" x14ac:dyDescent="0.25">
      <c r="V188" s="1">
        <v>42887</v>
      </c>
      <c r="W188">
        <v>4.5</v>
      </c>
      <c r="X188">
        <v>4.4365798726607002</v>
      </c>
      <c r="Y188">
        <v>16.403980851868699</v>
      </c>
      <c r="Z188">
        <v>8.7857178290033904</v>
      </c>
      <c r="AA188">
        <v>68.094461906702094</v>
      </c>
      <c r="AB188">
        <v>246937087878.03</v>
      </c>
      <c r="AC188" s="4">
        <f t="shared" si="5"/>
        <v>9.405352453810216E-2</v>
      </c>
    </row>
    <row r="189" spans="22:29" x14ac:dyDescent="0.25">
      <c r="V189" s="1">
        <v>42917</v>
      </c>
      <c r="W189">
        <v>4.5</v>
      </c>
      <c r="X189">
        <v>4.4362703241771202</v>
      </c>
      <c r="Y189">
        <v>16.842228683444802</v>
      </c>
      <c r="Z189">
        <v>9.8065207577082596</v>
      </c>
      <c r="AA189">
        <v>68.805678792382693</v>
      </c>
      <c r="AB189">
        <v>256214857594.54999</v>
      </c>
      <c r="AC189" s="4">
        <f t="shared" si="5"/>
        <v>0.10165711772359132</v>
      </c>
    </row>
    <row r="190" spans="22:29" x14ac:dyDescent="0.25">
      <c r="V190" s="1">
        <v>42948</v>
      </c>
      <c r="W190">
        <v>4.5</v>
      </c>
      <c r="X190">
        <v>4.4359214773491802</v>
      </c>
      <c r="Y190">
        <v>17.1908460551345</v>
      </c>
      <c r="Z190">
        <v>10.512952289744799</v>
      </c>
      <c r="AA190">
        <v>69.849648227915907</v>
      </c>
      <c r="AB190">
        <v>260274814015.98001</v>
      </c>
      <c r="AC190" s="4">
        <f t="shared" si="5"/>
        <v>0.10784518291589275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 cost</vt:lpstr>
      <vt:lpstr>with cost</vt:lpstr>
      <vt:lpstr>with cost_detial</vt:lpstr>
      <vt:lpstr>with cost_1508</vt:lpstr>
      <vt:lpstr>no cost_1508</vt:lpstr>
      <vt:lpstr>cost compare by asof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2017-08-16T19:38:12Z</dcterms:created>
  <dcterms:modified xsi:type="dcterms:W3CDTF">2017-08-17T13:54:54Z</dcterms:modified>
</cp:coreProperties>
</file>